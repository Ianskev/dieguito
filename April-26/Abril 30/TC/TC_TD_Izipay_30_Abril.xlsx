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C/"/>
    </mc:Choice>
  </mc:AlternateContent>
  <xr:revisionPtr revIDLastSave="40" documentId="8_{7C0C581A-982A-4079-9019-ABA9998BB99C}" xr6:coauthVersionLast="47" xr6:coauthVersionMax="47" xr10:uidLastSave="{41B87396-8A99-4CD3-A80A-DE5CF76E1719}"/>
  <bookViews>
    <workbookView xWindow="-110" yWindow="-110" windowWidth="19420" windowHeight="11500" tabRatio="792" firstSheet="4" activeTab="8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14" r:id="rId4"/>
    <sheet name="Amex - mov x medio de tx" sheetId="13" r:id="rId5"/>
    <sheet name="Visa - txs x medio de tx" sheetId="11" r:id="rId6"/>
    <sheet name="Visa - imp x medio de tx" sheetId="12" r:id="rId7"/>
    <sheet name="Giro Crédito Visa" sheetId="5" r:id="rId8"/>
    <sheet name="Giro Débito Visa" sheetId="6" r:id="rId9"/>
    <sheet name="Giro Crédito Amex" sheetId="7" r:id="rId10"/>
    <sheet name="Giro Crédito MC" sheetId="8" r:id="rId11"/>
    <sheet name="Detalle Créd Visa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7" i="5" l="1"/>
  <c r="F237" i="5"/>
  <c r="M235" i="5"/>
  <c r="L235" i="5"/>
  <c r="F235" i="5"/>
  <c r="G235" i="5"/>
  <c r="S235" i="8"/>
  <c r="T235" i="8"/>
  <c r="U235" i="8"/>
  <c r="V235" i="8"/>
  <c r="W235" i="8"/>
  <c r="X235" i="8"/>
  <c r="Y235" i="8"/>
  <c r="Z235" i="8"/>
  <c r="AA235" i="8"/>
  <c r="AB235" i="8"/>
  <c r="AC235" i="8"/>
  <c r="R235" i="8"/>
  <c r="E235" i="8"/>
  <c r="F235" i="8"/>
  <c r="G235" i="8"/>
  <c r="H235" i="8"/>
  <c r="I235" i="8"/>
  <c r="J235" i="8"/>
  <c r="K235" i="8"/>
  <c r="L235" i="8"/>
  <c r="M235" i="8"/>
  <c r="N235" i="8"/>
  <c r="O235" i="8"/>
  <c r="D235" i="8"/>
  <c r="AT46" i="7"/>
  <c r="AU46" i="7"/>
  <c r="AT47" i="7"/>
  <c r="AU47" i="7"/>
  <c r="AT48" i="7"/>
  <c r="AU48" i="7"/>
  <c r="AT49" i="7"/>
  <c r="AU49" i="7"/>
  <c r="AT50" i="7"/>
  <c r="AU50" i="7"/>
  <c r="AT51" i="7"/>
  <c r="AU51" i="7"/>
  <c r="AT52" i="7"/>
  <c r="AU52" i="7"/>
  <c r="AT53" i="7"/>
  <c r="AU53" i="7"/>
  <c r="AT54" i="7"/>
  <c r="AU54" i="7"/>
  <c r="AT55" i="7"/>
  <c r="AU55" i="7"/>
  <c r="AT56" i="7"/>
  <c r="AU56" i="7"/>
  <c r="AT57" i="7"/>
  <c r="AU57" i="7"/>
  <c r="AT58" i="7"/>
  <c r="AU58" i="7"/>
  <c r="AT59" i="7"/>
  <c r="AU59" i="7"/>
  <c r="AT60" i="7"/>
  <c r="AU60" i="7"/>
  <c r="AT61" i="7"/>
  <c r="AU61" i="7"/>
  <c r="AT62" i="7"/>
  <c r="AU62" i="7"/>
  <c r="AT63" i="7"/>
  <c r="AU63" i="7"/>
  <c r="AT64" i="7"/>
  <c r="AU64" i="7"/>
  <c r="AT65" i="7"/>
  <c r="AU65" i="7"/>
  <c r="AT66" i="7"/>
  <c r="AU66" i="7"/>
  <c r="AT67" i="7"/>
  <c r="AU67" i="7"/>
  <c r="AT68" i="7"/>
  <c r="AU68" i="7"/>
  <c r="AT69" i="7"/>
  <c r="AU69" i="7"/>
  <c r="AT70" i="7"/>
  <c r="AU70" i="7"/>
  <c r="AT71" i="7"/>
  <c r="AU71" i="7"/>
  <c r="AT72" i="7"/>
  <c r="AU72" i="7"/>
  <c r="AT73" i="7"/>
  <c r="AU73" i="7"/>
  <c r="AT74" i="7"/>
  <c r="AU74" i="7"/>
  <c r="AT75" i="7"/>
  <c r="AU75" i="7"/>
  <c r="AT76" i="7"/>
  <c r="AU76" i="7"/>
  <c r="AT77" i="7"/>
  <c r="AU77" i="7"/>
  <c r="AT78" i="7"/>
  <c r="AU78" i="7"/>
  <c r="AT79" i="7"/>
  <c r="AU79" i="7"/>
  <c r="AT80" i="7"/>
  <c r="AU80" i="7"/>
  <c r="AT81" i="7"/>
  <c r="AU81" i="7"/>
  <c r="AT82" i="7"/>
  <c r="AU82" i="7"/>
  <c r="AT83" i="7"/>
  <c r="AU83" i="7"/>
  <c r="AT84" i="7"/>
  <c r="AU84" i="7"/>
  <c r="AT85" i="7"/>
  <c r="AU85" i="7"/>
  <c r="AT86" i="7"/>
  <c r="AU86" i="7"/>
  <c r="AT87" i="7"/>
  <c r="AU87" i="7"/>
  <c r="AT88" i="7"/>
  <c r="AU88" i="7"/>
  <c r="AT89" i="7"/>
  <c r="AU89" i="7"/>
  <c r="AT90" i="7"/>
  <c r="AU90" i="7"/>
  <c r="AT91" i="7"/>
  <c r="AU91" i="7"/>
  <c r="AT92" i="7"/>
  <c r="AU92" i="7"/>
  <c r="AT93" i="7"/>
  <c r="AU93" i="7"/>
  <c r="AT94" i="7"/>
  <c r="AU94" i="7"/>
  <c r="AT95" i="7"/>
  <c r="AU95" i="7"/>
  <c r="AT96" i="7"/>
  <c r="AU96" i="7"/>
  <c r="AT97" i="7"/>
  <c r="AU97" i="7"/>
  <c r="AT98" i="7"/>
  <c r="AU98" i="7"/>
  <c r="AT99" i="7"/>
  <c r="AU99" i="7"/>
  <c r="AT100" i="7"/>
  <c r="AU100" i="7"/>
  <c r="AT101" i="7"/>
  <c r="AU101" i="7"/>
  <c r="AT102" i="7"/>
  <c r="AU102" i="7"/>
  <c r="AT103" i="7"/>
  <c r="AU103" i="7"/>
  <c r="AT104" i="7"/>
  <c r="AU104" i="7"/>
  <c r="AT105" i="7"/>
  <c r="AU105" i="7"/>
  <c r="AT106" i="7"/>
  <c r="AU106" i="7"/>
  <c r="AT107" i="7"/>
  <c r="AU107" i="7"/>
  <c r="AT108" i="7"/>
  <c r="AU108" i="7"/>
  <c r="AT109" i="7"/>
  <c r="AU109" i="7"/>
  <c r="AT110" i="7"/>
  <c r="AU110" i="7"/>
  <c r="AT111" i="7"/>
  <c r="AU111" i="7"/>
  <c r="AT112" i="7"/>
  <c r="AU112" i="7"/>
  <c r="AT113" i="7"/>
  <c r="AU113" i="7"/>
  <c r="AT114" i="7"/>
  <c r="AU114" i="7"/>
  <c r="AT115" i="7"/>
  <c r="AU115" i="7"/>
  <c r="AT116" i="7"/>
  <c r="AU116" i="7"/>
  <c r="AT117" i="7"/>
  <c r="AU117" i="7"/>
  <c r="AT118" i="7"/>
  <c r="AU118" i="7"/>
  <c r="AT119" i="7"/>
  <c r="AU119" i="7"/>
  <c r="AT120" i="7"/>
  <c r="AU120" i="7"/>
  <c r="AT121" i="7"/>
  <c r="AU121" i="7"/>
  <c r="AT122" i="7"/>
  <c r="AU122" i="7"/>
  <c r="AT123" i="7"/>
  <c r="AU123" i="7"/>
  <c r="AT124" i="7"/>
  <c r="AU124" i="7"/>
  <c r="AT125" i="7"/>
  <c r="AU125" i="7"/>
  <c r="AT126" i="7"/>
  <c r="AU126" i="7"/>
  <c r="AT127" i="7"/>
  <c r="AU127" i="7"/>
  <c r="AT128" i="7"/>
  <c r="AU128" i="7"/>
  <c r="AT129" i="7"/>
  <c r="AU129" i="7"/>
  <c r="AT130" i="7"/>
  <c r="AU130" i="7"/>
  <c r="AT131" i="7"/>
  <c r="AU131" i="7"/>
  <c r="AT132" i="7"/>
  <c r="AU132" i="7"/>
  <c r="AT133" i="7"/>
  <c r="AU133" i="7"/>
  <c r="AT134" i="7"/>
  <c r="AU134" i="7"/>
  <c r="AT135" i="7"/>
  <c r="AU135" i="7"/>
  <c r="AT136" i="7"/>
  <c r="AU136" i="7"/>
  <c r="AT137" i="7"/>
  <c r="AU137" i="7"/>
  <c r="AT138" i="7"/>
  <c r="AU138" i="7"/>
  <c r="AT139" i="7"/>
  <c r="AU139" i="7"/>
  <c r="AT140" i="7"/>
  <c r="AU140" i="7"/>
  <c r="AT141" i="7"/>
  <c r="AU141" i="7"/>
  <c r="AT142" i="7"/>
  <c r="AU142" i="7"/>
  <c r="AT143" i="7"/>
  <c r="AU143" i="7"/>
  <c r="AT144" i="7"/>
  <c r="AU144" i="7"/>
  <c r="AT145" i="7"/>
  <c r="AU145" i="7"/>
  <c r="AT146" i="7"/>
  <c r="AU146" i="7"/>
  <c r="AT147" i="7"/>
  <c r="AU147" i="7"/>
  <c r="AT148" i="7"/>
  <c r="AU148" i="7"/>
  <c r="AT149" i="7"/>
  <c r="AU149" i="7"/>
  <c r="AT150" i="7"/>
  <c r="AU150" i="7"/>
  <c r="AT151" i="7"/>
  <c r="AU151" i="7"/>
  <c r="AT152" i="7"/>
  <c r="AU152" i="7"/>
  <c r="AT153" i="7"/>
  <c r="AU153" i="7"/>
  <c r="AT154" i="7"/>
  <c r="AU154" i="7"/>
  <c r="AT155" i="7"/>
  <c r="AU155" i="7"/>
  <c r="AT156" i="7"/>
  <c r="AU156" i="7"/>
  <c r="AT157" i="7"/>
  <c r="AU157" i="7"/>
  <c r="AT158" i="7"/>
  <c r="AU158" i="7"/>
  <c r="AT159" i="7"/>
  <c r="AU159" i="7"/>
  <c r="AT160" i="7"/>
  <c r="AU160" i="7"/>
  <c r="AT161" i="7"/>
  <c r="AU161" i="7"/>
  <c r="AT162" i="7"/>
  <c r="AU162" i="7"/>
  <c r="AT163" i="7"/>
  <c r="AU163" i="7"/>
  <c r="AT164" i="7"/>
  <c r="AU164" i="7"/>
  <c r="AT165" i="7"/>
  <c r="AU165" i="7"/>
  <c r="AT166" i="7"/>
  <c r="AU166" i="7"/>
  <c r="AT167" i="7"/>
  <c r="AU167" i="7"/>
  <c r="AT168" i="7"/>
  <c r="AU168" i="7"/>
  <c r="AT169" i="7"/>
  <c r="AU169" i="7"/>
  <c r="AT170" i="7"/>
  <c r="AU170" i="7"/>
  <c r="AT171" i="7"/>
  <c r="AU171" i="7"/>
  <c r="AT172" i="7"/>
  <c r="AU172" i="7"/>
  <c r="AT173" i="7"/>
  <c r="AU173" i="7"/>
  <c r="AT174" i="7"/>
  <c r="AU174" i="7"/>
  <c r="AT175" i="7"/>
  <c r="AU175" i="7"/>
  <c r="AT176" i="7"/>
  <c r="AU176" i="7"/>
  <c r="AT177" i="7"/>
  <c r="AU177" i="7"/>
  <c r="AT178" i="7"/>
  <c r="AU178" i="7"/>
  <c r="AT179" i="7"/>
  <c r="AU179" i="7"/>
  <c r="AT180" i="7"/>
  <c r="AU180" i="7"/>
  <c r="AT181" i="7"/>
  <c r="AU181" i="7"/>
  <c r="AT182" i="7"/>
  <c r="AU182" i="7"/>
  <c r="AT183" i="7"/>
  <c r="AU183" i="7"/>
  <c r="AT184" i="7"/>
  <c r="AU184" i="7"/>
  <c r="AT185" i="7"/>
  <c r="AU185" i="7"/>
  <c r="AT186" i="7"/>
  <c r="AU186" i="7"/>
  <c r="AT187" i="7"/>
  <c r="AU187" i="7"/>
  <c r="AT188" i="7"/>
  <c r="AU188" i="7"/>
  <c r="AT189" i="7"/>
  <c r="AU189" i="7"/>
  <c r="AT190" i="7"/>
  <c r="AU190" i="7"/>
  <c r="AT191" i="7"/>
  <c r="AU191" i="7"/>
  <c r="AT192" i="7"/>
  <c r="AU192" i="7"/>
  <c r="AT193" i="7"/>
  <c r="AU193" i="7"/>
  <c r="AT194" i="7"/>
  <c r="AU194" i="7"/>
  <c r="AT195" i="7"/>
  <c r="AU195" i="7"/>
  <c r="AT196" i="7"/>
  <c r="AU196" i="7"/>
  <c r="AT197" i="7"/>
  <c r="AU197" i="7"/>
  <c r="AT198" i="7"/>
  <c r="AU198" i="7"/>
  <c r="AT199" i="7"/>
  <c r="AU199" i="7"/>
  <c r="AT200" i="7"/>
  <c r="AU200" i="7"/>
  <c r="AT201" i="7"/>
  <c r="AU201" i="7"/>
  <c r="AT202" i="7"/>
  <c r="AU202" i="7"/>
  <c r="AT203" i="7"/>
  <c r="AU203" i="7"/>
  <c r="AT204" i="7"/>
  <c r="AU204" i="7"/>
  <c r="AT205" i="7"/>
  <c r="AU205" i="7"/>
  <c r="AT206" i="7"/>
  <c r="AU206" i="7"/>
  <c r="AT207" i="7"/>
  <c r="AU207" i="7"/>
  <c r="AT208" i="7"/>
  <c r="AU208" i="7"/>
  <c r="AT209" i="7"/>
  <c r="AU209" i="7"/>
  <c r="AT210" i="7"/>
  <c r="AU210" i="7"/>
  <c r="AT211" i="7"/>
  <c r="AU211" i="7"/>
  <c r="AT212" i="7"/>
  <c r="AU212" i="7"/>
  <c r="AT213" i="7"/>
  <c r="AU213" i="7"/>
  <c r="AT214" i="7"/>
  <c r="AU214" i="7"/>
  <c r="AT215" i="7"/>
  <c r="AU215" i="7"/>
  <c r="AT216" i="7"/>
  <c r="AU216" i="7"/>
  <c r="AT217" i="7"/>
  <c r="AU217" i="7"/>
  <c r="AT218" i="7"/>
  <c r="AU218" i="7"/>
  <c r="AT219" i="7"/>
  <c r="AU219" i="7"/>
  <c r="AT220" i="7"/>
  <c r="AU220" i="7"/>
  <c r="AT221" i="7"/>
  <c r="AU221" i="7"/>
  <c r="AT222" i="7"/>
  <c r="AU222" i="7"/>
  <c r="AT223" i="7"/>
  <c r="AU223" i="7"/>
  <c r="AT224" i="7"/>
  <c r="AU224" i="7"/>
  <c r="AT225" i="7"/>
  <c r="AU225" i="7"/>
  <c r="AT226" i="7"/>
  <c r="AU226" i="7"/>
  <c r="AT227" i="7"/>
  <c r="AU227" i="7"/>
  <c r="AT228" i="7"/>
  <c r="AU228" i="7"/>
  <c r="AT229" i="7"/>
  <c r="AU229" i="7"/>
  <c r="AT230" i="7"/>
  <c r="AU230" i="7"/>
  <c r="AT231" i="7"/>
  <c r="AU231" i="7"/>
  <c r="AT232" i="7"/>
  <c r="AU232" i="7"/>
  <c r="AT233" i="7"/>
  <c r="AU233" i="7"/>
  <c r="AT234" i="7"/>
  <c r="AU234" i="7"/>
  <c r="AT235" i="7"/>
  <c r="AU235" i="7"/>
  <c r="AT236" i="7"/>
  <c r="AU236" i="7"/>
  <c r="AT237" i="7"/>
  <c r="AU237" i="7"/>
  <c r="AT238" i="7"/>
  <c r="AU238" i="7"/>
  <c r="AT239" i="7"/>
  <c r="AU239" i="7"/>
  <c r="AT240" i="7"/>
  <c r="AU240" i="7"/>
  <c r="AT241" i="7"/>
  <c r="AU241" i="7"/>
  <c r="AT242" i="7"/>
  <c r="AU242" i="7"/>
  <c r="AT243" i="7"/>
  <c r="AU243" i="7"/>
  <c r="AT244" i="7"/>
  <c r="AU244" i="7"/>
  <c r="AT245" i="7"/>
  <c r="AU245" i="7"/>
  <c r="AT246" i="7"/>
  <c r="AU246" i="7"/>
  <c r="AT247" i="7"/>
  <c r="AU247" i="7"/>
  <c r="AT248" i="7"/>
  <c r="AU248" i="7"/>
  <c r="AT249" i="7"/>
  <c r="AU249" i="7"/>
  <c r="AT250" i="7"/>
  <c r="AU250" i="7"/>
  <c r="AT251" i="7"/>
  <c r="AU251" i="7"/>
  <c r="AT252" i="7"/>
  <c r="AU252" i="7"/>
  <c r="AT253" i="7"/>
  <c r="AU253" i="7"/>
  <c r="AT254" i="7"/>
  <c r="AU254" i="7"/>
  <c r="AT255" i="7"/>
  <c r="AU255" i="7"/>
  <c r="AT256" i="7"/>
  <c r="AU256" i="7"/>
  <c r="S256" i="7"/>
  <c r="T256" i="7"/>
  <c r="U256" i="7"/>
  <c r="V256" i="7"/>
  <c r="W256" i="7"/>
  <c r="X256" i="7"/>
  <c r="Y256" i="7"/>
  <c r="Z256" i="7"/>
  <c r="AA256" i="7"/>
  <c r="AB256" i="7"/>
  <c r="AC256" i="7"/>
  <c r="AO256" i="7"/>
  <c r="AP256" i="7"/>
  <c r="R256" i="7"/>
  <c r="E256" i="7"/>
  <c r="F256" i="7"/>
  <c r="G256" i="7"/>
  <c r="H256" i="7"/>
  <c r="I256" i="7"/>
  <c r="J256" i="7"/>
  <c r="K256" i="7"/>
  <c r="L256" i="7"/>
  <c r="M256" i="7"/>
  <c r="N256" i="7"/>
  <c r="O256" i="7"/>
  <c r="D256" i="7"/>
  <c r="K236" i="6"/>
  <c r="L236" i="6"/>
  <c r="M236" i="6"/>
  <c r="U236" i="6"/>
  <c r="V236" i="6"/>
  <c r="Y236" i="6"/>
  <c r="Z236" i="6"/>
  <c r="J236" i="6"/>
  <c r="E236" i="6"/>
  <c r="F236" i="6"/>
  <c r="G236" i="6"/>
  <c r="D236" i="6"/>
  <c r="P231" i="5"/>
  <c r="P232" i="5"/>
  <c r="P233" i="5"/>
  <c r="AD204" i="5"/>
  <c r="AE204" i="5"/>
  <c r="AD205" i="5"/>
  <c r="AE205" i="5"/>
  <c r="AD206" i="5"/>
  <c r="AE206" i="5"/>
  <c r="AD207" i="5"/>
  <c r="AE207" i="5"/>
  <c r="AD208" i="5"/>
  <c r="AE208" i="5"/>
  <c r="AD209" i="5"/>
  <c r="AE209" i="5"/>
  <c r="AD210" i="5"/>
  <c r="AE210" i="5"/>
  <c r="AD211" i="5"/>
  <c r="AE211" i="5"/>
  <c r="AD212" i="5"/>
  <c r="AE212" i="5"/>
  <c r="AD213" i="5"/>
  <c r="AE213" i="5"/>
  <c r="AD214" i="5"/>
  <c r="AE214" i="5"/>
  <c r="AD215" i="5"/>
  <c r="AE215" i="5"/>
  <c r="AD216" i="5"/>
  <c r="AE216" i="5"/>
  <c r="AD217" i="5"/>
  <c r="AE217" i="5"/>
  <c r="AD218" i="5"/>
  <c r="AE218" i="5"/>
  <c r="AD219" i="5"/>
  <c r="AE219" i="5"/>
  <c r="AD220" i="5"/>
  <c r="AE220" i="5"/>
  <c r="AD221" i="5"/>
  <c r="AE221" i="5"/>
  <c r="AD222" i="5"/>
  <c r="AE222" i="5"/>
  <c r="AD223" i="5"/>
  <c r="AE223" i="5"/>
  <c r="AD224" i="5"/>
  <c r="AE224" i="5"/>
  <c r="AD225" i="5"/>
  <c r="AE225" i="5"/>
  <c r="AD226" i="5"/>
  <c r="AE226" i="5"/>
  <c r="AD227" i="5"/>
  <c r="AE227" i="5"/>
  <c r="AD228" i="5"/>
  <c r="AE228" i="5"/>
  <c r="AD229" i="5"/>
  <c r="AE229" i="5"/>
  <c r="AD230" i="5"/>
  <c r="AE230" i="5"/>
  <c r="AD231" i="5"/>
  <c r="AE231" i="5"/>
  <c r="AD232" i="5"/>
  <c r="AE232" i="5"/>
  <c r="AD233" i="5"/>
  <c r="AE233" i="5"/>
  <c r="AD234" i="5"/>
  <c r="AE234" i="5"/>
  <c r="AD110" i="9"/>
  <c r="AQ110" i="9" s="1"/>
  <c r="AC110" i="9"/>
  <c r="AB110" i="9"/>
  <c r="AA110" i="9"/>
  <c r="Z110" i="9"/>
  <c r="Y110" i="9"/>
  <c r="X110" i="9"/>
  <c r="W110" i="9"/>
  <c r="V110" i="9"/>
  <c r="U110" i="9"/>
  <c r="T110" i="9"/>
  <c r="S110" i="9"/>
  <c r="Q110" i="9"/>
  <c r="P110" i="9"/>
  <c r="AP110" i="9" s="1"/>
  <c r="O110" i="9"/>
  <c r="AO110" i="9" s="1"/>
  <c r="N110" i="9"/>
  <c r="AN110" i="9" s="1"/>
  <c r="M110" i="9"/>
  <c r="AM110" i="9" s="1"/>
  <c r="L110" i="9"/>
  <c r="AL110" i="9" s="1"/>
  <c r="K110" i="9"/>
  <c r="AK110" i="9" s="1"/>
  <c r="J110" i="9"/>
  <c r="AJ110" i="9" s="1"/>
  <c r="I110" i="9"/>
  <c r="H110" i="9"/>
  <c r="G110" i="9"/>
  <c r="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L88" i="9"/>
  <c r="AK88" i="9"/>
  <c r="AJ88" i="9"/>
  <c r="AD88" i="9"/>
  <c r="AC88" i="9"/>
  <c r="AB88" i="9"/>
  <c r="AA88" i="9"/>
  <c r="Z88" i="9"/>
  <c r="Y88" i="9"/>
  <c r="X88" i="9"/>
  <c r="W88" i="9"/>
  <c r="V88" i="9"/>
  <c r="U88" i="9"/>
  <c r="T88" i="9"/>
  <c r="S88" i="9"/>
  <c r="Q88" i="9"/>
  <c r="AQ88" i="9" s="1"/>
  <c r="P88" i="9"/>
  <c r="AP88" i="9" s="1"/>
  <c r="O88" i="9"/>
  <c r="AO88" i="9" s="1"/>
  <c r="N88" i="9"/>
  <c r="AN88" i="9" s="1"/>
  <c r="M88" i="9"/>
  <c r="AM88" i="9" s="1"/>
  <c r="L88" i="9"/>
  <c r="K88" i="9"/>
  <c r="J88" i="9"/>
  <c r="I88" i="9"/>
  <c r="H88" i="9"/>
  <c r="G88" i="9"/>
  <c r="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P66" i="9"/>
  <c r="AO66" i="9"/>
  <c r="AN66" i="9"/>
  <c r="AM66" i="9"/>
  <c r="AL66" i="9"/>
  <c r="AK66" i="9"/>
  <c r="AJ66" i="9"/>
  <c r="AD66" i="9"/>
  <c r="AC66" i="9"/>
  <c r="AB66" i="9"/>
  <c r="AA66" i="9"/>
  <c r="Z66" i="9"/>
  <c r="Y66" i="9"/>
  <c r="X66" i="9"/>
  <c r="W66" i="9"/>
  <c r="V66" i="9"/>
  <c r="U66" i="9"/>
  <c r="T66" i="9"/>
  <c r="S66" i="9"/>
  <c r="Q66" i="9"/>
  <c r="AQ66" i="9" s="1"/>
  <c r="P66" i="9"/>
  <c r="O66" i="9"/>
  <c r="N66" i="9"/>
  <c r="M66" i="9"/>
  <c r="L66" i="9"/>
  <c r="K66" i="9"/>
  <c r="J66" i="9"/>
  <c r="I66" i="9"/>
  <c r="H66" i="9"/>
  <c r="G66" i="9"/>
  <c r="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D45" i="9"/>
  <c r="AQ45" i="9" s="1"/>
  <c r="AC45" i="9"/>
  <c r="AB45" i="9"/>
  <c r="AA45" i="9"/>
  <c r="Z45" i="9"/>
  <c r="Y45" i="9"/>
  <c r="X45" i="9"/>
  <c r="W45" i="9"/>
  <c r="V45" i="9"/>
  <c r="U45" i="9"/>
  <c r="T45" i="9"/>
  <c r="S45" i="9"/>
  <c r="Q45" i="9"/>
  <c r="P45" i="9"/>
  <c r="AP45" i="9" s="1"/>
  <c r="O45" i="9"/>
  <c r="AO45" i="9" s="1"/>
  <c r="N45" i="9"/>
  <c r="AN45" i="9" s="1"/>
  <c r="M45" i="9"/>
  <c r="AM45" i="9" s="1"/>
  <c r="L45" i="9"/>
  <c r="AL45" i="9" s="1"/>
  <c r="K45" i="9"/>
  <c r="AK45" i="9" s="1"/>
  <c r="J45" i="9"/>
  <c r="AJ45" i="9" s="1"/>
  <c r="I45" i="9"/>
  <c r="H45" i="9"/>
  <c r="G45" i="9"/>
  <c r="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P24" i="9"/>
  <c r="AO24" i="9"/>
  <c r="AN24" i="9"/>
  <c r="AM24" i="9"/>
  <c r="AL24" i="9"/>
  <c r="AK24" i="9"/>
  <c r="AJ24" i="9"/>
  <c r="AD24" i="9"/>
  <c r="AC24" i="9"/>
  <c r="AB24" i="9"/>
  <c r="AA24" i="9"/>
  <c r="Z24" i="9"/>
  <c r="Y24" i="9"/>
  <c r="X24" i="9"/>
  <c r="W24" i="9"/>
  <c r="V24" i="9"/>
  <c r="U24" i="9"/>
  <c r="T24" i="9"/>
  <c r="S24" i="9"/>
  <c r="Q24" i="9"/>
  <c r="AQ24" i="9" s="1"/>
  <c r="P24" i="9"/>
  <c r="O24" i="9"/>
  <c r="N24" i="9"/>
  <c r="M24" i="9"/>
  <c r="L24" i="9"/>
  <c r="K24" i="9"/>
  <c r="J24" i="9"/>
  <c r="I24" i="9"/>
  <c r="H24" i="9"/>
  <c r="G24" i="9"/>
  <c r="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203" i="8"/>
  <c r="P203" i="8"/>
  <c r="AD202" i="8"/>
  <c r="P202" i="8"/>
  <c r="AD201" i="8"/>
  <c r="P201" i="8"/>
  <c r="AD200" i="8"/>
  <c r="P200" i="8"/>
  <c r="AD199" i="8"/>
  <c r="P199" i="8"/>
  <c r="AD198" i="8"/>
  <c r="P198" i="8"/>
  <c r="AD197" i="8"/>
  <c r="P197" i="8"/>
  <c r="AD196" i="8"/>
  <c r="P196" i="8"/>
  <c r="AD195" i="8"/>
  <c r="P195" i="8"/>
  <c r="AD194" i="8"/>
  <c r="P194" i="8"/>
  <c r="AD193" i="8"/>
  <c r="P193" i="8"/>
  <c r="AD192" i="8"/>
  <c r="P192" i="8"/>
  <c r="AD191" i="8"/>
  <c r="P191" i="8"/>
  <c r="AD190" i="8"/>
  <c r="P190" i="8"/>
  <c r="AD189" i="8"/>
  <c r="P189" i="8"/>
  <c r="AD188" i="8"/>
  <c r="P188" i="8"/>
  <c r="AD187" i="8"/>
  <c r="P187" i="8"/>
  <c r="AD186" i="8"/>
  <c r="P186" i="8"/>
  <c r="AD185" i="8"/>
  <c r="P185" i="8"/>
  <c r="AD184" i="8"/>
  <c r="P184" i="8"/>
  <c r="AD183" i="8"/>
  <c r="P183" i="8"/>
  <c r="AD182" i="8"/>
  <c r="P182" i="8"/>
  <c r="AD181" i="8"/>
  <c r="P181" i="8"/>
  <c r="AD180" i="8"/>
  <c r="P180" i="8"/>
  <c r="AD179" i="8"/>
  <c r="P179" i="8"/>
  <c r="AD178" i="8"/>
  <c r="P178" i="8"/>
  <c r="AD177" i="8"/>
  <c r="P177" i="8"/>
  <c r="AD176" i="8"/>
  <c r="P176" i="8"/>
  <c r="AD175" i="8"/>
  <c r="P175" i="8"/>
  <c r="AD174" i="8"/>
  <c r="P174" i="8"/>
  <c r="AD173" i="8"/>
  <c r="P173" i="8"/>
  <c r="AD172" i="8"/>
  <c r="P172" i="8"/>
  <c r="AD171" i="8"/>
  <c r="P171" i="8"/>
  <c r="AD170" i="8"/>
  <c r="P170" i="8"/>
  <c r="AD169" i="8"/>
  <c r="P169" i="8"/>
  <c r="AD168" i="8"/>
  <c r="P168" i="8"/>
  <c r="AD167" i="8"/>
  <c r="P167" i="8"/>
  <c r="AD166" i="8"/>
  <c r="P166" i="8"/>
  <c r="AD165" i="8"/>
  <c r="P165" i="8"/>
  <c r="AD164" i="8"/>
  <c r="P164" i="8"/>
  <c r="AD163" i="8"/>
  <c r="P163" i="8"/>
  <c r="AD162" i="8"/>
  <c r="P162" i="8"/>
  <c r="AD161" i="8"/>
  <c r="P161" i="8"/>
  <c r="AD160" i="8"/>
  <c r="P160" i="8"/>
  <c r="AD159" i="8"/>
  <c r="P159" i="8"/>
  <c r="AD158" i="8"/>
  <c r="P158" i="8"/>
  <c r="AD157" i="8"/>
  <c r="P157" i="8"/>
  <c r="AD156" i="8"/>
  <c r="P156" i="8"/>
  <c r="AD155" i="8"/>
  <c r="P155" i="8"/>
  <c r="AD154" i="8"/>
  <c r="P154" i="8"/>
  <c r="AD153" i="8"/>
  <c r="P153" i="8"/>
  <c r="AD152" i="8"/>
  <c r="P152" i="8"/>
  <c r="AD151" i="8"/>
  <c r="P151" i="8"/>
  <c r="AD150" i="8"/>
  <c r="P150" i="8"/>
  <c r="AD149" i="8"/>
  <c r="P149" i="8"/>
  <c r="AD148" i="8"/>
  <c r="P148" i="8"/>
  <c r="AD147" i="8"/>
  <c r="P147" i="8"/>
  <c r="AD146" i="8"/>
  <c r="P146" i="8"/>
  <c r="AD145" i="8"/>
  <c r="P145" i="8"/>
  <c r="AD144" i="8"/>
  <c r="P144" i="8"/>
  <c r="AD143" i="8"/>
  <c r="P143" i="8"/>
  <c r="AD142" i="8"/>
  <c r="P142" i="8"/>
  <c r="AD141" i="8"/>
  <c r="P141" i="8"/>
  <c r="AD140" i="8"/>
  <c r="P140" i="8"/>
  <c r="AD139" i="8"/>
  <c r="P139" i="8"/>
  <c r="AD138" i="8"/>
  <c r="P138" i="8"/>
  <c r="AD137" i="8"/>
  <c r="P137" i="8"/>
  <c r="AD136" i="8"/>
  <c r="P136" i="8"/>
  <c r="AD135" i="8"/>
  <c r="P135" i="8"/>
  <c r="AD134" i="8"/>
  <c r="P134" i="8"/>
  <c r="AD133" i="8"/>
  <c r="P133" i="8"/>
  <c r="AD132" i="8"/>
  <c r="P132" i="8"/>
  <c r="AD131" i="8"/>
  <c r="P131" i="8"/>
  <c r="AD130" i="8"/>
  <c r="P130" i="8"/>
  <c r="AD129" i="8"/>
  <c r="P129" i="8"/>
  <c r="AD128" i="8"/>
  <c r="P128" i="8"/>
  <c r="AD127" i="8"/>
  <c r="P127" i="8"/>
  <c r="AD126" i="8"/>
  <c r="P126" i="8"/>
  <c r="AD125" i="8"/>
  <c r="P125" i="8"/>
  <c r="AD124" i="8"/>
  <c r="P124" i="8"/>
  <c r="AD123" i="8"/>
  <c r="P123" i="8"/>
  <c r="AD122" i="8"/>
  <c r="P122" i="8"/>
  <c r="AD121" i="8"/>
  <c r="P121" i="8"/>
  <c r="AD120" i="8"/>
  <c r="P120" i="8"/>
  <c r="AD119" i="8"/>
  <c r="P119" i="8"/>
  <c r="AD118" i="8"/>
  <c r="P118" i="8"/>
  <c r="AD117" i="8"/>
  <c r="P117" i="8"/>
  <c r="AD116" i="8"/>
  <c r="P116" i="8"/>
  <c r="AD115" i="8"/>
  <c r="P115" i="8"/>
  <c r="AD114" i="8"/>
  <c r="P114" i="8"/>
  <c r="AD113" i="8"/>
  <c r="P113" i="8"/>
  <c r="AD112" i="8"/>
  <c r="P112" i="8"/>
  <c r="AD111" i="8"/>
  <c r="P111" i="8"/>
  <c r="AD110" i="8"/>
  <c r="P110" i="8"/>
  <c r="AD109" i="8"/>
  <c r="P109" i="8"/>
  <c r="AD108" i="8"/>
  <c r="P108" i="8"/>
  <c r="AD107" i="8"/>
  <c r="P107" i="8"/>
  <c r="AD106" i="8"/>
  <c r="P106" i="8"/>
  <c r="AD105" i="8"/>
  <c r="P105" i="8"/>
  <c r="AD104" i="8"/>
  <c r="P104" i="8"/>
  <c r="AD103" i="8"/>
  <c r="P103" i="8"/>
  <c r="AD102" i="8"/>
  <c r="P102" i="8"/>
  <c r="AD101" i="8"/>
  <c r="P101" i="8"/>
  <c r="AD100" i="8"/>
  <c r="P100" i="8"/>
  <c r="AD99" i="8"/>
  <c r="P99" i="8"/>
  <c r="AD98" i="8"/>
  <c r="P98" i="8"/>
  <c r="AD97" i="8"/>
  <c r="P97" i="8"/>
  <c r="AD96" i="8"/>
  <c r="P96" i="8"/>
  <c r="AD95" i="8"/>
  <c r="P95" i="8"/>
  <c r="AD94" i="8"/>
  <c r="P94" i="8"/>
  <c r="AD93" i="8"/>
  <c r="P93" i="8"/>
  <c r="AD92" i="8"/>
  <c r="P92" i="8"/>
  <c r="AD91" i="8"/>
  <c r="P91" i="8"/>
  <c r="AD90" i="8"/>
  <c r="P90" i="8"/>
  <c r="AD89" i="8"/>
  <c r="P89" i="8"/>
  <c r="AD88" i="8"/>
  <c r="P88" i="8"/>
  <c r="AD87" i="8"/>
  <c r="P87" i="8"/>
  <c r="AD86" i="8"/>
  <c r="P86" i="8"/>
  <c r="AD85" i="8"/>
  <c r="P85" i="8"/>
  <c r="AD84" i="8"/>
  <c r="P84" i="8"/>
  <c r="AD83" i="8"/>
  <c r="P83" i="8"/>
  <c r="AD82" i="8"/>
  <c r="P82" i="8"/>
  <c r="AD81" i="8"/>
  <c r="P81" i="8"/>
  <c r="AD80" i="8"/>
  <c r="P80" i="8"/>
  <c r="AD79" i="8"/>
  <c r="P79" i="8"/>
  <c r="AD78" i="8"/>
  <c r="P78" i="8"/>
  <c r="AD77" i="8"/>
  <c r="P77" i="8"/>
  <c r="AD76" i="8"/>
  <c r="P76" i="8"/>
  <c r="AD75" i="8"/>
  <c r="P75" i="8"/>
  <c r="AD74" i="8"/>
  <c r="P74" i="8"/>
  <c r="AD73" i="8"/>
  <c r="P73" i="8"/>
  <c r="AD72" i="8"/>
  <c r="P72" i="8"/>
  <c r="AD71" i="8"/>
  <c r="P71" i="8"/>
  <c r="AD70" i="8"/>
  <c r="P70" i="8"/>
  <c r="AD69" i="8"/>
  <c r="P69" i="8"/>
  <c r="AD68" i="8"/>
  <c r="P68" i="8"/>
  <c r="AD67" i="8"/>
  <c r="P67" i="8"/>
  <c r="AD66" i="8"/>
  <c r="P66" i="8"/>
  <c r="AD65" i="8"/>
  <c r="P65" i="8"/>
  <c r="AD64" i="8"/>
  <c r="P64" i="8"/>
  <c r="AD63" i="8"/>
  <c r="P63" i="8"/>
  <c r="AD62" i="8"/>
  <c r="P62" i="8"/>
  <c r="AD61" i="8"/>
  <c r="P61" i="8"/>
  <c r="AD60" i="8"/>
  <c r="P60" i="8"/>
  <c r="AD59" i="8"/>
  <c r="P59" i="8"/>
  <c r="AD58" i="8"/>
  <c r="P58" i="8"/>
  <c r="AD57" i="8"/>
  <c r="P57" i="8"/>
  <c r="AD56" i="8"/>
  <c r="P56" i="8"/>
  <c r="AD55" i="8"/>
  <c r="P55" i="8"/>
  <c r="AD54" i="8"/>
  <c r="P54" i="8"/>
  <c r="AD53" i="8"/>
  <c r="P53" i="8"/>
  <c r="AD52" i="8"/>
  <c r="P52" i="8"/>
  <c r="AD51" i="8"/>
  <c r="P51" i="8"/>
  <c r="AD50" i="8"/>
  <c r="P50" i="8"/>
  <c r="AD49" i="8"/>
  <c r="P49" i="8"/>
  <c r="AD48" i="8"/>
  <c r="P48" i="8"/>
  <c r="AD47" i="8"/>
  <c r="P47" i="8"/>
  <c r="AD46" i="8"/>
  <c r="P46" i="8"/>
  <c r="AD45" i="8"/>
  <c r="P45" i="8"/>
  <c r="AD44" i="8"/>
  <c r="P44" i="8"/>
  <c r="AD43" i="8"/>
  <c r="P43" i="8"/>
  <c r="AD42" i="8"/>
  <c r="P42" i="8"/>
  <c r="AD41" i="8"/>
  <c r="P41" i="8"/>
  <c r="AD40" i="8"/>
  <c r="P40" i="8"/>
  <c r="AD39" i="8"/>
  <c r="P39" i="8"/>
  <c r="AD38" i="8"/>
  <c r="P38" i="8"/>
  <c r="AD37" i="8"/>
  <c r="P37" i="8"/>
  <c r="AD36" i="8"/>
  <c r="P36" i="8"/>
  <c r="AD35" i="8"/>
  <c r="P35" i="8"/>
  <c r="AD34" i="8"/>
  <c r="P34" i="8"/>
  <c r="AD33" i="8"/>
  <c r="P33" i="8"/>
  <c r="AD32" i="8"/>
  <c r="P32" i="8"/>
  <c r="AD31" i="8"/>
  <c r="P31" i="8"/>
  <c r="AD30" i="8"/>
  <c r="P30" i="8"/>
  <c r="AD29" i="8"/>
  <c r="P29" i="8"/>
  <c r="AD28" i="8"/>
  <c r="P28" i="8"/>
  <c r="AD27" i="8"/>
  <c r="P27" i="8"/>
  <c r="AD26" i="8"/>
  <c r="P26" i="8"/>
  <c r="AD25" i="8"/>
  <c r="P25" i="8"/>
  <c r="AD24" i="8"/>
  <c r="P24" i="8"/>
  <c r="AD23" i="8"/>
  <c r="P23" i="8"/>
  <c r="AD22" i="8"/>
  <c r="P22" i="8"/>
  <c r="AD21" i="8"/>
  <c r="P21" i="8"/>
  <c r="AD20" i="8"/>
  <c r="P20" i="8"/>
  <c r="AD19" i="8"/>
  <c r="P19" i="8"/>
  <c r="AD18" i="8"/>
  <c r="P18" i="8"/>
  <c r="AD17" i="8"/>
  <c r="P17" i="8"/>
  <c r="AD16" i="8"/>
  <c r="P16" i="8"/>
  <c r="AD15" i="8"/>
  <c r="P15" i="8"/>
  <c r="AD14" i="8"/>
  <c r="P14" i="8"/>
  <c r="AD13" i="8"/>
  <c r="P13" i="8"/>
  <c r="AD12" i="8"/>
  <c r="P12" i="8"/>
  <c r="AD11" i="8"/>
  <c r="P11" i="8"/>
  <c r="AD10" i="8"/>
  <c r="P10" i="8"/>
  <c r="AD9" i="8"/>
  <c r="P9" i="8"/>
  <c r="AD8" i="8"/>
  <c r="P8" i="8"/>
  <c r="AD7" i="8"/>
  <c r="P7" i="8"/>
  <c r="AD6" i="8"/>
  <c r="P6" i="8"/>
  <c r="AD5" i="8"/>
  <c r="P5" i="8"/>
  <c r="AI256" i="7"/>
  <c r="AK256" i="7"/>
  <c r="AJ256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D255" i="7"/>
  <c r="P255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D254" i="7"/>
  <c r="P254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D253" i="7"/>
  <c r="P253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D252" i="7"/>
  <c r="P252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D251" i="7"/>
  <c r="P251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D250" i="7"/>
  <c r="P250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D249" i="7"/>
  <c r="P249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D248" i="7"/>
  <c r="P248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D247" i="7"/>
  <c r="P247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D246" i="7"/>
  <c r="P246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D245" i="7"/>
  <c r="P245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D244" i="7"/>
  <c r="P244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D243" i="7"/>
  <c r="P243" i="7"/>
  <c r="AQ242" i="7"/>
  <c r="AP242" i="7"/>
  <c r="AO242" i="7"/>
  <c r="AN242" i="7"/>
  <c r="AM242" i="7"/>
  <c r="AL242" i="7"/>
  <c r="AK242" i="7"/>
  <c r="AJ242" i="7"/>
  <c r="AI242" i="7"/>
  <c r="AV242" i="7" s="1"/>
  <c r="AH242" i="7"/>
  <c r="AG242" i="7"/>
  <c r="AF242" i="7"/>
  <c r="AD242" i="7"/>
  <c r="P242" i="7"/>
  <c r="AQ241" i="7"/>
  <c r="AP241" i="7"/>
  <c r="AO241" i="7"/>
  <c r="AN241" i="7"/>
  <c r="AM241" i="7"/>
  <c r="AL241" i="7"/>
  <c r="AK241" i="7"/>
  <c r="AJ241" i="7"/>
  <c r="AI241" i="7"/>
  <c r="AV241" i="7" s="1"/>
  <c r="AH241" i="7"/>
  <c r="AG241" i="7"/>
  <c r="AF241" i="7"/>
  <c r="AD241" i="7"/>
  <c r="P241" i="7"/>
  <c r="AQ240" i="7"/>
  <c r="AP240" i="7"/>
  <c r="AO240" i="7"/>
  <c r="AN240" i="7"/>
  <c r="AM240" i="7"/>
  <c r="AL240" i="7"/>
  <c r="AK240" i="7"/>
  <c r="AJ240" i="7"/>
  <c r="AI240" i="7"/>
  <c r="AV240" i="7" s="1"/>
  <c r="AH240" i="7"/>
  <c r="AG240" i="7"/>
  <c r="AF240" i="7"/>
  <c r="AD240" i="7"/>
  <c r="P240" i="7"/>
  <c r="AQ239" i="7"/>
  <c r="AP239" i="7"/>
  <c r="AO239" i="7"/>
  <c r="AN239" i="7"/>
  <c r="AM239" i="7"/>
  <c r="AL239" i="7"/>
  <c r="AK239" i="7"/>
  <c r="AJ239" i="7"/>
  <c r="AI239" i="7"/>
  <c r="AV239" i="7" s="1"/>
  <c r="AH239" i="7"/>
  <c r="AG239" i="7"/>
  <c r="AF239" i="7"/>
  <c r="AD239" i="7"/>
  <c r="P239" i="7"/>
  <c r="AQ238" i="7"/>
  <c r="AP238" i="7"/>
  <c r="AO238" i="7"/>
  <c r="AN238" i="7"/>
  <c r="AM238" i="7"/>
  <c r="AL238" i="7"/>
  <c r="AK238" i="7"/>
  <c r="AJ238" i="7"/>
  <c r="AI238" i="7"/>
  <c r="AV238" i="7" s="1"/>
  <c r="AH238" i="7"/>
  <c r="AG238" i="7"/>
  <c r="AF238" i="7"/>
  <c r="AD238" i="7"/>
  <c r="P238" i="7"/>
  <c r="AQ237" i="7"/>
  <c r="AP237" i="7"/>
  <c r="AO237" i="7"/>
  <c r="AN237" i="7"/>
  <c r="AM237" i="7"/>
  <c r="AL237" i="7"/>
  <c r="AK237" i="7"/>
  <c r="AJ237" i="7"/>
  <c r="AI237" i="7"/>
  <c r="AV237" i="7" s="1"/>
  <c r="AH237" i="7"/>
  <c r="AG237" i="7"/>
  <c r="AF237" i="7"/>
  <c r="AD237" i="7"/>
  <c r="P237" i="7"/>
  <c r="AQ236" i="7"/>
  <c r="AP236" i="7"/>
  <c r="AO236" i="7"/>
  <c r="AN236" i="7"/>
  <c r="AM236" i="7"/>
  <c r="AL236" i="7"/>
  <c r="AK236" i="7"/>
  <c r="AJ236" i="7"/>
  <c r="AI236" i="7"/>
  <c r="AV236" i="7" s="1"/>
  <c r="AH236" i="7"/>
  <c r="AG236" i="7"/>
  <c r="AF236" i="7"/>
  <c r="AD236" i="7"/>
  <c r="P236" i="7"/>
  <c r="AQ235" i="7"/>
  <c r="AP235" i="7"/>
  <c r="AO235" i="7"/>
  <c r="AN235" i="7"/>
  <c r="AM235" i="7"/>
  <c r="AL235" i="7"/>
  <c r="AK235" i="7"/>
  <c r="AJ235" i="7"/>
  <c r="AI235" i="7"/>
  <c r="AV235" i="7" s="1"/>
  <c r="AH235" i="7"/>
  <c r="AG235" i="7"/>
  <c r="AF235" i="7"/>
  <c r="AD235" i="7"/>
  <c r="P235" i="7"/>
  <c r="AQ234" i="7"/>
  <c r="AP234" i="7"/>
  <c r="AO234" i="7"/>
  <c r="AN234" i="7"/>
  <c r="AM234" i="7"/>
  <c r="AL234" i="7"/>
  <c r="AK234" i="7"/>
  <c r="AJ234" i="7"/>
  <c r="AI234" i="7"/>
  <c r="AV234" i="7" s="1"/>
  <c r="AH234" i="7"/>
  <c r="AG234" i="7"/>
  <c r="AF234" i="7"/>
  <c r="AD234" i="7"/>
  <c r="P234" i="7"/>
  <c r="AQ233" i="7"/>
  <c r="AP233" i="7"/>
  <c r="AO233" i="7"/>
  <c r="AN233" i="7"/>
  <c r="AM233" i="7"/>
  <c r="AL233" i="7"/>
  <c r="AK233" i="7"/>
  <c r="AJ233" i="7"/>
  <c r="AI233" i="7"/>
  <c r="AV233" i="7" s="1"/>
  <c r="AH233" i="7"/>
  <c r="AG233" i="7"/>
  <c r="AF233" i="7"/>
  <c r="AD233" i="7"/>
  <c r="P233" i="7"/>
  <c r="AQ232" i="7"/>
  <c r="AP232" i="7"/>
  <c r="AO232" i="7"/>
  <c r="AN232" i="7"/>
  <c r="AM232" i="7"/>
  <c r="AL232" i="7"/>
  <c r="AK232" i="7"/>
  <c r="AJ232" i="7"/>
  <c r="AI232" i="7"/>
  <c r="AV232" i="7" s="1"/>
  <c r="AH232" i="7"/>
  <c r="AG232" i="7"/>
  <c r="AF232" i="7"/>
  <c r="AD232" i="7"/>
  <c r="P232" i="7"/>
  <c r="AQ231" i="7"/>
  <c r="AP231" i="7"/>
  <c r="AO231" i="7"/>
  <c r="AN231" i="7"/>
  <c r="AM231" i="7"/>
  <c r="AL231" i="7"/>
  <c r="AK231" i="7"/>
  <c r="AJ231" i="7"/>
  <c r="AI231" i="7"/>
  <c r="AV231" i="7" s="1"/>
  <c r="AH231" i="7"/>
  <c r="AG231" i="7"/>
  <c r="AF231" i="7"/>
  <c r="AD231" i="7"/>
  <c r="P231" i="7"/>
  <c r="AQ230" i="7"/>
  <c r="AP230" i="7"/>
  <c r="AO230" i="7"/>
  <c r="AN230" i="7"/>
  <c r="AM230" i="7"/>
  <c r="AL230" i="7"/>
  <c r="AK230" i="7"/>
  <c r="AJ230" i="7"/>
  <c r="AI230" i="7"/>
  <c r="AV230" i="7" s="1"/>
  <c r="AH230" i="7"/>
  <c r="AG230" i="7"/>
  <c r="AF230" i="7"/>
  <c r="AD230" i="7"/>
  <c r="P230" i="7"/>
  <c r="AQ229" i="7"/>
  <c r="AP229" i="7"/>
  <c r="AO229" i="7"/>
  <c r="AN229" i="7"/>
  <c r="AM229" i="7"/>
  <c r="AL229" i="7"/>
  <c r="AK229" i="7"/>
  <c r="AJ229" i="7"/>
  <c r="AI229" i="7"/>
  <c r="AV229" i="7" s="1"/>
  <c r="AH229" i="7"/>
  <c r="AG229" i="7"/>
  <c r="AF229" i="7"/>
  <c r="AD229" i="7"/>
  <c r="P229" i="7"/>
  <c r="AQ228" i="7"/>
  <c r="AP228" i="7"/>
  <c r="AO228" i="7"/>
  <c r="AN228" i="7"/>
  <c r="AM228" i="7"/>
  <c r="AL228" i="7"/>
  <c r="AK228" i="7"/>
  <c r="AJ228" i="7"/>
  <c r="AI228" i="7"/>
  <c r="AV228" i="7" s="1"/>
  <c r="AH228" i="7"/>
  <c r="AG228" i="7"/>
  <c r="AF228" i="7"/>
  <c r="AD228" i="7"/>
  <c r="P228" i="7"/>
  <c r="AQ227" i="7"/>
  <c r="AP227" i="7"/>
  <c r="AO227" i="7"/>
  <c r="AN227" i="7"/>
  <c r="AM227" i="7"/>
  <c r="AL227" i="7"/>
  <c r="AK227" i="7"/>
  <c r="AJ227" i="7"/>
  <c r="AI227" i="7"/>
  <c r="AV227" i="7" s="1"/>
  <c r="AH227" i="7"/>
  <c r="AG227" i="7"/>
  <c r="AF227" i="7"/>
  <c r="AD227" i="7"/>
  <c r="P227" i="7"/>
  <c r="AQ226" i="7"/>
  <c r="AP226" i="7"/>
  <c r="AO226" i="7"/>
  <c r="AN226" i="7"/>
  <c r="AM226" i="7"/>
  <c r="AL226" i="7"/>
  <c r="AK226" i="7"/>
  <c r="AJ226" i="7"/>
  <c r="AI226" i="7"/>
  <c r="AV226" i="7" s="1"/>
  <c r="AH226" i="7"/>
  <c r="AG226" i="7"/>
  <c r="AF226" i="7"/>
  <c r="AD226" i="7"/>
  <c r="P226" i="7"/>
  <c r="AQ225" i="7"/>
  <c r="AP225" i="7"/>
  <c r="AO225" i="7"/>
  <c r="AN225" i="7"/>
  <c r="AM225" i="7"/>
  <c r="AL225" i="7"/>
  <c r="AK225" i="7"/>
  <c r="AJ225" i="7"/>
  <c r="AI225" i="7"/>
  <c r="AV225" i="7" s="1"/>
  <c r="AH225" i="7"/>
  <c r="AG225" i="7"/>
  <c r="AF225" i="7"/>
  <c r="AD225" i="7"/>
  <c r="P225" i="7"/>
  <c r="AQ224" i="7"/>
  <c r="AP224" i="7"/>
  <c r="AO224" i="7"/>
  <c r="AN224" i="7"/>
  <c r="AM224" i="7"/>
  <c r="AL224" i="7"/>
  <c r="AK224" i="7"/>
  <c r="AJ224" i="7"/>
  <c r="AI224" i="7"/>
  <c r="AV224" i="7" s="1"/>
  <c r="AH224" i="7"/>
  <c r="AG224" i="7"/>
  <c r="AF224" i="7"/>
  <c r="AD224" i="7"/>
  <c r="P224" i="7"/>
  <c r="AQ223" i="7"/>
  <c r="AP223" i="7"/>
  <c r="AO223" i="7"/>
  <c r="AN223" i="7"/>
  <c r="AM223" i="7"/>
  <c r="AL223" i="7"/>
  <c r="AK223" i="7"/>
  <c r="AJ223" i="7"/>
  <c r="AI223" i="7"/>
  <c r="AV223" i="7" s="1"/>
  <c r="AH223" i="7"/>
  <c r="AG223" i="7"/>
  <c r="AF223" i="7"/>
  <c r="AD223" i="7"/>
  <c r="P223" i="7"/>
  <c r="AQ222" i="7"/>
  <c r="AP222" i="7"/>
  <c r="AO222" i="7"/>
  <c r="AN222" i="7"/>
  <c r="AM222" i="7"/>
  <c r="AL222" i="7"/>
  <c r="AK222" i="7"/>
  <c r="AJ222" i="7"/>
  <c r="AI222" i="7"/>
  <c r="AV222" i="7" s="1"/>
  <c r="AH222" i="7"/>
  <c r="AG222" i="7"/>
  <c r="AF222" i="7"/>
  <c r="AD222" i="7"/>
  <c r="P222" i="7"/>
  <c r="AQ221" i="7"/>
  <c r="AP221" i="7"/>
  <c r="AO221" i="7"/>
  <c r="AN221" i="7"/>
  <c r="AM221" i="7"/>
  <c r="AL221" i="7"/>
  <c r="AK221" i="7"/>
  <c r="AJ221" i="7"/>
  <c r="AI221" i="7"/>
  <c r="AV221" i="7" s="1"/>
  <c r="AH221" i="7"/>
  <c r="AG221" i="7"/>
  <c r="AF221" i="7"/>
  <c r="AD221" i="7"/>
  <c r="P221" i="7"/>
  <c r="AQ220" i="7"/>
  <c r="AP220" i="7"/>
  <c r="AO220" i="7"/>
  <c r="AN220" i="7"/>
  <c r="AM220" i="7"/>
  <c r="AL220" i="7"/>
  <c r="AK220" i="7"/>
  <c r="AJ220" i="7"/>
  <c r="AI220" i="7"/>
  <c r="AV220" i="7" s="1"/>
  <c r="AH220" i="7"/>
  <c r="AG220" i="7"/>
  <c r="AF220" i="7"/>
  <c r="AD220" i="7"/>
  <c r="P220" i="7"/>
  <c r="AQ219" i="7"/>
  <c r="AP219" i="7"/>
  <c r="AO219" i="7"/>
  <c r="AN219" i="7"/>
  <c r="AM219" i="7"/>
  <c r="AL219" i="7"/>
  <c r="AK219" i="7"/>
  <c r="AJ219" i="7"/>
  <c r="AI219" i="7"/>
  <c r="AV219" i="7" s="1"/>
  <c r="AH219" i="7"/>
  <c r="AG219" i="7"/>
  <c r="AF219" i="7"/>
  <c r="AD219" i="7"/>
  <c r="P219" i="7"/>
  <c r="AQ218" i="7"/>
  <c r="AP218" i="7"/>
  <c r="AO218" i="7"/>
  <c r="AN218" i="7"/>
  <c r="AM218" i="7"/>
  <c r="AL218" i="7"/>
  <c r="AK218" i="7"/>
  <c r="AJ218" i="7"/>
  <c r="AI218" i="7"/>
  <c r="AV218" i="7" s="1"/>
  <c r="AH218" i="7"/>
  <c r="AG218" i="7"/>
  <c r="AF218" i="7"/>
  <c r="AD218" i="7"/>
  <c r="P218" i="7"/>
  <c r="AQ217" i="7"/>
  <c r="AP217" i="7"/>
  <c r="AO217" i="7"/>
  <c r="AN217" i="7"/>
  <c r="AM217" i="7"/>
  <c r="AL217" i="7"/>
  <c r="AK217" i="7"/>
  <c r="AJ217" i="7"/>
  <c r="AI217" i="7"/>
  <c r="AV217" i="7" s="1"/>
  <c r="AH217" i="7"/>
  <c r="AG217" i="7"/>
  <c r="AF217" i="7"/>
  <c r="AD217" i="7"/>
  <c r="P217" i="7"/>
  <c r="AQ216" i="7"/>
  <c r="AP216" i="7"/>
  <c r="AO216" i="7"/>
  <c r="AN216" i="7"/>
  <c r="AM216" i="7"/>
  <c r="AL216" i="7"/>
  <c r="AK216" i="7"/>
  <c r="AJ216" i="7"/>
  <c r="AI216" i="7"/>
  <c r="AV216" i="7" s="1"/>
  <c r="AH216" i="7"/>
  <c r="AG216" i="7"/>
  <c r="AF216" i="7"/>
  <c r="AD216" i="7"/>
  <c r="P216" i="7"/>
  <c r="AQ215" i="7"/>
  <c r="AP215" i="7"/>
  <c r="AO215" i="7"/>
  <c r="AN215" i="7"/>
  <c r="AM215" i="7"/>
  <c r="AL215" i="7"/>
  <c r="AK215" i="7"/>
  <c r="AJ215" i="7"/>
  <c r="AI215" i="7"/>
  <c r="AV215" i="7" s="1"/>
  <c r="AH215" i="7"/>
  <c r="AG215" i="7"/>
  <c r="AF215" i="7"/>
  <c r="AD215" i="7"/>
  <c r="P215" i="7"/>
  <c r="AQ214" i="7"/>
  <c r="AP214" i="7"/>
  <c r="AO214" i="7"/>
  <c r="AN214" i="7"/>
  <c r="AM214" i="7"/>
  <c r="AL214" i="7"/>
  <c r="AK214" i="7"/>
  <c r="AJ214" i="7"/>
  <c r="AI214" i="7"/>
  <c r="AV214" i="7" s="1"/>
  <c r="AH214" i="7"/>
  <c r="AG214" i="7"/>
  <c r="AF214" i="7"/>
  <c r="AD214" i="7"/>
  <c r="P214" i="7"/>
  <c r="BD213" i="7"/>
  <c r="AQ213" i="7"/>
  <c r="AP213" i="7"/>
  <c r="AO213" i="7"/>
  <c r="AN213" i="7"/>
  <c r="AM213" i="7"/>
  <c r="AZ213" i="7" s="1"/>
  <c r="AL213" i="7"/>
  <c r="AK213" i="7"/>
  <c r="AY213" i="7" s="1"/>
  <c r="AJ213" i="7"/>
  <c r="AI213" i="7"/>
  <c r="AH213" i="7"/>
  <c r="AG213" i="7"/>
  <c r="AF213" i="7"/>
  <c r="AD213" i="7"/>
  <c r="P213" i="7"/>
  <c r="AQ212" i="7"/>
  <c r="BD212" i="7" s="1"/>
  <c r="AP212" i="7"/>
  <c r="AO212" i="7"/>
  <c r="AN212" i="7"/>
  <c r="AM212" i="7"/>
  <c r="AL212" i="7"/>
  <c r="AK212" i="7"/>
  <c r="AJ212" i="7"/>
  <c r="AI212" i="7"/>
  <c r="AV212" i="7" s="1"/>
  <c r="AH212" i="7"/>
  <c r="AG212" i="7"/>
  <c r="AF212" i="7"/>
  <c r="AD212" i="7"/>
  <c r="P212" i="7"/>
  <c r="AQ211" i="7"/>
  <c r="AP211" i="7"/>
  <c r="AO211" i="7"/>
  <c r="AN211" i="7"/>
  <c r="AM211" i="7"/>
  <c r="AL211" i="7"/>
  <c r="AK211" i="7"/>
  <c r="AX211" i="7" s="1"/>
  <c r="AJ211" i="7"/>
  <c r="AI211" i="7"/>
  <c r="AH211" i="7"/>
  <c r="AG211" i="7"/>
  <c r="AF211" i="7"/>
  <c r="AD211" i="7"/>
  <c r="P211" i="7"/>
  <c r="BA210" i="7"/>
  <c r="AX210" i="7"/>
  <c r="AQ210" i="7"/>
  <c r="BD210" i="7" s="1"/>
  <c r="AP210" i="7"/>
  <c r="BC210" i="7" s="1"/>
  <c r="AO210" i="7"/>
  <c r="AN210" i="7"/>
  <c r="BB210" i="7" s="1"/>
  <c r="AM210" i="7"/>
  <c r="AZ210" i="7" s="1"/>
  <c r="AL210" i="7"/>
  <c r="AY210" i="7" s="1"/>
  <c r="AK210" i="7"/>
  <c r="AJ210" i="7"/>
  <c r="AI210" i="7"/>
  <c r="AV210" i="7" s="1"/>
  <c r="AH210" i="7"/>
  <c r="AG210" i="7"/>
  <c r="AF210" i="7"/>
  <c r="AD210" i="7"/>
  <c r="P210" i="7"/>
  <c r="BC209" i="7"/>
  <c r="AX209" i="7"/>
  <c r="AQ209" i="7"/>
  <c r="AP209" i="7"/>
  <c r="BD209" i="7" s="1"/>
  <c r="AO209" i="7"/>
  <c r="AN209" i="7"/>
  <c r="BB209" i="7" s="1"/>
  <c r="AM209" i="7"/>
  <c r="AL209" i="7"/>
  <c r="AK209" i="7"/>
  <c r="AJ209" i="7"/>
  <c r="AI209" i="7"/>
  <c r="AV209" i="7" s="1"/>
  <c r="AH209" i="7"/>
  <c r="AG209" i="7"/>
  <c r="AF209" i="7"/>
  <c r="AD209" i="7"/>
  <c r="P209" i="7"/>
  <c r="AQ208" i="7"/>
  <c r="AP208" i="7"/>
  <c r="AO208" i="7"/>
  <c r="BB208" i="7" s="1"/>
  <c r="AN208" i="7"/>
  <c r="BA208" i="7" s="1"/>
  <c r="AM208" i="7"/>
  <c r="AL208" i="7"/>
  <c r="AY208" i="7" s="1"/>
  <c r="AK208" i="7"/>
  <c r="AJ208" i="7"/>
  <c r="AX208" i="7" s="1"/>
  <c r="AI208" i="7"/>
  <c r="AV208" i="7" s="1"/>
  <c r="AH208" i="7"/>
  <c r="AG208" i="7"/>
  <c r="AF208" i="7"/>
  <c r="AD208" i="7"/>
  <c r="P208" i="7"/>
  <c r="AQ207" i="7"/>
  <c r="BD207" i="7" s="1"/>
  <c r="AP207" i="7"/>
  <c r="AO207" i="7"/>
  <c r="AN207" i="7"/>
  <c r="AM207" i="7"/>
  <c r="AL207" i="7"/>
  <c r="AY207" i="7" s="1"/>
  <c r="AK207" i="7"/>
  <c r="AJ207" i="7"/>
  <c r="AI207" i="7"/>
  <c r="AV207" i="7" s="1"/>
  <c r="AH207" i="7"/>
  <c r="AG207" i="7"/>
  <c r="AF207" i="7"/>
  <c r="AD207" i="7"/>
  <c r="P207" i="7"/>
  <c r="AZ206" i="7"/>
  <c r="AQ206" i="7"/>
  <c r="AP206" i="7"/>
  <c r="BD206" i="7" s="1"/>
  <c r="AO206" i="7"/>
  <c r="AN206" i="7"/>
  <c r="AM206" i="7"/>
  <c r="AL206" i="7"/>
  <c r="AK206" i="7"/>
  <c r="AY206" i="7" s="1"/>
  <c r="AJ206" i="7"/>
  <c r="AI206" i="7"/>
  <c r="AV206" i="7" s="1"/>
  <c r="AH206" i="7"/>
  <c r="AG206" i="7"/>
  <c r="AF206" i="7"/>
  <c r="AD206" i="7"/>
  <c r="P206" i="7"/>
  <c r="AY205" i="7"/>
  <c r="AQ205" i="7"/>
  <c r="AP205" i="7"/>
  <c r="BD205" i="7" s="1"/>
  <c r="AO205" i="7"/>
  <c r="AN205" i="7"/>
  <c r="BB205" i="7" s="1"/>
  <c r="AM205" i="7"/>
  <c r="AL205" i="7"/>
  <c r="AK205" i="7"/>
  <c r="AX205" i="7" s="1"/>
  <c r="AJ205" i="7"/>
  <c r="AI205" i="7"/>
  <c r="AH205" i="7"/>
  <c r="AG205" i="7"/>
  <c r="AF205" i="7"/>
  <c r="AD205" i="7"/>
  <c r="P205" i="7"/>
  <c r="AZ204" i="7"/>
  <c r="AY204" i="7"/>
  <c r="AX204" i="7"/>
  <c r="AQ204" i="7"/>
  <c r="AP204" i="7"/>
  <c r="AO204" i="7"/>
  <c r="AN204" i="7"/>
  <c r="AM204" i="7"/>
  <c r="AL204" i="7"/>
  <c r="AK204" i="7"/>
  <c r="AJ204" i="7"/>
  <c r="AI204" i="7"/>
  <c r="AV204" i="7" s="1"/>
  <c r="AH204" i="7"/>
  <c r="AG204" i="7"/>
  <c r="AF204" i="7"/>
  <c r="AD204" i="7"/>
  <c r="P204" i="7"/>
  <c r="AQ203" i="7"/>
  <c r="AP203" i="7"/>
  <c r="AO203" i="7"/>
  <c r="AN203" i="7"/>
  <c r="AM203" i="7"/>
  <c r="AL203" i="7"/>
  <c r="AY203" i="7" s="1"/>
  <c r="AK203" i="7"/>
  <c r="AJ203" i="7"/>
  <c r="AI203" i="7"/>
  <c r="AV203" i="7" s="1"/>
  <c r="AH203" i="7"/>
  <c r="AG203" i="7"/>
  <c r="AF203" i="7"/>
  <c r="AD203" i="7"/>
  <c r="P203" i="7"/>
  <c r="BB202" i="7"/>
  <c r="AQ202" i="7"/>
  <c r="AP202" i="7"/>
  <c r="BD202" i="7" s="1"/>
  <c r="AO202" i="7"/>
  <c r="AN202" i="7"/>
  <c r="AM202" i="7"/>
  <c r="AZ202" i="7" s="1"/>
  <c r="AL202" i="7"/>
  <c r="AK202" i="7"/>
  <c r="AJ202" i="7"/>
  <c r="AI202" i="7"/>
  <c r="AV202" i="7" s="1"/>
  <c r="AH202" i="7"/>
  <c r="AG202" i="7"/>
  <c r="AF202" i="7"/>
  <c r="AD202" i="7"/>
  <c r="P202" i="7"/>
  <c r="AQ201" i="7"/>
  <c r="BD201" i="7" s="1"/>
  <c r="AP201" i="7"/>
  <c r="AO201" i="7"/>
  <c r="BC201" i="7" s="1"/>
  <c r="AN201" i="7"/>
  <c r="AM201" i="7"/>
  <c r="BA201" i="7" s="1"/>
  <c r="AL201" i="7"/>
  <c r="AK201" i="7"/>
  <c r="AY201" i="7" s="1"/>
  <c r="AJ201" i="7"/>
  <c r="AI201" i="7"/>
  <c r="AH201" i="7"/>
  <c r="AG201" i="7"/>
  <c r="AF201" i="7"/>
  <c r="AD201" i="7"/>
  <c r="P201" i="7"/>
  <c r="AZ200" i="7"/>
  <c r="AQ200" i="7"/>
  <c r="AP200" i="7"/>
  <c r="BC200" i="7" s="1"/>
  <c r="AO200" i="7"/>
  <c r="AN200" i="7"/>
  <c r="BA200" i="7" s="1"/>
  <c r="AM200" i="7"/>
  <c r="AL200" i="7"/>
  <c r="AY200" i="7" s="1"/>
  <c r="AK200" i="7"/>
  <c r="AX200" i="7" s="1"/>
  <c r="AJ200" i="7"/>
  <c r="AI200" i="7"/>
  <c r="AV200" i="7" s="1"/>
  <c r="AH200" i="7"/>
  <c r="AG200" i="7"/>
  <c r="AF200" i="7"/>
  <c r="AD200" i="7"/>
  <c r="P200" i="7"/>
  <c r="BC199" i="7"/>
  <c r="BB199" i="7"/>
  <c r="AQ199" i="7"/>
  <c r="AP199" i="7"/>
  <c r="AO199" i="7"/>
  <c r="AN199" i="7"/>
  <c r="AM199" i="7"/>
  <c r="AZ199" i="7" s="1"/>
  <c r="AL199" i="7"/>
  <c r="AK199" i="7"/>
  <c r="AX199" i="7" s="1"/>
  <c r="AJ199" i="7"/>
  <c r="AI199" i="7"/>
  <c r="AV199" i="7" s="1"/>
  <c r="AH199" i="7"/>
  <c r="AG199" i="7"/>
  <c r="AF199" i="7"/>
  <c r="AD199" i="7"/>
  <c r="P199" i="7"/>
  <c r="AQ198" i="7"/>
  <c r="AP198" i="7"/>
  <c r="AO198" i="7"/>
  <c r="AN198" i="7"/>
  <c r="AM198" i="7"/>
  <c r="AL198" i="7"/>
  <c r="AK198" i="7"/>
  <c r="AJ198" i="7"/>
  <c r="AI198" i="7"/>
  <c r="AV198" i="7" s="1"/>
  <c r="AH198" i="7"/>
  <c r="AG198" i="7"/>
  <c r="AF198" i="7"/>
  <c r="AD198" i="7"/>
  <c r="P198" i="7"/>
  <c r="BD197" i="7"/>
  <c r="BA197" i="7"/>
  <c r="AQ197" i="7"/>
  <c r="AP197" i="7"/>
  <c r="AO197" i="7"/>
  <c r="AN197" i="7"/>
  <c r="AM197" i="7"/>
  <c r="AZ197" i="7" s="1"/>
  <c r="AL197" i="7"/>
  <c r="AY197" i="7" s="1"/>
  <c r="AK197" i="7"/>
  <c r="AX197" i="7" s="1"/>
  <c r="AJ197" i="7"/>
  <c r="AI197" i="7"/>
  <c r="AV197" i="7" s="1"/>
  <c r="AH197" i="7"/>
  <c r="AG197" i="7"/>
  <c r="AF197" i="7"/>
  <c r="AD197" i="7"/>
  <c r="P197" i="7"/>
  <c r="AQ196" i="7"/>
  <c r="AP196" i="7"/>
  <c r="AO196" i="7"/>
  <c r="AN196" i="7"/>
  <c r="BA196" i="7" s="1"/>
  <c r="AM196" i="7"/>
  <c r="AL196" i="7"/>
  <c r="AZ196" i="7" s="1"/>
  <c r="AK196" i="7"/>
  <c r="AX196" i="7" s="1"/>
  <c r="AJ196" i="7"/>
  <c r="AI196" i="7"/>
  <c r="AV196" i="7" s="1"/>
  <c r="AH196" i="7"/>
  <c r="AG196" i="7"/>
  <c r="AF196" i="7"/>
  <c r="AD196" i="7"/>
  <c r="P196" i="7"/>
  <c r="AQ195" i="7"/>
  <c r="AP195" i="7"/>
  <c r="AO195" i="7"/>
  <c r="BB195" i="7" s="1"/>
  <c r="AN195" i="7"/>
  <c r="AM195" i="7"/>
  <c r="AL195" i="7"/>
  <c r="AK195" i="7"/>
  <c r="AX195" i="7" s="1"/>
  <c r="AJ195" i="7"/>
  <c r="AI195" i="7"/>
  <c r="AH195" i="7"/>
  <c r="AG195" i="7"/>
  <c r="AF195" i="7"/>
  <c r="AD195" i="7"/>
  <c r="P195" i="7"/>
  <c r="AQ194" i="7"/>
  <c r="BD194" i="7" s="1"/>
  <c r="AP194" i="7"/>
  <c r="AO194" i="7"/>
  <c r="AN194" i="7"/>
  <c r="AM194" i="7"/>
  <c r="AL194" i="7"/>
  <c r="AK194" i="7"/>
  <c r="AJ194" i="7"/>
  <c r="AI194" i="7"/>
  <c r="AV194" i="7" s="1"/>
  <c r="AH194" i="7"/>
  <c r="AG194" i="7"/>
  <c r="AF194" i="7"/>
  <c r="AD194" i="7"/>
  <c r="P194" i="7"/>
  <c r="BD193" i="7"/>
  <c r="BA193" i="7"/>
  <c r="AZ193" i="7"/>
  <c r="AQ193" i="7"/>
  <c r="AP193" i="7"/>
  <c r="BC193" i="7" s="1"/>
  <c r="AO193" i="7"/>
  <c r="BB193" i="7" s="1"/>
  <c r="AN193" i="7"/>
  <c r="AM193" i="7"/>
  <c r="AL193" i="7"/>
  <c r="AK193" i="7"/>
  <c r="AJ193" i="7"/>
  <c r="AI193" i="7"/>
  <c r="AH193" i="7"/>
  <c r="AG193" i="7"/>
  <c r="AF193" i="7"/>
  <c r="AD193" i="7"/>
  <c r="P193" i="7"/>
  <c r="AQ192" i="7"/>
  <c r="AP192" i="7"/>
  <c r="AO192" i="7"/>
  <c r="BB192" i="7" s="1"/>
  <c r="AN192" i="7"/>
  <c r="BA192" i="7" s="1"/>
  <c r="AM192" i="7"/>
  <c r="AL192" i="7"/>
  <c r="AZ192" i="7" s="1"/>
  <c r="AK192" i="7"/>
  <c r="AJ192" i="7"/>
  <c r="AX192" i="7" s="1"/>
  <c r="AI192" i="7"/>
  <c r="AV192" i="7" s="1"/>
  <c r="AH192" i="7"/>
  <c r="AG192" i="7"/>
  <c r="AF192" i="7"/>
  <c r="AD192" i="7"/>
  <c r="P192" i="7"/>
  <c r="BD191" i="7"/>
  <c r="AQ191" i="7"/>
  <c r="AP191" i="7"/>
  <c r="AO191" i="7"/>
  <c r="BB191" i="7" s="1"/>
  <c r="AN191" i="7"/>
  <c r="AM191" i="7"/>
  <c r="AL191" i="7"/>
  <c r="AK191" i="7"/>
  <c r="AX191" i="7" s="1"/>
  <c r="AJ191" i="7"/>
  <c r="AI191" i="7"/>
  <c r="AH191" i="7"/>
  <c r="AG191" i="7"/>
  <c r="AF191" i="7"/>
  <c r="AD191" i="7"/>
  <c r="P191" i="7"/>
  <c r="AQ190" i="7"/>
  <c r="AP190" i="7"/>
  <c r="AO190" i="7"/>
  <c r="AN190" i="7"/>
  <c r="AM190" i="7"/>
  <c r="AL190" i="7"/>
  <c r="AK190" i="7"/>
  <c r="AJ190" i="7"/>
  <c r="AI190" i="7"/>
  <c r="AV190" i="7" s="1"/>
  <c r="AH190" i="7"/>
  <c r="AG190" i="7"/>
  <c r="AF190" i="7"/>
  <c r="AD190" i="7"/>
  <c r="P190" i="7"/>
  <c r="BC189" i="7"/>
  <c r="BA189" i="7"/>
  <c r="AX189" i="7"/>
  <c r="AQ189" i="7"/>
  <c r="BD189" i="7" s="1"/>
  <c r="AP189" i="7"/>
  <c r="AO189" i="7"/>
  <c r="BB189" i="7" s="1"/>
  <c r="AN189" i="7"/>
  <c r="AM189" i="7"/>
  <c r="AL189" i="7"/>
  <c r="AY189" i="7" s="1"/>
  <c r="AK189" i="7"/>
  <c r="AJ189" i="7"/>
  <c r="AI189" i="7"/>
  <c r="AH189" i="7"/>
  <c r="AG189" i="7"/>
  <c r="AF189" i="7"/>
  <c r="AD189" i="7"/>
  <c r="P189" i="7"/>
  <c r="BA188" i="7"/>
  <c r="AQ188" i="7"/>
  <c r="AP188" i="7"/>
  <c r="AO188" i="7"/>
  <c r="AN188" i="7"/>
  <c r="AM188" i="7"/>
  <c r="AL188" i="7"/>
  <c r="AK188" i="7"/>
  <c r="AX188" i="7" s="1"/>
  <c r="AJ188" i="7"/>
  <c r="AI188" i="7"/>
  <c r="AV188" i="7" s="1"/>
  <c r="AH188" i="7"/>
  <c r="AG188" i="7"/>
  <c r="AF188" i="7"/>
  <c r="AD188" i="7"/>
  <c r="P188" i="7"/>
  <c r="BB187" i="7"/>
  <c r="AQ187" i="7"/>
  <c r="AP187" i="7"/>
  <c r="AO187" i="7"/>
  <c r="AN187" i="7"/>
  <c r="AM187" i="7"/>
  <c r="AL187" i="7"/>
  <c r="AK187" i="7"/>
  <c r="AX187" i="7" s="1"/>
  <c r="AJ187" i="7"/>
  <c r="AI187" i="7"/>
  <c r="AH187" i="7"/>
  <c r="AG187" i="7"/>
  <c r="AF187" i="7"/>
  <c r="AD187" i="7"/>
  <c r="P187" i="7"/>
  <c r="AQ186" i="7"/>
  <c r="AP186" i="7"/>
  <c r="AO186" i="7"/>
  <c r="AN186" i="7"/>
  <c r="AM186" i="7"/>
  <c r="AL186" i="7"/>
  <c r="AK186" i="7"/>
  <c r="AX186" i="7" s="1"/>
  <c r="AJ186" i="7"/>
  <c r="AI186" i="7"/>
  <c r="AV186" i="7" s="1"/>
  <c r="AH186" i="7"/>
  <c r="AG186" i="7"/>
  <c r="AF186" i="7"/>
  <c r="AD186" i="7"/>
  <c r="P186" i="7"/>
  <c r="AY185" i="7"/>
  <c r="AQ185" i="7"/>
  <c r="AP185" i="7"/>
  <c r="BD185" i="7" s="1"/>
  <c r="AO185" i="7"/>
  <c r="AN185" i="7"/>
  <c r="BB185" i="7" s="1"/>
  <c r="AM185" i="7"/>
  <c r="AZ185" i="7" s="1"/>
  <c r="AL185" i="7"/>
  <c r="AK185" i="7"/>
  <c r="AX185" i="7" s="1"/>
  <c r="AJ185" i="7"/>
  <c r="AI185" i="7"/>
  <c r="AV185" i="7" s="1"/>
  <c r="AH185" i="7"/>
  <c r="AG185" i="7"/>
  <c r="AF185" i="7"/>
  <c r="AD185" i="7"/>
  <c r="P185" i="7"/>
  <c r="AZ184" i="7"/>
  <c r="AY184" i="7"/>
  <c r="AX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D184" i="7"/>
  <c r="P184" i="7"/>
  <c r="BC183" i="7"/>
  <c r="AQ183" i="7"/>
  <c r="BD183" i="7" s="1"/>
  <c r="AP183" i="7"/>
  <c r="AO183" i="7"/>
  <c r="BB183" i="7" s="1"/>
  <c r="AN183" i="7"/>
  <c r="AM183" i="7"/>
  <c r="AL183" i="7"/>
  <c r="AK183" i="7"/>
  <c r="AJ183" i="7"/>
  <c r="AI183" i="7"/>
  <c r="AV183" i="7" s="1"/>
  <c r="AH183" i="7"/>
  <c r="AG183" i="7"/>
  <c r="AF183" i="7"/>
  <c r="AD183" i="7"/>
  <c r="P183" i="7"/>
  <c r="AQ182" i="7"/>
  <c r="AP182" i="7"/>
  <c r="BC182" i="7" s="1"/>
  <c r="AO182" i="7"/>
  <c r="AN182" i="7"/>
  <c r="AM182" i="7"/>
  <c r="AL182" i="7"/>
  <c r="AY182" i="7" s="1"/>
  <c r="AK182" i="7"/>
  <c r="AJ182" i="7"/>
  <c r="AI182" i="7"/>
  <c r="AV182" i="7" s="1"/>
  <c r="AH182" i="7"/>
  <c r="AG182" i="7"/>
  <c r="AF182" i="7"/>
  <c r="AD182" i="7"/>
  <c r="P182" i="7"/>
  <c r="AQ181" i="7"/>
  <c r="BD181" i="7" s="1"/>
  <c r="AP181" i="7"/>
  <c r="BC181" i="7" s="1"/>
  <c r="AO181" i="7"/>
  <c r="AN181" i="7"/>
  <c r="AM181" i="7"/>
  <c r="AL181" i="7"/>
  <c r="AK181" i="7"/>
  <c r="AJ181" i="7"/>
  <c r="AI181" i="7"/>
  <c r="AV181" i="7" s="1"/>
  <c r="AH181" i="7"/>
  <c r="AG181" i="7"/>
  <c r="AF181" i="7"/>
  <c r="AD181" i="7"/>
  <c r="P181" i="7"/>
  <c r="AX180" i="7"/>
  <c r="AQ180" i="7"/>
  <c r="AP180" i="7"/>
  <c r="AO180" i="7"/>
  <c r="AN180" i="7"/>
  <c r="BA180" i="7" s="1"/>
  <c r="AM180" i="7"/>
  <c r="AZ180" i="7" s="1"/>
  <c r="AL180" i="7"/>
  <c r="AY180" i="7" s="1"/>
  <c r="AK180" i="7"/>
  <c r="AJ180" i="7"/>
  <c r="AI180" i="7"/>
  <c r="AV180" i="7" s="1"/>
  <c r="AH180" i="7"/>
  <c r="AG180" i="7"/>
  <c r="AF180" i="7"/>
  <c r="AD180" i="7"/>
  <c r="P180" i="7"/>
  <c r="BB179" i="7"/>
  <c r="AQ179" i="7"/>
  <c r="AP179" i="7"/>
  <c r="BD179" i="7" s="1"/>
  <c r="AO179" i="7"/>
  <c r="AN179" i="7"/>
  <c r="AM179" i="7"/>
  <c r="AL179" i="7"/>
  <c r="AK179" i="7"/>
  <c r="AJ179" i="7"/>
  <c r="AI179" i="7"/>
  <c r="AV179" i="7" s="1"/>
  <c r="AH179" i="7"/>
  <c r="AG179" i="7"/>
  <c r="AF179" i="7"/>
  <c r="AD179" i="7"/>
  <c r="P179" i="7"/>
  <c r="AY178" i="7"/>
  <c r="AQ178" i="7"/>
  <c r="AP178" i="7"/>
  <c r="AO178" i="7"/>
  <c r="AN178" i="7"/>
  <c r="AM178" i="7"/>
  <c r="AL178" i="7"/>
  <c r="AK178" i="7"/>
  <c r="AX178" i="7" s="1"/>
  <c r="AJ178" i="7"/>
  <c r="AI178" i="7"/>
  <c r="AV178" i="7" s="1"/>
  <c r="AH178" i="7"/>
  <c r="AG178" i="7"/>
  <c r="AF178" i="7"/>
  <c r="AD178" i="7"/>
  <c r="P178" i="7"/>
  <c r="BD177" i="7"/>
  <c r="AZ177" i="7"/>
  <c r="AY177" i="7"/>
  <c r="AQ177" i="7"/>
  <c r="AP177" i="7"/>
  <c r="BC177" i="7" s="1"/>
  <c r="AO177" i="7"/>
  <c r="AN177" i="7"/>
  <c r="AM177" i="7"/>
  <c r="AL177" i="7"/>
  <c r="AK177" i="7"/>
  <c r="AJ177" i="7"/>
  <c r="AI177" i="7"/>
  <c r="AV177" i="7" s="1"/>
  <c r="AH177" i="7"/>
  <c r="AG177" i="7"/>
  <c r="AF177" i="7"/>
  <c r="AD177" i="7"/>
  <c r="P177" i="7"/>
  <c r="AZ176" i="7"/>
  <c r="AY176" i="7"/>
  <c r="AQ176" i="7"/>
  <c r="BD176" i="7" s="1"/>
  <c r="AP176" i="7"/>
  <c r="AO176" i="7"/>
  <c r="BB176" i="7" s="1"/>
  <c r="AN176" i="7"/>
  <c r="AM176" i="7"/>
  <c r="AL176" i="7"/>
  <c r="AK176" i="7"/>
  <c r="AJ176" i="7"/>
  <c r="AI176" i="7"/>
  <c r="AV176" i="7" s="1"/>
  <c r="AH176" i="7"/>
  <c r="AG176" i="7"/>
  <c r="AF176" i="7"/>
  <c r="AD176" i="7"/>
  <c r="P176" i="7"/>
  <c r="AQ175" i="7"/>
  <c r="AP175" i="7"/>
  <c r="BD175" i="7" s="1"/>
  <c r="AO175" i="7"/>
  <c r="BB175" i="7" s="1"/>
  <c r="AN175" i="7"/>
  <c r="AM175" i="7"/>
  <c r="AL175" i="7"/>
  <c r="AK175" i="7"/>
  <c r="AX175" i="7" s="1"/>
  <c r="AJ175" i="7"/>
  <c r="AI175" i="7"/>
  <c r="AH175" i="7"/>
  <c r="AG175" i="7"/>
  <c r="AF175" i="7"/>
  <c r="AD175" i="7"/>
  <c r="P175" i="7"/>
  <c r="AQ174" i="7"/>
  <c r="AP174" i="7"/>
  <c r="AO174" i="7"/>
  <c r="BB174" i="7" s="1"/>
  <c r="AN174" i="7"/>
  <c r="AM174" i="7"/>
  <c r="AL174" i="7"/>
  <c r="AK174" i="7"/>
  <c r="AX174" i="7" s="1"/>
  <c r="AJ174" i="7"/>
  <c r="AI174" i="7"/>
  <c r="AV174" i="7" s="1"/>
  <c r="AH174" i="7"/>
  <c r="AG174" i="7"/>
  <c r="AF174" i="7"/>
  <c r="AD174" i="7"/>
  <c r="P174" i="7"/>
  <c r="BD173" i="7"/>
  <c r="AQ173" i="7"/>
  <c r="AP173" i="7"/>
  <c r="AO173" i="7"/>
  <c r="BC173" i="7" s="1"/>
  <c r="AN173" i="7"/>
  <c r="AM173" i="7"/>
  <c r="AL173" i="7"/>
  <c r="AK173" i="7"/>
  <c r="AJ173" i="7"/>
  <c r="AI173" i="7"/>
  <c r="AV173" i="7" s="1"/>
  <c r="AH173" i="7"/>
  <c r="AG173" i="7"/>
  <c r="AF173" i="7"/>
  <c r="AD173" i="7"/>
  <c r="P173" i="7"/>
  <c r="AQ172" i="7"/>
  <c r="AP172" i="7"/>
  <c r="BC172" i="7" s="1"/>
  <c r="AO172" i="7"/>
  <c r="AN172" i="7"/>
  <c r="BA172" i="7" s="1"/>
  <c r="AM172" i="7"/>
  <c r="AL172" i="7"/>
  <c r="AZ172" i="7" s="1"/>
  <c r="AK172" i="7"/>
  <c r="AX172" i="7" s="1"/>
  <c r="AJ172" i="7"/>
  <c r="AI172" i="7"/>
  <c r="AH172" i="7"/>
  <c r="AG172" i="7"/>
  <c r="AF172" i="7"/>
  <c r="AD172" i="7"/>
  <c r="P172" i="7"/>
  <c r="BD171" i="7"/>
  <c r="AQ171" i="7"/>
  <c r="AP171" i="7"/>
  <c r="BC171" i="7" s="1"/>
  <c r="AO171" i="7"/>
  <c r="AN171" i="7"/>
  <c r="AM171" i="7"/>
  <c r="AL171" i="7"/>
  <c r="AK171" i="7"/>
  <c r="AJ171" i="7"/>
  <c r="AI171" i="7"/>
  <c r="AH171" i="7"/>
  <c r="AG171" i="7"/>
  <c r="AF171" i="7"/>
  <c r="AD171" i="7"/>
  <c r="P171" i="7"/>
  <c r="BA170" i="7"/>
  <c r="AZ170" i="7"/>
  <c r="AX170" i="7"/>
  <c r="AQ170" i="7"/>
  <c r="AP170" i="7"/>
  <c r="BC170" i="7" s="1"/>
  <c r="AO170" i="7"/>
  <c r="BB170" i="7" s="1"/>
  <c r="AN170" i="7"/>
  <c r="AM170" i="7"/>
  <c r="AL170" i="7"/>
  <c r="AY170" i="7" s="1"/>
  <c r="AK170" i="7"/>
  <c r="AJ170" i="7"/>
  <c r="AI170" i="7"/>
  <c r="AV170" i="7" s="1"/>
  <c r="AH170" i="7"/>
  <c r="AG170" i="7"/>
  <c r="AF170" i="7"/>
  <c r="AD170" i="7"/>
  <c r="P170" i="7"/>
  <c r="BD169" i="7"/>
  <c r="BC169" i="7"/>
  <c r="AQ169" i="7"/>
  <c r="AP169" i="7"/>
  <c r="AO169" i="7"/>
  <c r="BB169" i="7" s="1"/>
  <c r="AN169" i="7"/>
  <c r="AM169" i="7"/>
  <c r="AL169" i="7"/>
  <c r="AY169" i="7" s="1"/>
  <c r="AK169" i="7"/>
  <c r="AJ169" i="7"/>
  <c r="AI169" i="7"/>
  <c r="AV169" i="7" s="1"/>
  <c r="AH169" i="7"/>
  <c r="AG169" i="7"/>
  <c r="AF169" i="7"/>
  <c r="AD169" i="7"/>
  <c r="P169" i="7"/>
  <c r="AQ168" i="7"/>
  <c r="AP168" i="7"/>
  <c r="AO168" i="7"/>
  <c r="BB168" i="7" s="1"/>
  <c r="AN168" i="7"/>
  <c r="AM168" i="7"/>
  <c r="AL168" i="7"/>
  <c r="AK168" i="7"/>
  <c r="AJ168" i="7"/>
  <c r="AI168" i="7"/>
  <c r="AV168" i="7" s="1"/>
  <c r="AH168" i="7"/>
  <c r="AG168" i="7"/>
  <c r="AF168" i="7"/>
  <c r="AD168" i="7"/>
  <c r="P168" i="7"/>
  <c r="AQ167" i="7"/>
  <c r="BD167" i="7" s="1"/>
  <c r="AP167" i="7"/>
  <c r="BC167" i="7" s="1"/>
  <c r="AO167" i="7"/>
  <c r="BB167" i="7" s="1"/>
  <c r="AN167" i="7"/>
  <c r="AM167" i="7"/>
  <c r="AL167" i="7"/>
  <c r="AK167" i="7"/>
  <c r="AY167" i="7" s="1"/>
  <c r="AJ167" i="7"/>
  <c r="AI167" i="7"/>
  <c r="AV167" i="7" s="1"/>
  <c r="AH167" i="7"/>
  <c r="AG167" i="7"/>
  <c r="AF167" i="7"/>
  <c r="AD167" i="7"/>
  <c r="P167" i="7"/>
  <c r="AQ166" i="7"/>
  <c r="BD166" i="7" s="1"/>
  <c r="AP166" i="7"/>
  <c r="AO166" i="7"/>
  <c r="BC166" i="7" s="1"/>
  <c r="AN166" i="7"/>
  <c r="AM166" i="7"/>
  <c r="AL166" i="7"/>
  <c r="AY166" i="7" s="1"/>
  <c r="AK166" i="7"/>
  <c r="AJ166" i="7"/>
  <c r="AI166" i="7"/>
  <c r="AV166" i="7" s="1"/>
  <c r="AH166" i="7"/>
  <c r="AG166" i="7"/>
  <c r="AF166" i="7"/>
  <c r="AD166" i="7"/>
  <c r="P166" i="7"/>
  <c r="BA165" i="7"/>
  <c r="AY165" i="7"/>
  <c r="AQ165" i="7"/>
  <c r="AP165" i="7"/>
  <c r="AO165" i="7"/>
  <c r="BB165" i="7" s="1"/>
  <c r="AN165" i="7"/>
  <c r="AM165" i="7"/>
  <c r="AZ165" i="7" s="1"/>
  <c r="AL165" i="7"/>
  <c r="AK165" i="7"/>
  <c r="AX165" i="7" s="1"/>
  <c r="AJ165" i="7"/>
  <c r="AI165" i="7"/>
  <c r="AH165" i="7"/>
  <c r="AG165" i="7"/>
  <c r="AF165" i="7"/>
  <c r="AD165" i="7"/>
  <c r="P165" i="7"/>
  <c r="AQ164" i="7"/>
  <c r="AP164" i="7"/>
  <c r="AO164" i="7"/>
  <c r="AN164" i="7"/>
  <c r="AM164" i="7"/>
  <c r="AL164" i="7"/>
  <c r="AK164" i="7"/>
  <c r="AJ164" i="7"/>
  <c r="AI164" i="7"/>
  <c r="AV164" i="7" s="1"/>
  <c r="AH164" i="7"/>
  <c r="AG164" i="7"/>
  <c r="AF164" i="7"/>
  <c r="AD164" i="7"/>
  <c r="P164" i="7"/>
  <c r="AQ163" i="7"/>
  <c r="AP163" i="7"/>
  <c r="BC163" i="7" s="1"/>
  <c r="AO163" i="7"/>
  <c r="AN163" i="7"/>
  <c r="AM163" i="7"/>
  <c r="AL163" i="7"/>
  <c r="AK163" i="7"/>
  <c r="AJ163" i="7"/>
  <c r="AI163" i="7"/>
  <c r="AV163" i="7" s="1"/>
  <c r="AH163" i="7"/>
  <c r="AG163" i="7"/>
  <c r="AF163" i="7"/>
  <c r="AD163" i="7"/>
  <c r="P163" i="7"/>
  <c r="AZ162" i="7"/>
  <c r="AQ162" i="7"/>
  <c r="AP162" i="7"/>
  <c r="BD162" i="7" s="1"/>
  <c r="AO162" i="7"/>
  <c r="AN162" i="7"/>
  <c r="AM162" i="7"/>
  <c r="AL162" i="7"/>
  <c r="AK162" i="7"/>
  <c r="AX162" i="7" s="1"/>
  <c r="AJ162" i="7"/>
  <c r="AI162" i="7"/>
  <c r="AH162" i="7"/>
  <c r="AG162" i="7"/>
  <c r="AF162" i="7"/>
  <c r="AD162" i="7"/>
  <c r="P162" i="7"/>
  <c r="AQ161" i="7"/>
  <c r="AP161" i="7"/>
  <c r="AO161" i="7"/>
  <c r="BB161" i="7" s="1"/>
  <c r="AN161" i="7"/>
  <c r="BA161" i="7" s="1"/>
  <c r="AM161" i="7"/>
  <c r="AZ161" i="7" s="1"/>
  <c r="AL161" i="7"/>
  <c r="AY161" i="7" s="1"/>
  <c r="AK161" i="7"/>
  <c r="AJ161" i="7"/>
  <c r="AX161" i="7" s="1"/>
  <c r="AI161" i="7"/>
  <c r="AV161" i="7" s="1"/>
  <c r="AH161" i="7"/>
  <c r="AG161" i="7"/>
  <c r="AF161" i="7"/>
  <c r="AD161" i="7"/>
  <c r="P161" i="7"/>
  <c r="AQ160" i="7"/>
  <c r="AP160" i="7"/>
  <c r="AO160" i="7"/>
  <c r="AN160" i="7"/>
  <c r="AM160" i="7"/>
  <c r="AL160" i="7"/>
  <c r="AK160" i="7"/>
  <c r="AJ160" i="7"/>
  <c r="AI160" i="7"/>
  <c r="AV160" i="7" s="1"/>
  <c r="AH160" i="7"/>
  <c r="AG160" i="7"/>
  <c r="AF160" i="7"/>
  <c r="AD160" i="7"/>
  <c r="P160" i="7"/>
  <c r="AQ159" i="7"/>
  <c r="AP159" i="7"/>
  <c r="AO159" i="7"/>
  <c r="AN159" i="7"/>
  <c r="BA159" i="7" s="1"/>
  <c r="AM159" i="7"/>
  <c r="AL159" i="7"/>
  <c r="AK159" i="7"/>
  <c r="AX159" i="7" s="1"/>
  <c r="AJ159" i="7"/>
  <c r="AI159" i="7"/>
  <c r="AV159" i="7" s="1"/>
  <c r="AH159" i="7"/>
  <c r="AG159" i="7"/>
  <c r="AF159" i="7"/>
  <c r="AD159" i="7"/>
  <c r="P159" i="7"/>
  <c r="AY158" i="7"/>
  <c r="AQ158" i="7"/>
  <c r="BD158" i="7" s="1"/>
  <c r="AP158" i="7"/>
  <c r="AO158" i="7"/>
  <c r="BB158" i="7" s="1"/>
  <c r="AN158" i="7"/>
  <c r="AM158" i="7"/>
  <c r="BA158" i="7" s="1"/>
  <c r="AL158" i="7"/>
  <c r="AK158" i="7"/>
  <c r="AJ158" i="7"/>
  <c r="AI158" i="7"/>
  <c r="AV158" i="7" s="1"/>
  <c r="AH158" i="7"/>
  <c r="AG158" i="7"/>
  <c r="AF158" i="7"/>
  <c r="AD158" i="7"/>
  <c r="P158" i="7"/>
  <c r="AQ157" i="7"/>
  <c r="AP157" i="7"/>
  <c r="AO157" i="7"/>
  <c r="AN157" i="7"/>
  <c r="BA157" i="7" s="1"/>
  <c r="AM157" i="7"/>
  <c r="AL157" i="7"/>
  <c r="AZ157" i="7" s="1"/>
  <c r="AK157" i="7"/>
  <c r="AJ157" i="7"/>
  <c r="AI157" i="7"/>
  <c r="AV157" i="7" s="1"/>
  <c r="AH157" i="7"/>
  <c r="AG157" i="7"/>
  <c r="AF157" i="7"/>
  <c r="AD157" i="7"/>
  <c r="P157" i="7"/>
  <c r="AQ156" i="7"/>
  <c r="AP156" i="7"/>
  <c r="AO156" i="7"/>
  <c r="AN156" i="7"/>
  <c r="AM156" i="7"/>
  <c r="AL156" i="7"/>
  <c r="AK156" i="7"/>
  <c r="AX156" i="7" s="1"/>
  <c r="AJ156" i="7"/>
  <c r="AI156" i="7"/>
  <c r="AH156" i="7"/>
  <c r="AG156" i="7"/>
  <c r="AF156" i="7"/>
  <c r="AD156" i="7"/>
  <c r="P156" i="7"/>
  <c r="AQ155" i="7"/>
  <c r="AP155" i="7"/>
  <c r="BC155" i="7" s="1"/>
  <c r="AO155" i="7"/>
  <c r="AN155" i="7"/>
  <c r="AM155" i="7"/>
  <c r="AL155" i="7"/>
  <c r="AK155" i="7"/>
  <c r="AJ155" i="7"/>
  <c r="AI155" i="7"/>
  <c r="AV155" i="7" s="1"/>
  <c r="AH155" i="7"/>
  <c r="AG155" i="7"/>
  <c r="AF155" i="7"/>
  <c r="AD155" i="7"/>
  <c r="P155" i="7"/>
  <c r="BD154" i="7"/>
  <c r="BA154" i="7"/>
  <c r="AQ154" i="7"/>
  <c r="AP154" i="7"/>
  <c r="AO154" i="7"/>
  <c r="BB154" i="7" s="1"/>
  <c r="AN154" i="7"/>
  <c r="AM154" i="7"/>
  <c r="AZ154" i="7" s="1"/>
  <c r="AL154" i="7"/>
  <c r="AY154" i="7" s="1"/>
  <c r="AK154" i="7"/>
  <c r="AX154" i="7" s="1"/>
  <c r="AJ154" i="7"/>
  <c r="AI154" i="7"/>
  <c r="AV154" i="7" s="1"/>
  <c r="AH154" i="7"/>
  <c r="AG154" i="7"/>
  <c r="AF154" i="7"/>
  <c r="AD154" i="7"/>
  <c r="P154" i="7"/>
  <c r="AQ153" i="7"/>
  <c r="AP153" i="7"/>
  <c r="AO153" i="7"/>
  <c r="BB153" i="7" s="1"/>
  <c r="AN153" i="7"/>
  <c r="AM153" i="7"/>
  <c r="AZ153" i="7" s="1"/>
  <c r="AL153" i="7"/>
  <c r="AK153" i="7"/>
  <c r="AY153" i="7" s="1"/>
  <c r="AJ153" i="7"/>
  <c r="AI153" i="7"/>
  <c r="AV153" i="7" s="1"/>
  <c r="AH153" i="7"/>
  <c r="AG153" i="7"/>
  <c r="AF153" i="7"/>
  <c r="AD153" i="7"/>
  <c r="P153" i="7"/>
  <c r="BC152" i="7"/>
  <c r="AQ152" i="7"/>
  <c r="BD152" i="7" s="1"/>
  <c r="AP152" i="7"/>
  <c r="AO152" i="7"/>
  <c r="BB152" i="7" s="1"/>
  <c r="AN152" i="7"/>
  <c r="AM152" i="7"/>
  <c r="AL152" i="7"/>
  <c r="AK152" i="7"/>
  <c r="AJ152" i="7"/>
  <c r="AI152" i="7"/>
  <c r="AV152" i="7" s="1"/>
  <c r="AH152" i="7"/>
  <c r="AG152" i="7"/>
  <c r="AF152" i="7"/>
  <c r="AD152" i="7"/>
  <c r="P152" i="7"/>
  <c r="AY151" i="7"/>
  <c r="AQ151" i="7"/>
  <c r="AP151" i="7"/>
  <c r="AO151" i="7"/>
  <c r="AN151" i="7"/>
  <c r="AM151" i="7"/>
  <c r="AL151" i="7"/>
  <c r="AK151" i="7"/>
  <c r="AX151" i="7" s="1"/>
  <c r="AJ151" i="7"/>
  <c r="AI151" i="7"/>
  <c r="AV151" i="7" s="1"/>
  <c r="AH151" i="7"/>
  <c r="AG151" i="7"/>
  <c r="AF151" i="7"/>
  <c r="AD151" i="7"/>
  <c r="P151" i="7"/>
  <c r="BD150" i="7"/>
  <c r="AX150" i="7"/>
  <c r="AQ150" i="7"/>
  <c r="AP150" i="7"/>
  <c r="BC150" i="7" s="1"/>
  <c r="AO150" i="7"/>
  <c r="AN150" i="7"/>
  <c r="AM150" i="7"/>
  <c r="AL150" i="7"/>
  <c r="AK150" i="7"/>
  <c r="AJ150" i="7"/>
  <c r="AI150" i="7"/>
  <c r="AV150" i="7" s="1"/>
  <c r="AH150" i="7"/>
  <c r="AG150" i="7"/>
  <c r="AF150" i="7"/>
  <c r="AD150" i="7"/>
  <c r="P150" i="7"/>
  <c r="BA149" i="7"/>
  <c r="AZ149" i="7"/>
  <c r="AX149" i="7"/>
  <c r="AQ149" i="7"/>
  <c r="AP149" i="7"/>
  <c r="AO149" i="7"/>
  <c r="AN149" i="7"/>
  <c r="AM149" i="7"/>
  <c r="AL149" i="7"/>
  <c r="AK149" i="7"/>
  <c r="AJ149" i="7"/>
  <c r="AI149" i="7"/>
  <c r="AV149" i="7" s="1"/>
  <c r="AH149" i="7"/>
  <c r="AG149" i="7"/>
  <c r="AF149" i="7"/>
  <c r="AD149" i="7"/>
  <c r="P149" i="7"/>
  <c r="BB148" i="7"/>
  <c r="AQ148" i="7"/>
  <c r="BD148" i="7" s="1"/>
  <c r="AP148" i="7"/>
  <c r="BC148" i="7" s="1"/>
  <c r="AO148" i="7"/>
  <c r="AN148" i="7"/>
  <c r="AM148" i="7"/>
  <c r="AL148" i="7"/>
  <c r="AK148" i="7"/>
  <c r="AX148" i="7" s="1"/>
  <c r="AJ148" i="7"/>
  <c r="AI148" i="7"/>
  <c r="AH148" i="7"/>
  <c r="AG148" i="7"/>
  <c r="AF148" i="7"/>
  <c r="AD148" i="7"/>
  <c r="P148" i="7"/>
  <c r="AY147" i="7"/>
  <c r="AX147" i="7"/>
  <c r="AQ147" i="7"/>
  <c r="AP147" i="7"/>
  <c r="BC147" i="7" s="1"/>
  <c r="AO147" i="7"/>
  <c r="AN147" i="7"/>
  <c r="AM147" i="7"/>
  <c r="AL147" i="7"/>
  <c r="AK147" i="7"/>
  <c r="AJ147" i="7"/>
  <c r="AI147" i="7"/>
  <c r="AV147" i="7" s="1"/>
  <c r="AH147" i="7"/>
  <c r="AG147" i="7"/>
  <c r="AF147" i="7"/>
  <c r="AD147" i="7"/>
  <c r="P147" i="7"/>
  <c r="BD146" i="7"/>
  <c r="AY146" i="7"/>
  <c r="AQ146" i="7"/>
  <c r="AP146" i="7"/>
  <c r="AO146" i="7"/>
  <c r="BB146" i="7" s="1"/>
  <c r="AN146" i="7"/>
  <c r="BA146" i="7" s="1"/>
  <c r="AM146" i="7"/>
  <c r="AZ146" i="7" s="1"/>
  <c r="AL146" i="7"/>
  <c r="AK146" i="7"/>
  <c r="AJ146" i="7"/>
  <c r="AI146" i="7"/>
  <c r="AV146" i="7" s="1"/>
  <c r="AH146" i="7"/>
  <c r="AG146" i="7"/>
  <c r="AF146" i="7"/>
  <c r="AD146" i="7"/>
  <c r="P146" i="7"/>
  <c r="AZ145" i="7"/>
  <c r="AQ145" i="7"/>
  <c r="AP145" i="7"/>
  <c r="AO145" i="7"/>
  <c r="AN145" i="7"/>
  <c r="BA145" i="7" s="1"/>
  <c r="AM145" i="7"/>
  <c r="AL145" i="7"/>
  <c r="AY145" i="7" s="1"/>
  <c r="AK145" i="7"/>
  <c r="AX145" i="7" s="1"/>
  <c r="AJ145" i="7"/>
  <c r="AI145" i="7"/>
  <c r="AH145" i="7"/>
  <c r="AG145" i="7"/>
  <c r="AF145" i="7"/>
  <c r="AD145" i="7"/>
  <c r="P145" i="7"/>
  <c r="AQ144" i="7"/>
  <c r="AP144" i="7"/>
  <c r="AO144" i="7"/>
  <c r="BB144" i="7" s="1"/>
  <c r="AN144" i="7"/>
  <c r="AM144" i="7"/>
  <c r="AL144" i="7"/>
  <c r="AK144" i="7"/>
  <c r="AX144" i="7" s="1"/>
  <c r="AJ144" i="7"/>
  <c r="AI144" i="7"/>
  <c r="AV144" i="7" s="1"/>
  <c r="AH144" i="7"/>
  <c r="AG144" i="7"/>
  <c r="AF144" i="7"/>
  <c r="AD144" i="7"/>
  <c r="P144" i="7"/>
  <c r="BC143" i="7"/>
  <c r="BA143" i="7"/>
  <c r="AY143" i="7"/>
  <c r="AQ143" i="7"/>
  <c r="AP143" i="7"/>
  <c r="AO143" i="7"/>
  <c r="BB143" i="7" s="1"/>
  <c r="AN143" i="7"/>
  <c r="AM143" i="7"/>
  <c r="AL143" i="7"/>
  <c r="AK143" i="7"/>
  <c r="AX143" i="7" s="1"/>
  <c r="AJ143" i="7"/>
  <c r="AI143" i="7"/>
  <c r="AH143" i="7"/>
  <c r="AG143" i="7"/>
  <c r="AF143" i="7"/>
  <c r="AD143" i="7"/>
  <c r="P143" i="7"/>
  <c r="BD142" i="7"/>
  <c r="AQ142" i="7"/>
  <c r="AP142" i="7"/>
  <c r="BC142" i="7" s="1"/>
  <c r="AO142" i="7"/>
  <c r="AN142" i="7"/>
  <c r="AM142" i="7"/>
  <c r="AL142" i="7"/>
  <c r="AY142" i="7" s="1"/>
  <c r="AK142" i="7"/>
  <c r="AJ142" i="7"/>
  <c r="AI142" i="7"/>
  <c r="AH142" i="7"/>
  <c r="AG142" i="7"/>
  <c r="AF142" i="7"/>
  <c r="AD142" i="7"/>
  <c r="P142" i="7"/>
  <c r="AQ141" i="7"/>
  <c r="AP141" i="7"/>
  <c r="BC141" i="7" s="1"/>
  <c r="AO141" i="7"/>
  <c r="AN141" i="7"/>
  <c r="BA141" i="7" s="1"/>
  <c r="AM141" i="7"/>
  <c r="AZ141" i="7" s="1"/>
  <c r="AL141" i="7"/>
  <c r="AK141" i="7"/>
  <c r="AX141" i="7" s="1"/>
  <c r="AJ141" i="7"/>
  <c r="AI141" i="7"/>
  <c r="AW141" i="7" s="1"/>
  <c r="AH141" i="7"/>
  <c r="AG141" i="7"/>
  <c r="AF141" i="7"/>
  <c r="AD141" i="7"/>
  <c r="P141" i="7"/>
  <c r="AQ140" i="7"/>
  <c r="BD140" i="7" s="1"/>
  <c r="AP140" i="7"/>
  <c r="AO140" i="7"/>
  <c r="AN140" i="7"/>
  <c r="AM140" i="7"/>
  <c r="AL140" i="7"/>
  <c r="AK140" i="7"/>
  <c r="AJ140" i="7"/>
  <c r="AI140" i="7"/>
  <c r="AH140" i="7"/>
  <c r="AG140" i="7"/>
  <c r="AF140" i="7"/>
  <c r="AD140" i="7"/>
  <c r="P140" i="7"/>
  <c r="BA139" i="7"/>
  <c r="AZ139" i="7"/>
  <c r="AQ139" i="7"/>
  <c r="AP139" i="7"/>
  <c r="AO139" i="7"/>
  <c r="BB139" i="7" s="1"/>
  <c r="AN139" i="7"/>
  <c r="AM139" i="7"/>
  <c r="AL139" i="7"/>
  <c r="AY139" i="7" s="1"/>
  <c r="AK139" i="7"/>
  <c r="AJ139" i="7"/>
  <c r="AI139" i="7"/>
  <c r="AH139" i="7"/>
  <c r="AG139" i="7"/>
  <c r="AF139" i="7"/>
  <c r="AD139" i="7"/>
  <c r="P139" i="7"/>
  <c r="BD138" i="7"/>
  <c r="AQ138" i="7"/>
  <c r="AP138" i="7"/>
  <c r="BC138" i="7" s="1"/>
  <c r="AO138" i="7"/>
  <c r="BB138" i="7" s="1"/>
  <c r="AN138" i="7"/>
  <c r="AM138" i="7"/>
  <c r="AL138" i="7"/>
  <c r="AY138" i="7" s="1"/>
  <c r="AK138" i="7"/>
  <c r="AJ138" i="7"/>
  <c r="AI138" i="7"/>
  <c r="AH138" i="7"/>
  <c r="AG138" i="7"/>
  <c r="AF138" i="7"/>
  <c r="AD138" i="7"/>
  <c r="P138" i="7"/>
  <c r="BC137" i="7"/>
  <c r="AQ137" i="7"/>
  <c r="AP137" i="7"/>
  <c r="AO137" i="7"/>
  <c r="AN137" i="7"/>
  <c r="AM137" i="7"/>
  <c r="AL137" i="7"/>
  <c r="AK137" i="7"/>
  <c r="AX137" i="7" s="1"/>
  <c r="AJ137" i="7"/>
  <c r="AI137" i="7"/>
  <c r="AH137" i="7"/>
  <c r="AG137" i="7"/>
  <c r="AF137" i="7"/>
  <c r="AD137" i="7"/>
  <c r="P137" i="7"/>
  <c r="AZ136" i="7"/>
  <c r="AQ136" i="7"/>
  <c r="AP136" i="7"/>
  <c r="AO136" i="7"/>
  <c r="AN136" i="7"/>
  <c r="BA136" i="7" s="1"/>
  <c r="AM136" i="7"/>
  <c r="AL136" i="7"/>
  <c r="AY136" i="7" s="1"/>
  <c r="AK136" i="7"/>
  <c r="AJ136" i="7"/>
  <c r="AI136" i="7"/>
  <c r="AH136" i="7"/>
  <c r="AG136" i="7"/>
  <c r="AF136" i="7"/>
  <c r="AD136" i="7"/>
  <c r="P136" i="7"/>
  <c r="BC135" i="7"/>
  <c r="BB135" i="7"/>
  <c r="AQ135" i="7"/>
  <c r="BD135" i="7" s="1"/>
  <c r="AP135" i="7"/>
  <c r="AO135" i="7"/>
  <c r="AN135" i="7"/>
  <c r="AM135" i="7"/>
  <c r="AL135" i="7"/>
  <c r="AK135" i="7"/>
  <c r="AJ135" i="7"/>
  <c r="AI135" i="7"/>
  <c r="AW135" i="7" s="1"/>
  <c r="AH135" i="7"/>
  <c r="AG135" i="7"/>
  <c r="AF135" i="7"/>
  <c r="AD135" i="7"/>
  <c r="P135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D134" i="7"/>
  <c r="P134" i="7"/>
  <c r="BD133" i="7"/>
  <c r="AZ133" i="7"/>
  <c r="AQ133" i="7"/>
  <c r="AP133" i="7"/>
  <c r="AO133" i="7"/>
  <c r="BC133" i="7" s="1"/>
  <c r="AN133" i="7"/>
  <c r="AM133" i="7"/>
  <c r="AL133" i="7"/>
  <c r="AY133" i="7" s="1"/>
  <c r="AK133" i="7"/>
  <c r="AJ133" i="7"/>
  <c r="AX133" i="7" s="1"/>
  <c r="AI133" i="7"/>
  <c r="AH133" i="7"/>
  <c r="AG133" i="7"/>
  <c r="AF133" i="7"/>
  <c r="AD133" i="7"/>
  <c r="P133" i="7"/>
  <c r="BA132" i="7"/>
  <c r="AQ132" i="7"/>
  <c r="AP132" i="7"/>
  <c r="AO132" i="7"/>
  <c r="BB132" i="7" s="1"/>
  <c r="AN132" i="7"/>
  <c r="AM132" i="7"/>
  <c r="AZ132" i="7" s="1"/>
  <c r="AL132" i="7"/>
  <c r="AY132" i="7" s="1"/>
  <c r="AK132" i="7"/>
  <c r="AX132" i="7" s="1"/>
  <c r="AJ132" i="7"/>
  <c r="AI132" i="7"/>
  <c r="AH132" i="7"/>
  <c r="AG132" i="7"/>
  <c r="AF132" i="7"/>
  <c r="AD132" i="7"/>
  <c r="P132" i="7"/>
  <c r="AQ131" i="7"/>
  <c r="AP131" i="7"/>
  <c r="AO131" i="7"/>
  <c r="BB131" i="7" s="1"/>
  <c r="AN131" i="7"/>
  <c r="AM131" i="7"/>
  <c r="AL131" i="7"/>
  <c r="AK131" i="7"/>
  <c r="AJ131" i="7"/>
  <c r="AI131" i="7"/>
  <c r="AH131" i="7"/>
  <c r="AG131" i="7"/>
  <c r="AF131" i="7"/>
  <c r="AD131" i="7"/>
  <c r="P131" i="7"/>
  <c r="AY130" i="7"/>
  <c r="AQ130" i="7"/>
  <c r="AP130" i="7"/>
  <c r="BC130" i="7" s="1"/>
  <c r="AO130" i="7"/>
  <c r="BB130" i="7" s="1"/>
  <c r="AN130" i="7"/>
  <c r="AM130" i="7"/>
  <c r="AL130" i="7"/>
  <c r="AZ130" i="7" s="1"/>
  <c r="AK130" i="7"/>
  <c r="AX130" i="7" s="1"/>
  <c r="AJ130" i="7"/>
  <c r="AI130" i="7"/>
  <c r="AH130" i="7"/>
  <c r="AG130" i="7"/>
  <c r="AF130" i="7"/>
  <c r="AD130" i="7"/>
  <c r="P130" i="7"/>
  <c r="AQ129" i="7"/>
  <c r="BD129" i="7" s="1"/>
  <c r="AP129" i="7"/>
  <c r="BC129" i="7" s="1"/>
  <c r="AO129" i="7"/>
  <c r="AN129" i="7"/>
  <c r="AM129" i="7"/>
  <c r="AL129" i="7"/>
  <c r="AK129" i="7"/>
  <c r="AJ129" i="7"/>
  <c r="AI129" i="7"/>
  <c r="AH129" i="7"/>
  <c r="AG129" i="7"/>
  <c r="AF129" i="7"/>
  <c r="AD129" i="7"/>
  <c r="P129" i="7"/>
  <c r="AX128" i="7"/>
  <c r="AQ128" i="7"/>
  <c r="AP128" i="7"/>
  <c r="AO128" i="7"/>
  <c r="AN128" i="7"/>
  <c r="AM128" i="7"/>
  <c r="AL128" i="7"/>
  <c r="AY128" i="7" s="1"/>
  <c r="AK128" i="7"/>
  <c r="AJ128" i="7"/>
  <c r="AI128" i="7"/>
  <c r="AH128" i="7"/>
  <c r="AG128" i="7"/>
  <c r="AF128" i="7"/>
  <c r="AD128" i="7"/>
  <c r="P128" i="7"/>
  <c r="AQ127" i="7"/>
  <c r="AP127" i="7"/>
  <c r="BC127" i="7" s="1"/>
  <c r="AO127" i="7"/>
  <c r="AN127" i="7"/>
  <c r="AM127" i="7"/>
  <c r="AL127" i="7"/>
  <c r="AY127" i="7" s="1"/>
  <c r="AK127" i="7"/>
  <c r="AX127" i="7" s="1"/>
  <c r="AJ127" i="7"/>
  <c r="AI127" i="7"/>
  <c r="AW127" i="7" s="1"/>
  <c r="AH127" i="7"/>
  <c r="AG127" i="7"/>
  <c r="AF127" i="7"/>
  <c r="AD127" i="7"/>
  <c r="P127" i="7"/>
  <c r="AY126" i="7"/>
  <c r="AQ126" i="7"/>
  <c r="AP126" i="7"/>
  <c r="AO126" i="7"/>
  <c r="AN126" i="7"/>
  <c r="AM126" i="7"/>
  <c r="AZ126" i="7" s="1"/>
  <c r="AL126" i="7"/>
  <c r="AK126" i="7"/>
  <c r="AX126" i="7" s="1"/>
  <c r="AJ126" i="7"/>
  <c r="AI126" i="7"/>
  <c r="AH126" i="7"/>
  <c r="AG126" i="7"/>
  <c r="AF126" i="7"/>
  <c r="AD126" i="7"/>
  <c r="P126" i="7"/>
  <c r="AQ125" i="7"/>
  <c r="AP125" i="7"/>
  <c r="AO125" i="7"/>
  <c r="BB125" i="7" s="1"/>
  <c r="AN125" i="7"/>
  <c r="AM125" i="7"/>
  <c r="AL125" i="7"/>
  <c r="AK125" i="7"/>
  <c r="AX125" i="7" s="1"/>
  <c r="AJ125" i="7"/>
  <c r="AI125" i="7"/>
  <c r="AW125" i="7" s="1"/>
  <c r="AH125" i="7"/>
  <c r="AG125" i="7"/>
  <c r="AF125" i="7"/>
  <c r="AD125" i="7"/>
  <c r="P125" i="7"/>
  <c r="AQ124" i="7"/>
  <c r="AP124" i="7"/>
  <c r="AO124" i="7"/>
  <c r="AN124" i="7"/>
  <c r="AM124" i="7"/>
  <c r="AL124" i="7"/>
  <c r="AY124" i="7" s="1"/>
  <c r="AK124" i="7"/>
  <c r="AJ124" i="7"/>
  <c r="AI124" i="7"/>
  <c r="AH124" i="7"/>
  <c r="AG124" i="7"/>
  <c r="AF124" i="7"/>
  <c r="AD124" i="7"/>
  <c r="P124" i="7"/>
  <c r="AQ123" i="7"/>
  <c r="AP123" i="7"/>
  <c r="AO123" i="7"/>
  <c r="BC123" i="7" s="1"/>
  <c r="AN123" i="7"/>
  <c r="AM123" i="7"/>
  <c r="AZ123" i="7" s="1"/>
  <c r="AL123" i="7"/>
  <c r="AK123" i="7"/>
  <c r="AX123" i="7" s="1"/>
  <c r="AJ123" i="7"/>
  <c r="AI123" i="7"/>
  <c r="AW123" i="7" s="1"/>
  <c r="AH123" i="7"/>
  <c r="AG123" i="7"/>
  <c r="AF123" i="7"/>
  <c r="AD123" i="7"/>
  <c r="P123" i="7"/>
  <c r="AQ122" i="7"/>
  <c r="AP122" i="7"/>
  <c r="AO122" i="7"/>
  <c r="AN122" i="7"/>
  <c r="BA122" i="7" s="1"/>
  <c r="AM122" i="7"/>
  <c r="AZ122" i="7" s="1"/>
  <c r="AL122" i="7"/>
  <c r="AK122" i="7"/>
  <c r="AX122" i="7" s="1"/>
  <c r="AJ122" i="7"/>
  <c r="AI122" i="7"/>
  <c r="AH122" i="7"/>
  <c r="AG122" i="7"/>
  <c r="AF122" i="7"/>
  <c r="AD122" i="7"/>
  <c r="P122" i="7"/>
  <c r="BC121" i="7"/>
  <c r="AQ121" i="7"/>
  <c r="BD121" i="7" s="1"/>
  <c r="AP121" i="7"/>
  <c r="AO121" i="7"/>
  <c r="BB121" i="7" s="1"/>
  <c r="AN121" i="7"/>
  <c r="AM121" i="7"/>
  <c r="AL121" i="7"/>
  <c r="AK121" i="7"/>
  <c r="AY121" i="7" s="1"/>
  <c r="AJ121" i="7"/>
  <c r="AI121" i="7"/>
  <c r="AH121" i="7"/>
  <c r="AG121" i="7"/>
  <c r="AF121" i="7"/>
  <c r="AD121" i="7"/>
  <c r="P121" i="7"/>
  <c r="AY120" i="7"/>
  <c r="AQ120" i="7"/>
  <c r="AP120" i="7"/>
  <c r="AO120" i="7"/>
  <c r="AN120" i="7"/>
  <c r="AM120" i="7"/>
  <c r="AL120" i="7"/>
  <c r="AK120" i="7"/>
  <c r="AJ120" i="7"/>
  <c r="AI120" i="7"/>
  <c r="AW120" i="7" s="1"/>
  <c r="AH120" i="7"/>
  <c r="AG120" i="7"/>
  <c r="AF120" i="7"/>
  <c r="AD120" i="7"/>
  <c r="P120" i="7"/>
  <c r="AQ119" i="7"/>
  <c r="BD119" i="7" s="1"/>
  <c r="AP119" i="7"/>
  <c r="AO119" i="7"/>
  <c r="AN119" i="7"/>
  <c r="AM119" i="7"/>
  <c r="AL119" i="7"/>
  <c r="AK119" i="7"/>
  <c r="AJ119" i="7"/>
  <c r="AI119" i="7"/>
  <c r="AH119" i="7"/>
  <c r="AG119" i="7"/>
  <c r="AF119" i="7"/>
  <c r="AD119" i="7"/>
  <c r="P119" i="7"/>
  <c r="AQ118" i="7"/>
  <c r="AP118" i="7"/>
  <c r="AO118" i="7"/>
  <c r="AN118" i="7"/>
  <c r="AM118" i="7"/>
  <c r="AL118" i="7"/>
  <c r="AY118" i="7" s="1"/>
  <c r="AK118" i="7"/>
  <c r="AJ118" i="7"/>
  <c r="AI118" i="7"/>
  <c r="AH118" i="7"/>
  <c r="AG118" i="7"/>
  <c r="AF118" i="7"/>
  <c r="AD118" i="7"/>
  <c r="P118" i="7"/>
  <c r="BD117" i="7"/>
  <c r="AX117" i="7"/>
  <c r="AQ117" i="7"/>
  <c r="AP117" i="7"/>
  <c r="BC117" i="7" s="1"/>
  <c r="AO117" i="7"/>
  <c r="AN117" i="7"/>
  <c r="AM117" i="7"/>
  <c r="AL117" i="7"/>
  <c r="AZ117" i="7" s="1"/>
  <c r="AK117" i="7"/>
  <c r="AJ117" i="7"/>
  <c r="AI117" i="7"/>
  <c r="AH117" i="7"/>
  <c r="AG117" i="7"/>
  <c r="AF117" i="7"/>
  <c r="AD117" i="7"/>
  <c r="P117" i="7"/>
  <c r="BA116" i="7"/>
  <c r="AZ116" i="7"/>
  <c r="AQ116" i="7"/>
  <c r="AP116" i="7"/>
  <c r="BC116" i="7" s="1"/>
  <c r="AO116" i="7"/>
  <c r="AN116" i="7"/>
  <c r="AM116" i="7"/>
  <c r="AL116" i="7"/>
  <c r="AY116" i="7" s="1"/>
  <c r="AK116" i="7"/>
  <c r="AJ116" i="7"/>
  <c r="AI116" i="7"/>
  <c r="AH116" i="7"/>
  <c r="AG116" i="7"/>
  <c r="AF116" i="7"/>
  <c r="AD116" i="7"/>
  <c r="P116" i="7"/>
  <c r="AQ115" i="7"/>
  <c r="AP115" i="7"/>
  <c r="BC115" i="7" s="1"/>
  <c r="AO115" i="7"/>
  <c r="AN115" i="7"/>
  <c r="BA115" i="7" s="1"/>
  <c r="AM115" i="7"/>
  <c r="AL115" i="7"/>
  <c r="AK115" i="7"/>
  <c r="AJ115" i="7"/>
  <c r="AI115" i="7"/>
  <c r="AH115" i="7"/>
  <c r="AG115" i="7"/>
  <c r="AF115" i="7"/>
  <c r="AD115" i="7"/>
  <c r="P115" i="7"/>
  <c r="AQ114" i="7"/>
  <c r="AP114" i="7"/>
  <c r="BD114" i="7" s="1"/>
  <c r="AO114" i="7"/>
  <c r="BB114" i="7" s="1"/>
  <c r="AN114" i="7"/>
  <c r="AM114" i="7"/>
  <c r="AL114" i="7"/>
  <c r="AK114" i="7"/>
  <c r="AJ114" i="7"/>
  <c r="AI114" i="7"/>
  <c r="AW114" i="7" s="1"/>
  <c r="AH114" i="7"/>
  <c r="AG114" i="7"/>
  <c r="AF114" i="7"/>
  <c r="AD114" i="7"/>
  <c r="P114" i="7"/>
  <c r="BB113" i="7"/>
  <c r="AQ113" i="7"/>
  <c r="AP113" i="7"/>
  <c r="AO113" i="7"/>
  <c r="AN113" i="7"/>
  <c r="AM113" i="7"/>
  <c r="AZ113" i="7" s="1"/>
  <c r="AL113" i="7"/>
  <c r="AK113" i="7"/>
  <c r="AJ113" i="7"/>
  <c r="AI113" i="7"/>
  <c r="AH113" i="7"/>
  <c r="AG113" i="7"/>
  <c r="AF113" i="7"/>
  <c r="AD113" i="7"/>
  <c r="P113" i="7"/>
  <c r="AZ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D112" i="7"/>
  <c r="P112" i="7"/>
  <c r="BC111" i="7"/>
  <c r="BA111" i="7"/>
  <c r="AQ111" i="7"/>
  <c r="AP111" i="7"/>
  <c r="BD111" i="7" s="1"/>
  <c r="AO111" i="7"/>
  <c r="BB111" i="7" s="1"/>
  <c r="AN111" i="7"/>
  <c r="AM111" i="7"/>
  <c r="AZ111" i="7" s="1"/>
  <c r="AL111" i="7"/>
  <c r="AK111" i="7"/>
  <c r="AX111" i="7" s="1"/>
  <c r="AJ111" i="7"/>
  <c r="AI111" i="7"/>
  <c r="AW111" i="7" s="1"/>
  <c r="AH111" i="7"/>
  <c r="AV111" i="7" s="1"/>
  <c r="AG111" i="7"/>
  <c r="AF111" i="7"/>
  <c r="AD111" i="7"/>
  <c r="P111" i="7"/>
  <c r="AQ110" i="7"/>
  <c r="AP110" i="7"/>
  <c r="AO110" i="7"/>
  <c r="AN110" i="7"/>
  <c r="AM110" i="7"/>
  <c r="AL110" i="7"/>
  <c r="AK110" i="7"/>
  <c r="AX110" i="7" s="1"/>
  <c r="AJ110" i="7"/>
  <c r="AI110" i="7"/>
  <c r="AH110" i="7"/>
  <c r="AG110" i="7"/>
  <c r="AF110" i="7"/>
  <c r="AD110" i="7"/>
  <c r="P110" i="7"/>
  <c r="AY109" i="7"/>
  <c r="AX109" i="7"/>
  <c r="AQ109" i="7"/>
  <c r="BD109" i="7" s="1"/>
  <c r="AP109" i="7"/>
  <c r="AO109" i="7"/>
  <c r="BB109" i="7" s="1"/>
  <c r="AN109" i="7"/>
  <c r="AM109" i="7"/>
  <c r="BA109" i="7" s="1"/>
  <c r="AL109" i="7"/>
  <c r="AK109" i="7"/>
  <c r="AJ109" i="7"/>
  <c r="AI109" i="7"/>
  <c r="AH109" i="7"/>
  <c r="AG109" i="7"/>
  <c r="AF109" i="7"/>
  <c r="AD109" i="7"/>
  <c r="P109" i="7"/>
  <c r="BB108" i="7"/>
  <c r="AQ108" i="7"/>
  <c r="AP108" i="7"/>
  <c r="AO108" i="7"/>
  <c r="AN108" i="7"/>
  <c r="AM108" i="7"/>
  <c r="AZ108" i="7" s="1"/>
  <c r="AL108" i="7"/>
  <c r="AK108" i="7"/>
  <c r="AJ108" i="7"/>
  <c r="AI108" i="7"/>
  <c r="AH108" i="7"/>
  <c r="AG108" i="7"/>
  <c r="AF108" i="7"/>
  <c r="AD108" i="7"/>
  <c r="P108" i="7"/>
  <c r="AX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D107" i="7"/>
  <c r="P107" i="7"/>
  <c r="AY106" i="7"/>
  <c r="AQ106" i="7"/>
  <c r="AP106" i="7"/>
  <c r="BD106" i="7" s="1"/>
  <c r="AO106" i="7"/>
  <c r="AN106" i="7"/>
  <c r="AM106" i="7"/>
  <c r="AL106" i="7"/>
  <c r="AK106" i="7"/>
  <c r="AX106" i="7" s="1"/>
  <c r="AJ106" i="7"/>
  <c r="AI106" i="7"/>
  <c r="AH106" i="7"/>
  <c r="AG106" i="7"/>
  <c r="AF106" i="7"/>
  <c r="AD106" i="7"/>
  <c r="P106" i="7"/>
  <c r="AQ105" i="7"/>
  <c r="AP105" i="7"/>
  <c r="AO105" i="7"/>
  <c r="BC105" i="7" s="1"/>
  <c r="AN105" i="7"/>
  <c r="AM105" i="7"/>
  <c r="AL105" i="7"/>
  <c r="AK105" i="7"/>
  <c r="AJ105" i="7"/>
  <c r="AI105" i="7"/>
  <c r="AH105" i="7"/>
  <c r="AG105" i="7"/>
  <c r="AF105" i="7"/>
  <c r="AD105" i="7"/>
  <c r="P105" i="7"/>
  <c r="AY104" i="7"/>
  <c r="AX104" i="7"/>
  <c r="AQ104" i="7"/>
  <c r="AP104" i="7"/>
  <c r="AO104" i="7"/>
  <c r="AN104" i="7"/>
  <c r="AM104" i="7"/>
  <c r="AL104" i="7"/>
  <c r="AK104" i="7"/>
  <c r="AJ104" i="7"/>
  <c r="AI104" i="7"/>
  <c r="AW104" i="7" s="1"/>
  <c r="AH104" i="7"/>
  <c r="AG104" i="7"/>
  <c r="AF104" i="7"/>
  <c r="AD104" i="7"/>
  <c r="P104" i="7"/>
  <c r="BC103" i="7"/>
  <c r="AQ103" i="7"/>
  <c r="BD103" i="7" s="1"/>
  <c r="AP103" i="7"/>
  <c r="AO103" i="7"/>
  <c r="BB103" i="7" s="1"/>
  <c r="AN103" i="7"/>
  <c r="AM103" i="7"/>
  <c r="AL103" i="7"/>
  <c r="AY103" i="7" s="1"/>
  <c r="AK103" i="7"/>
  <c r="AJ103" i="7"/>
  <c r="AI103" i="7"/>
  <c r="AH103" i="7"/>
  <c r="AG103" i="7"/>
  <c r="AF103" i="7"/>
  <c r="AD103" i="7"/>
  <c r="P103" i="7"/>
  <c r="AX102" i="7"/>
  <c r="AQ102" i="7"/>
  <c r="AP102" i="7"/>
  <c r="AO102" i="7"/>
  <c r="BB102" i="7" s="1"/>
  <c r="AN102" i="7"/>
  <c r="BA102" i="7" s="1"/>
  <c r="AM102" i="7"/>
  <c r="AZ102" i="7" s="1"/>
  <c r="AL102" i="7"/>
  <c r="AY102" i="7" s="1"/>
  <c r="AK102" i="7"/>
  <c r="AJ102" i="7"/>
  <c r="AI102" i="7"/>
  <c r="AW102" i="7" s="1"/>
  <c r="AH102" i="7"/>
  <c r="AG102" i="7"/>
  <c r="AF102" i="7"/>
  <c r="AD102" i="7"/>
  <c r="P102" i="7"/>
  <c r="BC101" i="7"/>
  <c r="AQ101" i="7"/>
  <c r="AP101" i="7"/>
  <c r="BD101" i="7" s="1"/>
  <c r="AO101" i="7"/>
  <c r="BB101" i="7" s="1"/>
  <c r="AN101" i="7"/>
  <c r="AM101" i="7"/>
  <c r="AL101" i="7"/>
  <c r="AK101" i="7"/>
  <c r="AJ101" i="7"/>
  <c r="AI101" i="7"/>
  <c r="AH101" i="7"/>
  <c r="AG101" i="7"/>
  <c r="AF101" i="7"/>
  <c r="AD101" i="7"/>
  <c r="P101" i="7"/>
  <c r="AX100" i="7"/>
  <c r="AQ100" i="7"/>
  <c r="AP100" i="7"/>
  <c r="BC100" i="7" s="1"/>
  <c r="AO100" i="7"/>
  <c r="AN100" i="7"/>
  <c r="AM100" i="7"/>
  <c r="AL100" i="7"/>
  <c r="AK100" i="7"/>
  <c r="AJ100" i="7"/>
  <c r="AI100" i="7"/>
  <c r="AW100" i="7" s="1"/>
  <c r="AH100" i="7"/>
  <c r="AG100" i="7"/>
  <c r="AF100" i="7"/>
  <c r="AD100" i="7"/>
  <c r="P100" i="7"/>
  <c r="BA99" i="7"/>
  <c r="AQ99" i="7"/>
  <c r="AP99" i="7"/>
  <c r="AO99" i="7"/>
  <c r="BB99" i="7" s="1"/>
  <c r="AN99" i="7"/>
  <c r="AM99" i="7"/>
  <c r="AL99" i="7"/>
  <c r="AY99" i="7" s="1"/>
  <c r="AK99" i="7"/>
  <c r="AJ99" i="7"/>
  <c r="AI99" i="7"/>
  <c r="AH99" i="7"/>
  <c r="AG99" i="7"/>
  <c r="AF99" i="7"/>
  <c r="AD99" i="7"/>
  <c r="P99" i="7"/>
  <c r="BD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D98" i="7"/>
  <c r="P98" i="7"/>
  <c r="BB97" i="7"/>
  <c r="BA97" i="7"/>
  <c r="AZ97" i="7"/>
  <c r="AX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D97" i="7"/>
  <c r="P97" i="7"/>
  <c r="AQ96" i="7"/>
  <c r="AP96" i="7"/>
  <c r="BC96" i="7" s="1"/>
  <c r="AO96" i="7"/>
  <c r="AN96" i="7"/>
  <c r="AM96" i="7"/>
  <c r="AL96" i="7"/>
  <c r="AK96" i="7"/>
  <c r="AJ96" i="7"/>
  <c r="AI96" i="7"/>
  <c r="AH96" i="7"/>
  <c r="AG96" i="7"/>
  <c r="AF96" i="7"/>
  <c r="AD96" i="7"/>
  <c r="P96" i="7"/>
  <c r="BB95" i="7"/>
  <c r="BA95" i="7"/>
  <c r="AQ95" i="7"/>
  <c r="BD95" i="7" s="1"/>
  <c r="AP95" i="7"/>
  <c r="BC95" i="7" s="1"/>
  <c r="AO95" i="7"/>
  <c r="AN95" i="7"/>
  <c r="AM95" i="7"/>
  <c r="AZ95" i="7" s="1"/>
  <c r="AL95" i="7"/>
  <c r="AK95" i="7"/>
  <c r="AY95" i="7" s="1"/>
  <c r="AJ95" i="7"/>
  <c r="AI95" i="7"/>
  <c r="AW95" i="7" s="1"/>
  <c r="AH95" i="7"/>
  <c r="AG95" i="7"/>
  <c r="AF95" i="7"/>
  <c r="AD95" i="7"/>
  <c r="P95" i="7"/>
  <c r="AY94" i="7"/>
  <c r="AQ94" i="7"/>
  <c r="AP94" i="7"/>
  <c r="AO94" i="7"/>
  <c r="AN94" i="7"/>
  <c r="AM94" i="7"/>
  <c r="AZ94" i="7" s="1"/>
  <c r="AL94" i="7"/>
  <c r="AK94" i="7"/>
  <c r="AJ94" i="7"/>
  <c r="AX94" i="7" s="1"/>
  <c r="AI94" i="7"/>
  <c r="AW94" i="7" s="1"/>
  <c r="AH94" i="7"/>
  <c r="AG94" i="7"/>
  <c r="AF94" i="7"/>
  <c r="AD94" i="7"/>
  <c r="P94" i="7"/>
  <c r="AQ93" i="7"/>
  <c r="AP93" i="7"/>
  <c r="BD93" i="7" s="1"/>
  <c r="AO93" i="7"/>
  <c r="AN93" i="7"/>
  <c r="AM93" i="7"/>
  <c r="AL93" i="7"/>
  <c r="AK93" i="7"/>
  <c r="AX93" i="7" s="1"/>
  <c r="AJ93" i="7"/>
  <c r="AI93" i="7"/>
  <c r="AW93" i="7" s="1"/>
  <c r="AH93" i="7"/>
  <c r="AG93" i="7"/>
  <c r="AF93" i="7"/>
  <c r="AD93" i="7"/>
  <c r="P93" i="7"/>
  <c r="BC92" i="7"/>
  <c r="AX92" i="7"/>
  <c r="AQ92" i="7"/>
  <c r="BD92" i="7" s="1"/>
  <c r="AP92" i="7"/>
  <c r="AO92" i="7"/>
  <c r="AN92" i="7"/>
  <c r="AM92" i="7"/>
  <c r="AL92" i="7"/>
  <c r="AK92" i="7"/>
  <c r="AJ92" i="7"/>
  <c r="AI92" i="7"/>
  <c r="AW92" i="7" s="1"/>
  <c r="AH92" i="7"/>
  <c r="AG92" i="7"/>
  <c r="AF92" i="7"/>
  <c r="AD92" i="7"/>
  <c r="P92" i="7"/>
  <c r="AQ91" i="7"/>
  <c r="BD91" i="7" s="1"/>
  <c r="AP91" i="7"/>
  <c r="AO91" i="7"/>
  <c r="BB91" i="7" s="1"/>
  <c r="AN91" i="7"/>
  <c r="AM91" i="7"/>
  <c r="AL91" i="7"/>
  <c r="AK91" i="7"/>
  <c r="AX91" i="7" s="1"/>
  <c r="AJ91" i="7"/>
  <c r="AI91" i="7"/>
  <c r="AH91" i="7"/>
  <c r="AG91" i="7"/>
  <c r="AF91" i="7"/>
  <c r="AD91" i="7"/>
  <c r="P91" i="7"/>
  <c r="BD90" i="7"/>
  <c r="BC90" i="7"/>
  <c r="BB90" i="7"/>
  <c r="AQ90" i="7"/>
  <c r="AP90" i="7"/>
  <c r="AO90" i="7"/>
  <c r="AN90" i="7"/>
  <c r="AM90" i="7"/>
  <c r="BA90" i="7" s="1"/>
  <c r="AL90" i="7"/>
  <c r="AY90" i="7" s="1"/>
  <c r="AK90" i="7"/>
  <c r="AJ90" i="7"/>
  <c r="AI90" i="7"/>
  <c r="AH90" i="7"/>
  <c r="AG90" i="7"/>
  <c r="AF90" i="7"/>
  <c r="AD90" i="7"/>
  <c r="P90" i="7"/>
  <c r="AX89" i="7"/>
  <c r="AQ89" i="7"/>
  <c r="AP89" i="7"/>
  <c r="BD89" i="7" s="1"/>
  <c r="AO89" i="7"/>
  <c r="AN89" i="7"/>
  <c r="AM89" i="7"/>
  <c r="AL89" i="7"/>
  <c r="AK89" i="7"/>
  <c r="AJ89" i="7"/>
  <c r="AI89" i="7"/>
  <c r="AW89" i="7" s="1"/>
  <c r="AH89" i="7"/>
  <c r="AG89" i="7"/>
  <c r="AF89" i="7"/>
  <c r="AD89" i="7"/>
  <c r="P89" i="7"/>
  <c r="AY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D88" i="7"/>
  <c r="P88" i="7"/>
  <c r="AQ87" i="7"/>
  <c r="AP87" i="7"/>
  <c r="AO87" i="7"/>
  <c r="BB87" i="7" s="1"/>
  <c r="AN87" i="7"/>
  <c r="AM87" i="7"/>
  <c r="AL87" i="7"/>
  <c r="AY87" i="7" s="1"/>
  <c r="AK87" i="7"/>
  <c r="AJ87" i="7"/>
  <c r="AI87" i="7"/>
  <c r="AW87" i="7" s="1"/>
  <c r="AH87" i="7"/>
  <c r="AG87" i="7"/>
  <c r="AF87" i="7"/>
  <c r="AD87" i="7"/>
  <c r="P87" i="7"/>
  <c r="AQ86" i="7"/>
  <c r="AP86" i="7"/>
  <c r="BD86" i="7" s="1"/>
  <c r="AO86" i="7"/>
  <c r="BB86" i="7" s="1"/>
  <c r="AN86" i="7"/>
  <c r="AM86" i="7"/>
  <c r="AL86" i="7"/>
  <c r="AK86" i="7"/>
  <c r="AJ86" i="7"/>
  <c r="AI86" i="7"/>
  <c r="AH86" i="7"/>
  <c r="AG86" i="7"/>
  <c r="AF86" i="7"/>
  <c r="AD86" i="7"/>
  <c r="P86" i="7"/>
  <c r="AY85" i="7"/>
  <c r="AX85" i="7"/>
  <c r="AQ85" i="7"/>
  <c r="AP85" i="7"/>
  <c r="BC85" i="7" s="1"/>
  <c r="AO85" i="7"/>
  <c r="AN85" i="7"/>
  <c r="AM85" i="7"/>
  <c r="AZ85" i="7" s="1"/>
  <c r="AL85" i="7"/>
  <c r="AK85" i="7"/>
  <c r="AJ85" i="7"/>
  <c r="AI85" i="7"/>
  <c r="AW85" i="7" s="1"/>
  <c r="AH85" i="7"/>
  <c r="AG85" i="7"/>
  <c r="AF85" i="7"/>
  <c r="AD85" i="7"/>
  <c r="P85" i="7"/>
  <c r="AQ84" i="7"/>
  <c r="AP84" i="7"/>
  <c r="AO84" i="7"/>
  <c r="AN84" i="7"/>
  <c r="BA84" i="7" s="1"/>
  <c r="AM84" i="7"/>
  <c r="AL84" i="7"/>
  <c r="AK84" i="7"/>
  <c r="AX84" i="7" s="1"/>
  <c r="AJ84" i="7"/>
  <c r="AI84" i="7"/>
  <c r="AW84" i="7" s="1"/>
  <c r="AH84" i="7"/>
  <c r="AG84" i="7"/>
  <c r="AF84" i="7"/>
  <c r="AD84" i="7"/>
  <c r="P84" i="7"/>
  <c r="BA83" i="7"/>
  <c r="AQ83" i="7"/>
  <c r="AP83" i="7"/>
  <c r="AO83" i="7"/>
  <c r="BB83" i="7" s="1"/>
  <c r="AN83" i="7"/>
  <c r="AM83" i="7"/>
  <c r="AL83" i="7"/>
  <c r="AY83" i="7" s="1"/>
  <c r="AK83" i="7"/>
  <c r="AJ83" i="7"/>
  <c r="AI83" i="7"/>
  <c r="AH83" i="7"/>
  <c r="AG83" i="7"/>
  <c r="AF83" i="7"/>
  <c r="AD83" i="7"/>
  <c r="P83" i="7"/>
  <c r="BA82" i="7"/>
  <c r="AQ82" i="7"/>
  <c r="AP82" i="7"/>
  <c r="AO82" i="7"/>
  <c r="BB82" i="7" s="1"/>
  <c r="AN82" i="7"/>
  <c r="AM82" i="7"/>
  <c r="AL82" i="7"/>
  <c r="AY82" i="7" s="1"/>
  <c r="AK82" i="7"/>
  <c r="AJ82" i="7"/>
  <c r="AX82" i="7" s="1"/>
  <c r="AI82" i="7"/>
  <c r="AH82" i="7"/>
  <c r="AG82" i="7"/>
  <c r="AF82" i="7"/>
  <c r="AD82" i="7"/>
  <c r="P82" i="7"/>
  <c r="AZ81" i="7"/>
  <c r="AQ81" i="7"/>
  <c r="AP81" i="7"/>
  <c r="AO81" i="7"/>
  <c r="AN81" i="7"/>
  <c r="AM81" i="7"/>
  <c r="AL81" i="7"/>
  <c r="AY81" i="7" s="1"/>
  <c r="AK81" i="7"/>
  <c r="AJ81" i="7"/>
  <c r="AI81" i="7"/>
  <c r="AH81" i="7"/>
  <c r="AG81" i="7"/>
  <c r="AF81" i="7"/>
  <c r="AD81" i="7"/>
  <c r="P81" i="7"/>
  <c r="AX80" i="7"/>
  <c r="AQ80" i="7"/>
  <c r="AP80" i="7"/>
  <c r="BC80" i="7" s="1"/>
  <c r="AO80" i="7"/>
  <c r="AN80" i="7"/>
  <c r="AM80" i="7"/>
  <c r="AL80" i="7"/>
  <c r="AK80" i="7"/>
  <c r="AJ80" i="7"/>
  <c r="AI80" i="7"/>
  <c r="AH80" i="7"/>
  <c r="AG80" i="7"/>
  <c r="AF80" i="7"/>
  <c r="AD80" i="7"/>
  <c r="P80" i="7"/>
  <c r="AY79" i="7"/>
  <c r="AQ79" i="7"/>
  <c r="AP79" i="7"/>
  <c r="AO79" i="7"/>
  <c r="AN79" i="7"/>
  <c r="AM79" i="7"/>
  <c r="AL79" i="7"/>
  <c r="AK79" i="7"/>
  <c r="AJ79" i="7"/>
  <c r="AI79" i="7"/>
  <c r="AW79" i="7" s="1"/>
  <c r="AH79" i="7"/>
  <c r="AG79" i="7"/>
  <c r="AF79" i="7"/>
  <c r="AD79" i="7"/>
  <c r="P79" i="7"/>
  <c r="BA78" i="7"/>
  <c r="AZ78" i="7"/>
  <c r="AQ78" i="7"/>
  <c r="BD78" i="7" s="1"/>
  <c r="AP78" i="7"/>
  <c r="AO78" i="7"/>
  <c r="AN78" i="7"/>
  <c r="AM78" i="7"/>
  <c r="AL78" i="7"/>
  <c r="AK78" i="7"/>
  <c r="AX78" i="7" s="1"/>
  <c r="AJ78" i="7"/>
  <c r="AI78" i="7"/>
  <c r="AH78" i="7"/>
  <c r="AG78" i="7"/>
  <c r="AF78" i="7"/>
  <c r="AD78" i="7"/>
  <c r="P78" i="7"/>
  <c r="AZ77" i="7"/>
  <c r="AY77" i="7"/>
  <c r="AX77" i="7"/>
  <c r="AQ77" i="7"/>
  <c r="AP77" i="7"/>
  <c r="AO77" i="7"/>
  <c r="AN77" i="7"/>
  <c r="AM77" i="7"/>
  <c r="AL77" i="7"/>
  <c r="AK77" i="7"/>
  <c r="AJ77" i="7"/>
  <c r="AI77" i="7"/>
  <c r="AW77" i="7" s="1"/>
  <c r="AH77" i="7"/>
  <c r="AG77" i="7"/>
  <c r="AF77" i="7"/>
  <c r="AD77" i="7"/>
  <c r="P77" i="7"/>
  <c r="BA76" i="7"/>
  <c r="AQ76" i="7"/>
  <c r="BD76" i="7" s="1"/>
  <c r="AP76" i="7"/>
  <c r="BC76" i="7" s="1"/>
  <c r="AO76" i="7"/>
  <c r="AN76" i="7"/>
  <c r="AM76" i="7"/>
  <c r="AL76" i="7"/>
  <c r="AK76" i="7"/>
  <c r="AX76" i="7" s="1"/>
  <c r="AJ76" i="7"/>
  <c r="AI76" i="7"/>
  <c r="AH76" i="7"/>
  <c r="AG76" i="7"/>
  <c r="AF76" i="7"/>
  <c r="AD76" i="7"/>
  <c r="P76" i="7"/>
  <c r="AQ75" i="7"/>
  <c r="AP75" i="7"/>
  <c r="BC75" i="7" s="1"/>
  <c r="AO75" i="7"/>
  <c r="BB75" i="7" s="1"/>
  <c r="AN75" i="7"/>
  <c r="BA75" i="7" s="1"/>
  <c r="AM75" i="7"/>
  <c r="AL75" i="7"/>
  <c r="AK75" i="7"/>
  <c r="AX75" i="7" s="1"/>
  <c r="AJ75" i="7"/>
  <c r="AI75" i="7"/>
  <c r="AW75" i="7" s="1"/>
  <c r="AH75" i="7"/>
  <c r="AG75" i="7"/>
  <c r="AF75" i="7"/>
  <c r="AD75" i="7"/>
  <c r="P75" i="7"/>
  <c r="BD74" i="7"/>
  <c r="BC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D74" i="7"/>
  <c r="P74" i="7"/>
  <c r="AQ73" i="7"/>
  <c r="AP73" i="7"/>
  <c r="AO73" i="7"/>
  <c r="AN73" i="7"/>
  <c r="BB73" i="7" s="1"/>
  <c r="AM73" i="7"/>
  <c r="AL73" i="7"/>
  <c r="AK73" i="7"/>
  <c r="AJ73" i="7"/>
  <c r="AI73" i="7"/>
  <c r="AH73" i="7"/>
  <c r="AG73" i="7"/>
  <c r="AF73" i="7"/>
  <c r="AD73" i="7"/>
  <c r="P73" i="7"/>
  <c r="AX72" i="7"/>
  <c r="AQ72" i="7"/>
  <c r="AP72" i="7"/>
  <c r="BC72" i="7" s="1"/>
  <c r="AO72" i="7"/>
  <c r="AN72" i="7"/>
  <c r="BA72" i="7" s="1"/>
  <c r="AM72" i="7"/>
  <c r="AL72" i="7"/>
  <c r="AZ72" i="7" s="1"/>
  <c r="AK72" i="7"/>
  <c r="AJ72" i="7"/>
  <c r="AI72" i="7"/>
  <c r="AH72" i="7"/>
  <c r="AG72" i="7"/>
  <c r="AF72" i="7"/>
  <c r="AD72" i="7"/>
  <c r="P72" i="7"/>
  <c r="BD71" i="7"/>
  <c r="BC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D71" i="7"/>
  <c r="P71" i="7"/>
  <c r="BA70" i="7"/>
  <c r="AZ70" i="7"/>
  <c r="AY70" i="7"/>
  <c r="AQ70" i="7"/>
  <c r="AP70" i="7"/>
  <c r="AO70" i="7"/>
  <c r="BB70" i="7" s="1"/>
  <c r="AN70" i="7"/>
  <c r="AM70" i="7"/>
  <c r="AL70" i="7"/>
  <c r="AK70" i="7"/>
  <c r="AJ70" i="7"/>
  <c r="AX70" i="7" s="1"/>
  <c r="AI70" i="7"/>
  <c r="AW70" i="7" s="1"/>
  <c r="AH70" i="7"/>
  <c r="AG70" i="7"/>
  <c r="AF70" i="7"/>
  <c r="AD70" i="7"/>
  <c r="P70" i="7"/>
  <c r="AQ69" i="7"/>
  <c r="AP69" i="7"/>
  <c r="AO69" i="7"/>
  <c r="BB69" i="7" s="1"/>
  <c r="AN69" i="7"/>
  <c r="AM69" i="7"/>
  <c r="AL69" i="7"/>
  <c r="AK69" i="7"/>
  <c r="AJ69" i="7"/>
  <c r="AI69" i="7"/>
  <c r="AH69" i="7"/>
  <c r="AG69" i="7"/>
  <c r="AF69" i="7"/>
  <c r="AD69" i="7"/>
  <c r="P69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D68" i="7"/>
  <c r="P68" i="7"/>
  <c r="AQ67" i="7"/>
  <c r="AP67" i="7"/>
  <c r="AO67" i="7"/>
  <c r="BB67" i="7" s="1"/>
  <c r="AN67" i="7"/>
  <c r="AM67" i="7"/>
  <c r="AL67" i="7"/>
  <c r="AY67" i="7" s="1"/>
  <c r="AK67" i="7"/>
  <c r="AJ67" i="7"/>
  <c r="AI67" i="7"/>
  <c r="AW67" i="7" s="1"/>
  <c r="AH67" i="7"/>
  <c r="AG67" i="7"/>
  <c r="AF67" i="7"/>
  <c r="AD67" i="7"/>
  <c r="P67" i="7"/>
  <c r="AQ66" i="7"/>
  <c r="AP66" i="7"/>
  <c r="AO66" i="7"/>
  <c r="AN66" i="7"/>
  <c r="AM66" i="7"/>
  <c r="AL66" i="7"/>
  <c r="AY66" i="7" s="1"/>
  <c r="AK66" i="7"/>
  <c r="AJ66" i="7"/>
  <c r="AI66" i="7"/>
  <c r="AH66" i="7"/>
  <c r="AG66" i="7"/>
  <c r="AF66" i="7"/>
  <c r="AD66" i="7"/>
  <c r="P66" i="7"/>
  <c r="BC65" i="7"/>
  <c r="BA65" i="7"/>
  <c r="AY65" i="7"/>
  <c r="AQ65" i="7"/>
  <c r="AP65" i="7"/>
  <c r="AO65" i="7"/>
  <c r="BB65" i="7" s="1"/>
  <c r="AN65" i="7"/>
  <c r="AM65" i="7"/>
  <c r="AL65" i="7"/>
  <c r="AK65" i="7"/>
  <c r="AJ65" i="7"/>
  <c r="AX65" i="7" s="1"/>
  <c r="AI65" i="7"/>
  <c r="AW65" i="7" s="1"/>
  <c r="AH65" i="7"/>
  <c r="AG65" i="7"/>
  <c r="AF65" i="7"/>
  <c r="AD65" i="7"/>
  <c r="P65" i="7"/>
  <c r="AQ64" i="7"/>
  <c r="AP64" i="7"/>
  <c r="AO64" i="7"/>
  <c r="AN64" i="7"/>
  <c r="AM64" i="7"/>
  <c r="AL64" i="7"/>
  <c r="AK64" i="7"/>
  <c r="AX64" i="7" s="1"/>
  <c r="AJ64" i="7"/>
  <c r="AI64" i="7"/>
  <c r="AH64" i="7"/>
  <c r="AG64" i="7"/>
  <c r="AF64" i="7"/>
  <c r="AD64" i="7"/>
  <c r="P64" i="7"/>
  <c r="BC63" i="7"/>
  <c r="BB63" i="7"/>
  <c r="AQ63" i="7"/>
  <c r="BD63" i="7" s="1"/>
  <c r="AP63" i="7"/>
  <c r="AO63" i="7"/>
  <c r="AN63" i="7"/>
  <c r="AM63" i="7"/>
  <c r="BA63" i="7" s="1"/>
  <c r="AL63" i="7"/>
  <c r="AK63" i="7"/>
  <c r="AJ63" i="7"/>
  <c r="AI63" i="7"/>
  <c r="AH63" i="7"/>
  <c r="AG63" i="7"/>
  <c r="AF63" i="7"/>
  <c r="AD63" i="7"/>
  <c r="P63" i="7"/>
  <c r="AQ62" i="7"/>
  <c r="AP62" i="7"/>
  <c r="AO62" i="7"/>
  <c r="AN62" i="7"/>
  <c r="AM62" i="7"/>
  <c r="AZ62" i="7" s="1"/>
  <c r="AL62" i="7"/>
  <c r="AY62" i="7" s="1"/>
  <c r="AK62" i="7"/>
  <c r="AJ62" i="7"/>
  <c r="AI62" i="7"/>
  <c r="AH62" i="7"/>
  <c r="AG62" i="7"/>
  <c r="AF62" i="7"/>
  <c r="AD62" i="7"/>
  <c r="P62" i="7"/>
  <c r="AQ61" i="7"/>
  <c r="BD61" i="7" s="1"/>
  <c r="AP61" i="7"/>
  <c r="BC61" i="7" s="1"/>
  <c r="AO61" i="7"/>
  <c r="AN61" i="7"/>
  <c r="AM61" i="7"/>
  <c r="AL61" i="7"/>
  <c r="AZ61" i="7" s="1"/>
  <c r="AK61" i="7"/>
  <c r="AJ61" i="7"/>
  <c r="AX61" i="7" s="1"/>
  <c r="AI61" i="7"/>
  <c r="AH61" i="7"/>
  <c r="AG61" i="7"/>
  <c r="AF61" i="7"/>
  <c r="AD61" i="7"/>
  <c r="P61" i="7"/>
  <c r="AZ60" i="7"/>
  <c r="AY60" i="7"/>
  <c r="AX60" i="7"/>
  <c r="AQ60" i="7"/>
  <c r="AP60" i="7"/>
  <c r="AO60" i="7"/>
  <c r="AN60" i="7"/>
  <c r="BA60" i="7" s="1"/>
  <c r="AM60" i="7"/>
  <c r="AL60" i="7"/>
  <c r="AK60" i="7"/>
  <c r="AJ60" i="7"/>
  <c r="AI60" i="7"/>
  <c r="AH60" i="7"/>
  <c r="AG60" i="7"/>
  <c r="AF60" i="7"/>
  <c r="AD60" i="7"/>
  <c r="P60" i="7"/>
  <c r="AQ59" i="7"/>
  <c r="BD59" i="7" s="1"/>
  <c r="AP59" i="7"/>
  <c r="AO59" i="7"/>
  <c r="BB59" i="7" s="1"/>
  <c r="AN59" i="7"/>
  <c r="AM59" i="7"/>
  <c r="AZ59" i="7" s="1"/>
  <c r="AL59" i="7"/>
  <c r="AK59" i="7"/>
  <c r="AJ59" i="7"/>
  <c r="AI59" i="7"/>
  <c r="AH59" i="7"/>
  <c r="AG59" i="7"/>
  <c r="AF59" i="7"/>
  <c r="AD59" i="7"/>
  <c r="P59" i="7"/>
  <c r="BA58" i="7"/>
  <c r="AZ58" i="7"/>
  <c r="AQ58" i="7"/>
  <c r="AP58" i="7"/>
  <c r="BD58" i="7" s="1"/>
  <c r="AO58" i="7"/>
  <c r="BC58" i="7" s="1"/>
  <c r="AN58" i="7"/>
  <c r="AM58" i="7"/>
  <c r="AL58" i="7"/>
  <c r="AK58" i="7"/>
  <c r="AJ58" i="7"/>
  <c r="AX58" i="7" s="1"/>
  <c r="AI58" i="7"/>
  <c r="AW58" i="7" s="1"/>
  <c r="AH58" i="7"/>
  <c r="AG58" i="7"/>
  <c r="AF58" i="7"/>
  <c r="AD58" i="7"/>
  <c r="P58" i="7"/>
  <c r="AQ57" i="7"/>
  <c r="BD57" i="7" s="1"/>
  <c r="AP57" i="7"/>
  <c r="AO57" i="7"/>
  <c r="AN57" i="7"/>
  <c r="AM57" i="7"/>
  <c r="AL57" i="7"/>
  <c r="AY57" i="7" s="1"/>
  <c r="AK57" i="7"/>
  <c r="AJ57" i="7"/>
  <c r="AI57" i="7"/>
  <c r="AH57" i="7"/>
  <c r="AG57" i="7"/>
  <c r="AF57" i="7"/>
  <c r="AD57" i="7"/>
  <c r="P57" i="7"/>
  <c r="AY56" i="7"/>
  <c r="AQ56" i="7"/>
  <c r="AP56" i="7"/>
  <c r="AO56" i="7"/>
  <c r="AN56" i="7"/>
  <c r="AM56" i="7"/>
  <c r="AL56" i="7"/>
  <c r="AK56" i="7"/>
  <c r="AJ56" i="7"/>
  <c r="AX56" i="7" s="1"/>
  <c r="AI56" i="7"/>
  <c r="AH56" i="7"/>
  <c r="AG56" i="7"/>
  <c r="AF56" i="7"/>
  <c r="AD56" i="7"/>
  <c r="P56" i="7"/>
  <c r="BA55" i="7"/>
  <c r="AQ55" i="7"/>
  <c r="AP55" i="7"/>
  <c r="AO55" i="7"/>
  <c r="BB55" i="7" s="1"/>
  <c r="AN55" i="7"/>
  <c r="AM55" i="7"/>
  <c r="AL55" i="7"/>
  <c r="AY55" i="7" s="1"/>
  <c r="AK55" i="7"/>
  <c r="AJ55" i="7"/>
  <c r="AI55" i="7"/>
  <c r="AW55" i="7" s="1"/>
  <c r="AH55" i="7"/>
  <c r="AG55" i="7"/>
  <c r="AF55" i="7"/>
  <c r="AD55" i="7"/>
  <c r="P55" i="7"/>
  <c r="BD54" i="7"/>
  <c r="AQ54" i="7"/>
  <c r="AP54" i="7"/>
  <c r="AO54" i="7"/>
  <c r="BB54" i="7" s="1"/>
  <c r="AN54" i="7"/>
  <c r="BA54" i="7" s="1"/>
  <c r="AM54" i="7"/>
  <c r="AL54" i="7"/>
  <c r="AK54" i="7"/>
  <c r="AJ54" i="7"/>
  <c r="AI54" i="7"/>
  <c r="AH54" i="7"/>
  <c r="AG54" i="7"/>
  <c r="AF54" i="7"/>
  <c r="AD54" i="7"/>
  <c r="P54" i="7"/>
  <c r="BC53" i="7"/>
  <c r="AZ53" i="7"/>
  <c r="AY53" i="7"/>
  <c r="AX53" i="7"/>
  <c r="AQ53" i="7"/>
  <c r="BD53" i="7" s="1"/>
  <c r="AP53" i="7"/>
  <c r="AO53" i="7"/>
  <c r="BB53" i="7" s="1"/>
  <c r="AN53" i="7"/>
  <c r="AM53" i="7"/>
  <c r="AL53" i="7"/>
  <c r="AK53" i="7"/>
  <c r="AJ53" i="7"/>
  <c r="AI53" i="7"/>
  <c r="AW53" i="7" s="1"/>
  <c r="AH53" i="7"/>
  <c r="AG53" i="7"/>
  <c r="AF53" i="7"/>
  <c r="AD53" i="7"/>
  <c r="P53" i="7"/>
  <c r="AQ52" i="7"/>
  <c r="AP52" i="7"/>
  <c r="AO52" i="7"/>
  <c r="AN52" i="7"/>
  <c r="AM52" i="7"/>
  <c r="AL52" i="7"/>
  <c r="AY52" i="7" s="1"/>
  <c r="AK52" i="7"/>
  <c r="AX52" i="7" s="1"/>
  <c r="AJ52" i="7"/>
  <c r="AI52" i="7"/>
  <c r="AW52" i="7" s="1"/>
  <c r="AH52" i="7"/>
  <c r="AG52" i="7"/>
  <c r="AF52" i="7"/>
  <c r="AD52" i="7"/>
  <c r="P52" i="7"/>
  <c r="AY51" i="7"/>
  <c r="AQ51" i="7"/>
  <c r="BD51" i="7" s="1"/>
  <c r="AP51" i="7"/>
  <c r="AO51" i="7"/>
  <c r="BB51" i="7" s="1"/>
  <c r="AN51" i="7"/>
  <c r="AM51" i="7"/>
  <c r="AL51" i="7"/>
  <c r="AK51" i="7"/>
  <c r="AJ51" i="7"/>
  <c r="AI51" i="7"/>
  <c r="AH51" i="7"/>
  <c r="AG51" i="7"/>
  <c r="AF51" i="7"/>
  <c r="AD51" i="7"/>
  <c r="P51" i="7"/>
  <c r="AZ50" i="7"/>
  <c r="AQ50" i="7"/>
  <c r="AP50" i="7"/>
  <c r="AO50" i="7"/>
  <c r="AN50" i="7"/>
  <c r="BA50" i="7" s="1"/>
  <c r="AM50" i="7"/>
  <c r="AL50" i="7"/>
  <c r="AK50" i="7"/>
  <c r="AY50" i="7" s="1"/>
  <c r="AJ50" i="7"/>
  <c r="AI50" i="7"/>
  <c r="AH50" i="7"/>
  <c r="AG50" i="7"/>
  <c r="AF50" i="7"/>
  <c r="AD50" i="7"/>
  <c r="P50" i="7"/>
  <c r="AQ49" i="7"/>
  <c r="BD49" i="7" s="1"/>
  <c r="AP49" i="7"/>
  <c r="BC49" i="7" s="1"/>
  <c r="AO49" i="7"/>
  <c r="AN49" i="7"/>
  <c r="AM49" i="7"/>
  <c r="AL49" i="7"/>
  <c r="AY49" i="7" s="1"/>
  <c r="AK49" i="7"/>
  <c r="AJ49" i="7"/>
  <c r="AI49" i="7"/>
  <c r="AW49" i="7" s="1"/>
  <c r="AH49" i="7"/>
  <c r="AG49" i="7"/>
  <c r="AF49" i="7"/>
  <c r="AD49" i="7"/>
  <c r="P49" i="7"/>
  <c r="BC48" i="7"/>
  <c r="BA48" i="7"/>
  <c r="AQ48" i="7"/>
  <c r="BD48" i="7" s="1"/>
  <c r="AP48" i="7"/>
  <c r="AO48" i="7"/>
  <c r="AN48" i="7"/>
  <c r="AM48" i="7"/>
  <c r="AL48" i="7"/>
  <c r="AZ48" i="7" s="1"/>
  <c r="AK48" i="7"/>
  <c r="AX48" i="7" s="1"/>
  <c r="AJ48" i="7"/>
  <c r="AI48" i="7"/>
  <c r="AH48" i="7"/>
  <c r="AG48" i="7"/>
  <c r="AF48" i="7"/>
  <c r="AD48" i="7"/>
  <c r="P48" i="7"/>
  <c r="BA47" i="7"/>
  <c r="AQ47" i="7"/>
  <c r="AP47" i="7"/>
  <c r="BC47" i="7" s="1"/>
  <c r="AO47" i="7"/>
  <c r="AN47" i="7"/>
  <c r="BB47" i="7" s="1"/>
  <c r="AM47" i="7"/>
  <c r="AL47" i="7"/>
  <c r="AY47" i="7" s="1"/>
  <c r="AK47" i="7"/>
  <c r="AJ47" i="7"/>
  <c r="AI47" i="7"/>
  <c r="AH47" i="7"/>
  <c r="AG47" i="7"/>
  <c r="AF47" i="7"/>
  <c r="AD47" i="7"/>
  <c r="P47" i="7"/>
  <c r="AQ46" i="7"/>
  <c r="BD46" i="7" s="1"/>
  <c r="AP46" i="7"/>
  <c r="AO46" i="7"/>
  <c r="AN46" i="7"/>
  <c r="AM46" i="7"/>
  <c r="AL46" i="7"/>
  <c r="AK46" i="7"/>
  <c r="AX46" i="7" s="1"/>
  <c r="AJ46" i="7"/>
  <c r="AI46" i="7"/>
  <c r="AH46" i="7"/>
  <c r="AG46" i="7"/>
  <c r="AF46" i="7"/>
  <c r="AD46" i="7"/>
  <c r="P46" i="7"/>
  <c r="BB45" i="7"/>
  <c r="AZ45" i="7"/>
  <c r="AY45" i="7"/>
  <c r="AX45" i="7"/>
  <c r="AQ45" i="7"/>
  <c r="BD45" i="7" s="1"/>
  <c r="AP45" i="7"/>
  <c r="BC45" i="7" s="1"/>
  <c r="AO45" i="7"/>
  <c r="AN45" i="7"/>
  <c r="BA45" i="7" s="1"/>
  <c r="AM45" i="7"/>
  <c r="AL45" i="7"/>
  <c r="AK45" i="7"/>
  <c r="AJ45" i="7"/>
  <c r="AI45" i="7"/>
  <c r="AH45" i="7"/>
  <c r="AG45" i="7"/>
  <c r="AF45" i="7"/>
  <c r="AD45" i="7"/>
  <c r="P45" i="7"/>
  <c r="BD44" i="7"/>
  <c r="BC44" i="7"/>
  <c r="BA44" i="7"/>
  <c r="AY44" i="7"/>
  <c r="AQ44" i="7"/>
  <c r="AP44" i="7"/>
  <c r="AO44" i="7"/>
  <c r="AN44" i="7"/>
  <c r="AM44" i="7"/>
  <c r="AZ44" i="7" s="1"/>
  <c r="AL44" i="7"/>
  <c r="AK44" i="7"/>
  <c r="AX44" i="7" s="1"/>
  <c r="AJ44" i="7"/>
  <c r="AI44" i="7"/>
  <c r="AW44" i="7" s="1"/>
  <c r="AH44" i="7"/>
  <c r="AG44" i="7"/>
  <c r="AF44" i="7"/>
  <c r="AD44" i="7"/>
  <c r="P44" i="7"/>
  <c r="AQ43" i="7"/>
  <c r="AP43" i="7"/>
  <c r="AO43" i="7"/>
  <c r="AN43" i="7"/>
  <c r="AM43" i="7"/>
  <c r="AL43" i="7"/>
  <c r="AY43" i="7" s="1"/>
  <c r="AK43" i="7"/>
  <c r="AJ43" i="7"/>
  <c r="AI43" i="7"/>
  <c r="AW43" i="7" s="1"/>
  <c r="AH43" i="7"/>
  <c r="AG43" i="7"/>
  <c r="AF43" i="7"/>
  <c r="AD43" i="7"/>
  <c r="P43" i="7"/>
  <c r="AZ42" i="7"/>
  <c r="AQ42" i="7"/>
  <c r="BD42" i="7" s="1"/>
  <c r="AP42" i="7"/>
  <c r="AO42" i="7"/>
  <c r="BB42" i="7" s="1"/>
  <c r="AN42" i="7"/>
  <c r="BA42" i="7" s="1"/>
  <c r="AM42" i="7"/>
  <c r="AL42" i="7"/>
  <c r="AK42" i="7"/>
  <c r="AJ42" i="7"/>
  <c r="AI42" i="7"/>
  <c r="AH42" i="7"/>
  <c r="AG42" i="7"/>
  <c r="AF42" i="7"/>
  <c r="AD42" i="7"/>
  <c r="P42" i="7"/>
  <c r="BB41" i="7"/>
  <c r="BA41" i="7"/>
  <c r="AY41" i="7"/>
  <c r="AQ41" i="7"/>
  <c r="AP41" i="7"/>
  <c r="BC41" i="7" s="1"/>
  <c r="AO41" i="7"/>
  <c r="AN41" i="7"/>
  <c r="AM41" i="7"/>
  <c r="AZ41" i="7" s="1"/>
  <c r="AL41" i="7"/>
  <c r="AK41" i="7"/>
  <c r="AX41" i="7" s="1"/>
  <c r="AJ41" i="7"/>
  <c r="AI41" i="7"/>
  <c r="AW41" i="7" s="1"/>
  <c r="AH41" i="7"/>
  <c r="AG41" i="7"/>
  <c r="AF41" i="7"/>
  <c r="AD41" i="7"/>
  <c r="P41" i="7"/>
  <c r="AY40" i="7"/>
  <c r="AQ40" i="7"/>
  <c r="AP40" i="7"/>
  <c r="AO40" i="7"/>
  <c r="BB40" i="7" s="1"/>
  <c r="AN40" i="7"/>
  <c r="AM40" i="7"/>
  <c r="AZ40" i="7" s="1"/>
  <c r="AL40" i="7"/>
  <c r="AK40" i="7"/>
  <c r="AJ40" i="7"/>
  <c r="AX40" i="7" s="1"/>
  <c r="AI40" i="7"/>
  <c r="AH40" i="7"/>
  <c r="AG40" i="7"/>
  <c r="AF40" i="7"/>
  <c r="AD40" i="7"/>
  <c r="P40" i="7"/>
  <c r="BC39" i="7"/>
  <c r="BB39" i="7"/>
  <c r="BA39" i="7"/>
  <c r="AQ39" i="7"/>
  <c r="BD39" i="7" s="1"/>
  <c r="AP39" i="7"/>
  <c r="AO39" i="7"/>
  <c r="AN39" i="7"/>
  <c r="AM39" i="7"/>
  <c r="AL39" i="7"/>
  <c r="AK39" i="7"/>
  <c r="AJ39" i="7"/>
  <c r="AI39" i="7"/>
  <c r="AH39" i="7"/>
  <c r="AG39" i="7"/>
  <c r="AF39" i="7"/>
  <c r="AD39" i="7"/>
  <c r="P39" i="7"/>
  <c r="BB38" i="7"/>
  <c r="AQ38" i="7"/>
  <c r="AP38" i="7"/>
  <c r="BD38" i="7" s="1"/>
  <c r="AO38" i="7"/>
  <c r="AN38" i="7"/>
  <c r="BA38" i="7" s="1"/>
  <c r="AM38" i="7"/>
  <c r="AL38" i="7"/>
  <c r="AY38" i="7" s="1"/>
  <c r="AK38" i="7"/>
  <c r="AJ38" i="7"/>
  <c r="AI38" i="7"/>
  <c r="AH38" i="7"/>
  <c r="AG38" i="7"/>
  <c r="AF38" i="7"/>
  <c r="AD38" i="7"/>
  <c r="P38" i="7"/>
  <c r="AX37" i="7"/>
  <c r="AQ37" i="7"/>
  <c r="AP37" i="7"/>
  <c r="BC37" i="7" s="1"/>
  <c r="AO37" i="7"/>
  <c r="BB37" i="7" s="1"/>
  <c r="AN37" i="7"/>
  <c r="AM37" i="7"/>
  <c r="BA37" i="7" s="1"/>
  <c r="AL37" i="7"/>
  <c r="AY37" i="7" s="1"/>
  <c r="AK37" i="7"/>
  <c r="AJ37" i="7"/>
  <c r="AI37" i="7"/>
  <c r="AW37" i="7" s="1"/>
  <c r="AH37" i="7"/>
  <c r="AG37" i="7"/>
  <c r="AF37" i="7"/>
  <c r="AD37" i="7"/>
  <c r="P37" i="7"/>
  <c r="AQ36" i="7"/>
  <c r="AP36" i="7"/>
  <c r="BD36" i="7" s="1"/>
  <c r="AO36" i="7"/>
  <c r="AN36" i="7"/>
  <c r="BA36" i="7" s="1"/>
  <c r="AM36" i="7"/>
  <c r="AL36" i="7"/>
  <c r="AK36" i="7"/>
  <c r="AJ36" i="7"/>
  <c r="AI36" i="7"/>
  <c r="AH36" i="7"/>
  <c r="AG36" i="7"/>
  <c r="AF36" i="7"/>
  <c r="AD36" i="7"/>
  <c r="P36" i="7"/>
  <c r="BC35" i="7"/>
  <c r="BB35" i="7"/>
  <c r="BA35" i="7"/>
  <c r="AZ35" i="7"/>
  <c r="AX35" i="7"/>
  <c r="AQ35" i="7"/>
  <c r="BD35" i="7" s="1"/>
  <c r="AP35" i="7"/>
  <c r="AO35" i="7"/>
  <c r="AN35" i="7"/>
  <c r="AM35" i="7"/>
  <c r="AL35" i="7"/>
  <c r="AY35" i="7" s="1"/>
  <c r="AK35" i="7"/>
  <c r="AJ35" i="7"/>
  <c r="AI35" i="7"/>
  <c r="AH35" i="7"/>
  <c r="AG35" i="7"/>
  <c r="AF35" i="7"/>
  <c r="AD35" i="7"/>
  <c r="P35" i="7"/>
  <c r="BC34" i="7"/>
  <c r="BA34" i="7"/>
  <c r="AQ34" i="7"/>
  <c r="BD34" i="7" s="1"/>
  <c r="AP34" i="7"/>
  <c r="AO34" i="7"/>
  <c r="BB34" i="7" s="1"/>
  <c r="AN34" i="7"/>
  <c r="AM34" i="7"/>
  <c r="AZ34" i="7" s="1"/>
  <c r="AL34" i="7"/>
  <c r="AK34" i="7"/>
  <c r="AX34" i="7" s="1"/>
  <c r="AJ34" i="7"/>
  <c r="AI34" i="7"/>
  <c r="AW34" i="7" s="1"/>
  <c r="AH34" i="7"/>
  <c r="AG34" i="7"/>
  <c r="AF34" i="7"/>
  <c r="AD34" i="7"/>
  <c r="P34" i="7"/>
  <c r="AY33" i="7"/>
  <c r="AQ33" i="7"/>
  <c r="AP33" i="7"/>
  <c r="AO33" i="7"/>
  <c r="AN33" i="7"/>
  <c r="AM33" i="7"/>
  <c r="AZ33" i="7" s="1"/>
  <c r="AL33" i="7"/>
  <c r="AK33" i="7"/>
  <c r="AX33" i="7" s="1"/>
  <c r="AJ33" i="7"/>
  <c r="AI33" i="7"/>
  <c r="AH33" i="7"/>
  <c r="AG33" i="7"/>
  <c r="AF33" i="7"/>
  <c r="AD33" i="7"/>
  <c r="P33" i="7"/>
  <c r="BD32" i="7"/>
  <c r="AQ32" i="7"/>
  <c r="AP32" i="7"/>
  <c r="AO32" i="7"/>
  <c r="BC32" i="7" s="1"/>
  <c r="AN32" i="7"/>
  <c r="AM32" i="7"/>
  <c r="AL32" i="7"/>
  <c r="AK32" i="7"/>
  <c r="AJ32" i="7"/>
  <c r="AI32" i="7"/>
  <c r="AH32" i="7"/>
  <c r="AG32" i="7"/>
  <c r="AF32" i="7"/>
  <c r="AD32" i="7"/>
  <c r="P32" i="7"/>
  <c r="BB31" i="7"/>
  <c r="AY31" i="7"/>
  <c r="AQ31" i="7"/>
  <c r="AP31" i="7"/>
  <c r="BC31" i="7" s="1"/>
  <c r="AO31" i="7"/>
  <c r="AN31" i="7"/>
  <c r="AM31" i="7"/>
  <c r="BA31" i="7" s="1"/>
  <c r="AL31" i="7"/>
  <c r="AK31" i="7"/>
  <c r="AJ31" i="7"/>
  <c r="AX31" i="7" s="1"/>
  <c r="AI31" i="7"/>
  <c r="AH31" i="7"/>
  <c r="AG31" i="7"/>
  <c r="AF31" i="7"/>
  <c r="AD31" i="7"/>
  <c r="P31" i="7"/>
  <c r="BD30" i="7"/>
  <c r="AQ30" i="7"/>
  <c r="AP30" i="7"/>
  <c r="BC30" i="7" s="1"/>
  <c r="AO30" i="7"/>
  <c r="BB30" i="7" s="1"/>
  <c r="AN30" i="7"/>
  <c r="AM30" i="7"/>
  <c r="AZ30" i="7" s="1"/>
  <c r="AL30" i="7"/>
  <c r="AY30" i="7" s="1"/>
  <c r="AK30" i="7"/>
  <c r="AJ30" i="7"/>
  <c r="AX30" i="7" s="1"/>
  <c r="AI30" i="7"/>
  <c r="AW30" i="7" s="1"/>
  <c r="AH30" i="7"/>
  <c r="AG30" i="7"/>
  <c r="AF30" i="7"/>
  <c r="AD30" i="7"/>
  <c r="P30" i="7"/>
  <c r="AY29" i="7"/>
  <c r="AQ29" i="7"/>
  <c r="BD29" i="7" s="1"/>
  <c r="AP29" i="7"/>
  <c r="AO29" i="7"/>
  <c r="AN29" i="7"/>
  <c r="AM29" i="7"/>
  <c r="AL29" i="7"/>
  <c r="AZ29" i="7" s="1"/>
  <c r="AK29" i="7"/>
  <c r="AX29" i="7" s="1"/>
  <c r="AJ29" i="7"/>
  <c r="AI29" i="7"/>
  <c r="AW29" i="7" s="1"/>
  <c r="AH29" i="7"/>
  <c r="AG29" i="7"/>
  <c r="AF29" i="7"/>
  <c r="AD29" i="7"/>
  <c r="P29" i="7"/>
  <c r="BD28" i="7"/>
  <c r="BC28" i="7"/>
  <c r="AQ28" i="7"/>
  <c r="AP28" i="7"/>
  <c r="AO28" i="7"/>
  <c r="BB28" i="7" s="1"/>
  <c r="AN28" i="7"/>
  <c r="AM28" i="7"/>
  <c r="AL28" i="7"/>
  <c r="AK28" i="7"/>
  <c r="AJ28" i="7"/>
  <c r="AI28" i="7"/>
  <c r="AH28" i="7"/>
  <c r="AG28" i="7"/>
  <c r="AF28" i="7"/>
  <c r="AD28" i="7"/>
  <c r="P28" i="7"/>
  <c r="BD27" i="7"/>
  <c r="BB27" i="7"/>
  <c r="BA27" i="7"/>
  <c r="AZ27" i="7"/>
  <c r="AQ27" i="7"/>
  <c r="AP27" i="7"/>
  <c r="BC27" i="7" s="1"/>
  <c r="AO27" i="7"/>
  <c r="AN27" i="7"/>
  <c r="AM27" i="7"/>
  <c r="AL27" i="7"/>
  <c r="AK27" i="7"/>
  <c r="AY27" i="7" s="1"/>
  <c r="AJ27" i="7"/>
  <c r="AI27" i="7"/>
  <c r="AH27" i="7"/>
  <c r="AG27" i="7"/>
  <c r="AF27" i="7"/>
  <c r="AD27" i="7"/>
  <c r="P27" i="7"/>
  <c r="BB26" i="7"/>
  <c r="AQ26" i="7"/>
  <c r="AP26" i="7"/>
  <c r="BD26" i="7" s="1"/>
  <c r="AO26" i="7"/>
  <c r="AN26" i="7"/>
  <c r="BA26" i="7" s="1"/>
  <c r="AM26" i="7"/>
  <c r="AL26" i="7"/>
  <c r="AY26" i="7" s="1"/>
  <c r="AK26" i="7"/>
  <c r="AJ26" i="7"/>
  <c r="AI26" i="7"/>
  <c r="AH26" i="7"/>
  <c r="AG26" i="7"/>
  <c r="AF26" i="7"/>
  <c r="AD26" i="7"/>
  <c r="P26" i="7"/>
  <c r="AQ25" i="7"/>
  <c r="AP25" i="7"/>
  <c r="BC25" i="7" s="1"/>
  <c r="AO25" i="7"/>
  <c r="AN25" i="7"/>
  <c r="AM25" i="7"/>
  <c r="AZ25" i="7" s="1"/>
  <c r="AL25" i="7"/>
  <c r="AK25" i="7"/>
  <c r="AY25" i="7" s="1"/>
  <c r="AJ25" i="7"/>
  <c r="AI25" i="7"/>
  <c r="AH25" i="7"/>
  <c r="AG25" i="7"/>
  <c r="AF25" i="7"/>
  <c r="AD25" i="7"/>
  <c r="P25" i="7"/>
  <c r="AQ24" i="7"/>
  <c r="AP24" i="7"/>
  <c r="BD24" i="7" s="1"/>
  <c r="AO24" i="7"/>
  <c r="BB24" i="7" s="1"/>
  <c r="AN24" i="7"/>
  <c r="AM24" i="7"/>
  <c r="BA24" i="7" s="1"/>
  <c r="AL24" i="7"/>
  <c r="AY24" i="7" s="1"/>
  <c r="AK24" i="7"/>
  <c r="AJ24" i="7"/>
  <c r="AI24" i="7"/>
  <c r="AH24" i="7"/>
  <c r="AG24" i="7"/>
  <c r="AF24" i="7"/>
  <c r="AD24" i="7"/>
  <c r="P24" i="7"/>
  <c r="BD23" i="7"/>
  <c r="BA23" i="7"/>
  <c r="AY23" i="7"/>
  <c r="AQ23" i="7"/>
  <c r="AP23" i="7"/>
  <c r="AO23" i="7"/>
  <c r="BB23" i="7" s="1"/>
  <c r="AN23" i="7"/>
  <c r="AM23" i="7"/>
  <c r="AL23" i="7"/>
  <c r="AZ23" i="7" s="1"/>
  <c r="AK23" i="7"/>
  <c r="AX23" i="7" s="1"/>
  <c r="AJ23" i="7"/>
  <c r="AI23" i="7"/>
  <c r="AW23" i="7" s="1"/>
  <c r="AH23" i="7"/>
  <c r="AG23" i="7"/>
  <c r="AF23" i="7"/>
  <c r="AD23" i="7"/>
  <c r="P23" i="7"/>
  <c r="BD22" i="7"/>
  <c r="BC22" i="7"/>
  <c r="AQ22" i="7"/>
  <c r="AP22" i="7"/>
  <c r="AO22" i="7"/>
  <c r="BB22" i="7" s="1"/>
  <c r="AN22" i="7"/>
  <c r="BA22" i="7" s="1"/>
  <c r="AM22" i="7"/>
  <c r="AL22" i="7"/>
  <c r="AK22" i="7"/>
  <c r="AX22" i="7" s="1"/>
  <c r="AJ22" i="7"/>
  <c r="AI22" i="7"/>
  <c r="AW22" i="7" s="1"/>
  <c r="AH22" i="7"/>
  <c r="AG22" i="7"/>
  <c r="AF22" i="7"/>
  <c r="AD22" i="7"/>
  <c r="P22" i="7"/>
  <c r="AX21" i="7"/>
  <c r="AQ21" i="7"/>
  <c r="AP21" i="7"/>
  <c r="AO21" i="7"/>
  <c r="AN21" i="7"/>
  <c r="AM21" i="7"/>
  <c r="AL21" i="7"/>
  <c r="AY21" i="7" s="1"/>
  <c r="AK21" i="7"/>
  <c r="AJ21" i="7"/>
  <c r="AI21" i="7"/>
  <c r="AH21" i="7"/>
  <c r="AG21" i="7"/>
  <c r="AF21" i="7"/>
  <c r="AD21" i="7"/>
  <c r="P21" i="7"/>
  <c r="BC20" i="7"/>
  <c r="BB20" i="7"/>
  <c r="AQ20" i="7"/>
  <c r="BD20" i="7" s="1"/>
  <c r="AP20" i="7"/>
  <c r="AO20" i="7"/>
  <c r="AN20" i="7"/>
  <c r="AM20" i="7"/>
  <c r="AL20" i="7"/>
  <c r="AK20" i="7"/>
  <c r="AJ20" i="7"/>
  <c r="AI20" i="7"/>
  <c r="AH20" i="7"/>
  <c r="AG20" i="7"/>
  <c r="AF20" i="7"/>
  <c r="AD20" i="7"/>
  <c r="P20" i="7"/>
  <c r="AZ19" i="7"/>
  <c r="AQ19" i="7"/>
  <c r="BD19" i="7" s="1"/>
  <c r="AP19" i="7"/>
  <c r="BC19" i="7" s="1"/>
  <c r="AO19" i="7"/>
  <c r="AN19" i="7"/>
  <c r="BA19" i="7" s="1"/>
  <c r="AM19" i="7"/>
  <c r="AL19" i="7"/>
  <c r="AK19" i="7"/>
  <c r="AY19" i="7" s="1"/>
  <c r="AJ19" i="7"/>
  <c r="AI19" i="7"/>
  <c r="AW19" i="7" s="1"/>
  <c r="AH19" i="7"/>
  <c r="AG19" i="7"/>
  <c r="AF19" i="7"/>
  <c r="AD19" i="7"/>
  <c r="P19" i="7"/>
  <c r="BC18" i="7"/>
  <c r="BA18" i="7"/>
  <c r="AY18" i="7"/>
  <c r="AQ18" i="7"/>
  <c r="BD18" i="7" s="1"/>
  <c r="AP18" i="7"/>
  <c r="AO18" i="7"/>
  <c r="BB18" i="7" s="1"/>
  <c r="AN18" i="7"/>
  <c r="AM18" i="7"/>
  <c r="AZ18" i="7" s="1"/>
  <c r="AL18" i="7"/>
  <c r="AK18" i="7"/>
  <c r="AX18" i="7" s="1"/>
  <c r="AJ18" i="7"/>
  <c r="AI18" i="7"/>
  <c r="AH18" i="7"/>
  <c r="AG18" i="7"/>
  <c r="AF18" i="7"/>
  <c r="AT18" i="7" s="1"/>
  <c r="AD18" i="7"/>
  <c r="P18" i="7"/>
  <c r="AX17" i="7"/>
  <c r="AQ17" i="7"/>
  <c r="AP17" i="7"/>
  <c r="AO17" i="7"/>
  <c r="AN17" i="7"/>
  <c r="AM17" i="7"/>
  <c r="AL17" i="7"/>
  <c r="AY17" i="7" s="1"/>
  <c r="AK17" i="7"/>
  <c r="AJ17" i="7"/>
  <c r="AI17" i="7"/>
  <c r="AW17" i="7" s="1"/>
  <c r="AH17" i="7"/>
  <c r="AG17" i="7"/>
  <c r="AF17" i="7"/>
  <c r="AD17" i="7"/>
  <c r="P17" i="7"/>
  <c r="BB16" i="7"/>
  <c r="AQ16" i="7"/>
  <c r="AP16" i="7"/>
  <c r="BD16" i="7" s="1"/>
  <c r="AO16" i="7"/>
  <c r="AN16" i="7"/>
  <c r="AM16" i="7"/>
  <c r="AL16" i="7"/>
  <c r="AY16" i="7" s="1"/>
  <c r="AK16" i="7"/>
  <c r="AJ16" i="7"/>
  <c r="AI16" i="7"/>
  <c r="AH16" i="7"/>
  <c r="AG16" i="7"/>
  <c r="AF16" i="7"/>
  <c r="AD16" i="7"/>
  <c r="P16" i="7"/>
  <c r="BD15" i="7"/>
  <c r="BC15" i="7"/>
  <c r="BA15" i="7"/>
  <c r="AY15" i="7"/>
  <c r="AQ15" i="7"/>
  <c r="AP15" i="7"/>
  <c r="AO15" i="7"/>
  <c r="BB15" i="7" s="1"/>
  <c r="AN15" i="7"/>
  <c r="AM15" i="7"/>
  <c r="AZ15" i="7" s="1"/>
  <c r="AL15" i="7"/>
  <c r="AK15" i="7"/>
  <c r="AJ15" i="7"/>
  <c r="AX15" i="7" s="1"/>
  <c r="AI15" i="7"/>
  <c r="AW15" i="7" s="1"/>
  <c r="AH15" i="7"/>
  <c r="AG15" i="7"/>
  <c r="AF15" i="7"/>
  <c r="AD15" i="7"/>
  <c r="P15" i="7"/>
  <c r="AQ14" i="7"/>
  <c r="AP14" i="7"/>
  <c r="BD14" i="7" s="1"/>
  <c r="AO14" i="7"/>
  <c r="AN14" i="7"/>
  <c r="BB14" i="7" s="1"/>
  <c r="AM14" i="7"/>
  <c r="AZ14" i="7" s="1"/>
  <c r="AL14" i="7"/>
  <c r="AY14" i="7" s="1"/>
  <c r="AK14" i="7"/>
  <c r="AJ14" i="7"/>
  <c r="AI14" i="7"/>
  <c r="AH14" i="7"/>
  <c r="AG14" i="7"/>
  <c r="AF14" i="7"/>
  <c r="AD14" i="7"/>
  <c r="P14" i="7"/>
  <c r="AQ13" i="7"/>
  <c r="AP13" i="7"/>
  <c r="AO13" i="7"/>
  <c r="AN13" i="7"/>
  <c r="BA13" i="7" s="1"/>
  <c r="AM13" i="7"/>
  <c r="AL13" i="7"/>
  <c r="AY13" i="7" s="1"/>
  <c r="AK13" i="7"/>
  <c r="AJ13" i="7"/>
  <c r="AI13" i="7"/>
  <c r="AH13" i="7"/>
  <c r="AG13" i="7"/>
  <c r="AF13" i="7"/>
  <c r="AD13" i="7"/>
  <c r="P13" i="7"/>
  <c r="AQ12" i="7"/>
  <c r="AP12" i="7"/>
  <c r="BC12" i="7" s="1"/>
  <c r="AO12" i="7"/>
  <c r="BB12" i="7" s="1"/>
  <c r="AN12" i="7"/>
  <c r="AM12" i="7"/>
  <c r="AL12" i="7"/>
  <c r="AK12" i="7"/>
  <c r="AJ12" i="7"/>
  <c r="AI12" i="7"/>
  <c r="AH12" i="7"/>
  <c r="AG12" i="7"/>
  <c r="AF12" i="7"/>
  <c r="AD12" i="7"/>
  <c r="P12" i="7"/>
  <c r="BA11" i="7"/>
  <c r="AX11" i="7"/>
  <c r="AQ11" i="7"/>
  <c r="BD11" i="7" s="1"/>
  <c r="AP11" i="7"/>
  <c r="BC11" i="7" s="1"/>
  <c r="AO11" i="7"/>
  <c r="BB11" i="7" s="1"/>
  <c r="AN11" i="7"/>
  <c r="AM11" i="7"/>
  <c r="AL11" i="7"/>
  <c r="AY11" i="7" s="1"/>
  <c r="AK11" i="7"/>
  <c r="AJ11" i="7"/>
  <c r="AI11" i="7"/>
  <c r="AW11" i="7" s="1"/>
  <c r="AH11" i="7"/>
  <c r="AG11" i="7"/>
  <c r="AF11" i="7"/>
  <c r="AD11" i="7"/>
  <c r="P11" i="7"/>
  <c r="BD10" i="7"/>
  <c r="BC10" i="7"/>
  <c r="BB10" i="7"/>
  <c r="AZ10" i="7"/>
  <c r="AQ10" i="7"/>
  <c r="AP10" i="7"/>
  <c r="AO10" i="7"/>
  <c r="AN10" i="7"/>
  <c r="BA10" i="7" s="1"/>
  <c r="AM10" i="7"/>
  <c r="AL10" i="7"/>
  <c r="AK10" i="7"/>
  <c r="AY10" i="7" s="1"/>
  <c r="AJ10" i="7"/>
  <c r="AI10" i="7"/>
  <c r="AW10" i="7" s="1"/>
  <c r="AH10" i="7"/>
  <c r="AG10" i="7"/>
  <c r="AF10" i="7"/>
  <c r="AD10" i="7"/>
  <c r="P10" i="7"/>
  <c r="AQ9" i="7"/>
  <c r="BD9" i="7" s="1"/>
  <c r="AP9" i="7"/>
  <c r="AO9" i="7"/>
  <c r="BB9" i="7" s="1"/>
  <c r="AN9" i="7"/>
  <c r="BA9" i="7" s="1"/>
  <c r="AM9" i="7"/>
  <c r="AZ9" i="7" s="1"/>
  <c r="AL9" i="7"/>
  <c r="AK9" i="7"/>
  <c r="AX9" i="7" s="1"/>
  <c r="AJ9" i="7"/>
  <c r="AI9" i="7"/>
  <c r="AH9" i="7"/>
  <c r="AG9" i="7"/>
  <c r="AF9" i="7"/>
  <c r="AD9" i="7"/>
  <c r="P9" i="7"/>
  <c r="BA8" i="7"/>
  <c r="AQ8" i="7"/>
  <c r="BD8" i="7" s="1"/>
  <c r="AP8" i="7"/>
  <c r="AO8" i="7"/>
  <c r="BB8" i="7" s="1"/>
  <c r="AN8" i="7"/>
  <c r="AM8" i="7"/>
  <c r="AL8" i="7"/>
  <c r="AK8" i="7"/>
  <c r="AJ8" i="7"/>
  <c r="AI8" i="7"/>
  <c r="AH8" i="7"/>
  <c r="AV8" i="7" s="1"/>
  <c r="AG8" i="7"/>
  <c r="AF8" i="7"/>
  <c r="AD8" i="7"/>
  <c r="P8" i="7"/>
  <c r="BC7" i="7"/>
  <c r="AQ7" i="7"/>
  <c r="BD7" i="7" s="1"/>
  <c r="AP7" i="7"/>
  <c r="AO7" i="7"/>
  <c r="BB7" i="7" s="1"/>
  <c r="AN7" i="7"/>
  <c r="BA7" i="7" s="1"/>
  <c r="AM7" i="7"/>
  <c r="AZ7" i="7" s="1"/>
  <c r="AL7" i="7"/>
  <c r="AK7" i="7"/>
  <c r="AY7" i="7" s="1"/>
  <c r="AJ7" i="7"/>
  <c r="AI7" i="7"/>
  <c r="AH7" i="7"/>
  <c r="AG7" i="7"/>
  <c r="AF7" i="7"/>
  <c r="AD7" i="7"/>
  <c r="P7" i="7"/>
  <c r="BB6" i="7"/>
  <c r="AZ6" i="7"/>
  <c r="AY6" i="7"/>
  <c r="AX6" i="7"/>
  <c r="AQ6" i="7"/>
  <c r="BD6" i="7" s="1"/>
  <c r="AP6" i="7"/>
  <c r="BC6" i="7" s="1"/>
  <c r="AO6" i="7"/>
  <c r="AN6" i="7"/>
  <c r="BA6" i="7" s="1"/>
  <c r="AM6" i="7"/>
  <c r="AL6" i="7"/>
  <c r="AK6" i="7"/>
  <c r="AJ6" i="7"/>
  <c r="AI6" i="7"/>
  <c r="AH6" i="7"/>
  <c r="AG6" i="7"/>
  <c r="AF6" i="7"/>
  <c r="AD6" i="7"/>
  <c r="P6" i="7"/>
  <c r="AZ5" i="7"/>
  <c r="AY5" i="7"/>
  <c r="AQ5" i="7"/>
  <c r="AP5" i="7"/>
  <c r="AO5" i="7"/>
  <c r="AN5" i="7"/>
  <c r="BA5" i="7" s="1"/>
  <c r="AM5" i="7"/>
  <c r="AL5" i="7"/>
  <c r="AK5" i="7"/>
  <c r="AJ5" i="7"/>
  <c r="AX5" i="7" s="1"/>
  <c r="AI5" i="7"/>
  <c r="AH5" i="7"/>
  <c r="AG5" i="7"/>
  <c r="AF5" i="7"/>
  <c r="AD5" i="7"/>
  <c r="P5" i="7"/>
  <c r="AA235" i="6"/>
  <c r="Z235" i="6"/>
  <c r="Y235" i="6"/>
  <c r="X235" i="6"/>
  <c r="W235" i="6"/>
  <c r="V235" i="6"/>
  <c r="U235" i="6"/>
  <c r="T235" i="6"/>
  <c r="S235" i="6"/>
  <c r="R235" i="6"/>
  <c r="AE235" i="6" s="1"/>
  <c r="Q235" i="6"/>
  <c r="AD235" i="6" s="1"/>
  <c r="P235" i="6"/>
  <c r="N235" i="6"/>
  <c r="H235" i="6"/>
  <c r="AA234" i="6"/>
  <c r="Z234" i="6"/>
  <c r="Y234" i="6"/>
  <c r="X234" i="6"/>
  <c r="W234" i="6"/>
  <c r="V234" i="6"/>
  <c r="U234" i="6"/>
  <c r="T234" i="6"/>
  <c r="S234" i="6"/>
  <c r="R234" i="6"/>
  <c r="AE234" i="6" s="1"/>
  <c r="Q234" i="6"/>
  <c r="AD234" i="6" s="1"/>
  <c r="P234" i="6"/>
  <c r="N234" i="6"/>
  <c r="H234" i="6"/>
  <c r="AA233" i="6"/>
  <c r="Z233" i="6"/>
  <c r="Y233" i="6"/>
  <c r="X233" i="6"/>
  <c r="W233" i="6"/>
  <c r="V233" i="6"/>
  <c r="U233" i="6"/>
  <c r="T233" i="6"/>
  <c r="S233" i="6"/>
  <c r="R233" i="6"/>
  <c r="AE233" i="6" s="1"/>
  <c r="Q233" i="6"/>
  <c r="AD233" i="6" s="1"/>
  <c r="P233" i="6"/>
  <c r="N233" i="6"/>
  <c r="H233" i="6"/>
  <c r="AA232" i="6"/>
  <c r="Z232" i="6"/>
  <c r="Y232" i="6"/>
  <c r="X232" i="6"/>
  <c r="W232" i="6"/>
  <c r="V232" i="6"/>
  <c r="U232" i="6"/>
  <c r="T232" i="6"/>
  <c r="S232" i="6"/>
  <c r="R232" i="6"/>
  <c r="AE232" i="6" s="1"/>
  <c r="Q232" i="6"/>
  <c r="AD232" i="6" s="1"/>
  <c r="P232" i="6"/>
  <c r="N232" i="6"/>
  <c r="H232" i="6"/>
  <c r="AA231" i="6"/>
  <c r="Z231" i="6"/>
  <c r="Y231" i="6"/>
  <c r="X231" i="6"/>
  <c r="W231" i="6"/>
  <c r="V231" i="6"/>
  <c r="U231" i="6"/>
  <c r="T231" i="6"/>
  <c r="S231" i="6"/>
  <c r="R231" i="6"/>
  <c r="AE231" i="6" s="1"/>
  <c r="Q231" i="6"/>
  <c r="AD231" i="6" s="1"/>
  <c r="P231" i="6"/>
  <c r="N231" i="6"/>
  <c r="H231" i="6"/>
  <c r="AA230" i="6"/>
  <c r="Z230" i="6"/>
  <c r="Y230" i="6"/>
  <c r="X230" i="6"/>
  <c r="W230" i="6"/>
  <c r="V230" i="6"/>
  <c r="U230" i="6"/>
  <c r="T230" i="6"/>
  <c r="S230" i="6"/>
  <c r="R230" i="6"/>
  <c r="AE230" i="6" s="1"/>
  <c r="Q230" i="6"/>
  <c r="AD230" i="6" s="1"/>
  <c r="P230" i="6"/>
  <c r="N230" i="6"/>
  <c r="H230" i="6"/>
  <c r="AA229" i="6"/>
  <c r="Z229" i="6"/>
  <c r="Y229" i="6"/>
  <c r="X229" i="6"/>
  <c r="W229" i="6"/>
  <c r="V229" i="6"/>
  <c r="U229" i="6"/>
  <c r="T229" i="6"/>
  <c r="S229" i="6"/>
  <c r="R229" i="6"/>
  <c r="AE229" i="6" s="1"/>
  <c r="Q229" i="6"/>
  <c r="AD229" i="6" s="1"/>
  <c r="P229" i="6"/>
  <c r="N229" i="6"/>
  <c r="H229" i="6"/>
  <c r="AA228" i="6"/>
  <c r="Z228" i="6"/>
  <c r="Y228" i="6"/>
  <c r="X228" i="6"/>
  <c r="W228" i="6"/>
  <c r="V228" i="6"/>
  <c r="U228" i="6"/>
  <c r="T228" i="6"/>
  <c r="S228" i="6"/>
  <c r="R228" i="6"/>
  <c r="AE228" i="6" s="1"/>
  <c r="Q228" i="6"/>
  <c r="AD228" i="6" s="1"/>
  <c r="P228" i="6"/>
  <c r="N228" i="6"/>
  <c r="H228" i="6"/>
  <c r="AA227" i="6"/>
  <c r="Z227" i="6"/>
  <c r="Y227" i="6"/>
  <c r="X227" i="6"/>
  <c r="W227" i="6"/>
  <c r="V227" i="6"/>
  <c r="U227" i="6"/>
  <c r="T227" i="6"/>
  <c r="S227" i="6"/>
  <c r="R227" i="6"/>
  <c r="AE227" i="6" s="1"/>
  <c r="Q227" i="6"/>
  <c r="AD227" i="6" s="1"/>
  <c r="P227" i="6"/>
  <c r="N227" i="6"/>
  <c r="H227" i="6"/>
  <c r="AA226" i="6"/>
  <c r="Z226" i="6"/>
  <c r="Y226" i="6"/>
  <c r="X226" i="6"/>
  <c r="W226" i="6"/>
  <c r="V226" i="6"/>
  <c r="U226" i="6"/>
  <c r="T226" i="6"/>
  <c r="S226" i="6"/>
  <c r="R226" i="6"/>
  <c r="AE226" i="6" s="1"/>
  <c r="Q226" i="6"/>
  <c r="P226" i="6"/>
  <c r="N226" i="6"/>
  <c r="H226" i="6"/>
  <c r="AA225" i="6"/>
  <c r="Z225" i="6"/>
  <c r="Y225" i="6"/>
  <c r="X225" i="6"/>
  <c r="W225" i="6"/>
  <c r="V225" i="6"/>
  <c r="U225" i="6"/>
  <c r="T225" i="6"/>
  <c r="S225" i="6"/>
  <c r="AF225" i="6" s="1"/>
  <c r="R225" i="6"/>
  <c r="Q225" i="6"/>
  <c r="AD225" i="6" s="1"/>
  <c r="P225" i="6"/>
  <c r="N225" i="6"/>
  <c r="H225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N224" i="6"/>
  <c r="H224" i="6"/>
  <c r="AA223" i="6"/>
  <c r="Z223" i="6"/>
  <c r="Y223" i="6"/>
  <c r="X223" i="6"/>
  <c r="W223" i="6"/>
  <c r="V223" i="6"/>
  <c r="U223" i="6"/>
  <c r="T223" i="6"/>
  <c r="S223" i="6"/>
  <c r="AF223" i="6" s="1"/>
  <c r="R223" i="6"/>
  <c r="Q223" i="6"/>
  <c r="P223" i="6"/>
  <c r="N223" i="6"/>
  <c r="H223" i="6"/>
  <c r="AA222" i="6"/>
  <c r="Z222" i="6"/>
  <c r="Y222" i="6"/>
  <c r="X222" i="6"/>
  <c r="W222" i="6"/>
  <c r="V222" i="6"/>
  <c r="U222" i="6"/>
  <c r="T222" i="6"/>
  <c r="S222" i="6"/>
  <c r="R222" i="6"/>
  <c r="Q222" i="6"/>
  <c r="AD222" i="6" s="1"/>
  <c r="P222" i="6"/>
  <c r="N222" i="6"/>
  <c r="H222" i="6"/>
  <c r="AA221" i="6"/>
  <c r="Z221" i="6"/>
  <c r="Y221" i="6"/>
  <c r="X221" i="6"/>
  <c r="W221" i="6"/>
  <c r="V221" i="6"/>
  <c r="U221" i="6"/>
  <c r="T221" i="6"/>
  <c r="S221" i="6"/>
  <c r="R221" i="6"/>
  <c r="Q221" i="6"/>
  <c r="AD221" i="6" s="1"/>
  <c r="P221" i="6"/>
  <c r="N221" i="6"/>
  <c r="H221" i="6"/>
  <c r="AA220" i="6"/>
  <c r="Z220" i="6"/>
  <c r="Y220" i="6"/>
  <c r="X220" i="6"/>
  <c r="W220" i="6"/>
  <c r="V220" i="6"/>
  <c r="U220" i="6"/>
  <c r="T220" i="6"/>
  <c r="S220" i="6"/>
  <c r="R220" i="6"/>
  <c r="AE220" i="6" s="1"/>
  <c r="Q220" i="6"/>
  <c r="P220" i="6"/>
  <c r="N220" i="6"/>
  <c r="H220" i="6"/>
  <c r="AA219" i="6"/>
  <c r="Z219" i="6"/>
  <c r="Y219" i="6"/>
  <c r="X219" i="6"/>
  <c r="W219" i="6"/>
  <c r="V219" i="6"/>
  <c r="U219" i="6"/>
  <c r="T219" i="6"/>
  <c r="S219" i="6"/>
  <c r="R219" i="6"/>
  <c r="AE219" i="6" s="1"/>
  <c r="Q219" i="6"/>
  <c r="P219" i="6"/>
  <c r="N219" i="6"/>
  <c r="H219" i="6"/>
  <c r="AA218" i="6"/>
  <c r="Z218" i="6"/>
  <c r="Y218" i="6"/>
  <c r="X218" i="6"/>
  <c r="W218" i="6"/>
  <c r="V218" i="6"/>
  <c r="U218" i="6"/>
  <c r="T218" i="6"/>
  <c r="S218" i="6"/>
  <c r="R218" i="6"/>
  <c r="AE218" i="6" s="1"/>
  <c r="Q218" i="6"/>
  <c r="P218" i="6"/>
  <c r="N218" i="6"/>
  <c r="H218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N217" i="6"/>
  <c r="H217" i="6"/>
  <c r="AA216" i="6"/>
  <c r="Z216" i="6"/>
  <c r="Y216" i="6"/>
  <c r="X216" i="6"/>
  <c r="W216" i="6"/>
  <c r="V216" i="6"/>
  <c r="U216" i="6"/>
  <c r="T216" i="6"/>
  <c r="S216" i="6"/>
  <c r="R216" i="6"/>
  <c r="AE216" i="6" s="1"/>
  <c r="Q216" i="6"/>
  <c r="AD216" i="6" s="1"/>
  <c r="P216" i="6"/>
  <c r="N216" i="6"/>
  <c r="H216" i="6"/>
  <c r="AA215" i="6"/>
  <c r="Z215" i="6"/>
  <c r="Y215" i="6"/>
  <c r="X215" i="6"/>
  <c r="W215" i="6"/>
  <c r="V215" i="6"/>
  <c r="U215" i="6"/>
  <c r="T215" i="6"/>
  <c r="S215" i="6"/>
  <c r="R215" i="6"/>
  <c r="AE215" i="6" s="1"/>
  <c r="Q215" i="6"/>
  <c r="P215" i="6"/>
  <c r="N215" i="6"/>
  <c r="H215" i="6"/>
  <c r="AA214" i="6"/>
  <c r="Z214" i="6"/>
  <c r="Y214" i="6"/>
  <c r="X214" i="6"/>
  <c r="W214" i="6"/>
  <c r="V214" i="6"/>
  <c r="U214" i="6"/>
  <c r="T214" i="6"/>
  <c r="S214" i="6"/>
  <c r="R214" i="6"/>
  <c r="AE214" i="6" s="1"/>
  <c r="Q214" i="6"/>
  <c r="P214" i="6"/>
  <c r="N214" i="6"/>
  <c r="H214" i="6"/>
  <c r="AA213" i="6"/>
  <c r="Z213" i="6"/>
  <c r="Y213" i="6"/>
  <c r="X213" i="6"/>
  <c r="W213" i="6"/>
  <c r="V213" i="6"/>
  <c r="U213" i="6"/>
  <c r="T213" i="6"/>
  <c r="S213" i="6"/>
  <c r="R213" i="6"/>
  <c r="AE213" i="6" s="1"/>
  <c r="Q213" i="6"/>
  <c r="P213" i="6"/>
  <c r="N213" i="6"/>
  <c r="H213" i="6"/>
  <c r="AA212" i="6"/>
  <c r="Z212" i="6"/>
  <c r="Y212" i="6"/>
  <c r="X212" i="6"/>
  <c r="W212" i="6"/>
  <c r="V212" i="6"/>
  <c r="U212" i="6"/>
  <c r="T212" i="6"/>
  <c r="S212" i="6"/>
  <c r="AF212" i="6" s="1"/>
  <c r="R212" i="6"/>
  <c r="Q212" i="6"/>
  <c r="P212" i="6"/>
  <c r="N212" i="6"/>
  <c r="H212" i="6"/>
  <c r="AA211" i="6"/>
  <c r="Z211" i="6"/>
  <c r="Y211" i="6"/>
  <c r="X211" i="6"/>
  <c r="W211" i="6"/>
  <c r="V211" i="6"/>
  <c r="U211" i="6"/>
  <c r="T211" i="6"/>
  <c r="S211" i="6"/>
  <c r="R211" i="6"/>
  <c r="Q211" i="6"/>
  <c r="AD211" i="6" s="1"/>
  <c r="P211" i="6"/>
  <c r="N211" i="6"/>
  <c r="H211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N210" i="6"/>
  <c r="H210" i="6"/>
  <c r="AA209" i="6"/>
  <c r="Z209" i="6"/>
  <c r="Y209" i="6"/>
  <c r="X209" i="6"/>
  <c r="W209" i="6"/>
  <c r="V209" i="6"/>
  <c r="U209" i="6"/>
  <c r="T209" i="6"/>
  <c r="S209" i="6"/>
  <c r="R209" i="6"/>
  <c r="Q209" i="6"/>
  <c r="AD209" i="6" s="1"/>
  <c r="P209" i="6"/>
  <c r="N209" i="6"/>
  <c r="H209" i="6"/>
  <c r="AA208" i="6"/>
  <c r="Z208" i="6"/>
  <c r="Y208" i="6"/>
  <c r="X208" i="6"/>
  <c r="W208" i="6"/>
  <c r="V208" i="6"/>
  <c r="U208" i="6"/>
  <c r="T208" i="6"/>
  <c r="S208" i="6"/>
  <c r="R208" i="6"/>
  <c r="Q208" i="6"/>
  <c r="AD208" i="6" s="1"/>
  <c r="P208" i="6"/>
  <c r="N208" i="6"/>
  <c r="H208" i="6"/>
  <c r="AA207" i="6"/>
  <c r="Z207" i="6"/>
  <c r="Y207" i="6"/>
  <c r="X207" i="6"/>
  <c r="W207" i="6"/>
  <c r="V207" i="6"/>
  <c r="U207" i="6"/>
  <c r="T207" i="6"/>
  <c r="S207" i="6"/>
  <c r="R207" i="6"/>
  <c r="AE207" i="6" s="1"/>
  <c r="Q207" i="6"/>
  <c r="P207" i="6"/>
  <c r="N207" i="6"/>
  <c r="H207" i="6"/>
  <c r="AA206" i="6"/>
  <c r="Z206" i="6"/>
  <c r="Y206" i="6"/>
  <c r="X206" i="6"/>
  <c r="W206" i="6"/>
  <c r="V206" i="6"/>
  <c r="U206" i="6"/>
  <c r="T206" i="6"/>
  <c r="S206" i="6"/>
  <c r="R206" i="6"/>
  <c r="AE206" i="6" s="1"/>
  <c r="Q206" i="6"/>
  <c r="AD206" i="6" s="1"/>
  <c r="P206" i="6"/>
  <c r="N206" i="6"/>
  <c r="H206" i="6"/>
  <c r="AA205" i="6"/>
  <c r="Z205" i="6"/>
  <c r="Y205" i="6"/>
  <c r="X205" i="6"/>
  <c r="W205" i="6"/>
  <c r="V205" i="6"/>
  <c r="U205" i="6"/>
  <c r="T205" i="6"/>
  <c r="S205" i="6"/>
  <c r="R205" i="6"/>
  <c r="AE205" i="6" s="1"/>
  <c r="Q205" i="6"/>
  <c r="P205" i="6"/>
  <c r="N205" i="6"/>
  <c r="H205" i="6"/>
  <c r="AA204" i="6"/>
  <c r="Z204" i="6"/>
  <c r="Y204" i="6"/>
  <c r="X204" i="6"/>
  <c r="W204" i="6"/>
  <c r="V204" i="6"/>
  <c r="U204" i="6"/>
  <c r="T204" i="6"/>
  <c r="S204" i="6"/>
  <c r="R204" i="6"/>
  <c r="AE204" i="6" s="1"/>
  <c r="Q204" i="6"/>
  <c r="P204" i="6"/>
  <c r="N204" i="6"/>
  <c r="H204" i="6"/>
  <c r="AA203" i="6"/>
  <c r="Z203" i="6"/>
  <c r="Y203" i="6"/>
  <c r="X203" i="6"/>
  <c r="W203" i="6"/>
  <c r="V203" i="6"/>
  <c r="U203" i="6"/>
  <c r="T203" i="6"/>
  <c r="S203" i="6"/>
  <c r="R203" i="6"/>
  <c r="AE203" i="6" s="1"/>
  <c r="Q203" i="6"/>
  <c r="AD203" i="6" s="1"/>
  <c r="P203" i="6"/>
  <c r="N203" i="6"/>
  <c r="H203" i="6"/>
  <c r="AA202" i="6"/>
  <c r="Z202" i="6"/>
  <c r="Y202" i="6"/>
  <c r="X202" i="6"/>
  <c r="AK202" i="6" s="1"/>
  <c r="W202" i="6"/>
  <c r="V202" i="6"/>
  <c r="U202" i="6"/>
  <c r="T202" i="6"/>
  <c r="AH202" i="6" s="1"/>
  <c r="S202" i="6"/>
  <c r="R202" i="6"/>
  <c r="Q202" i="6"/>
  <c r="P202" i="6"/>
  <c r="N202" i="6"/>
  <c r="H202" i="6"/>
  <c r="AA201" i="6"/>
  <c r="Z201" i="6"/>
  <c r="Y201" i="6"/>
  <c r="X201" i="6"/>
  <c r="W201" i="6"/>
  <c r="V201" i="6"/>
  <c r="U201" i="6"/>
  <c r="T201" i="6"/>
  <c r="S201" i="6"/>
  <c r="R201" i="6"/>
  <c r="Q201" i="6"/>
  <c r="AD201" i="6" s="1"/>
  <c r="P201" i="6"/>
  <c r="N201" i="6"/>
  <c r="H201" i="6"/>
  <c r="AA200" i="6"/>
  <c r="Z200" i="6"/>
  <c r="Y200" i="6"/>
  <c r="X200" i="6"/>
  <c r="W200" i="6"/>
  <c r="V200" i="6"/>
  <c r="U200" i="6"/>
  <c r="T200" i="6"/>
  <c r="S200" i="6"/>
  <c r="R200" i="6"/>
  <c r="AE200" i="6" s="1"/>
  <c r="Q200" i="6"/>
  <c r="P200" i="6"/>
  <c r="N200" i="6"/>
  <c r="H200" i="6"/>
  <c r="AA199" i="6"/>
  <c r="Z199" i="6"/>
  <c r="Y199" i="6"/>
  <c r="X199" i="6"/>
  <c r="AK199" i="6" s="1"/>
  <c r="W199" i="6"/>
  <c r="V199" i="6"/>
  <c r="U199" i="6"/>
  <c r="T199" i="6"/>
  <c r="S199" i="6"/>
  <c r="R199" i="6"/>
  <c r="AE199" i="6" s="1"/>
  <c r="Q199" i="6"/>
  <c r="P199" i="6"/>
  <c r="N199" i="6"/>
  <c r="H199" i="6"/>
  <c r="AA198" i="6"/>
  <c r="Z198" i="6"/>
  <c r="Y198" i="6"/>
  <c r="X198" i="6"/>
  <c r="W198" i="6"/>
  <c r="V198" i="6"/>
  <c r="U198" i="6"/>
  <c r="T198" i="6"/>
  <c r="S198" i="6"/>
  <c r="AG198" i="6" s="1"/>
  <c r="R198" i="6"/>
  <c r="Q198" i="6"/>
  <c r="AD198" i="6" s="1"/>
  <c r="P198" i="6"/>
  <c r="N198" i="6"/>
  <c r="H198" i="6"/>
  <c r="AA197" i="6"/>
  <c r="Z197" i="6"/>
  <c r="Y197" i="6"/>
  <c r="AL197" i="6" s="1"/>
  <c r="X197" i="6"/>
  <c r="W197" i="6"/>
  <c r="V197" i="6"/>
  <c r="U197" i="6"/>
  <c r="T197" i="6"/>
  <c r="S197" i="6"/>
  <c r="R197" i="6"/>
  <c r="Q197" i="6"/>
  <c r="AD197" i="6" s="1"/>
  <c r="P197" i="6"/>
  <c r="N197" i="6"/>
  <c r="H197" i="6"/>
  <c r="AA196" i="6"/>
  <c r="Z196" i="6"/>
  <c r="Y196" i="6"/>
  <c r="X196" i="6"/>
  <c r="W196" i="6"/>
  <c r="V196" i="6"/>
  <c r="U196" i="6"/>
  <c r="T196" i="6"/>
  <c r="S196" i="6"/>
  <c r="R196" i="6"/>
  <c r="AE196" i="6" s="1"/>
  <c r="Q196" i="6"/>
  <c r="P196" i="6"/>
  <c r="N196" i="6"/>
  <c r="H196" i="6"/>
  <c r="AA195" i="6"/>
  <c r="Z195" i="6"/>
  <c r="Y195" i="6"/>
  <c r="X195" i="6"/>
  <c r="AK195" i="6" s="1"/>
  <c r="W195" i="6"/>
  <c r="V195" i="6"/>
  <c r="U195" i="6"/>
  <c r="T195" i="6"/>
  <c r="S195" i="6"/>
  <c r="AG195" i="6" s="1"/>
  <c r="R195" i="6"/>
  <c r="Q195" i="6"/>
  <c r="P195" i="6"/>
  <c r="N195" i="6"/>
  <c r="H195" i="6"/>
  <c r="AA194" i="6"/>
  <c r="Z194" i="6"/>
  <c r="Y194" i="6"/>
  <c r="X194" i="6"/>
  <c r="W194" i="6"/>
  <c r="V194" i="6"/>
  <c r="U194" i="6"/>
  <c r="T194" i="6"/>
  <c r="S194" i="6"/>
  <c r="R194" i="6"/>
  <c r="AE194" i="6" s="1"/>
  <c r="Q194" i="6"/>
  <c r="P194" i="6"/>
  <c r="N194" i="6"/>
  <c r="H194" i="6"/>
  <c r="AA193" i="6"/>
  <c r="Z193" i="6"/>
  <c r="Y193" i="6"/>
  <c r="X193" i="6"/>
  <c r="W193" i="6"/>
  <c r="V193" i="6"/>
  <c r="U193" i="6"/>
  <c r="T193" i="6"/>
  <c r="S193" i="6"/>
  <c r="R193" i="6"/>
  <c r="Q193" i="6"/>
  <c r="AD193" i="6" s="1"/>
  <c r="P193" i="6"/>
  <c r="N193" i="6"/>
  <c r="H193" i="6"/>
  <c r="AA192" i="6"/>
  <c r="Z192" i="6"/>
  <c r="Y192" i="6"/>
  <c r="X192" i="6"/>
  <c r="W192" i="6"/>
  <c r="V192" i="6"/>
  <c r="U192" i="6"/>
  <c r="AH192" i="6" s="1"/>
  <c r="T192" i="6"/>
  <c r="S192" i="6"/>
  <c r="R192" i="6"/>
  <c r="Q192" i="6"/>
  <c r="AD192" i="6" s="1"/>
  <c r="P192" i="6"/>
  <c r="N192" i="6"/>
  <c r="H192" i="6"/>
  <c r="AA191" i="6"/>
  <c r="Z191" i="6"/>
  <c r="Y191" i="6"/>
  <c r="AL191" i="6" s="1"/>
  <c r="X191" i="6"/>
  <c r="W191" i="6"/>
  <c r="V191" i="6"/>
  <c r="U191" i="6"/>
  <c r="T191" i="6"/>
  <c r="S191" i="6"/>
  <c r="R191" i="6"/>
  <c r="Q191" i="6"/>
  <c r="AD191" i="6" s="1"/>
  <c r="P191" i="6"/>
  <c r="N191" i="6"/>
  <c r="H191" i="6"/>
  <c r="AA190" i="6"/>
  <c r="Z190" i="6"/>
  <c r="AM190" i="6" s="1"/>
  <c r="Y190" i="6"/>
  <c r="X190" i="6"/>
  <c r="W190" i="6"/>
  <c r="V190" i="6"/>
  <c r="U190" i="6"/>
  <c r="T190" i="6"/>
  <c r="S190" i="6"/>
  <c r="R190" i="6"/>
  <c r="AE190" i="6" s="1"/>
  <c r="Q190" i="6"/>
  <c r="P190" i="6"/>
  <c r="N190" i="6"/>
  <c r="H190" i="6"/>
  <c r="AA189" i="6"/>
  <c r="Z189" i="6"/>
  <c r="Y189" i="6"/>
  <c r="AL189" i="6" s="1"/>
  <c r="X189" i="6"/>
  <c r="W189" i="6"/>
  <c r="V189" i="6"/>
  <c r="U189" i="6"/>
  <c r="T189" i="6"/>
  <c r="S189" i="6"/>
  <c r="AG189" i="6" s="1"/>
  <c r="R189" i="6"/>
  <c r="Q189" i="6"/>
  <c r="AD189" i="6" s="1"/>
  <c r="P189" i="6"/>
  <c r="N189" i="6"/>
  <c r="H189" i="6"/>
  <c r="AA188" i="6"/>
  <c r="Z188" i="6"/>
  <c r="Y188" i="6"/>
  <c r="X188" i="6"/>
  <c r="W188" i="6"/>
  <c r="V188" i="6"/>
  <c r="U188" i="6"/>
  <c r="T188" i="6"/>
  <c r="S188" i="6"/>
  <c r="R188" i="6"/>
  <c r="AE188" i="6" s="1"/>
  <c r="Q188" i="6"/>
  <c r="P188" i="6"/>
  <c r="N188" i="6"/>
  <c r="H188" i="6"/>
  <c r="AA187" i="6"/>
  <c r="Z187" i="6"/>
  <c r="Y187" i="6"/>
  <c r="X187" i="6"/>
  <c r="AK187" i="6" s="1"/>
  <c r="W187" i="6"/>
  <c r="V187" i="6"/>
  <c r="U187" i="6"/>
  <c r="T187" i="6"/>
  <c r="S187" i="6"/>
  <c r="R187" i="6"/>
  <c r="Q187" i="6"/>
  <c r="AD187" i="6" s="1"/>
  <c r="P187" i="6"/>
  <c r="N187" i="6"/>
  <c r="H187" i="6"/>
  <c r="AA186" i="6"/>
  <c r="Z186" i="6"/>
  <c r="Y186" i="6"/>
  <c r="X186" i="6"/>
  <c r="W186" i="6"/>
  <c r="V186" i="6"/>
  <c r="U186" i="6"/>
  <c r="T186" i="6"/>
  <c r="S186" i="6"/>
  <c r="R186" i="6"/>
  <c r="Q186" i="6"/>
  <c r="AD186" i="6" s="1"/>
  <c r="P186" i="6"/>
  <c r="N186" i="6"/>
  <c r="H186" i="6"/>
  <c r="AA185" i="6"/>
  <c r="Z185" i="6"/>
  <c r="Y185" i="6"/>
  <c r="X185" i="6"/>
  <c r="W185" i="6"/>
  <c r="V185" i="6"/>
  <c r="U185" i="6"/>
  <c r="T185" i="6"/>
  <c r="S185" i="6"/>
  <c r="R185" i="6"/>
  <c r="AE185" i="6" s="1"/>
  <c r="Q185" i="6"/>
  <c r="P185" i="6"/>
  <c r="N185" i="6"/>
  <c r="H185" i="6"/>
  <c r="AA184" i="6"/>
  <c r="Z184" i="6"/>
  <c r="Y184" i="6"/>
  <c r="X184" i="6"/>
  <c r="W184" i="6"/>
  <c r="V184" i="6"/>
  <c r="U184" i="6"/>
  <c r="T184" i="6"/>
  <c r="S184" i="6"/>
  <c r="R184" i="6"/>
  <c r="Q184" i="6"/>
  <c r="AD184" i="6" s="1"/>
  <c r="P184" i="6"/>
  <c r="N184" i="6"/>
  <c r="H184" i="6"/>
  <c r="AA183" i="6"/>
  <c r="Z183" i="6"/>
  <c r="Y183" i="6"/>
  <c r="AL183" i="6" s="1"/>
  <c r="X183" i="6"/>
  <c r="W183" i="6"/>
  <c r="V183" i="6"/>
  <c r="U183" i="6"/>
  <c r="T183" i="6"/>
  <c r="S183" i="6"/>
  <c r="R183" i="6"/>
  <c r="Q183" i="6"/>
  <c r="P183" i="6"/>
  <c r="N183" i="6"/>
  <c r="H183" i="6"/>
  <c r="AA182" i="6"/>
  <c r="Z182" i="6"/>
  <c r="Y182" i="6"/>
  <c r="X182" i="6"/>
  <c r="W182" i="6"/>
  <c r="V182" i="6"/>
  <c r="U182" i="6"/>
  <c r="T182" i="6"/>
  <c r="S182" i="6"/>
  <c r="R182" i="6"/>
  <c r="Q182" i="6"/>
  <c r="AD182" i="6" s="1"/>
  <c r="P182" i="6"/>
  <c r="N182" i="6"/>
  <c r="H182" i="6"/>
  <c r="AA181" i="6"/>
  <c r="Z181" i="6"/>
  <c r="Y181" i="6"/>
  <c r="X181" i="6"/>
  <c r="W181" i="6"/>
  <c r="V181" i="6"/>
  <c r="U181" i="6"/>
  <c r="T181" i="6"/>
  <c r="S181" i="6"/>
  <c r="R181" i="6"/>
  <c r="AE181" i="6" s="1"/>
  <c r="Q181" i="6"/>
  <c r="AD181" i="6" s="1"/>
  <c r="P181" i="6"/>
  <c r="N181" i="6"/>
  <c r="H181" i="6"/>
  <c r="AA180" i="6"/>
  <c r="AN180" i="6" s="1"/>
  <c r="Z180" i="6"/>
  <c r="Y180" i="6"/>
  <c r="AM180" i="6" s="1"/>
  <c r="X180" i="6"/>
  <c r="W180" i="6"/>
  <c r="V180" i="6"/>
  <c r="U180" i="6"/>
  <c r="T180" i="6"/>
  <c r="S180" i="6"/>
  <c r="R180" i="6"/>
  <c r="Q180" i="6"/>
  <c r="P180" i="6"/>
  <c r="N180" i="6"/>
  <c r="H180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N179" i="6"/>
  <c r="H179" i="6"/>
  <c r="AA178" i="6"/>
  <c r="Z178" i="6"/>
  <c r="Y178" i="6"/>
  <c r="X178" i="6"/>
  <c r="W178" i="6"/>
  <c r="V178" i="6"/>
  <c r="U178" i="6"/>
  <c r="AH178" i="6" s="1"/>
  <c r="T178" i="6"/>
  <c r="S178" i="6"/>
  <c r="AG178" i="6" s="1"/>
  <c r="R178" i="6"/>
  <c r="AE178" i="6" s="1"/>
  <c r="Q178" i="6"/>
  <c r="P178" i="6"/>
  <c r="N178" i="6"/>
  <c r="H178" i="6"/>
  <c r="AA177" i="6"/>
  <c r="Z177" i="6"/>
  <c r="AN177" i="6" s="1"/>
  <c r="Y177" i="6"/>
  <c r="X177" i="6"/>
  <c r="W177" i="6"/>
  <c r="V177" i="6"/>
  <c r="U177" i="6"/>
  <c r="AH177" i="6" s="1"/>
  <c r="T177" i="6"/>
  <c r="S177" i="6"/>
  <c r="AG177" i="6" s="1"/>
  <c r="R177" i="6"/>
  <c r="Q177" i="6"/>
  <c r="P177" i="6"/>
  <c r="N177" i="6"/>
  <c r="H177" i="6"/>
  <c r="AA176" i="6"/>
  <c r="Z176" i="6"/>
  <c r="Y176" i="6"/>
  <c r="X176" i="6"/>
  <c r="AK176" i="6" s="1"/>
  <c r="W176" i="6"/>
  <c r="V176" i="6"/>
  <c r="U176" i="6"/>
  <c r="AI176" i="6" s="1"/>
  <c r="T176" i="6"/>
  <c r="S176" i="6"/>
  <c r="R176" i="6"/>
  <c r="Q176" i="6"/>
  <c r="P176" i="6"/>
  <c r="N176" i="6"/>
  <c r="H176" i="6"/>
  <c r="AA175" i="6"/>
  <c r="AN175" i="6" s="1"/>
  <c r="Z175" i="6"/>
  <c r="Y175" i="6"/>
  <c r="X175" i="6"/>
  <c r="AL175" i="6" s="1"/>
  <c r="W175" i="6"/>
  <c r="V175" i="6"/>
  <c r="U175" i="6"/>
  <c r="T175" i="6"/>
  <c r="S175" i="6"/>
  <c r="R175" i="6"/>
  <c r="AE175" i="6" s="1"/>
  <c r="Q175" i="6"/>
  <c r="P175" i="6"/>
  <c r="N175" i="6"/>
  <c r="H175" i="6"/>
  <c r="AA174" i="6"/>
  <c r="Z174" i="6"/>
  <c r="Y174" i="6"/>
  <c r="X174" i="6"/>
  <c r="W174" i="6"/>
  <c r="V174" i="6"/>
  <c r="U174" i="6"/>
  <c r="T174" i="6"/>
  <c r="S174" i="6"/>
  <c r="R174" i="6"/>
  <c r="Q174" i="6"/>
  <c r="AD174" i="6" s="1"/>
  <c r="P174" i="6"/>
  <c r="N174" i="6"/>
  <c r="H174" i="6"/>
  <c r="AA173" i="6"/>
  <c r="Z173" i="6"/>
  <c r="AM173" i="6" s="1"/>
  <c r="Y173" i="6"/>
  <c r="X173" i="6"/>
  <c r="W173" i="6"/>
  <c r="V173" i="6"/>
  <c r="U173" i="6"/>
  <c r="T173" i="6"/>
  <c r="AG173" i="6" s="1"/>
  <c r="S173" i="6"/>
  <c r="R173" i="6"/>
  <c r="Q173" i="6"/>
  <c r="P173" i="6"/>
  <c r="N173" i="6"/>
  <c r="H173" i="6"/>
  <c r="AA172" i="6"/>
  <c r="Z172" i="6"/>
  <c r="Y172" i="6"/>
  <c r="X172" i="6"/>
  <c r="W172" i="6"/>
  <c r="V172" i="6"/>
  <c r="U172" i="6"/>
  <c r="T172" i="6"/>
  <c r="S172" i="6"/>
  <c r="R172" i="6"/>
  <c r="AE172" i="6" s="1"/>
  <c r="Q172" i="6"/>
  <c r="AD172" i="6" s="1"/>
  <c r="P172" i="6"/>
  <c r="N172" i="6"/>
  <c r="H172" i="6"/>
  <c r="AA171" i="6"/>
  <c r="Z171" i="6"/>
  <c r="Y171" i="6"/>
  <c r="X171" i="6"/>
  <c r="AL171" i="6" s="1"/>
  <c r="W171" i="6"/>
  <c r="V171" i="6"/>
  <c r="U171" i="6"/>
  <c r="AH171" i="6" s="1"/>
  <c r="T171" i="6"/>
  <c r="S171" i="6"/>
  <c r="R171" i="6"/>
  <c r="AE171" i="6" s="1"/>
  <c r="Q171" i="6"/>
  <c r="AD171" i="6" s="1"/>
  <c r="P171" i="6"/>
  <c r="N171" i="6"/>
  <c r="H171" i="6"/>
  <c r="AA170" i="6"/>
  <c r="Z170" i="6"/>
  <c r="AM170" i="6" s="1"/>
  <c r="Y170" i="6"/>
  <c r="X170" i="6"/>
  <c r="W170" i="6"/>
  <c r="V170" i="6"/>
  <c r="U170" i="6"/>
  <c r="T170" i="6"/>
  <c r="AH170" i="6" s="1"/>
  <c r="S170" i="6"/>
  <c r="R170" i="6"/>
  <c r="Q170" i="6"/>
  <c r="AD170" i="6" s="1"/>
  <c r="P170" i="6"/>
  <c r="N170" i="6"/>
  <c r="H170" i="6"/>
  <c r="AA169" i="6"/>
  <c r="AN169" i="6" s="1"/>
  <c r="Z169" i="6"/>
  <c r="Y169" i="6"/>
  <c r="X169" i="6"/>
  <c r="W169" i="6"/>
  <c r="V169" i="6"/>
  <c r="U169" i="6"/>
  <c r="T169" i="6"/>
  <c r="S169" i="6"/>
  <c r="AG169" i="6" s="1"/>
  <c r="R169" i="6"/>
  <c r="AE169" i="6" s="1"/>
  <c r="Q169" i="6"/>
  <c r="P169" i="6"/>
  <c r="N169" i="6"/>
  <c r="H169" i="6"/>
  <c r="AA168" i="6"/>
  <c r="Z168" i="6"/>
  <c r="Y168" i="6"/>
  <c r="X168" i="6"/>
  <c r="AL168" i="6" s="1"/>
  <c r="W168" i="6"/>
  <c r="V168" i="6"/>
  <c r="U168" i="6"/>
  <c r="T168" i="6"/>
  <c r="S168" i="6"/>
  <c r="R168" i="6"/>
  <c r="Q168" i="6"/>
  <c r="P168" i="6"/>
  <c r="N168" i="6"/>
  <c r="H168" i="6"/>
  <c r="AA167" i="6"/>
  <c r="Z167" i="6"/>
  <c r="Y167" i="6"/>
  <c r="X167" i="6"/>
  <c r="W167" i="6"/>
  <c r="V167" i="6"/>
  <c r="U167" i="6"/>
  <c r="T167" i="6"/>
  <c r="S167" i="6"/>
  <c r="R167" i="6"/>
  <c r="AE167" i="6" s="1"/>
  <c r="Q167" i="6"/>
  <c r="P167" i="6"/>
  <c r="N167" i="6"/>
  <c r="H167" i="6"/>
  <c r="AA166" i="6"/>
  <c r="Z166" i="6"/>
  <c r="Y166" i="6"/>
  <c r="X166" i="6"/>
  <c r="W166" i="6"/>
  <c r="V166" i="6"/>
  <c r="U166" i="6"/>
  <c r="AH166" i="6" s="1"/>
  <c r="T166" i="6"/>
  <c r="S166" i="6"/>
  <c r="AG166" i="6" s="1"/>
  <c r="R166" i="6"/>
  <c r="Q166" i="6"/>
  <c r="P166" i="6"/>
  <c r="N166" i="6"/>
  <c r="H166" i="6"/>
  <c r="AA165" i="6"/>
  <c r="Z165" i="6"/>
  <c r="Y165" i="6"/>
  <c r="X165" i="6"/>
  <c r="AL165" i="6" s="1"/>
  <c r="W165" i="6"/>
  <c r="V165" i="6"/>
  <c r="U165" i="6"/>
  <c r="T165" i="6"/>
  <c r="S165" i="6"/>
  <c r="R165" i="6"/>
  <c r="Q165" i="6"/>
  <c r="AD165" i="6" s="1"/>
  <c r="P165" i="6"/>
  <c r="N165" i="6"/>
  <c r="H165" i="6"/>
  <c r="AA164" i="6"/>
  <c r="Z164" i="6"/>
  <c r="Y164" i="6"/>
  <c r="X164" i="6"/>
  <c r="W164" i="6"/>
  <c r="V164" i="6"/>
  <c r="U164" i="6"/>
  <c r="T164" i="6"/>
  <c r="S164" i="6"/>
  <c r="R164" i="6"/>
  <c r="AE164" i="6" s="1"/>
  <c r="Q164" i="6"/>
  <c r="AD164" i="6" s="1"/>
  <c r="P164" i="6"/>
  <c r="N164" i="6"/>
  <c r="H164" i="6"/>
  <c r="AA163" i="6"/>
  <c r="Z163" i="6"/>
  <c r="Y163" i="6"/>
  <c r="X163" i="6"/>
  <c r="W163" i="6"/>
  <c r="V163" i="6"/>
  <c r="U163" i="6"/>
  <c r="T163" i="6"/>
  <c r="AH163" i="6" s="1"/>
  <c r="S163" i="6"/>
  <c r="R163" i="6"/>
  <c r="Q163" i="6"/>
  <c r="AD163" i="6" s="1"/>
  <c r="P163" i="6"/>
  <c r="N163" i="6"/>
  <c r="H163" i="6"/>
  <c r="AA162" i="6"/>
  <c r="Z162" i="6"/>
  <c r="Y162" i="6"/>
  <c r="X162" i="6"/>
  <c r="W162" i="6"/>
  <c r="V162" i="6"/>
  <c r="U162" i="6"/>
  <c r="AH162" i="6" s="1"/>
  <c r="T162" i="6"/>
  <c r="S162" i="6"/>
  <c r="R162" i="6"/>
  <c r="Q162" i="6"/>
  <c r="P162" i="6"/>
  <c r="N162" i="6"/>
  <c r="H162" i="6"/>
  <c r="AA161" i="6"/>
  <c r="Z161" i="6"/>
  <c r="Y161" i="6"/>
  <c r="AM161" i="6" s="1"/>
  <c r="X161" i="6"/>
  <c r="W161" i="6"/>
  <c r="V161" i="6"/>
  <c r="U161" i="6"/>
  <c r="T161" i="6"/>
  <c r="S161" i="6"/>
  <c r="R161" i="6"/>
  <c r="AE161" i="6" s="1"/>
  <c r="Q161" i="6"/>
  <c r="AD161" i="6" s="1"/>
  <c r="P161" i="6"/>
  <c r="N161" i="6"/>
  <c r="H161" i="6"/>
  <c r="AA160" i="6"/>
  <c r="Z160" i="6"/>
  <c r="AN160" i="6" s="1"/>
  <c r="Y160" i="6"/>
  <c r="X160" i="6"/>
  <c r="W160" i="6"/>
  <c r="V160" i="6"/>
  <c r="U160" i="6"/>
  <c r="T160" i="6"/>
  <c r="S160" i="6"/>
  <c r="R160" i="6"/>
  <c r="AE160" i="6" s="1"/>
  <c r="Q160" i="6"/>
  <c r="AD160" i="6" s="1"/>
  <c r="P160" i="6"/>
  <c r="N160" i="6"/>
  <c r="H160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N159" i="6"/>
  <c r="H159" i="6"/>
  <c r="AA158" i="6"/>
  <c r="Z158" i="6"/>
  <c r="Y158" i="6"/>
  <c r="X158" i="6"/>
  <c r="W158" i="6"/>
  <c r="V158" i="6"/>
  <c r="U158" i="6"/>
  <c r="T158" i="6"/>
  <c r="S158" i="6"/>
  <c r="AG158" i="6" s="1"/>
  <c r="R158" i="6"/>
  <c r="AE158" i="6" s="1"/>
  <c r="Q158" i="6"/>
  <c r="P158" i="6"/>
  <c r="N158" i="6"/>
  <c r="H158" i="6"/>
  <c r="AA157" i="6"/>
  <c r="Z157" i="6"/>
  <c r="Y157" i="6"/>
  <c r="X157" i="6"/>
  <c r="W157" i="6"/>
  <c r="V157" i="6"/>
  <c r="U157" i="6"/>
  <c r="T157" i="6"/>
  <c r="S157" i="6"/>
  <c r="AG157" i="6" s="1"/>
  <c r="R157" i="6"/>
  <c r="Q157" i="6"/>
  <c r="P157" i="6"/>
  <c r="N157" i="6"/>
  <c r="H157" i="6"/>
  <c r="AA156" i="6"/>
  <c r="Z156" i="6"/>
  <c r="AN156" i="6" s="1"/>
  <c r="Y156" i="6"/>
  <c r="X156" i="6"/>
  <c r="W156" i="6"/>
  <c r="V156" i="6"/>
  <c r="U156" i="6"/>
  <c r="T156" i="6"/>
  <c r="S156" i="6"/>
  <c r="R156" i="6"/>
  <c r="Q156" i="6"/>
  <c r="AD156" i="6" s="1"/>
  <c r="P156" i="6"/>
  <c r="N156" i="6"/>
  <c r="H156" i="6"/>
  <c r="AA155" i="6"/>
  <c r="Z155" i="6"/>
  <c r="AM155" i="6" s="1"/>
  <c r="Y155" i="6"/>
  <c r="X155" i="6"/>
  <c r="W155" i="6"/>
  <c r="V155" i="6"/>
  <c r="U155" i="6"/>
  <c r="T155" i="6"/>
  <c r="S155" i="6"/>
  <c r="R155" i="6"/>
  <c r="AE155" i="6" s="1"/>
  <c r="Q155" i="6"/>
  <c r="AD155" i="6" s="1"/>
  <c r="P155" i="6"/>
  <c r="N155" i="6"/>
  <c r="H155" i="6"/>
  <c r="AA154" i="6"/>
  <c r="Z154" i="6"/>
  <c r="Y154" i="6"/>
  <c r="X154" i="6"/>
  <c r="W154" i="6"/>
  <c r="V154" i="6"/>
  <c r="U154" i="6"/>
  <c r="AH154" i="6" s="1"/>
  <c r="T154" i="6"/>
  <c r="S154" i="6"/>
  <c r="R154" i="6"/>
  <c r="AE154" i="6" s="1"/>
  <c r="Q154" i="6"/>
  <c r="AD154" i="6" s="1"/>
  <c r="P154" i="6"/>
  <c r="N154" i="6"/>
  <c r="H154" i="6"/>
  <c r="AA153" i="6"/>
  <c r="Z153" i="6"/>
  <c r="Y153" i="6"/>
  <c r="X153" i="6"/>
  <c r="W153" i="6"/>
  <c r="V153" i="6"/>
  <c r="U153" i="6"/>
  <c r="T153" i="6"/>
  <c r="S153" i="6"/>
  <c r="AG153" i="6" s="1"/>
  <c r="R153" i="6"/>
  <c r="Q153" i="6"/>
  <c r="AD153" i="6" s="1"/>
  <c r="P153" i="6"/>
  <c r="N153" i="6"/>
  <c r="H153" i="6"/>
  <c r="AA152" i="6"/>
  <c r="Z152" i="6"/>
  <c r="AM152" i="6" s="1"/>
  <c r="Y152" i="6"/>
  <c r="X152" i="6"/>
  <c r="W152" i="6"/>
  <c r="V152" i="6"/>
  <c r="U152" i="6"/>
  <c r="T152" i="6"/>
  <c r="S152" i="6"/>
  <c r="R152" i="6"/>
  <c r="AE152" i="6" s="1"/>
  <c r="Q152" i="6"/>
  <c r="AD152" i="6" s="1"/>
  <c r="P152" i="6"/>
  <c r="N152" i="6"/>
  <c r="H152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N151" i="6"/>
  <c r="H151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N150" i="6"/>
  <c r="H150" i="6"/>
  <c r="AA149" i="6"/>
  <c r="Z149" i="6"/>
  <c r="Y149" i="6"/>
  <c r="AL149" i="6" s="1"/>
  <c r="X149" i="6"/>
  <c r="W149" i="6"/>
  <c r="V149" i="6"/>
  <c r="U149" i="6"/>
  <c r="T149" i="6"/>
  <c r="S149" i="6"/>
  <c r="AG149" i="6" s="1"/>
  <c r="R149" i="6"/>
  <c r="Q149" i="6"/>
  <c r="P149" i="6"/>
  <c r="N149" i="6"/>
  <c r="H149" i="6"/>
  <c r="AA148" i="6"/>
  <c r="AN148" i="6" s="1"/>
  <c r="Z148" i="6"/>
  <c r="Y148" i="6"/>
  <c r="X148" i="6"/>
  <c r="W148" i="6"/>
  <c r="V148" i="6"/>
  <c r="U148" i="6"/>
  <c r="T148" i="6"/>
  <c r="S148" i="6"/>
  <c r="R148" i="6"/>
  <c r="Q148" i="6"/>
  <c r="AD148" i="6" s="1"/>
  <c r="P148" i="6"/>
  <c r="N148" i="6"/>
  <c r="H148" i="6"/>
  <c r="AA147" i="6"/>
  <c r="Z147" i="6"/>
  <c r="Y147" i="6"/>
  <c r="X147" i="6"/>
  <c r="W147" i="6"/>
  <c r="V147" i="6"/>
  <c r="U147" i="6"/>
  <c r="T147" i="6"/>
  <c r="S147" i="6"/>
  <c r="R147" i="6"/>
  <c r="AE147" i="6" s="1"/>
  <c r="Q147" i="6"/>
  <c r="AD147" i="6" s="1"/>
  <c r="P147" i="6"/>
  <c r="N147" i="6"/>
  <c r="H147" i="6"/>
  <c r="AA146" i="6"/>
  <c r="Z146" i="6"/>
  <c r="Y146" i="6"/>
  <c r="X146" i="6"/>
  <c r="W146" i="6"/>
  <c r="V146" i="6"/>
  <c r="U146" i="6"/>
  <c r="T146" i="6"/>
  <c r="S146" i="6"/>
  <c r="R146" i="6"/>
  <c r="AE146" i="6" s="1"/>
  <c r="Q146" i="6"/>
  <c r="P146" i="6"/>
  <c r="N146" i="6"/>
  <c r="H146" i="6"/>
  <c r="AA145" i="6"/>
  <c r="Z145" i="6"/>
  <c r="Y145" i="6"/>
  <c r="X145" i="6"/>
  <c r="W145" i="6"/>
  <c r="V145" i="6"/>
  <c r="U145" i="6"/>
  <c r="T145" i="6"/>
  <c r="S145" i="6"/>
  <c r="AG145" i="6" s="1"/>
  <c r="R145" i="6"/>
  <c r="Q145" i="6"/>
  <c r="P145" i="6"/>
  <c r="N145" i="6"/>
  <c r="H145" i="6"/>
  <c r="AA144" i="6"/>
  <c r="AN144" i="6" s="1"/>
  <c r="Z144" i="6"/>
  <c r="Y144" i="6"/>
  <c r="AM144" i="6" s="1"/>
  <c r="X144" i="6"/>
  <c r="AK144" i="6" s="1"/>
  <c r="W144" i="6"/>
  <c r="V144" i="6"/>
  <c r="U144" i="6"/>
  <c r="T144" i="6"/>
  <c r="S144" i="6"/>
  <c r="R144" i="6"/>
  <c r="Q144" i="6"/>
  <c r="AD144" i="6" s="1"/>
  <c r="P144" i="6"/>
  <c r="N144" i="6"/>
  <c r="H144" i="6"/>
  <c r="AA143" i="6"/>
  <c r="Z143" i="6"/>
  <c r="Y143" i="6"/>
  <c r="X143" i="6"/>
  <c r="W143" i="6"/>
  <c r="V143" i="6"/>
  <c r="U143" i="6"/>
  <c r="T143" i="6"/>
  <c r="S143" i="6"/>
  <c r="R143" i="6"/>
  <c r="AE143" i="6" s="1"/>
  <c r="Q143" i="6"/>
  <c r="AD143" i="6" s="1"/>
  <c r="P143" i="6"/>
  <c r="N143" i="6"/>
  <c r="H143" i="6"/>
  <c r="AA142" i="6"/>
  <c r="Z142" i="6"/>
  <c r="Y142" i="6"/>
  <c r="X142" i="6"/>
  <c r="W142" i="6"/>
  <c r="V142" i="6"/>
  <c r="U142" i="6"/>
  <c r="T142" i="6"/>
  <c r="S142" i="6"/>
  <c r="R142" i="6"/>
  <c r="Q142" i="6"/>
  <c r="AD142" i="6" s="1"/>
  <c r="P142" i="6"/>
  <c r="N142" i="6"/>
  <c r="H142" i="6"/>
  <c r="AA141" i="6"/>
  <c r="Z141" i="6"/>
  <c r="Y141" i="6"/>
  <c r="AM141" i="6" s="1"/>
  <c r="X141" i="6"/>
  <c r="W141" i="6"/>
  <c r="V141" i="6"/>
  <c r="U141" i="6"/>
  <c r="T141" i="6"/>
  <c r="S141" i="6"/>
  <c r="AG141" i="6" s="1"/>
  <c r="R141" i="6"/>
  <c r="AE141" i="6" s="1"/>
  <c r="Q141" i="6"/>
  <c r="AD141" i="6" s="1"/>
  <c r="P141" i="6"/>
  <c r="N141" i="6"/>
  <c r="H141" i="6"/>
  <c r="AA140" i="6"/>
  <c r="AN140" i="6" s="1"/>
  <c r="Z140" i="6"/>
  <c r="AM140" i="6" s="1"/>
  <c r="Y140" i="6"/>
  <c r="X140" i="6"/>
  <c r="W140" i="6"/>
  <c r="V140" i="6"/>
  <c r="U140" i="6"/>
  <c r="T140" i="6"/>
  <c r="S140" i="6"/>
  <c r="R140" i="6"/>
  <c r="Q140" i="6"/>
  <c r="AD140" i="6" s="1"/>
  <c r="P140" i="6"/>
  <c r="N140" i="6"/>
  <c r="H140" i="6"/>
  <c r="AA139" i="6"/>
  <c r="Z139" i="6"/>
  <c r="Y139" i="6"/>
  <c r="X139" i="6"/>
  <c r="W139" i="6"/>
  <c r="V139" i="6"/>
  <c r="U139" i="6"/>
  <c r="T139" i="6"/>
  <c r="S139" i="6"/>
  <c r="R139" i="6"/>
  <c r="Q139" i="6"/>
  <c r="AD139" i="6" s="1"/>
  <c r="P139" i="6"/>
  <c r="N139" i="6"/>
  <c r="H139" i="6"/>
  <c r="AA138" i="6"/>
  <c r="Z138" i="6"/>
  <c r="Y138" i="6"/>
  <c r="X138" i="6"/>
  <c r="W138" i="6"/>
  <c r="V138" i="6"/>
  <c r="U138" i="6"/>
  <c r="T138" i="6"/>
  <c r="S138" i="6"/>
  <c r="AG138" i="6" s="1"/>
  <c r="R138" i="6"/>
  <c r="Q138" i="6"/>
  <c r="P138" i="6"/>
  <c r="N138" i="6"/>
  <c r="H138" i="6"/>
  <c r="AA137" i="6"/>
  <c r="Z137" i="6"/>
  <c r="Y137" i="6"/>
  <c r="X137" i="6"/>
  <c r="W137" i="6"/>
  <c r="V137" i="6"/>
  <c r="U137" i="6"/>
  <c r="AH137" i="6" s="1"/>
  <c r="T137" i="6"/>
  <c r="S137" i="6"/>
  <c r="R137" i="6"/>
  <c r="AE137" i="6" s="1"/>
  <c r="Q137" i="6"/>
  <c r="P137" i="6"/>
  <c r="N137" i="6"/>
  <c r="H137" i="6"/>
  <c r="AA136" i="6"/>
  <c r="Z136" i="6"/>
  <c r="Y136" i="6"/>
  <c r="X136" i="6"/>
  <c r="W136" i="6"/>
  <c r="AJ136" i="6" s="1"/>
  <c r="V136" i="6"/>
  <c r="U136" i="6"/>
  <c r="T136" i="6"/>
  <c r="S136" i="6"/>
  <c r="R136" i="6"/>
  <c r="Q136" i="6"/>
  <c r="AD136" i="6" s="1"/>
  <c r="P136" i="6"/>
  <c r="N136" i="6"/>
  <c r="H136" i="6"/>
  <c r="AA135" i="6"/>
  <c r="Z135" i="6"/>
  <c r="Y135" i="6"/>
  <c r="AL135" i="6" s="1"/>
  <c r="X135" i="6"/>
  <c r="W135" i="6"/>
  <c r="V135" i="6"/>
  <c r="U135" i="6"/>
  <c r="T135" i="6"/>
  <c r="S135" i="6"/>
  <c r="R135" i="6"/>
  <c r="AE135" i="6" s="1"/>
  <c r="Q135" i="6"/>
  <c r="P135" i="6"/>
  <c r="N135" i="6"/>
  <c r="H135" i="6"/>
  <c r="AA134" i="6"/>
  <c r="Z134" i="6"/>
  <c r="Y134" i="6"/>
  <c r="X134" i="6"/>
  <c r="W134" i="6"/>
  <c r="V134" i="6"/>
  <c r="U134" i="6"/>
  <c r="T134" i="6"/>
  <c r="S134" i="6"/>
  <c r="R134" i="6"/>
  <c r="AE134" i="6" s="1"/>
  <c r="Q134" i="6"/>
  <c r="AD134" i="6" s="1"/>
  <c r="P134" i="6"/>
  <c r="N134" i="6"/>
  <c r="H134" i="6"/>
  <c r="AA133" i="6"/>
  <c r="AN133" i="6" s="1"/>
  <c r="Z133" i="6"/>
  <c r="Y133" i="6"/>
  <c r="X133" i="6"/>
  <c r="AL133" i="6" s="1"/>
  <c r="W133" i="6"/>
  <c r="V133" i="6"/>
  <c r="U133" i="6"/>
  <c r="T133" i="6"/>
  <c r="S133" i="6"/>
  <c r="AG133" i="6" s="1"/>
  <c r="R133" i="6"/>
  <c r="Q133" i="6"/>
  <c r="AD133" i="6" s="1"/>
  <c r="P133" i="6"/>
  <c r="N133" i="6"/>
  <c r="H133" i="6"/>
  <c r="AA132" i="6"/>
  <c r="Z132" i="6"/>
  <c r="Y132" i="6"/>
  <c r="X132" i="6"/>
  <c r="AL132" i="6" s="1"/>
  <c r="W132" i="6"/>
  <c r="V132" i="6"/>
  <c r="U132" i="6"/>
  <c r="AH132" i="6" s="1"/>
  <c r="T132" i="6"/>
  <c r="S132" i="6"/>
  <c r="R132" i="6"/>
  <c r="AE132" i="6" s="1"/>
  <c r="Q132" i="6"/>
  <c r="AD132" i="6" s="1"/>
  <c r="P132" i="6"/>
  <c r="N132" i="6"/>
  <c r="H132" i="6"/>
  <c r="AA131" i="6"/>
  <c r="Z131" i="6"/>
  <c r="Y131" i="6"/>
  <c r="X131" i="6"/>
  <c r="W131" i="6"/>
  <c r="V131" i="6"/>
  <c r="U131" i="6"/>
  <c r="T131" i="6"/>
  <c r="AH131" i="6" s="1"/>
  <c r="S131" i="6"/>
  <c r="R131" i="6"/>
  <c r="Q131" i="6"/>
  <c r="AD131" i="6" s="1"/>
  <c r="P131" i="6"/>
  <c r="N131" i="6"/>
  <c r="H131" i="6"/>
  <c r="AA130" i="6"/>
  <c r="Z130" i="6"/>
  <c r="Y130" i="6"/>
  <c r="X130" i="6"/>
  <c r="W130" i="6"/>
  <c r="V130" i="6"/>
  <c r="U130" i="6"/>
  <c r="T130" i="6"/>
  <c r="S130" i="6"/>
  <c r="R130" i="6"/>
  <c r="Q130" i="6"/>
  <c r="AD130" i="6" s="1"/>
  <c r="P130" i="6"/>
  <c r="N130" i="6"/>
  <c r="H130" i="6"/>
  <c r="AA129" i="6"/>
  <c r="Z129" i="6"/>
  <c r="AN129" i="6" s="1"/>
  <c r="Y129" i="6"/>
  <c r="X129" i="6"/>
  <c r="W129" i="6"/>
  <c r="V129" i="6"/>
  <c r="U129" i="6"/>
  <c r="T129" i="6"/>
  <c r="S129" i="6"/>
  <c r="R129" i="6"/>
  <c r="AE129" i="6" s="1"/>
  <c r="Q129" i="6"/>
  <c r="AD129" i="6" s="1"/>
  <c r="P129" i="6"/>
  <c r="N129" i="6"/>
  <c r="H129" i="6"/>
  <c r="AA128" i="6"/>
  <c r="Z128" i="6"/>
  <c r="Y128" i="6"/>
  <c r="X128" i="6"/>
  <c r="W128" i="6"/>
  <c r="V128" i="6"/>
  <c r="U128" i="6"/>
  <c r="T128" i="6"/>
  <c r="S128" i="6"/>
  <c r="R128" i="6"/>
  <c r="AE128" i="6" s="1"/>
  <c r="Q128" i="6"/>
  <c r="P128" i="6"/>
  <c r="N128" i="6"/>
  <c r="H128" i="6"/>
  <c r="AA127" i="6"/>
  <c r="Z127" i="6"/>
  <c r="Y127" i="6"/>
  <c r="X127" i="6"/>
  <c r="W127" i="6"/>
  <c r="V127" i="6"/>
  <c r="U127" i="6"/>
  <c r="T127" i="6"/>
  <c r="S127" i="6"/>
  <c r="R127" i="6"/>
  <c r="AE127" i="6" s="1"/>
  <c r="Q127" i="6"/>
  <c r="P127" i="6"/>
  <c r="N127" i="6"/>
  <c r="H127" i="6"/>
  <c r="AA126" i="6"/>
  <c r="Z126" i="6"/>
  <c r="Y126" i="6"/>
  <c r="X126" i="6"/>
  <c r="W126" i="6"/>
  <c r="V126" i="6"/>
  <c r="U126" i="6"/>
  <c r="T126" i="6"/>
  <c r="S126" i="6"/>
  <c r="R126" i="6"/>
  <c r="AE126" i="6" s="1"/>
  <c r="Q126" i="6"/>
  <c r="P126" i="6"/>
  <c r="N126" i="6"/>
  <c r="H126" i="6"/>
  <c r="AA125" i="6"/>
  <c r="Z125" i="6"/>
  <c r="Y125" i="6"/>
  <c r="X125" i="6"/>
  <c r="W125" i="6"/>
  <c r="V125" i="6"/>
  <c r="U125" i="6"/>
  <c r="T125" i="6"/>
  <c r="AH125" i="6" s="1"/>
  <c r="S125" i="6"/>
  <c r="R125" i="6"/>
  <c r="AE125" i="6" s="1"/>
  <c r="Q125" i="6"/>
  <c r="AD125" i="6" s="1"/>
  <c r="P125" i="6"/>
  <c r="N125" i="6"/>
  <c r="H125" i="6"/>
  <c r="AA124" i="6"/>
  <c r="Z124" i="6"/>
  <c r="Y124" i="6"/>
  <c r="AL124" i="6" s="1"/>
  <c r="X124" i="6"/>
  <c r="W124" i="6"/>
  <c r="V124" i="6"/>
  <c r="U124" i="6"/>
  <c r="T124" i="6"/>
  <c r="S124" i="6"/>
  <c r="R124" i="6"/>
  <c r="AE124" i="6" s="1"/>
  <c r="Q124" i="6"/>
  <c r="P124" i="6"/>
  <c r="N124" i="6"/>
  <c r="H124" i="6"/>
  <c r="AA123" i="6"/>
  <c r="Z123" i="6"/>
  <c r="Y123" i="6"/>
  <c r="X123" i="6"/>
  <c r="W123" i="6"/>
  <c r="AJ123" i="6" s="1"/>
  <c r="V123" i="6"/>
  <c r="U123" i="6"/>
  <c r="T123" i="6"/>
  <c r="S123" i="6"/>
  <c r="R123" i="6"/>
  <c r="Q123" i="6"/>
  <c r="P123" i="6"/>
  <c r="N123" i="6"/>
  <c r="H123" i="6"/>
  <c r="AA122" i="6"/>
  <c r="Z122" i="6"/>
  <c r="Y122" i="6"/>
  <c r="X122" i="6"/>
  <c r="W122" i="6"/>
  <c r="V122" i="6"/>
  <c r="U122" i="6"/>
  <c r="T122" i="6"/>
  <c r="S122" i="6"/>
  <c r="R122" i="6"/>
  <c r="Q122" i="6"/>
  <c r="AD122" i="6" s="1"/>
  <c r="P122" i="6"/>
  <c r="N122" i="6"/>
  <c r="H122" i="6"/>
  <c r="AA121" i="6"/>
  <c r="Z121" i="6"/>
  <c r="Y121" i="6"/>
  <c r="X121" i="6"/>
  <c r="W121" i="6"/>
  <c r="V121" i="6"/>
  <c r="U121" i="6"/>
  <c r="AH121" i="6" s="1"/>
  <c r="T121" i="6"/>
  <c r="S121" i="6"/>
  <c r="AG121" i="6" s="1"/>
  <c r="R121" i="6"/>
  <c r="Q121" i="6"/>
  <c r="AD121" i="6" s="1"/>
  <c r="P121" i="6"/>
  <c r="N121" i="6"/>
  <c r="H121" i="6"/>
  <c r="AA120" i="6"/>
  <c r="Z120" i="6"/>
  <c r="Y120" i="6"/>
  <c r="X120" i="6"/>
  <c r="W120" i="6"/>
  <c r="V120" i="6"/>
  <c r="U120" i="6"/>
  <c r="T120" i="6"/>
  <c r="S120" i="6"/>
  <c r="R120" i="6"/>
  <c r="AE120" i="6" s="1"/>
  <c r="Q120" i="6"/>
  <c r="AD120" i="6" s="1"/>
  <c r="P120" i="6"/>
  <c r="N120" i="6"/>
  <c r="H120" i="6"/>
  <c r="AA119" i="6"/>
  <c r="Z119" i="6"/>
  <c r="Y119" i="6"/>
  <c r="AL119" i="6" s="1"/>
  <c r="X119" i="6"/>
  <c r="W119" i="6"/>
  <c r="V119" i="6"/>
  <c r="U119" i="6"/>
  <c r="T119" i="6"/>
  <c r="S119" i="6"/>
  <c r="R119" i="6"/>
  <c r="Q119" i="6"/>
  <c r="AD119" i="6" s="1"/>
  <c r="P119" i="6"/>
  <c r="N119" i="6"/>
  <c r="H119" i="6"/>
  <c r="AA118" i="6"/>
  <c r="Z118" i="6"/>
  <c r="Y118" i="6"/>
  <c r="AL118" i="6" s="1"/>
  <c r="X118" i="6"/>
  <c r="W118" i="6"/>
  <c r="V118" i="6"/>
  <c r="AJ118" i="6" s="1"/>
  <c r="U118" i="6"/>
  <c r="T118" i="6"/>
  <c r="S118" i="6"/>
  <c r="R118" i="6"/>
  <c r="Q118" i="6"/>
  <c r="P118" i="6"/>
  <c r="N118" i="6"/>
  <c r="H118" i="6"/>
  <c r="AA117" i="6"/>
  <c r="Z117" i="6"/>
  <c r="Y117" i="6"/>
  <c r="X117" i="6"/>
  <c r="W117" i="6"/>
  <c r="V117" i="6"/>
  <c r="U117" i="6"/>
  <c r="T117" i="6"/>
  <c r="S117" i="6"/>
  <c r="R117" i="6"/>
  <c r="AE117" i="6" s="1"/>
  <c r="Q117" i="6"/>
  <c r="P117" i="6"/>
  <c r="N117" i="6"/>
  <c r="H117" i="6"/>
  <c r="AA116" i="6"/>
  <c r="Z116" i="6"/>
  <c r="AM116" i="6" s="1"/>
  <c r="Y116" i="6"/>
  <c r="X116" i="6"/>
  <c r="W116" i="6"/>
  <c r="V116" i="6"/>
  <c r="U116" i="6"/>
  <c r="AI116" i="6" s="1"/>
  <c r="T116" i="6"/>
  <c r="S116" i="6"/>
  <c r="R116" i="6"/>
  <c r="AE116" i="6" s="1"/>
  <c r="Q116" i="6"/>
  <c r="P116" i="6"/>
  <c r="N116" i="6"/>
  <c r="H116" i="6"/>
  <c r="AA115" i="6"/>
  <c r="Z115" i="6"/>
  <c r="Y115" i="6"/>
  <c r="X115" i="6"/>
  <c r="W115" i="6"/>
  <c r="V115" i="6"/>
  <c r="AJ115" i="6" s="1"/>
  <c r="U115" i="6"/>
  <c r="T115" i="6"/>
  <c r="S115" i="6"/>
  <c r="R115" i="6"/>
  <c r="AE115" i="6" s="1"/>
  <c r="Q115" i="6"/>
  <c r="AD115" i="6" s="1"/>
  <c r="P115" i="6"/>
  <c r="N115" i="6"/>
  <c r="H115" i="6"/>
  <c r="AA114" i="6"/>
  <c r="Z114" i="6"/>
  <c r="Y114" i="6"/>
  <c r="AL114" i="6" s="1"/>
  <c r="X114" i="6"/>
  <c r="W114" i="6"/>
  <c r="V114" i="6"/>
  <c r="U114" i="6"/>
  <c r="T114" i="6"/>
  <c r="S114" i="6"/>
  <c r="AG114" i="6" s="1"/>
  <c r="R114" i="6"/>
  <c r="Q114" i="6"/>
  <c r="AD114" i="6" s="1"/>
  <c r="P114" i="6"/>
  <c r="N114" i="6"/>
  <c r="H114" i="6"/>
  <c r="AA113" i="6"/>
  <c r="Z113" i="6"/>
  <c r="Y113" i="6"/>
  <c r="X113" i="6"/>
  <c r="W113" i="6"/>
  <c r="V113" i="6"/>
  <c r="U113" i="6"/>
  <c r="T113" i="6"/>
  <c r="S113" i="6"/>
  <c r="R113" i="6"/>
  <c r="Q113" i="6"/>
  <c r="AD113" i="6" s="1"/>
  <c r="P113" i="6"/>
  <c r="N113" i="6"/>
  <c r="H113" i="6"/>
  <c r="AA112" i="6"/>
  <c r="Z112" i="6"/>
  <c r="Y112" i="6"/>
  <c r="AL112" i="6" s="1"/>
  <c r="X112" i="6"/>
  <c r="W112" i="6"/>
  <c r="V112" i="6"/>
  <c r="U112" i="6"/>
  <c r="T112" i="6"/>
  <c r="S112" i="6"/>
  <c r="R112" i="6"/>
  <c r="AE112" i="6" s="1"/>
  <c r="Q112" i="6"/>
  <c r="AD112" i="6" s="1"/>
  <c r="P112" i="6"/>
  <c r="N112" i="6"/>
  <c r="H112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N111" i="6"/>
  <c r="H111" i="6"/>
  <c r="AA110" i="6"/>
  <c r="Z110" i="6"/>
  <c r="Y110" i="6"/>
  <c r="X110" i="6"/>
  <c r="W110" i="6"/>
  <c r="V110" i="6"/>
  <c r="U110" i="6"/>
  <c r="T110" i="6"/>
  <c r="S110" i="6"/>
  <c r="AG110" i="6" s="1"/>
  <c r="R110" i="6"/>
  <c r="Q110" i="6"/>
  <c r="AD110" i="6" s="1"/>
  <c r="P110" i="6"/>
  <c r="N110" i="6"/>
  <c r="H110" i="6"/>
  <c r="AA109" i="6"/>
  <c r="Z109" i="6"/>
  <c r="Y109" i="6"/>
  <c r="X109" i="6"/>
  <c r="W109" i="6"/>
  <c r="V109" i="6"/>
  <c r="U109" i="6"/>
  <c r="T109" i="6"/>
  <c r="AH109" i="6" s="1"/>
  <c r="S109" i="6"/>
  <c r="R109" i="6"/>
  <c r="AE109" i="6" s="1"/>
  <c r="Q109" i="6"/>
  <c r="P109" i="6"/>
  <c r="N109" i="6"/>
  <c r="H109" i="6"/>
  <c r="AA108" i="6"/>
  <c r="Z108" i="6"/>
  <c r="Y108" i="6"/>
  <c r="AL108" i="6" s="1"/>
  <c r="X108" i="6"/>
  <c r="W108" i="6"/>
  <c r="V108" i="6"/>
  <c r="U108" i="6"/>
  <c r="T108" i="6"/>
  <c r="S108" i="6"/>
  <c r="R108" i="6"/>
  <c r="AE108" i="6" s="1"/>
  <c r="Q108" i="6"/>
  <c r="P108" i="6"/>
  <c r="N108" i="6"/>
  <c r="H108" i="6"/>
  <c r="AA107" i="6"/>
  <c r="Z107" i="6"/>
  <c r="Y107" i="6"/>
  <c r="X107" i="6"/>
  <c r="AL107" i="6" s="1"/>
  <c r="W107" i="6"/>
  <c r="V107" i="6"/>
  <c r="U107" i="6"/>
  <c r="T107" i="6"/>
  <c r="S107" i="6"/>
  <c r="R107" i="6"/>
  <c r="AE107" i="6" s="1"/>
  <c r="Q107" i="6"/>
  <c r="AD107" i="6" s="1"/>
  <c r="P107" i="6"/>
  <c r="N107" i="6"/>
  <c r="H107" i="6"/>
  <c r="AA106" i="6"/>
  <c r="Z106" i="6"/>
  <c r="Y106" i="6"/>
  <c r="X106" i="6"/>
  <c r="W106" i="6"/>
  <c r="V106" i="6"/>
  <c r="U106" i="6"/>
  <c r="T106" i="6"/>
  <c r="S106" i="6"/>
  <c r="R106" i="6"/>
  <c r="Q106" i="6"/>
  <c r="AD106" i="6" s="1"/>
  <c r="P106" i="6"/>
  <c r="N106" i="6"/>
  <c r="H106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N105" i="6"/>
  <c r="H105" i="6"/>
  <c r="AA104" i="6"/>
  <c r="Z104" i="6"/>
  <c r="Y104" i="6"/>
  <c r="X104" i="6"/>
  <c r="W104" i="6"/>
  <c r="V104" i="6"/>
  <c r="U104" i="6"/>
  <c r="T104" i="6"/>
  <c r="S104" i="6"/>
  <c r="R104" i="6"/>
  <c r="AE104" i="6" s="1"/>
  <c r="Q104" i="6"/>
  <c r="AD104" i="6" s="1"/>
  <c r="P104" i="6"/>
  <c r="N104" i="6"/>
  <c r="H104" i="6"/>
  <c r="AA103" i="6"/>
  <c r="Z103" i="6"/>
  <c r="Y103" i="6"/>
  <c r="X103" i="6"/>
  <c r="W103" i="6"/>
  <c r="V103" i="6"/>
  <c r="U103" i="6"/>
  <c r="T103" i="6"/>
  <c r="S103" i="6"/>
  <c r="R103" i="6"/>
  <c r="Q103" i="6"/>
  <c r="AD103" i="6" s="1"/>
  <c r="P103" i="6"/>
  <c r="N103" i="6"/>
  <c r="H103" i="6"/>
  <c r="AA102" i="6"/>
  <c r="Z102" i="6"/>
  <c r="Y102" i="6"/>
  <c r="AL102" i="6" s="1"/>
  <c r="X102" i="6"/>
  <c r="W102" i="6"/>
  <c r="V102" i="6"/>
  <c r="U102" i="6"/>
  <c r="T102" i="6"/>
  <c r="S102" i="6"/>
  <c r="R102" i="6"/>
  <c r="Q102" i="6"/>
  <c r="AD102" i="6" s="1"/>
  <c r="P102" i="6"/>
  <c r="N102" i="6"/>
  <c r="H102" i="6"/>
  <c r="AA101" i="6"/>
  <c r="Z101" i="6"/>
  <c r="Y101" i="6"/>
  <c r="X101" i="6"/>
  <c r="W101" i="6"/>
  <c r="V101" i="6"/>
  <c r="U101" i="6"/>
  <c r="T101" i="6"/>
  <c r="S101" i="6"/>
  <c r="AG101" i="6" s="1"/>
  <c r="R101" i="6"/>
  <c r="AE101" i="6" s="1"/>
  <c r="Q101" i="6"/>
  <c r="P101" i="6"/>
  <c r="N101" i="6"/>
  <c r="H101" i="6"/>
  <c r="AA100" i="6"/>
  <c r="Z100" i="6"/>
  <c r="Y100" i="6"/>
  <c r="X100" i="6"/>
  <c r="W100" i="6"/>
  <c r="V100" i="6"/>
  <c r="U100" i="6"/>
  <c r="T100" i="6"/>
  <c r="S100" i="6"/>
  <c r="R100" i="6"/>
  <c r="Q100" i="6"/>
  <c r="AD100" i="6" s="1"/>
  <c r="P100" i="6"/>
  <c r="N100" i="6"/>
  <c r="H100" i="6"/>
  <c r="AA99" i="6"/>
  <c r="Z99" i="6"/>
  <c r="Y99" i="6"/>
  <c r="X99" i="6"/>
  <c r="W99" i="6"/>
  <c r="V99" i="6"/>
  <c r="U99" i="6"/>
  <c r="AH99" i="6" s="1"/>
  <c r="T99" i="6"/>
  <c r="S99" i="6"/>
  <c r="R99" i="6"/>
  <c r="AE99" i="6" s="1"/>
  <c r="Q99" i="6"/>
  <c r="P99" i="6"/>
  <c r="N99" i="6"/>
  <c r="H99" i="6"/>
  <c r="AA98" i="6"/>
  <c r="Z98" i="6"/>
  <c r="AM98" i="6" s="1"/>
  <c r="Y98" i="6"/>
  <c r="X98" i="6"/>
  <c r="W98" i="6"/>
  <c r="V98" i="6"/>
  <c r="U98" i="6"/>
  <c r="T98" i="6"/>
  <c r="S98" i="6"/>
  <c r="AG98" i="6" s="1"/>
  <c r="R98" i="6"/>
  <c r="AE98" i="6" s="1"/>
  <c r="Q98" i="6"/>
  <c r="AD98" i="6" s="1"/>
  <c r="P98" i="6"/>
  <c r="N98" i="6"/>
  <c r="H98" i="6"/>
  <c r="AA97" i="6"/>
  <c r="Z97" i="6"/>
  <c r="Y97" i="6"/>
  <c r="X97" i="6"/>
  <c r="W97" i="6"/>
  <c r="V97" i="6"/>
  <c r="U97" i="6"/>
  <c r="T97" i="6"/>
  <c r="S97" i="6"/>
  <c r="R97" i="6"/>
  <c r="Q97" i="6"/>
  <c r="AD97" i="6" s="1"/>
  <c r="P97" i="6"/>
  <c r="N97" i="6"/>
  <c r="H97" i="6"/>
  <c r="AA96" i="6"/>
  <c r="AN96" i="6" s="1"/>
  <c r="Z96" i="6"/>
  <c r="AM96" i="6" s="1"/>
  <c r="Y96" i="6"/>
  <c r="X96" i="6"/>
  <c r="W96" i="6"/>
  <c r="AJ96" i="6" s="1"/>
  <c r="V96" i="6"/>
  <c r="U96" i="6"/>
  <c r="T96" i="6"/>
  <c r="S96" i="6"/>
  <c r="R96" i="6"/>
  <c r="AE96" i="6" s="1"/>
  <c r="Q96" i="6"/>
  <c r="AD96" i="6" s="1"/>
  <c r="P96" i="6"/>
  <c r="N96" i="6"/>
  <c r="H96" i="6"/>
  <c r="AA95" i="6"/>
  <c r="Z95" i="6"/>
  <c r="AN95" i="6" s="1"/>
  <c r="Y95" i="6"/>
  <c r="X95" i="6"/>
  <c r="W95" i="6"/>
  <c r="V95" i="6"/>
  <c r="U95" i="6"/>
  <c r="T95" i="6"/>
  <c r="S95" i="6"/>
  <c r="R95" i="6"/>
  <c r="Q95" i="6"/>
  <c r="AD95" i="6" s="1"/>
  <c r="P95" i="6"/>
  <c r="N95" i="6"/>
  <c r="H95" i="6"/>
  <c r="AA94" i="6"/>
  <c r="Z94" i="6"/>
  <c r="Y94" i="6"/>
  <c r="AL94" i="6" s="1"/>
  <c r="X94" i="6"/>
  <c r="W94" i="6"/>
  <c r="V94" i="6"/>
  <c r="U94" i="6"/>
  <c r="T94" i="6"/>
  <c r="S94" i="6"/>
  <c r="R94" i="6"/>
  <c r="AE94" i="6" s="1"/>
  <c r="Q94" i="6"/>
  <c r="AD94" i="6" s="1"/>
  <c r="P94" i="6"/>
  <c r="N94" i="6"/>
  <c r="H94" i="6"/>
  <c r="AA93" i="6"/>
  <c r="Z93" i="6"/>
  <c r="AM93" i="6" s="1"/>
  <c r="Y93" i="6"/>
  <c r="X93" i="6"/>
  <c r="W93" i="6"/>
  <c r="V93" i="6"/>
  <c r="U93" i="6"/>
  <c r="T93" i="6"/>
  <c r="S93" i="6"/>
  <c r="R93" i="6"/>
  <c r="AE93" i="6" s="1"/>
  <c r="Q93" i="6"/>
  <c r="P93" i="6"/>
  <c r="N93" i="6"/>
  <c r="H93" i="6"/>
  <c r="AA92" i="6"/>
  <c r="Z92" i="6"/>
  <c r="Y92" i="6"/>
  <c r="X92" i="6"/>
  <c r="W92" i="6"/>
  <c r="V92" i="6"/>
  <c r="U92" i="6"/>
  <c r="T92" i="6"/>
  <c r="S92" i="6"/>
  <c r="R92" i="6"/>
  <c r="AE92" i="6" s="1"/>
  <c r="Q92" i="6"/>
  <c r="AD92" i="6" s="1"/>
  <c r="P92" i="6"/>
  <c r="N92" i="6"/>
  <c r="H92" i="6"/>
  <c r="AA91" i="6"/>
  <c r="Z91" i="6"/>
  <c r="AM91" i="6" s="1"/>
  <c r="Y91" i="6"/>
  <c r="X91" i="6"/>
  <c r="AL91" i="6" s="1"/>
  <c r="W91" i="6"/>
  <c r="V91" i="6"/>
  <c r="U91" i="6"/>
  <c r="T91" i="6"/>
  <c r="S91" i="6"/>
  <c r="R91" i="6"/>
  <c r="Q91" i="6"/>
  <c r="AD91" i="6" s="1"/>
  <c r="P91" i="6"/>
  <c r="N91" i="6"/>
  <c r="H91" i="6"/>
  <c r="AA90" i="6"/>
  <c r="Z90" i="6"/>
  <c r="Y90" i="6"/>
  <c r="X90" i="6"/>
  <c r="W90" i="6"/>
  <c r="V90" i="6"/>
  <c r="U90" i="6"/>
  <c r="T90" i="6"/>
  <c r="S90" i="6"/>
  <c r="R90" i="6"/>
  <c r="AE90" i="6" s="1"/>
  <c r="Q90" i="6"/>
  <c r="AD90" i="6" s="1"/>
  <c r="P90" i="6"/>
  <c r="N90" i="6"/>
  <c r="H90" i="6"/>
  <c r="AA89" i="6"/>
  <c r="Z89" i="6"/>
  <c r="Y89" i="6"/>
  <c r="X89" i="6"/>
  <c r="W89" i="6"/>
  <c r="V89" i="6"/>
  <c r="U89" i="6"/>
  <c r="AH89" i="6" s="1"/>
  <c r="T89" i="6"/>
  <c r="S89" i="6"/>
  <c r="R89" i="6"/>
  <c r="Q89" i="6"/>
  <c r="P89" i="6"/>
  <c r="N89" i="6"/>
  <c r="H89" i="6"/>
  <c r="AA88" i="6"/>
  <c r="Z88" i="6"/>
  <c r="Y88" i="6"/>
  <c r="AL88" i="6" s="1"/>
  <c r="X88" i="6"/>
  <c r="W88" i="6"/>
  <c r="V88" i="6"/>
  <c r="AI88" i="6" s="1"/>
  <c r="U88" i="6"/>
  <c r="T88" i="6"/>
  <c r="S88" i="6"/>
  <c r="R88" i="6"/>
  <c r="Q88" i="6"/>
  <c r="AD88" i="6" s="1"/>
  <c r="P88" i="6"/>
  <c r="N88" i="6"/>
  <c r="H88" i="6"/>
  <c r="AA87" i="6"/>
  <c r="Z87" i="6"/>
  <c r="Y87" i="6"/>
  <c r="X87" i="6"/>
  <c r="W87" i="6"/>
  <c r="V87" i="6"/>
  <c r="AI87" i="6" s="1"/>
  <c r="U87" i="6"/>
  <c r="T87" i="6"/>
  <c r="AH87" i="6" s="1"/>
  <c r="S87" i="6"/>
  <c r="R87" i="6"/>
  <c r="Q87" i="6"/>
  <c r="AD87" i="6" s="1"/>
  <c r="P87" i="6"/>
  <c r="N87" i="6"/>
  <c r="H87" i="6"/>
  <c r="AA86" i="6"/>
  <c r="Z86" i="6"/>
  <c r="Y86" i="6"/>
  <c r="X86" i="6"/>
  <c r="W86" i="6"/>
  <c r="V86" i="6"/>
  <c r="U86" i="6"/>
  <c r="T86" i="6"/>
  <c r="S86" i="6"/>
  <c r="R86" i="6"/>
  <c r="Q86" i="6"/>
  <c r="P86" i="6"/>
  <c r="N86" i="6"/>
  <c r="H86" i="6"/>
  <c r="AA85" i="6"/>
  <c r="Z85" i="6"/>
  <c r="Y85" i="6"/>
  <c r="X85" i="6"/>
  <c r="W85" i="6"/>
  <c r="V85" i="6"/>
  <c r="AJ85" i="6" s="1"/>
  <c r="U85" i="6"/>
  <c r="AH85" i="6" s="1"/>
  <c r="T85" i="6"/>
  <c r="S85" i="6"/>
  <c r="R85" i="6"/>
  <c r="Q85" i="6"/>
  <c r="P85" i="6"/>
  <c r="N85" i="6"/>
  <c r="H85" i="6"/>
  <c r="AA84" i="6"/>
  <c r="Z84" i="6"/>
  <c r="AM84" i="6" s="1"/>
  <c r="Y84" i="6"/>
  <c r="X84" i="6"/>
  <c r="W84" i="6"/>
  <c r="V84" i="6"/>
  <c r="U84" i="6"/>
  <c r="T84" i="6"/>
  <c r="S84" i="6"/>
  <c r="R84" i="6"/>
  <c r="AE84" i="6" s="1"/>
  <c r="Q84" i="6"/>
  <c r="P84" i="6"/>
  <c r="N84" i="6"/>
  <c r="H84" i="6"/>
  <c r="AA83" i="6"/>
  <c r="Z83" i="6"/>
  <c r="Y83" i="6"/>
  <c r="X83" i="6"/>
  <c r="W83" i="6"/>
  <c r="V83" i="6"/>
  <c r="U83" i="6"/>
  <c r="T83" i="6"/>
  <c r="S83" i="6"/>
  <c r="AG83" i="6" s="1"/>
  <c r="R83" i="6"/>
  <c r="Q83" i="6"/>
  <c r="P83" i="6"/>
  <c r="N83" i="6"/>
  <c r="H83" i="6"/>
  <c r="AA82" i="6"/>
  <c r="Z82" i="6"/>
  <c r="Y82" i="6"/>
  <c r="AL82" i="6" s="1"/>
  <c r="X82" i="6"/>
  <c r="W82" i="6"/>
  <c r="V82" i="6"/>
  <c r="U82" i="6"/>
  <c r="T82" i="6"/>
  <c r="S82" i="6"/>
  <c r="R82" i="6"/>
  <c r="Q82" i="6"/>
  <c r="P82" i="6"/>
  <c r="N82" i="6"/>
  <c r="H82" i="6"/>
  <c r="AA81" i="6"/>
  <c r="Z81" i="6"/>
  <c r="Y81" i="6"/>
  <c r="X81" i="6"/>
  <c r="W81" i="6"/>
  <c r="V81" i="6"/>
  <c r="U81" i="6"/>
  <c r="T81" i="6"/>
  <c r="S81" i="6"/>
  <c r="R81" i="6"/>
  <c r="Q81" i="6"/>
  <c r="AD81" i="6" s="1"/>
  <c r="P81" i="6"/>
  <c r="N81" i="6"/>
  <c r="H81" i="6"/>
  <c r="AA80" i="6"/>
  <c r="Z80" i="6"/>
  <c r="AM80" i="6" s="1"/>
  <c r="Y80" i="6"/>
  <c r="X80" i="6"/>
  <c r="W80" i="6"/>
  <c r="V80" i="6"/>
  <c r="U80" i="6"/>
  <c r="AI80" i="6" s="1"/>
  <c r="T80" i="6"/>
  <c r="S80" i="6"/>
  <c r="AG80" i="6" s="1"/>
  <c r="R80" i="6"/>
  <c r="Q80" i="6"/>
  <c r="P80" i="6"/>
  <c r="N80" i="6"/>
  <c r="H80" i="6"/>
  <c r="AA79" i="6"/>
  <c r="Z79" i="6"/>
  <c r="Y79" i="6"/>
  <c r="X79" i="6"/>
  <c r="W79" i="6"/>
  <c r="V79" i="6"/>
  <c r="U79" i="6"/>
  <c r="T79" i="6"/>
  <c r="AH79" i="6" s="1"/>
  <c r="S79" i="6"/>
  <c r="R79" i="6"/>
  <c r="AE79" i="6" s="1"/>
  <c r="Q79" i="6"/>
  <c r="P79" i="6"/>
  <c r="N79" i="6"/>
  <c r="H79" i="6"/>
  <c r="AA78" i="6"/>
  <c r="Z78" i="6"/>
  <c r="AM78" i="6" s="1"/>
  <c r="Y78" i="6"/>
  <c r="X78" i="6"/>
  <c r="W78" i="6"/>
  <c r="V78" i="6"/>
  <c r="U78" i="6"/>
  <c r="T78" i="6"/>
  <c r="S78" i="6"/>
  <c r="R78" i="6"/>
  <c r="AE78" i="6" s="1"/>
  <c r="Q78" i="6"/>
  <c r="AD78" i="6" s="1"/>
  <c r="P78" i="6"/>
  <c r="N78" i="6"/>
  <c r="H78" i="6"/>
  <c r="AA77" i="6"/>
  <c r="Z77" i="6"/>
  <c r="Y77" i="6"/>
  <c r="X77" i="6"/>
  <c r="W77" i="6"/>
  <c r="V77" i="6"/>
  <c r="U77" i="6"/>
  <c r="T77" i="6"/>
  <c r="S77" i="6"/>
  <c r="R77" i="6"/>
  <c r="Q77" i="6"/>
  <c r="AD77" i="6" s="1"/>
  <c r="P77" i="6"/>
  <c r="N77" i="6"/>
  <c r="H77" i="6"/>
  <c r="AA76" i="6"/>
  <c r="Z76" i="6"/>
  <c r="Y76" i="6"/>
  <c r="X76" i="6"/>
  <c r="W76" i="6"/>
  <c r="V76" i="6"/>
  <c r="U76" i="6"/>
  <c r="T76" i="6"/>
  <c r="S76" i="6"/>
  <c r="R76" i="6"/>
  <c r="AE76" i="6" s="1"/>
  <c r="Q76" i="6"/>
  <c r="P76" i="6"/>
  <c r="N76" i="6"/>
  <c r="H76" i="6"/>
  <c r="AA75" i="6"/>
  <c r="Z75" i="6"/>
  <c r="Y75" i="6"/>
  <c r="X75" i="6"/>
  <c r="W75" i="6"/>
  <c r="V75" i="6"/>
  <c r="U75" i="6"/>
  <c r="AH75" i="6" s="1"/>
  <c r="T75" i="6"/>
  <c r="S75" i="6"/>
  <c r="R75" i="6"/>
  <c r="AE75" i="6" s="1"/>
  <c r="Q75" i="6"/>
  <c r="AD75" i="6" s="1"/>
  <c r="P75" i="6"/>
  <c r="N75" i="6"/>
  <c r="H75" i="6"/>
  <c r="AA74" i="6"/>
  <c r="Z74" i="6"/>
  <c r="Y74" i="6"/>
  <c r="X74" i="6"/>
  <c r="W74" i="6"/>
  <c r="V74" i="6"/>
  <c r="U74" i="6"/>
  <c r="T74" i="6"/>
  <c r="S74" i="6"/>
  <c r="R74" i="6"/>
  <c r="Q74" i="6"/>
  <c r="AD74" i="6" s="1"/>
  <c r="P74" i="6"/>
  <c r="N74" i="6"/>
  <c r="H74" i="6"/>
  <c r="AA73" i="6"/>
  <c r="Z73" i="6"/>
  <c r="Y73" i="6"/>
  <c r="X73" i="6"/>
  <c r="W73" i="6"/>
  <c r="V73" i="6"/>
  <c r="U73" i="6"/>
  <c r="T73" i="6"/>
  <c r="S73" i="6"/>
  <c r="R73" i="6"/>
  <c r="Q73" i="6"/>
  <c r="P73" i="6"/>
  <c r="N73" i="6"/>
  <c r="H73" i="6"/>
  <c r="AA72" i="6"/>
  <c r="Z72" i="6"/>
  <c r="Y72" i="6"/>
  <c r="AL72" i="6" s="1"/>
  <c r="X72" i="6"/>
  <c r="W72" i="6"/>
  <c r="V72" i="6"/>
  <c r="U72" i="6"/>
  <c r="T72" i="6"/>
  <c r="S72" i="6"/>
  <c r="R72" i="6"/>
  <c r="Q72" i="6"/>
  <c r="P72" i="6"/>
  <c r="N72" i="6"/>
  <c r="H72" i="6"/>
  <c r="AA71" i="6"/>
  <c r="AN71" i="6" s="1"/>
  <c r="Z71" i="6"/>
  <c r="Y71" i="6"/>
  <c r="X71" i="6"/>
  <c r="W71" i="6"/>
  <c r="V71" i="6"/>
  <c r="U71" i="6"/>
  <c r="T71" i="6"/>
  <c r="S71" i="6"/>
  <c r="R71" i="6"/>
  <c r="AE71" i="6" s="1"/>
  <c r="Q71" i="6"/>
  <c r="AD71" i="6" s="1"/>
  <c r="P71" i="6"/>
  <c r="N71" i="6"/>
  <c r="H71" i="6"/>
  <c r="AA70" i="6"/>
  <c r="Z70" i="6"/>
  <c r="Y70" i="6"/>
  <c r="AL70" i="6" s="1"/>
  <c r="X70" i="6"/>
  <c r="W70" i="6"/>
  <c r="V70" i="6"/>
  <c r="U70" i="6"/>
  <c r="T70" i="6"/>
  <c r="S70" i="6"/>
  <c r="R70" i="6"/>
  <c r="Q70" i="6"/>
  <c r="AD70" i="6" s="1"/>
  <c r="P70" i="6"/>
  <c r="N70" i="6"/>
  <c r="H70" i="6"/>
  <c r="AA69" i="6"/>
  <c r="AN69" i="6" s="1"/>
  <c r="Z69" i="6"/>
  <c r="Y69" i="6"/>
  <c r="X69" i="6"/>
  <c r="W69" i="6"/>
  <c r="V69" i="6"/>
  <c r="U69" i="6"/>
  <c r="T69" i="6"/>
  <c r="S69" i="6"/>
  <c r="R69" i="6"/>
  <c r="AE69" i="6" s="1"/>
  <c r="Q69" i="6"/>
  <c r="AD69" i="6" s="1"/>
  <c r="P69" i="6"/>
  <c r="N69" i="6"/>
  <c r="H69" i="6"/>
  <c r="AA68" i="6"/>
  <c r="Z68" i="6"/>
  <c r="AM68" i="6" s="1"/>
  <c r="Y68" i="6"/>
  <c r="AL68" i="6" s="1"/>
  <c r="X68" i="6"/>
  <c r="AK68" i="6" s="1"/>
  <c r="W68" i="6"/>
  <c r="AJ68" i="6" s="1"/>
  <c r="V68" i="6"/>
  <c r="U68" i="6"/>
  <c r="T68" i="6"/>
  <c r="S68" i="6"/>
  <c r="R68" i="6"/>
  <c r="AE68" i="6" s="1"/>
  <c r="Q68" i="6"/>
  <c r="P68" i="6"/>
  <c r="N68" i="6"/>
  <c r="H68" i="6"/>
  <c r="AA67" i="6"/>
  <c r="AN67" i="6" s="1"/>
  <c r="Z67" i="6"/>
  <c r="Y67" i="6"/>
  <c r="X67" i="6"/>
  <c r="W67" i="6"/>
  <c r="V67" i="6"/>
  <c r="U67" i="6"/>
  <c r="T67" i="6"/>
  <c r="AH67" i="6" s="1"/>
  <c r="S67" i="6"/>
  <c r="R67" i="6"/>
  <c r="Q67" i="6"/>
  <c r="AD67" i="6" s="1"/>
  <c r="P67" i="6"/>
  <c r="N67" i="6"/>
  <c r="H67" i="6"/>
  <c r="AA66" i="6"/>
  <c r="AN66" i="6" s="1"/>
  <c r="Z66" i="6"/>
  <c r="AM66" i="6" s="1"/>
  <c r="Y66" i="6"/>
  <c r="X66" i="6"/>
  <c r="W66" i="6"/>
  <c r="V66" i="6"/>
  <c r="U66" i="6"/>
  <c r="T66" i="6"/>
  <c r="S66" i="6"/>
  <c r="R66" i="6"/>
  <c r="Q66" i="6"/>
  <c r="AD66" i="6" s="1"/>
  <c r="P66" i="6"/>
  <c r="N66" i="6"/>
  <c r="H66" i="6"/>
  <c r="AA65" i="6"/>
  <c r="Z65" i="6"/>
  <c r="Y65" i="6"/>
  <c r="X65" i="6"/>
  <c r="W65" i="6"/>
  <c r="V65" i="6"/>
  <c r="U65" i="6"/>
  <c r="T65" i="6"/>
  <c r="S65" i="6"/>
  <c r="R65" i="6"/>
  <c r="Q65" i="6"/>
  <c r="AD65" i="6" s="1"/>
  <c r="P65" i="6"/>
  <c r="N65" i="6"/>
  <c r="H65" i="6"/>
  <c r="AA64" i="6"/>
  <c r="Z64" i="6"/>
  <c r="Y64" i="6"/>
  <c r="AM64" i="6" s="1"/>
  <c r="X64" i="6"/>
  <c r="W64" i="6"/>
  <c r="V64" i="6"/>
  <c r="U64" i="6"/>
  <c r="T64" i="6"/>
  <c r="S64" i="6"/>
  <c r="R64" i="6"/>
  <c r="Q64" i="6"/>
  <c r="AD64" i="6" s="1"/>
  <c r="P64" i="6"/>
  <c r="N64" i="6"/>
  <c r="H64" i="6"/>
  <c r="AA63" i="6"/>
  <c r="Z63" i="6"/>
  <c r="Y63" i="6"/>
  <c r="X63" i="6"/>
  <c r="W63" i="6"/>
  <c r="V63" i="6"/>
  <c r="AI63" i="6" s="1"/>
  <c r="U63" i="6"/>
  <c r="T63" i="6"/>
  <c r="S63" i="6"/>
  <c r="R63" i="6"/>
  <c r="AE63" i="6" s="1"/>
  <c r="Q63" i="6"/>
  <c r="AD63" i="6" s="1"/>
  <c r="P63" i="6"/>
  <c r="N63" i="6"/>
  <c r="H63" i="6"/>
  <c r="AA62" i="6"/>
  <c r="Z62" i="6"/>
  <c r="Y62" i="6"/>
  <c r="X62" i="6"/>
  <c r="W62" i="6"/>
  <c r="V62" i="6"/>
  <c r="U62" i="6"/>
  <c r="T62" i="6"/>
  <c r="S62" i="6"/>
  <c r="R62" i="6"/>
  <c r="AE62" i="6" s="1"/>
  <c r="Q62" i="6"/>
  <c r="AD62" i="6" s="1"/>
  <c r="P62" i="6"/>
  <c r="N62" i="6"/>
  <c r="H62" i="6"/>
  <c r="AA61" i="6"/>
  <c r="Z61" i="6"/>
  <c r="Y61" i="6"/>
  <c r="X61" i="6"/>
  <c r="W61" i="6"/>
  <c r="V61" i="6"/>
  <c r="U61" i="6"/>
  <c r="T61" i="6"/>
  <c r="S61" i="6"/>
  <c r="R61" i="6"/>
  <c r="Q61" i="6"/>
  <c r="P61" i="6"/>
  <c r="N61" i="6"/>
  <c r="H61" i="6"/>
  <c r="AA60" i="6"/>
  <c r="Z60" i="6"/>
  <c r="Y60" i="6"/>
  <c r="AL60" i="6" s="1"/>
  <c r="X60" i="6"/>
  <c r="W60" i="6"/>
  <c r="V60" i="6"/>
  <c r="U60" i="6"/>
  <c r="AI60" i="6" s="1"/>
  <c r="T60" i="6"/>
  <c r="S60" i="6"/>
  <c r="R60" i="6"/>
  <c r="AE60" i="6" s="1"/>
  <c r="Q60" i="6"/>
  <c r="P60" i="6"/>
  <c r="N60" i="6"/>
  <c r="H60" i="6"/>
  <c r="AA59" i="6"/>
  <c r="Z59" i="6"/>
  <c r="Y59" i="6"/>
  <c r="X59" i="6"/>
  <c r="W59" i="6"/>
  <c r="V59" i="6"/>
  <c r="U59" i="6"/>
  <c r="T59" i="6"/>
  <c r="S59" i="6"/>
  <c r="AG59" i="6" s="1"/>
  <c r="R59" i="6"/>
  <c r="Q59" i="6"/>
  <c r="P59" i="6"/>
  <c r="N59" i="6"/>
  <c r="H59" i="6"/>
  <c r="AA58" i="6"/>
  <c r="Z58" i="6"/>
  <c r="Y58" i="6"/>
  <c r="X58" i="6"/>
  <c r="AK58" i="6" s="1"/>
  <c r="W58" i="6"/>
  <c r="V58" i="6"/>
  <c r="U58" i="6"/>
  <c r="T58" i="6"/>
  <c r="S58" i="6"/>
  <c r="R58" i="6"/>
  <c r="Q58" i="6"/>
  <c r="AD58" i="6" s="1"/>
  <c r="P58" i="6"/>
  <c r="N58" i="6"/>
  <c r="H58" i="6"/>
  <c r="AA57" i="6"/>
  <c r="Z57" i="6"/>
  <c r="Y57" i="6"/>
  <c r="X57" i="6"/>
  <c r="W57" i="6"/>
  <c r="V57" i="6"/>
  <c r="U57" i="6"/>
  <c r="T57" i="6"/>
  <c r="S57" i="6"/>
  <c r="AG57" i="6" s="1"/>
  <c r="R57" i="6"/>
  <c r="AE57" i="6" s="1"/>
  <c r="Q57" i="6"/>
  <c r="AD57" i="6" s="1"/>
  <c r="P57" i="6"/>
  <c r="N57" i="6"/>
  <c r="H57" i="6"/>
  <c r="AA56" i="6"/>
  <c r="Z56" i="6"/>
  <c r="Y56" i="6"/>
  <c r="X56" i="6"/>
  <c r="AK56" i="6" s="1"/>
  <c r="W56" i="6"/>
  <c r="V56" i="6"/>
  <c r="AI56" i="6" s="1"/>
  <c r="U56" i="6"/>
  <c r="T56" i="6"/>
  <c r="S56" i="6"/>
  <c r="R56" i="6"/>
  <c r="Q56" i="6"/>
  <c r="AD56" i="6" s="1"/>
  <c r="P56" i="6"/>
  <c r="N56" i="6"/>
  <c r="H56" i="6"/>
  <c r="AA55" i="6"/>
  <c r="Z55" i="6"/>
  <c r="Y55" i="6"/>
  <c r="X55" i="6"/>
  <c r="W55" i="6"/>
  <c r="V55" i="6"/>
  <c r="U55" i="6"/>
  <c r="AH55" i="6" s="1"/>
  <c r="T55" i="6"/>
  <c r="S55" i="6"/>
  <c r="AG55" i="6" s="1"/>
  <c r="R55" i="6"/>
  <c r="Q55" i="6"/>
  <c r="P55" i="6"/>
  <c r="N55" i="6"/>
  <c r="H55" i="6"/>
  <c r="AA54" i="6"/>
  <c r="Z54" i="6"/>
  <c r="Y54" i="6"/>
  <c r="AM54" i="6" s="1"/>
  <c r="X54" i="6"/>
  <c r="W54" i="6"/>
  <c r="V54" i="6"/>
  <c r="U54" i="6"/>
  <c r="T54" i="6"/>
  <c r="S54" i="6"/>
  <c r="R54" i="6"/>
  <c r="AE54" i="6" s="1"/>
  <c r="Q54" i="6"/>
  <c r="P54" i="6"/>
  <c r="N54" i="6"/>
  <c r="H54" i="6"/>
  <c r="AA53" i="6"/>
  <c r="Z53" i="6"/>
  <c r="Y53" i="6"/>
  <c r="X53" i="6"/>
  <c r="AK53" i="6" s="1"/>
  <c r="W53" i="6"/>
  <c r="V53" i="6"/>
  <c r="U53" i="6"/>
  <c r="T53" i="6"/>
  <c r="AH53" i="6" s="1"/>
  <c r="S53" i="6"/>
  <c r="R53" i="6"/>
  <c r="Q53" i="6"/>
  <c r="P53" i="6"/>
  <c r="N53" i="6"/>
  <c r="H53" i="6"/>
  <c r="AA52" i="6"/>
  <c r="Z52" i="6"/>
  <c r="Y52" i="6"/>
  <c r="AL52" i="6" s="1"/>
  <c r="X52" i="6"/>
  <c r="W52" i="6"/>
  <c r="V52" i="6"/>
  <c r="U52" i="6"/>
  <c r="T52" i="6"/>
  <c r="S52" i="6"/>
  <c r="R52" i="6"/>
  <c r="Q52" i="6"/>
  <c r="AD52" i="6" s="1"/>
  <c r="P52" i="6"/>
  <c r="N52" i="6"/>
  <c r="H52" i="6"/>
  <c r="AA51" i="6"/>
  <c r="Z51" i="6"/>
  <c r="Y51" i="6"/>
  <c r="X51" i="6"/>
  <c r="W51" i="6"/>
  <c r="V51" i="6"/>
  <c r="U51" i="6"/>
  <c r="T51" i="6"/>
  <c r="S51" i="6"/>
  <c r="R51" i="6"/>
  <c r="Q51" i="6"/>
  <c r="AD51" i="6" s="1"/>
  <c r="P51" i="6"/>
  <c r="N51" i="6"/>
  <c r="H51" i="6"/>
  <c r="AA50" i="6"/>
  <c r="Z50" i="6"/>
  <c r="Y50" i="6"/>
  <c r="X50" i="6"/>
  <c r="W50" i="6"/>
  <c r="V50" i="6"/>
  <c r="U50" i="6"/>
  <c r="T50" i="6"/>
  <c r="S50" i="6"/>
  <c r="R50" i="6"/>
  <c r="Q50" i="6"/>
  <c r="AD50" i="6" s="1"/>
  <c r="P50" i="6"/>
  <c r="N50" i="6"/>
  <c r="H50" i="6"/>
  <c r="AA49" i="6"/>
  <c r="Z49" i="6"/>
  <c r="Y49" i="6"/>
  <c r="X49" i="6"/>
  <c r="AK49" i="6" s="1"/>
  <c r="W49" i="6"/>
  <c r="V49" i="6"/>
  <c r="U49" i="6"/>
  <c r="T49" i="6"/>
  <c r="S49" i="6"/>
  <c r="AG49" i="6" s="1"/>
  <c r="R49" i="6"/>
  <c r="AE49" i="6" s="1"/>
  <c r="Q49" i="6"/>
  <c r="P49" i="6"/>
  <c r="N49" i="6"/>
  <c r="H49" i="6"/>
  <c r="AA48" i="6"/>
  <c r="AN48" i="6" s="1"/>
  <c r="Z48" i="6"/>
  <c r="Y48" i="6"/>
  <c r="AM48" i="6" s="1"/>
  <c r="X48" i="6"/>
  <c r="W48" i="6"/>
  <c r="V48" i="6"/>
  <c r="U48" i="6"/>
  <c r="T48" i="6"/>
  <c r="S48" i="6"/>
  <c r="R48" i="6"/>
  <c r="Q48" i="6"/>
  <c r="P48" i="6"/>
  <c r="N48" i="6"/>
  <c r="H48" i="6"/>
  <c r="AA47" i="6"/>
  <c r="Z47" i="6"/>
  <c r="Y47" i="6"/>
  <c r="X47" i="6"/>
  <c r="W47" i="6"/>
  <c r="V47" i="6"/>
  <c r="AI47" i="6" s="1"/>
  <c r="U47" i="6"/>
  <c r="T47" i="6"/>
  <c r="S47" i="6"/>
  <c r="R47" i="6"/>
  <c r="Q47" i="6"/>
  <c r="AD47" i="6" s="1"/>
  <c r="P47" i="6"/>
  <c r="N47" i="6"/>
  <c r="H47" i="6"/>
  <c r="AA46" i="6"/>
  <c r="Z46" i="6"/>
  <c r="Y46" i="6"/>
  <c r="X46" i="6"/>
  <c r="W46" i="6"/>
  <c r="V46" i="6"/>
  <c r="U46" i="6"/>
  <c r="T46" i="6"/>
  <c r="S46" i="6"/>
  <c r="R46" i="6"/>
  <c r="AE46" i="6" s="1"/>
  <c r="Q46" i="6"/>
  <c r="AD46" i="6" s="1"/>
  <c r="P46" i="6"/>
  <c r="N46" i="6"/>
  <c r="H46" i="6"/>
  <c r="AA45" i="6"/>
  <c r="AN45" i="6" s="1"/>
  <c r="Z45" i="6"/>
  <c r="Y45" i="6"/>
  <c r="AL45" i="6" s="1"/>
  <c r="X45" i="6"/>
  <c r="W45" i="6"/>
  <c r="V45" i="6"/>
  <c r="U45" i="6"/>
  <c r="T45" i="6"/>
  <c r="AH45" i="6" s="1"/>
  <c r="S45" i="6"/>
  <c r="R45" i="6"/>
  <c r="Q45" i="6"/>
  <c r="P45" i="6"/>
  <c r="N45" i="6"/>
  <c r="H45" i="6"/>
  <c r="AA44" i="6"/>
  <c r="Z44" i="6"/>
  <c r="Y44" i="6"/>
  <c r="X44" i="6"/>
  <c r="W44" i="6"/>
  <c r="V44" i="6"/>
  <c r="U44" i="6"/>
  <c r="AH44" i="6" s="1"/>
  <c r="T44" i="6"/>
  <c r="S44" i="6"/>
  <c r="R44" i="6"/>
  <c r="Q44" i="6"/>
  <c r="AE44" i="6" s="1"/>
  <c r="P44" i="6"/>
  <c r="N44" i="6"/>
  <c r="H44" i="6"/>
  <c r="AA43" i="6"/>
  <c r="Z43" i="6"/>
  <c r="Y43" i="6"/>
  <c r="X43" i="6"/>
  <c r="W43" i="6"/>
  <c r="V43" i="6"/>
  <c r="U43" i="6"/>
  <c r="T43" i="6"/>
  <c r="S43" i="6"/>
  <c r="AG43" i="6" s="1"/>
  <c r="R43" i="6"/>
  <c r="Q43" i="6"/>
  <c r="AE43" i="6" s="1"/>
  <c r="P43" i="6"/>
  <c r="N43" i="6"/>
  <c r="H43" i="6"/>
  <c r="AA42" i="6"/>
  <c r="Z42" i="6"/>
  <c r="Y42" i="6"/>
  <c r="X42" i="6"/>
  <c r="W42" i="6"/>
  <c r="V42" i="6"/>
  <c r="U42" i="6"/>
  <c r="AH42" i="6" s="1"/>
  <c r="T42" i="6"/>
  <c r="S42" i="6"/>
  <c r="R42" i="6"/>
  <c r="Q42" i="6"/>
  <c r="P42" i="6"/>
  <c r="N42" i="6"/>
  <c r="H42" i="6"/>
  <c r="AA41" i="6"/>
  <c r="Z41" i="6"/>
  <c r="Y41" i="6"/>
  <c r="X41" i="6"/>
  <c r="W41" i="6"/>
  <c r="V41" i="6"/>
  <c r="AI41" i="6" s="1"/>
  <c r="U41" i="6"/>
  <c r="AH41" i="6" s="1"/>
  <c r="T41" i="6"/>
  <c r="S41" i="6"/>
  <c r="AG41" i="6" s="1"/>
  <c r="R41" i="6"/>
  <c r="Q41" i="6"/>
  <c r="P41" i="6"/>
  <c r="N41" i="6"/>
  <c r="H41" i="6"/>
  <c r="AA40" i="6"/>
  <c r="AN40" i="6" s="1"/>
  <c r="Z40" i="6"/>
  <c r="Y40" i="6"/>
  <c r="X40" i="6"/>
  <c r="W40" i="6"/>
  <c r="V40" i="6"/>
  <c r="AI40" i="6" s="1"/>
  <c r="U40" i="6"/>
  <c r="T40" i="6"/>
  <c r="S40" i="6"/>
  <c r="R40" i="6"/>
  <c r="Q40" i="6"/>
  <c r="P40" i="6"/>
  <c r="N40" i="6"/>
  <c r="H40" i="6"/>
  <c r="AA39" i="6"/>
  <c r="Z39" i="6"/>
  <c r="Y39" i="6"/>
  <c r="AL39" i="6" s="1"/>
  <c r="X39" i="6"/>
  <c r="W39" i="6"/>
  <c r="AJ39" i="6" s="1"/>
  <c r="V39" i="6"/>
  <c r="U39" i="6"/>
  <c r="T39" i="6"/>
  <c r="S39" i="6"/>
  <c r="R39" i="6"/>
  <c r="Q39" i="6"/>
  <c r="P39" i="6"/>
  <c r="N39" i="6"/>
  <c r="H39" i="6"/>
  <c r="AA38" i="6"/>
  <c r="Z38" i="6"/>
  <c r="AM38" i="6" s="1"/>
  <c r="Y38" i="6"/>
  <c r="X38" i="6"/>
  <c r="AL38" i="6" s="1"/>
  <c r="W38" i="6"/>
  <c r="V38" i="6"/>
  <c r="U38" i="6"/>
  <c r="AH38" i="6" s="1"/>
  <c r="T38" i="6"/>
  <c r="S38" i="6"/>
  <c r="R38" i="6"/>
  <c r="Q38" i="6"/>
  <c r="P38" i="6"/>
  <c r="N38" i="6"/>
  <c r="H38" i="6"/>
  <c r="AA37" i="6"/>
  <c r="Z37" i="6"/>
  <c r="AM37" i="6" s="1"/>
  <c r="Y37" i="6"/>
  <c r="AL37" i="6" s="1"/>
  <c r="X37" i="6"/>
  <c r="W37" i="6"/>
  <c r="V37" i="6"/>
  <c r="U37" i="6"/>
  <c r="AH37" i="6" s="1"/>
  <c r="T37" i="6"/>
  <c r="S37" i="6"/>
  <c r="R37" i="6"/>
  <c r="Q37" i="6"/>
  <c r="P37" i="6"/>
  <c r="N37" i="6"/>
  <c r="H37" i="6"/>
  <c r="AA36" i="6"/>
  <c r="Z36" i="6"/>
  <c r="Y36" i="6"/>
  <c r="X36" i="6"/>
  <c r="W36" i="6"/>
  <c r="V36" i="6"/>
  <c r="U36" i="6"/>
  <c r="T36" i="6"/>
  <c r="AH36" i="6" s="1"/>
  <c r="S36" i="6"/>
  <c r="R36" i="6"/>
  <c r="Q36" i="6"/>
  <c r="P36" i="6"/>
  <c r="N36" i="6"/>
  <c r="H36" i="6"/>
  <c r="AA35" i="6"/>
  <c r="Z35" i="6"/>
  <c r="Y35" i="6"/>
  <c r="AL35" i="6" s="1"/>
  <c r="X35" i="6"/>
  <c r="W35" i="6"/>
  <c r="AJ35" i="6" s="1"/>
  <c r="V35" i="6"/>
  <c r="U35" i="6"/>
  <c r="T35" i="6"/>
  <c r="S35" i="6"/>
  <c r="R35" i="6"/>
  <c r="Q35" i="6"/>
  <c r="P35" i="6"/>
  <c r="N35" i="6"/>
  <c r="H35" i="6"/>
  <c r="AA34" i="6"/>
  <c r="Z34" i="6"/>
  <c r="Y34" i="6"/>
  <c r="X34" i="6"/>
  <c r="W34" i="6"/>
  <c r="V34" i="6"/>
  <c r="U34" i="6"/>
  <c r="T34" i="6"/>
  <c r="S34" i="6"/>
  <c r="R34" i="6"/>
  <c r="Q34" i="6"/>
  <c r="P34" i="6"/>
  <c r="N34" i="6"/>
  <c r="H34" i="6"/>
  <c r="AA33" i="6"/>
  <c r="Z33" i="6"/>
  <c r="AM33" i="6" s="1"/>
  <c r="Y33" i="6"/>
  <c r="X33" i="6"/>
  <c r="W33" i="6"/>
  <c r="V33" i="6"/>
  <c r="U33" i="6"/>
  <c r="T33" i="6"/>
  <c r="S33" i="6"/>
  <c r="R33" i="6"/>
  <c r="Q33" i="6"/>
  <c r="P33" i="6"/>
  <c r="N33" i="6"/>
  <c r="H33" i="6"/>
  <c r="AA32" i="6"/>
  <c r="Z32" i="6"/>
  <c r="AM32" i="6" s="1"/>
  <c r="Y32" i="6"/>
  <c r="X32" i="6"/>
  <c r="W32" i="6"/>
  <c r="V32" i="6"/>
  <c r="AI32" i="6" s="1"/>
  <c r="U32" i="6"/>
  <c r="T32" i="6"/>
  <c r="S32" i="6"/>
  <c r="R32" i="6"/>
  <c r="Q32" i="6"/>
  <c r="P32" i="6"/>
  <c r="N32" i="6"/>
  <c r="H32" i="6"/>
  <c r="AA31" i="6"/>
  <c r="AN31" i="6" s="1"/>
  <c r="Z31" i="6"/>
  <c r="Y31" i="6"/>
  <c r="AM31" i="6" s="1"/>
  <c r="X31" i="6"/>
  <c r="W31" i="6"/>
  <c r="V31" i="6"/>
  <c r="U31" i="6"/>
  <c r="T31" i="6"/>
  <c r="S31" i="6"/>
  <c r="R31" i="6"/>
  <c r="Q31" i="6"/>
  <c r="P31" i="6"/>
  <c r="N31" i="6"/>
  <c r="H31" i="6"/>
  <c r="AA30" i="6"/>
  <c r="Z30" i="6"/>
  <c r="Y30" i="6"/>
  <c r="X30" i="6"/>
  <c r="W30" i="6"/>
  <c r="V30" i="6"/>
  <c r="U30" i="6"/>
  <c r="T30" i="6"/>
  <c r="S30" i="6"/>
  <c r="R30" i="6"/>
  <c r="Q30" i="6"/>
  <c r="P30" i="6"/>
  <c r="N30" i="6"/>
  <c r="H30" i="6"/>
  <c r="AA29" i="6"/>
  <c r="Z29" i="6"/>
  <c r="Y29" i="6"/>
  <c r="AL29" i="6" s="1"/>
  <c r="X29" i="6"/>
  <c r="W29" i="6"/>
  <c r="V29" i="6"/>
  <c r="U29" i="6"/>
  <c r="T29" i="6"/>
  <c r="S29" i="6"/>
  <c r="R29" i="6"/>
  <c r="Q29" i="6"/>
  <c r="P29" i="6"/>
  <c r="N29" i="6"/>
  <c r="H29" i="6"/>
  <c r="AA28" i="6"/>
  <c r="Z28" i="6"/>
  <c r="AM28" i="6" s="1"/>
  <c r="Y28" i="6"/>
  <c r="X28" i="6"/>
  <c r="W28" i="6"/>
  <c r="V28" i="6"/>
  <c r="AI28" i="6" s="1"/>
  <c r="U28" i="6"/>
  <c r="T28" i="6"/>
  <c r="S28" i="6"/>
  <c r="R28" i="6"/>
  <c r="Q28" i="6"/>
  <c r="P28" i="6"/>
  <c r="N28" i="6"/>
  <c r="H28" i="6"/>
  <c r="AA27" i="6"/>
  <c r="Z27" i="6"/>
  <c r="AN27" i="6" s="1"/>
  <c r="Y27" i="6"/>
  <c r="AL27" i="6" s="1"/>
  <c r="X27" i="6"/>
  <c r="W27" i="6"/>
  <c r="V27" i="6"/>
  <c r="U27" i="6"/>
  <c r="T27" i="6"/>
  <c r="S27" i="6"/>
  <c r="R27" i="6"/>
  <c r="Q27" i="6"/>
  <c r="P27" i="6"/>
  <c r="N27" i="6"/>
  <c r="H27" i="6"/>
  <c r="AA26" i="6"/>
  <c r="Z26" i="6"/>
  <c r="Y26" i="6"/>
  <c r="X26" i="6"/>
  <c r="W26" i="6"/>
  <c r="V26" i="6"/>
  <c r="AI26" i="6" s="1"/>
  <c r="U26" i="6"/>
  <c r="T26" i="6"/>
  <c r="S26" i="6"/>
  <c r="R26" i="6"/>
  <c r="Q26" i="6"/>
  <c r="P26" i="6"/>
  <c r="N26" i="6"/>
  <c r="H26" i="6"/>
  <c r="AA25" i="6"/>
  <c r="Z25" i="6"/>
  <c r="Y25" i="6"/>
  <c r="X25" i="6"/>
  <c r="W25" i="6"/>
  <c r="V25" i="6"/>
  <c r="U25" i="6"/>
  <c r="T25" i="6"/>
  <c r="S25" i="6"/>
  <c r="AG25" i="6" s="1"/>
  <c r="R25" i="6"/>
  <c r="Q25" i="6"/>
  <c r="P25" i="6"/>
  <c r="N25" i="6"/>
  <c r="H25" i="6"/>
  <c r="AA24" i="6"/>
  <c r="Z24" i="6"/>
  <c r="Y24" i="6"/>
  <c r="X24" i="6"/>
  <c r="W24" i="6"/>
  <c r="V24" i="6"/>
  <c r="AI24" i="6" s="1"/>
  <c r="U24" i="6"/>
  <c r="AH24" i="6" s="1"/>
  <c r="T24" i="6"/>
  <c r="S24" i="6"/>
  <c r="R24" i="6"/>
  <c r="Q24" i="6"/>
  <c r="P24" i="6"/>
  <c r="N24" i="6"/>
  <c r="H24" i="6"/>
  <c r="AA23" i="6"/>
  <c r="AN23" i="6" s="1"/>
  <c r="Z23" i="6"/>
  <c r="Y23" i="6"/>
  <c r="X23" i="6"/>
  <c r="AK23" i="6" s="1"/>
  <c r="W23" i="6"/>
  <c r="V23" i="6"/>
  <c r="U23" i="6"/>
  <c r="T23" i="6"/>
  <c r="S23" i="6"/>
  <c r="R23" i="6"/>
  <c r="Q23" i="6"/>
  <c r="P23" i="6"/>
  <c r="N23" i="6"/>
  <c r="H23" i="6"/>
  <c r="AA22" i="6"/>
  <c r="Z22" i="6"/>
  <c r="Y22" i="6"/>
  <c r="X22" i="6"/>
  <c r="W22" i="6"/>
  <c r="AJ22" i="6" s="1"/>
  <c r="V22" i="6"/>
  <c r="U22" i="6"/>
  <c r="AH22" i="6" s="1"/>
  <c r="T22" i="6"/>
  <c r="S22" i="6"/>
  <c r="AG22" i="6" s="1"/>
  <c r="R22" i="6"/>
  <c r="Q22" i="6"/>
  <c r="P22" i="6"/>
  <c r="N22" i="6"/>
  <c r="H22" i="6"/>
  <c r="AA21" i="6"/>
  <c r="Z21" i="6"/>
  <c r="Y21" i="6"/>
  <c r="X21" i="6"/>
  <c r="W21" i="6"/>
  <c r="V21" i="6"/>
  <c r="U21" i="6"/>
  <c r="T21" i="6"/>
  <c r="S21" i="6"/>
  <c r="R21" i="6"/>
  <c r="Q21" i="6"/>
  <c r="P21" i="6"/>
  <c r="N21" i="6"/>
  <c r="H21" i="6"/>
  <c r="AA20" i="6"/>
  <c r="Z20" i="6"/>
  <c r="Y20" i="6"/>
  <c r="X20" i="6"/>
  <c r="W20" i="6"/>
  <c r="V20" i="6"/>
  <c r="U20" i="6"/>
  <c r="AH20" i="6" s="1"/>
  <c r="T20" i="6"/>
  <c r="S20" i="6"/>
  <c r="R20" i="6"/>
  <c r="Q20" i="6"/>
  <c r="P20" i="6"/>
  <c r="N20" i="6"/>
  <c r="H20" i="6"/>
  <c r="AA19" i="6"/>
  <c r="Z19" i="6"/>
  <c r="Y19" i="6"/>
  <c r="X19" i="6"/>
  <c r="W19" i="6"/>
  <c r="V19" i="6"/>
  <c r="U19" i="6"/>
  <c r="T19" i="6"/>
  <c r="S19" i="6"/>
  <c r="R19" i="6"/>
  <c r="Q19" i="6"/>
  <c r="P19" i="6"/>
  <c r="N19" i="6"/>
  <c r="H19" i="6"/>
  <c r="AA18" i="6"/>
  <c r="AN18" i="6" s="1"/>
  <c r="Z18" i="6"/>
  <c r="Y18" i="6"/>
  <c r="X18" i="6"/>
  <c r="W18" i="6"/>
  <c r="V18" i="6"/>
  <c r="U18" i="6"/>
  <c r="T18" i="6"/>
  <c r="AH18" i="6" s="1"/>
  <c r="S18" i="6"/>
  <c r="R18" i="6"/>
  <c r="Q18" i="6"/>
  <c r="P18" i="6"/>
  <c r="N18" i="6"/>
  <c r="H18" i="6"/>
  <c r="AA17" i="6"/>
  <c r="Z17" i="6"/>
  <c r="AM17" i="6" s="1"/>
  <c r="Y17" i="6"/>
  <c r="X17" i="6"/>
  <c r="W17" i="6"/>
  <c r="V17" i="6"/>
  <c r="U17" i="6"/>
  <c r="T17" i="6"/>
  <c r="S17" i="6"/>
  <c r="R17" i="6"/>
  <c r="Q17" i="6"/>
  <c r="P17" i="6"/>
  <c r="N17" i="6"/>
  <c r="H17" i="6"/>
  <c r="AA16" i="6"/>
  <c r="AN16" i="6" s="1"/>
  <c r="Z16" i="6"/>
  <c r="Y16" i="6"/>
  <c r="X16" i="6"/>
  <c r="W16" i="6"/>
  <c r="V16" i="6"/>
  <c r="U16" i="6"/>
  <c r="T16" i="6"/>
  <c r="S16" i="6"/>
  <c r="AG16" i="6" s="1"/>
  <c r="R16" i="6"/>
  <c r="Q16" i="6"/>
  <c r="P16" i="6"/>
  <c r="N16" i="6"/>
  <c r="H16" i="6"/>
  <c r="AA15" i="6"/>
  <c r="Z15" i="6"/>
  <c r="Y15" i="6"/>
  <c r="X15" i="6"/>
  <c r="W15" i="6"/>
  <c r="V15" i="6"/>
  <c r="U15" i="6"/>
  <c r="T15" i="6"/>
  <c r="S15" i="6"/>
  <c r="R15" i="6"/>
  <c r="Q15" i="6"/>
  <c r="P15" i="6"/>
  <c r="N15" i="6"/>
  <c r="H15" i="6"/>
  <c r="AA14" i="6"/>
  <c r="Z14" i="6"/>
  <c r="Y14" i="6"/>
  <c r="X14" i="6"/>
  <c r="W14" i="6"/>
  <c r="V14" i="6"/>
  <c r="U14" i="6"/>
  <c r="T14" i="6"/>
  <c r="S14" i="6"/>
  <c r="R14" i="6"/>
  <c r="Q14" i="6"/>
  <c r="P14" i="6"/>
  <c r="N14" i="6"/>
  <c r="H14" i="6"/>
  <c r="AA13" i="6"/>
  <c r="Z13" i="6"/>
  <c r="Y13" i="6"/>
  <c r="X13" i="6"/>
  <c r="W13" i="6"/>
  <c r="V13" i="6"/>
  <c r="AJ13" i="6" s="1"/>
  <c r="U13" i="6"/>
  <c r="T13" i="6"/>
  <c r="S13" i="6"/>
  <c r="R13" i="6"/>
  <c r="Q13" i="6"/>
  <c r="P13" i="6"/>
  <c r="N13" i="6"/>
  <c r="H13" i="6"/>
  <c r="AA12" i="6"/>
  <c r="Z12" i="6"/>
  <c r="Y12" i="6"/>
  <c r="X12" i="6"/>
  <c r="W12" i="6"/>
  <c r="V12" i="6"/>
  <c r="U12" i="6"/>
  <c r="T12" i="6"/>
  <c r="S12" i="6"/>
  <c r="AG12" i="6" s="1"/>
  <c r="R12" i="6"/>
  <c r="Q12" i="6"/>
  <c r="P12" i="6"/>
  <c r="N12" i="6"/>
  <c r="H12" i="6"/>
  <c r="AA11" i="6"/>
  <c r="AN11" i="6" s="1"/>
  <c r="Z11" i="6"/>
  <c r="AM11" i="6" s="1"/>
  <c r="Y11" i="6"/>
  <c r="X11" i="6"/>
  <c r="W11" i="6"/>
  <c r="V11" i="6"/>
  <c r="U11" i="6"/>
  <c r="T11" i="6"/>
  <c r="S11" i="6"/>
  <c r="R11" i="6"/>
  <c r="Q11" i="6"/>
  <c r="P11" i="6"/>
  <c r="N11" i="6"/>
  <c r="H11" i="6"/>
  <c r="AA10" i="6"/>
  <c r="Z10" i="6"/>
  <c r="Y10" i="6"/>
  <c r="X10" i="6"/>
  <c r="W10" i="6"/>
  <c r="V10" i="6"/>
  <c r="U10" i="6"/>
  <c r="T10" i="6"/>
  <c r="AH10" i="6" s="1"/>
  <c r="S10" i="6"/>
  <c r="R10" i="6"/>
  <c r="Q10" i="6"/>
  <c r="P10" i="6"/>
  <c r="N10" i="6"/>
  <c r="H10" i="6"/>
  <c r="AA9" i="6"/>
  <c r="Z9" i="6"/>
  <c r="Y9" i="6"/>
  <c r="AL9" i="6" s="1"/>
  <c r="X9" i="6"/>
  <c r="W9" i="6"/>
  <c r="AK9" i="6" s="1"/>
  <c r="V9" i="6"/>
  <c r="U9" i="6"/>
  <c r="T9" i="6"/>
  <c r="S9" i="6"/>
  <c r="R9" i="6"/>
  <c r="Q9" i="6"/>
  <c r="P9" i="6"/>
  <c r="N9" i="6"/>
  <c r="H9" i="6"/>
  <c r="AA8" i="6"/>
  <c r="Z8" i="6"/>
  <c r="Y8" i="6"/>
  <c r="X8" i="6"/>
  <c r="W8" i="6"/>
  <c r="V8" i="6"/>
  <c r="U8" i="6"/>
  <c r="T8" i="6"/>
  <c r="S8" i="6"/>
  <c r="R8" i="6"/>
  <c r="Q8" i="6"/>
  <c r="P8" i="6"/>
  <c r="N8" i="6"/>
  <c r="H8" i="6"/>
  <c r="AA7" i="6"/>
  <c r="Z7" i="6"/>
  <c r="Y7" i="6"/>
  <c r="X7" i="6"/>
  <c r="W7" i="6"/>
  <c r="V7" i="6"/>
  <c r="U7" i="6"/>
  <c r="T7" i="6"/>
  <c r="S7" i="6"/>
  <c r="R7" i="6"/>
  <c r="Q7" i="6"/>
  <c r="P7" i="6"/>
  <c r="N7" i="6"/>
  <c r="H7" i="6"/>
  <c r="AA6" i="6"/>
  <c r="Z6" i="6"/>
  <c r="Y6" i="6"/>
  <c r="X6" i="6"/>
  <c r="W6" i="6"/>
  <c r="AJ6" i="6" s="1"/>
  <c r="V6" i="6"/>
  <c r="U6" i="6"/>
  <c r="T6" i="6"/>
  <c r="S6" i="6"/>
  <c r="R6" i="6"/>
  <c r="Q6" i="6"/>
  <c r="P6" i="6"/>
  <c r="N6" i="6"/>
  <c r="H6" i="6"/>
  <c r="AA5" i="6"/>
  <c r="Z5" i="6"/>
  <c r="Y5" i="6"/>
  <c r="AL5" i="6" s="1"/>
  <c r="X5" i="6"/>
  <c r="W5" i="6"/>
  <c r="V5" i="6"/>
  <c r="U5" i="6"/>
  <c r="AH5" i="6" s="1"/>
  <c r="T5" i="6"/>
  <c r="S5" i="6"/>
  <c r="AG5" i="6" s="1"/>
  <c r="R5" i="6"/>
  <c r="Q5" i="6"/>
  <c r="P5" i="6"/>
  <c r="N5" i="6"/>
  <c r="H5" i="6"/>
  <c r="Z235" i="5"/>
  <c r="T235" i="5"/>
  <c r="K235" i="5"/>
  <c r="J235" i="5"/>
  <c r="W235" i="5"/>
  <c r="V235" i="5"/>
  <c r="U235" i="5"/>
  <c r="E235" i="5"/>
  <c r="D235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N234" i="5"/>
  <c r="H234" i="5"/>
  <c r="AA233" i="5"/>
  <c r="Z233" i="5"/>
  <c r="Y233" i="5"/>
  <c r="X233" i="5"/>
  <c r="W233" i="5"/>
  <c r="V233" i="5"/>
  <c r="U233" i="5"/>
  <c r="T233" i="5"/>
  <c r="S233" i="5"/>
  <c r="R233" i="5"/>
  <c r="Q233" i="5"/>
  <c r="N233" i="5"/>
  <c r="H233" i="5"/>
  <c r="AA232" i="5"/>
  <c r="Z232" i="5"/>
  <c r="Y232" i="5"/>
  <c r="X232" i="5"/>
  <c r="W232" i="5"/>
  <c r="V232" i="5"/>
  <c r="U232" i="5"/>
  <c r="T232" i="5"/>
  <c r="S232" i="5"/>
  <c r="R232" i="5"/>
  <c r="Q232" i="5"/>
  <c r="N232" i="5"/>
  <c r="H232" i="5"/>
  <c r="AA231" i="5"/>
  <c r="Z231" i="5"/>
  <c r="Y231" i="5"/>
  <c r="X231" i="5"/>
  <c r="W231" i="5"/>
  <c r="V231" i="5"/>
  <c r="U231" i="5"/>
  <c r="T231" i="5"/>
  <c r="S231" i="5"/>
  <c r="R231" i="5"/>
  <c r="Q231" i="5"/>
  <c r="N231" i="5"/>
  <c r="H231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N230" i="5"/>
  <c r="H230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N229" i="5"/>
  <c r="H229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N228" i="5"/>
  <c r="H228" i="5"/>
  <c r="AA227" i="5"/>
  <c r="Z227" i="5"/>
  <c r="Y227" i="5"/>
  <c r="X227" i="5"/>
  <c r="W227" i="5"/>
  <c r="V227" i="5"/>
  <c r="U227" i="5"/>
  <c r="T227" i="5"/>
  <c r="S227" i="5"/>
  <c r="AF227" i="5" s="1"/>
  <c r="R227" i="5"/>
  <c r="Q227" i="5"/>
  <c r="P227" i="5"/>
  <c r="N227" i="5"/>
  <c r="H227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N226" i="5"/>
  <c r="H226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N225" i="5"/>
  <c r="H225" i="5"/>
  <c r="AA224" i="5"/>
  <c r="Z224" i="5"/>
  <c r="Y224" i="5"/>
  <c r="X224" i="5"/>
  <c r="W224" i="5"/>
  <c r="V224" i="5"/>
  <c r="U224" i="5"/>
  <c r="T224" i="5"/>
  <c r="S224" i="5"/>
  <c r="AF224" i="5" s="1"/>
  <c r="R224" i="5"/>
  <c r="Q224" i="5"/>
  <c r="P224" i="5"/>
  <c r="N224" i="5"/>
  <c r="H224" i="5"/>
  <c r="AA223" i="5"/>
  <c r="Z223" i="5"/>
  <c r="Y223" i="5"/>
  <c r="X223" i="5"/>
  <c r="W223" i="5"/>
  <c r="V223" i="5"/>
  <c r="U223" i="5"/>
  <c r="T223" i="5"/>
  <c r="S223" i="5"/>
  <c r="AF223" i="5" s="1"/>
  <c r="R223" i="5"/>
  <c r="Q223" i="5"/>
  <c r="P223" i="5"/>
  <c r="N223" i="5"/>
  <c r="H223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N222" i="5"/>
  <c r="H222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N221" i="5"/>
  <c r="H221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N220" i="5"/>
  <c r="H220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N219" i="5"/>
  <c r="H219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N218" i="5"/>
  <c r="H218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N217" i="5"/>
  <c r="H217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N216" i="5"/>
  <c r="H216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N215" i="5"/>
  <c r="H215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N214" i="5"/>
  <c r="H214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N213" i="5"/>
  <c r="H213" i="5"/>
  <c r="AA212" i="5"/>
  <c r="Z212" i="5"/>
  <c r="Y212" i="5"/>
  <c r="X212" i="5"/>
  <c r="W212" i="5"/>
  <c r="V212" i="5"/>
  <c r="U212" i="5"/>
  <c r="T212" i="5"/>
  <c r="S212" i="5"/>
  <c r="AF212" i="5" s="1"/>
  <c r="R212" i="5"/>
  <c r="Q212" i="5"/>
  <c r="P212" i="5"/>
  <c r="N212" i="5"/>
  <c r="H212" i="5"/>
  <c r="AA211" i="5"/>
  <c r="Z211" i="5"/>
  <c r="Y211" i="5"/>
  <c r="X211" i="5"/>
  <c r="W211" i="5"/>
  <c r="V211" i="5"/>
  <c r="U211" i="5"/>
  <c r="T211" i="5"/>
  <c r="S211" i="5"/>
  <c r="AF211" i="5" s="1"/>
  <c r="R211" i="5"/>
  <c r="Q211" i="5"/>
  <c r="P211" i="5"/>
  <c r="N211" i="5"/>
  <c r="H211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N210" i="5"/>
  <c r="H210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N209" i="5"/>
  <c r="H209" i="5"/>
  <c r="AA208" i="5"/>
  <c r="Z208" i="5"/>
  <c r="Y208" i="5"/>
  <c r="X208" i="5"/>
  <c r="W208" i="5"/>
  <c r="V208" i="5"/>
  <c r="U208" i="5"/>
  <c r="T208" i="5"/>
  <c r="S208" i="5"/>
  <c r="AF208" i="5" s="1"/>
  <c r="R208" i="5"/>
  <c r="Q208" i="5"/>
  <c r="P208" i="5"/>
  <c r="N208" i="5"/>
  <c r="H208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N207" i="5"/>
  <c r="H207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N206" i="5"/>
  <c r="H206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N205" i="5"/>
  <c r="H205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N204" i="5"/>
  <c r="H204" i="5"/>
  <c r="AA203" i="5"/>
  <c r="Z203" i="5"/>
  <c r="Y203" i="5"/>
  <c r="X203" i="5"/>
  <c r="W203" i="5"/>
  <c r="V203" i="5"/>
  <c r="U203" i="5"/>
  <c r="T203" i="5"/>
  <c r="S203" i="5"/>
  <c r="AG203" i="5" s="1"/>
  <c r="R203" i="5"/>
  <c r="Q203" i="5"/>
  <c r="P203" i="5"/>
  <c r="N203" i="5"/>
  <c r="H203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N202" i="5"/>
  <c r="H202" i="5"/>
  <c r="AA201" i="5"/>
  <c r="Z201" i="5"/>
  <c r="Y201" i="5"/>
  <c r="X201" i="5"/>
  <c r="W201" i="5"/>
  <c r="V201" i="5"/>
  <c r="U201" i="5"/>
  <c r="AH201" i="5" s="1"/>
  <c r="T201" i="5"/>
  <c r="S201" i="5"/>
  <c r="R201" i="5"/>
  <c r="Q201" i="5"/>
  <c r="P201" i="5"/>
  <c r="N201" i="5"/>
  <c r="H201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N200" i="5"/>
  <c r="H200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N199" i="5"/>
  <c r="H199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N198" i="5"/>
  <c r="H198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N197" i="5"/>
  <c r="H197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N196" i="5"/>
  <c r="H196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N195" i="5"/>
  <c r="H195" i="5"/>
  <c r="AA194" i="5"/>
  <c r="Z194" i="5"/>
  <c r="Y194" i="5"/>
  <c r="X194" i="5"/>
  <c r="W194" i="5"/>
  <c r="V194" i="5"/>
  <c r="AJ194" i="5" s="1"/>
  <c r="U194" i="5"/>
  <c r="T194" i="5"/>
  <c r="S194" i="5"/>
  <c r="R194" i="5"/>
  <c r="Q194" i="5"/>
  <c r="P194" i="5"/>
  <c r="N194" i="5"/>
  <c r="H194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N193" i="5"/>
  <c r="H193" i="5"/>
  <c r="AA192" i="5"/>
  <c r="Z192" i="5"/>
  <c r="AM192" i="5" s="1"/>
  <c r="Y192" i="5"/>
  <c r="AL192" i="5" s="1"/>
  <c r="X192" i="5"/>
  <c r="W192" i="5"/>
  <c r="V192" i="5"/>
  <c r="U192" i="5"/>
  <c r="T192" i="5"/>
  <c r="S192" i="5"/>
  <c r="R192" i="5"/>
  <c r="Q192" i="5"/>
  <c r="P192" i="5"/>
  <c r="N192" i="5"/>
  <c r="H192" i="5"/>
  <c r="AA191" i="5"/>
  <c r="Z191" i="5"/>
  <c r="Y191" i="5"/>
  <c r="X191" i="5"/>
  <c r="W191" i="5"/>
  <c r="V191" i="5"/>
  <c r="U191" i="5"/>
  <c r="AH191" i="5" s="1"/>
  <c r="T191" i="5"/>
  <c r="S191" i="5"/>
  <c r="AG191" i="5" s="1"/>
  <c r="R191" i="5"/>
  <c r="Q191" i="5"/>
  <c r="P191" i="5"/>
  <c r="N191" i="5"/>
  <c r="H191" i="5"/>
  <c r="AA190" i="5"/>
  <c r="Z190" i="5"/>
  <c r="Y190" i="5"/>
  <c r="X190" i="5"/>
  <c r="AK190" i="5" s="1"/>
  <c r="W190" i="5"/>
  <c r="AJ190" i="5" s="1"/>
  <c r="V190" i="5"/>
  <c r="U190" i="5"/>
  <c r="T190" i="5"/>
  <c r="S190" i="5"/>
  <c r="R190" i="5"/>
  <c r="Q190" i="5"/>
  <c r="P190" i="5"/>
  <c r="N190" i="5"/>
  <c r="H190" i="5"/>
  <c r="AA189" i="5"/>
  <c r="Z189" i="5"/>
  <c r="Y189" i="5"/>
  <c r="X189" i="5"/>
  <c r="W189" i="5"/>
  <c r="V189" i="5"/>
  <c r="U189" i="5"/>
  <c r="AH189" i="5" s="1"/>
  <c r="T189" i="5"/>
  <c r="S189" i="5"/>
  <c r="AG189" i="5" s="1"/>
  <c r="R189" i="5"/>
  <c r="Q189" i="5"/>
  <c r="P189" i="5"/>
  <c r="N189" i="5"/>
  <c r="H189" i="5"/>
  <c r="AA188" i="5"/>
  <c r="Z188" i="5"/>
  <c r="Y188" i="5"/>
  <c r="X188" i="5"/>
  <c r="AK188" i="5" s="1"/>
  <c r="W188" i="5"/>
  <c r="V188" i="5"/>
  <c r="U188" i="5"/>
  <c r="T188" i="5"/>
  <c r="S188" i="5"/>
  <c r="R188" i="5"/>
  <c r="Q188" i="5"/>
  <c r="P188" i="5"/>
  <c r="N188" i="5"/>
  <c r="H188" i="5"/>
  <c r="AA187" i="5"/>
  <c r="AN187" i="5" s="1"/>
  <c r="Z187" i="5"/>
  <c r="Y187" i="5"/>
  <c r="X187" i="5"/>
  <c r="W187" i="5"/>
  <c r="V187" i="5"/>
  <c r="AI187" i="5" s="1"/>
  <c r="U187" i="5"/>
  <c r="T187" i="5"/>
  <c r="S187" i="5"/>
  <c r="R187" i="5"/>
  <c r="Q187" i="5"/>
  <c r="P187" i="5"/>
  <c r="N187" i="5"/>
  <c r="H187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N186" i="5"/>
  <c r="H186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N185" i="5"/>
  <c r="H185" i="5"/>
  <c r="AA184" i="5"/>
  <c r="Z184" i="5"/>
  <c r="AM184" i="5" s="1"/>
  <c r="Y184" i="5"/>
  <c r="X184" i="5"/>
  <c r="AL184" i="5" s="1"/>
  <c r="W184" i="5"/>
  <c r="V184" i="5"/>
  <c r="U184" i="5"/>
  <c r="T184" i="5"/>
  <c r="S184" i="5"/>
  <c r="R184" i="5"/>
  <c r="Q184" i="5"/>
  <c r="P184" i="5"/>
  <c r="N184" i="5"/>
  <c r="H184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N183" i="5"/>
  <c r="H183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N182" i="5"/>
  <c r="H182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N181" i="5"/>
  <c r="H181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N180" i="5"/>
  <c r="H180" i="5"/>
  <c r="AA179" i="5"/>
  <c r="Z179" i="5"/>
  <c r="Y179" i="5"/>
  <c r="X179" i="5"/>
  <c r="W179" i="5"/>
  <c r="V179" i="5"/>
  <c r="AI179" i="5" s="1"/>
  <c r="U179" i="5"/>
  <c r="AH179" i="5" s="1"/>
  <c r="T179" i="5"/>
  <c r="S179" i="5"/>
  <c r="AG179" i="5" s="1"/>
  <c r="R179" i="5"/>
  <c r="Q179" i="5"/>
  <c r="P179" i="5"/>
  <c r="N179" i="5"/>
  <c r="H179" i="5"/>
  <c r="AA178" i="5"/>
  <c r="Z178" i="5"/>
  <c r="Y178" i="5"/>
  <c r="X178" i="5"/>
  <c r="W178" i="5"/>
  <c r="AJ178" i="5" s="1"/>
  <c r="V178" i="5"/>
  <c r="U178" i="5"/>
  <c r="T178" i="5"/>
  <c r="S178" i="5"/>
  <c r="R178" i="5"/>
  <c r="Q178" i="5"/>
  <c r="P178" i="5"/>
  <c r="N178" i="5"/>
  <c r="H178" i="5"/>
  <c r="AA177" i="5"/>
  <c r="Z177" i="5"/>
  <c r="Y177" i="5"/>
  <c r="X177" i="5"/>
  <c r="W177" i="5"/>
  <c r="V177" i="5"/>
  <c r="U177" i="5"/>
  <c r="AH177" i="5" s="1"/>
  <c r="T177" i="5"/>
  <c r="S177" i="5"/>
  <c r="AG177" i="5" s="1"/>
  <c r="R177" i="5"/>
  <c r="Q177" i="5"/>
  <c r="P177" i="5"/>
  <c r="N177" i="5"/>
  <c r="H177" i="5"/>
  <c r="AA176" i="5"/>
  <c r="Z176" i="5"/>
  <c r="AM176" i="5" s="1"/>
  <c r="Y176" i="5"/>
  <c r="X176" i="5"/>
  <c r="W176" i="5"/>
  <c r="V176" i="5"/>
  <c r="U176" i="5"/>
  <c r="T176" i="5"/>
  <c r="S176" i="5"/>
  <c r="R176" i="5"/>
  <c r="Q176" i="5"/>
  <c r="P176" i="5"/>
  <c r="N176" i="5"/>
  <c r="H176" i="5"/>
  <c r="AA175" i="5"/>
  <c r="Z175" i="5"/>
  <c r="Y175" i="5"/>
  <c r="X175" i="5"/>
  <c r="W175" i="5"/>
  <c r="V175" i="5"/>
  <c r="U175" i="5"/>
  <c r="AH175" i="5" s="1"/>
  <c r="T175" i="5"/>
  <c r="S175" i="5"/>
  <c r="R175" i="5"/>
  <c r="Q175" i="5"/>
  <c r="P175" i="5"/>
  <c r="N175" i="5"/>
  <c r="H175" i="5"/>
  <c r="AA174" i="5"/>
  <c r="Z174" i="5"/>
  <c r="AM174" i="5" s="1"/>
  <c r="Y174" i="5"/>
  <c r="AL174" i="5" s="1"/>
  <c r="X174" i="5"/>
  <c r="W174" i="5"/>
  <c r="V174" i="5"/>
  <c r="U174" i="5"/>
  <c r="T174" i="5"/>
  <c r="S174" i="5"/>
  <c r="R174" i="5"/>
  <c r="Q174" i="5"/>
  <c r="P174" i="5"/>
  <c r="N174" i="5"/>
  <c r="H174" i="5"/>
  <c r="AA173" i="5"/>
  <c r="Z173" i="5"/>
  <c r="AM173" i="5" s="1"/>
  <c r="Y173" i="5"/>
  <c r="X173" i="5"/>
  <c r="W173" i="5"/>
  <c r="V173" i="5"/>
  <c r="U173" i="5"/>
  <c r="T173" i="5"/>
  <c r="S173" i="5"/>
  <c r="R173" i="5"/>
  <c r="Q173" i="5"/>
  <c r="P173" i="5"/>
  <c r="N173" i="5"/>
  <c r="H173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N172" i="5"/>
  <c r="H172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N171" i="5"/>
  <c r="H171" i="5"/>
  <c r="AA170" i="5"/>
  <c r="Z170" i="5"/>
  <c r="Y170" i="5"/>
  <c r="AL170" i="5" s="1"/>
  <c r="X170" i="5"/>
  <c r="W170" i="5"/>
  <c r="V170" i="5"/>
  <c r="AJ170" i="5" s="1"/>
  <c r="U170" i="5"/>
  <c r="T170" i="5"/>
  <c r="S170" i="5"/>
  <c r="R170" i="5"/>
  <c r="Q170" i="5"/>
  <c r="P170" i="5"/>
  <c r="N170" i="5"/>
  <c r="H170" i="5"/>
  <c r="AA169" i="5"/>
  <c r="Z169" i="5"/>
  <c r="Y169" i="5"/>
  <c r="X169" i="5"/>
  <c r="W169" i="5"/>
  <c r="V169" i="5"/>
  <c r="U169" i="5"/>
  <c r="AH169" i="5" s="1"/>
  <c r="T169" i="5"/>
  <c r="S169" i="5"/>
  <c r="AG169" i="5" s="1"/>
  <c r="R169" i="5"/>
  <c r="Q169" i="5"/>
  <c r="P169" i="5"/>
  <c r="N169" i="5"/>
  <c r="H169" i="5"/>
  <c r="AA168" i="5"/>
  <c r="Z168" i="5"/>
  <c r="Y168" i="5"/>
  <c r="AL168" i="5" s="1"/>
  <c r="X168" i="5"/>
  <c r="W168" i="5"/>
  <c r="AJ168" i="5" s="1"/>
  <c r="V168" i="5"/>
  <c r="U168" i="5"/>
  <c r="T168" i="5"/>
  <c r="S168" i="5"/>
  <c r="R168" i="5"/>
  <c r="Q168" i="5"/>
  <c r="P168" i="5"/>
  <c r="N168" i="5"/>
  <c r="H168" i="5"/>
  <c r="AA167" i="5"/>
  <c r="Z167" i="5"/>
  <c r="AM167" i="5" s="1"/>
  <c r="Y167" i="5"/>
  <c r="X167" i="5"/>
  <c r="W167" i="5"/>
  <c r="V167" i="5"/>
  <c r="U167" i="5"/>
  <c r="T167" i="5"/>
  <c r="S167" i="5"/>
  <c r="R167" i="5"/>
  <c r="Q167" i="5"/>
  <c r="P167" i="5"/>
  <c r="N167" i="5"/>
  <c r="H167" i="5"/>
  <c r="AA166" i="5"/>
  <c r="Z166" i="5"/>
  <c r="Y166" i="5"/>
  <c r="AL166" i="5" s="1"/>
  <c r="X166" i="5"/>
  <c r="AK166" i="5" s="1"/>
  <c r="W166" i="5"/>
  <c r="V166" i="5"/>
  <c r="U166" i="5"/>
  <c r="T166" i="5"/>
  <c r="S166" i="5"/>
  <c r="R166" i="5"/>
  <c r="Q166" i="5"/>
  <c r="P166" i="5"/>
  <c r="N166" i="5"/>
  <c r="H166" i="5"/>
  <c r="AA165" i="5"/>
  <c r="Z165" i="5"/>
  <c r="Y165" i="5"/>
  <c r="X165" i="5"/>
  <c r="W165" i="5"/>
  <c r="V165" i="5"/>
  <c r="U165" i="5"/>
  <c r="T165" i="5"/>
  <c r="AH165" i="5" s="1"/>
  <c r="S165" i="5"/>
  <c r="AG165" i="5" s="1"/>
  <c r="R165" i="5"/>
  <c r="Q165" i="5"/>
  <c r="P165" i="5"/>
  <c r="N165" i="5"/>
  <c r="H165" i="5"/>
  <c r="AA164" i="5"/>
  <c r="Z164" i="5"/>
  <c r="Y164" i="5"/>
  <c r="AL164" i="5" s="1"/>
  <c r="X164" i="5"/>
  <c r="W164" i="5"/>
  <c r="V164" i="5"/>
  <c r="U164" i="5"/>
  <c r="T164" i="5"/>
  <c r="S164" i="5"/>
  <c r="R164" i="5"/>
  <c r="Q164" i="5"/>
  <c r="P164" i="5"/>
  <c r="N164" i="5"/>
  <c r="H164" i="5"/>
  <c r="AA163" i="5"/>
  <c r="AN163" i="5" s="1"/>
  <c r="Z163" i="5"/>
  <c r="Y163" i="5"/>
  <c r="X163" i="5"/>
  <c r="W163" i="5"/>
  <c r="V163" i="5"/>
  <c r="U163" i="5"/>
  <c r="T163" i="5"/>
  <c r="S163" i="5"/>
  <c r="R163" i="5"/>
  <c r="Q163" i="5"/>
  <c r="P163" i="5"/>
  <c r="N163" i="5"/>
  <c r="H163" i="5"/>
  <c r="AA162" i="5"/>
  <c r="Z162" i="5"/>
  <c r="Y162" i="5"/>
  <c r="AL162" i="5" s="1"/>
  <c r="X162" i="5"/>
  <c r="W162" i="5"/>
  <c r="V162" i="5"/>
  <c r="U162" i="5"/>
  <c r="T162" i="5"/>
  <c r="S162" i="5"/>
  <c r="R162" i="5"/>
  <c r="Q162" i="5"/>
  <c r="P162" i="5"/>
  <c r="N162" i="5"/>
  <c r="H162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N161" i="5"/>
  <c r="H161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N160" i="5"/>
  <c r="H160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N159" i="5"/>
  <c r="H159" i="5"/>
  <c r="AA158" i="5"/>
  <c r="Z158" i="5"/>
  <c r="Y158" i="5"/>
  <c r="X158" i="5"/>
  <c r="W158" i="5"/>
  <c r="V158" i="5"/>
  <c r="U158" i="5"/>
  <c r="AI158" i="5" s="1"/>
  <c r="T158" i="5"/>
  <c r="S158" i="5"/>
  <c r="R158" i="5"/>
  <c r="Q158" i="5"/>
  <c r="P158" i="5"/>
  <c r="N158" i="5"/>
  <c r="H158" i="5"/>
  <c r="AA157" i="5"/>
  <c r="Z157" i="5"/>
  <c r="AN157" i="5" s="1"/>
  <c r="Y157" i="5"/>
  <c r="X157" i="5"/>
  <c r="W157" i="5"/>
  <c r="V157" i="5"/>
  <c r="U157" i="5"/>
  <c r="AH157" i="5" s="1"/>
  <c r="T157" i="5"/>
  <c r="S157" i="5"/>
  <c r="AG157" i="5" s="1"/>
  <c r="R157" i="5"/>
  <c r="Q157" i="5"/>
  <c r="P157" i="5"/>
  <c r="N157" i="5"/>
  <c r="H157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N156" i="5"/>
  <c r="H156" i="5"/>
  <c r="AA155" i="5"/>
  <c r="Z155" i="5"/>
  <c r="Y155" i="5"/>
  <c r="X155" i="5"/>
  <c r="W155" i="5"/>
  <c r="V155" i="5"/>
  <c r="U155" i="5"/>
  <c r="AH155" i="5" s="1"/>
  <c r="T155" i="5"/>
  <c r="S155" i="5"/>
  <c r="AG155" i="5" s="1"/>
  <c r="R155" i="5"/>
  <c r="Q155" i="5"/>
  <c r="P155" i="5"/>
  <c r="N155" i="5"/>
  <c r="H155" i="5"/>
  <c r="AA154" i="5"/>
  <c r="Z154" i="5"/>
  <c r="Y154" i="5"/>
  <c r="X154" i="5"/>
  <c r="AK154" i="5" s="1"/>
  <c r="W154" i="5"/>
  <c r="AJ154" i="5" s="1"/>
  <c r="V154" i="5"/>
  <c r="U154" i="5"/>
  <c r="T154" i="5"/>
  <c r="S154" i="5"/>
  <c r="R154" i="5"/>
  <c r="Q154" i="5"/>
  <c r="P154" i="5"/>
  <c r="N154" i="5"/>
  <c r="H154" i="5"/>
  <c r="AA153" i="5"/>
  <c r="Z153" i="5"/>
  <c r="Y153" i="5"/>
  <c r="X153" i="5"/>
  <c r="W153" i="5"/>
  <c r="V153" i="5"/>
  <c r="U153" i="5"/>
  <c r="AH153" i="5" s="1"/>
  <c r="T153" i="5"/>
  <c r="S153" i="5"/>
  <c r="AG153" i="5" s="1"/>
  <c r="R153" i="5"/>
  <c r="Q153" i="5"/>
  <c r="P153" i="5"/>
  <c r="N153" i="5"/>
  <c r="H153" i="5"/>
  <c r="AA152" i="5"/>
  <c r="Z152" i="5"/>
  <c r="Y152" i="5"/>
  <c r="AL152" i="5" s="1"/>
  <c r="X152" i="5"/>
  <c r="W152" i="5"/>
  <c r="V152" i="5"/>
  <c r="U152" i="5"/>
  <c r="T152" i="5"/>
  <c r="S152" i="5"/>
  <c r="R152" i="5"/>
  <c r="Q152" i="5"/>
  <c r="P152" i="5"/>
  <c r="N152" i="5"/>
  <c r="H152" i="5"/>
  <c r="AA151" i="5"/>
  <c r="Z151" i="5"/>
  <c r="Y151" i="5"/>
  <c r="X151" i="5"/>
  <c r="W151" i="5"/>
  <c r="AJ151" i="5" s="1"/>
  <c r="V151" i="5"/>
  <c r="AI151" i="5" s="1"/>
  <c r="U151" i="5"/>
  <c r="T151" i="5"/>
  <c r="S151" i="5"/>
  <c r="R151" i="5"/>
  <c r="Q151" i="5"/>
  <c r="P151" i="5"/>
  <c r="N151" i="5"/>
  <c r="H151" i="5"/>
  <c r="AA150" i="5"/>
  <c r="Z150" i="5"/>
  <c r="Y150" i="5"/>
  <c r="X150" i="5"/>
  <c r="W150" i="5"/>
  <c r="V150" i="5"/>
  <c r="AJ150" i="5" s="1"/>
  <c r="U150" i="5"/>
  <c r="T150" i="5"/>
  <c r="S150" i="5"/>
  <c r="R150" i="5"/>
  <c r="Q150" i="5"/>
  <c r="P150" i="5"/>
  <c r="N150" i="5"/>
  <c r="H150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N149" i="5"/>
  <c r="H149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N148" i="5"/>
  <c r="H148" i="5"/>
  <c r="AA147" i="5"/>
  <c r="Z147" i="5"/>
  <c r="Y147" i="5"/>
  <c r="X147" i="5"/>
  <c r="W147" i="5"/>
  <c r="V147" i="5"/>
  <c r="U147" i="5"/>
  <c r="AH147" i="5" s="1"/>
  <c r="T147" i="5"/>
  <c r="S147" i="5"/>
  <c r="R147" i="5"/>
  <c r="Q147" i="5"/>
  <c r="P147" i="5"/>
  <c r="N147" i="5"/>
  <c r="H147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N146" i="5"/>
  <c r="H146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N145" i="5"/>
  <c r="H145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N144" i="5"/>
  <c r="H144" i="5"/>
  <c r="AA143" i="5"/>
  <c r="Z143" i="5"/>
  <c r="Y143" i="5"/>
  <c r="X143" i="5"/>
  <c r="W143" i="5"/>
  <c r="V143" i="5"/>
  <c r="U143" i="5"/>
  <c r="T143" i="5"/>
  <c r="AH143" i="5" s="1"/>
  <c r="S143" i="5"/>
  <c r="R143" i="5"/>
  <c r="Q143" i="5"/>
  <c r="P143" i="5"/>
  <c r="N143" i="5"/>
  <c r="H143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N142" i="5"/>
  <c r="H142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N141" i="5"/>
  <c r="H141" i="5"/>
  <c r="AA140" i="5"/>
  <c r="Z140" i="5"/>
  <c r="Y140" i="5"/>
  <c r="X140" i="5"/>
  <c r="W140" i="5"/>
  <c r="AJ140" i="5" s="1"/>
  <c r="V140" i="5"/>
  <c r="U140" i="5"/>
  <c r="T140" i="5"/>
  <c r="S140" i="5"/>
  <c r="R140" i="5"/>
  <c r="Q140" i="5"/>
  <c r="P140" i="5"/>
  <c r="N140" i="5"/>
  <c r="H140" i="5"/>
  <c r="AA139" i="5"/>
  <c r="Z139" i="5"/>
  <c r="AN139" i="5" s="1"/>
  <c r="Y139" i="5"/>
  <c r="X139" i="5"/>
  <c r="AK139" i="5" s="1"/>
  <c r="W139" i="5"/>
  <c r="V139" i="5"/>
  <c r="U139" i="5"/>
  <c r="AH139" i="5" s="1"/>
  <c r="T139" i="5"/>
  <c r="S139" i="5"/>
  <c r="R139" i="5"/>
  <c r="Q139" i="5"/>
  <c r="P139" i="5"/>
  <c r="N139" i="5"/>
  <c r="H139" i="5"/>
  <c r="AA138" i="5"/>
  <c r="Z138" i="5"/>
  <c r="Y138" i="5"/>
  <c r="AL138" i="5" s="1"/>
  <c r="X138" i="5"/>
  <c r="W138" i="5"/>
  <c r="V138" i="5"/>
  <c r="U138" i="5"/>
  <c r="T138" i="5"/>
  <c r="S138" i="5"/>
  <c r="R138" i="5"/>
  <c r="Q138" i="5"/>
  <c r="P138" i="5"/>
  <c r="N138" i="5"/>
  <c r="H138" i="5"/>
  <c r="AA137" i="5"/>
  <c r="AN137" i="5" s="1"/>
  <c r="Z137" i="5"/>
  <c r="Y137" i="5"/>
  <c r="X137" i="5"/>
  <c r="AK137" i="5" s="1"/>
  <c r="W137" i="5"/>
  <c r="V137" i="5"/>
  <c r="U137" i="5"/>
  <c r="T137" i="5"/>
  <c r="AH137" i="5" s="1"/>
  <c r="S137" i="5"/>
  <c r="R137" i="5"/>
  <c r="Q137" i="5"/>
  <c r="P137" i="5"/>
  <c r="N137" i="5"/>
  <c r="H137" i="5"/>
  <c r="AA136" i="5"/>
  <c r="Z136" i="5"/>
  <c r="Y136" i="5"/>
  <c r="AL136" i="5" s="1"/>
  <c r="X136" i="5"/>
  <c r="W136" i="5"/>
  <c r="AK136" i="5" s="1"/>
  <c r="V136" i="5"/>
  <c r="U136" i="5"/>
  <c r="T136" i="5"/>
  <c r="S136" i="5"/>
  <c r="R136" i="5"/>
  <c r="Q136" i="5"/>
  <c r="P136" i="5"/>
  <c r="N136" i="5"/>
  <c r="H136" i="5"/>
  <c r="AA135" i="5"/>
  <c r="Z135" i="5"/>
  <c r="Y135" i="5"/>
  <c r="X135" i="5"/>
  <c r="W135" i="5"/>
  <c r="AJ135" i="5" s="1"/>
  <c r="V135" i="5"/>
  <c r="U135" i="5"/>
  <c r="T135" i="5"/>
  <c r="S135" i="5"/>
  <c r="R135" i="5"/>
  <c r="Q135" i="5"/>
  <c r="P135" i="5"/>
  <c r="N135" i="5"/>
  <c r="H135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N134" i="5"/>
  <c r="H134" i="5"/>
  <c r="AA133" i="5"/>
  <c r="AN133" i="5" s="1"/>
  <c r="Z133" i="5"/>
  <c r="Y133" i="5"/>
  <c r="X133" i="5"/>
  <c r="W133" i="5"/>
  <c r="V133" i="5"/>
  <c r="U133" i="5"/>
  <c r="T133" i="5"/>
  <c r="S133" i="5"/>
  <c r="R133" i="5"/>
  <c r="Q133" i="5"/>
  <c r="P133" i="5"/>
  <c r="N133" i="5"/>
  <c r="H133" i="5"/>
  <c r="AA132" i="5"/>
  <c r="Z132" i="5"/>
  <c r="Y132" i="5"/>
  <c r="X132" i="5"/>
  <c r="W132" i="5"/>
  <c r="AK132" i="5" s="1"/>
  <c r="V132" i="5"/>
  <c r="U132" i="5"/>
  <c r="T132" i="5"/>
  <c r="S132" i="5"/>
  <c r="R132" i="5"/>
  <c r="Q132" i="5"/>
  <c r="P132" i="5"/>
  <c r="N132" i="5"/>
  <c r="H132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N131" i="5"/>
  <c r="H131" i="5"/>
  <c r="AA130" i="5"/>
  <c r="Z130" i="5"/>
  <c r="Y130" i="5"/>
  <c r="X130" i="5"/>
  <c r="W130" i="5"/>
  <c r="AJ130" i="5" s="1"/>
  <c r="V130" i="5"/>
  <c r="U130" i="5"/>
  <c r="T130" i="5"/>
  <c r="S130" i="5"/>
  <c r="R130" i="5"/>
  <c r="Q130" i="5"/>
  <c r="P130" i="5"/>
  <c r="N130" i="5"/>
  <c r="H130" i="5"/>
  <c r="AA129" i="5"/>
  <c r="Z129" i="5"/>
  <c r="Y129" i="5"/>
  <c r="AL129" i="5" s="1"/>
  <c r="X129" i="5"/>
  <c r="W129" i="5"/>
  <c r="V129" i="5"/>
  <c r="U129" i="5"/>
  <c r="T129" i="5"/>
  <c r="S129" i="5"/>
  <c r="R129" i="5"/>
  <c r="Q129" i="5"/>
  <c r="P129" i="5"/>
  <c r="N129" i="5"/>
  <c r="H129" i="5"/>
  <c r="AA128" i="5"/>
  <c r="Z128" i="5"/>
  <c r="AM128" i="5" s="1"/>
  <c r="Y128" i="5"/>
  <c r="X128" i="5"/>
  <c r="W128" i="5"/>
  <c r="V128" i="5"/>
  <c r="AI128" i="5" s="1"/>
  <c r="U128" i="5"/>
  <c r="T128" i="5"/>
  <c r="S128" i="5"/>
  <c r="R128" i="5"/>
  <c r="Q128" i="5"/>
  <c r="P128" i="5"/>
  <c r="N128" i="5"/>
  <c r="H128" i="5"/>
  <c r="AA127" i="5"/>
  <c r="Z127" i="5"/>
  <c r="Y127" i="5"/>
  <c r="AL127" i="5" s="1"/>
  <c r="X127" i="5"/>
  <c r="W127" i="5"/>
  <c r="AJ127" i="5" s="1"/>
  <c r="V127" i="5"/>
  <c r="U127" i="5"/>
  <c r="T127" i="5"/>
  <c r="S127" i="5"/>
  <c r="R127" i="5"/>
  <c r="Q127" i="5"/>
  <c r="P127" i="5"/>
  <c r="N127" i="5"/>
  <c r="H127" i="5"/>
  <c r="AA126" i="5"/>
  <c r="Z126" i="5"/>
  <c r="Y126" i="5"/>
  <c r="X126" i="5"/>
  <c r="W126" i="5"/>
  <c r="AK126" i="5" s="1"/>
  <c r="V126" i="5"/>
  <c r="U126" i="5"/>
  <c r="T126" i="5"/>
  <c r="S126" i="5"/>
  <c r="R126" i="5"/>
  <c r="Q126" i="5"/>
  <c r="P126" i="5"/>
  <c r="N126" i="5"/>
  <c r="H126" i="5"/>
  <c r="AA125" i="5"/>
  <c r="Z125" i="5"/>
  <c r="Y125" i="5"/>
  <c r="X125" i="5"/>
  <c r="AK125" i="5" s="1"/>
  <c r="W125" i="5"/>
  <c r="V125" i="5"/>
  <c r="AJ125" i="5" s="1"/>
  <c r="U125" i="5"/>
  <c r="T125" i="5"/>
  <c r="S125" i="5"/>
  <c r="AG125" i="5" s="1"/>
  <c r="R125" i="5"/>
  <c r="Q125" i="5"/>
  <c r="P125" i="5"/>
  <c r="N125" i="5"/>
  <c r="H125" i="5"/>
  <c r="AA124" i="5"/>
  <c r="AN124" i="5" s="1"/>
  <c r="Z124" i="5"/>
  <c r="Y124" i="5"/>
  <c r="AM124" i="5" s="1"/>
  <c r="X124" i="5"/>
  <c r="AK124" i="5" s="1"/>
  <c r="W124" i="5"/>
  <c r="V124" i="5"/>
  <c r="U124" i="5"/>
  <c r="T124" i="5"/>
  <c r="S124" i="5"/>
  <c r="R124" i="5"/>
  <c r="Q124" i="5"/>
  <c r="P124" i="5"/>
  <c r="N124" i="5"/>
  <c r="H124" i="5"/>
  <c r="AA123" i="5"/>
  <c r="Z123" i="5"/>
  <c r="Y123" i="5"/>
  <c r="X123" i="5"/>
  <c r="W123" i="5"/>
  <c r="V123" i="5"/>
  <c r="AI123" i="5" s="1"/>
  <c r="U123" i="5"/>
  <c r="T123" i="5"/>
  <c r="S123" i="5"/>
  <c r="R123" i="5"/>
  <c r="Q123" i="5"/>
  <c r="P123" i="5"/>
  <c r="N123" i="5"/>
  <c r="H123" i="5"/>
  <c r="AA122" i="5"/>
  <c r="Z122" i="5"/>
  <c r="Y122" i="5"/>
  <c r="AL122" i="5" s="1"/>
  <c r="X122" i="5"/>
  <c r="W122" i="5"/>
  <c r="V122" i="5"/>
  <c r="U122" i="5"/>
  <c r="AH122" i="5" s="1"/>
  <c r="T122" i="5"/>
  <c r="S122" i="5"/>
  <c r="AG122" i="5" s="1"/>
  <c r="R122" i="5"/>
  <c r="Q122" i="5"/>
  <c r="P122" i="5"/>
  <c r="N122" i="5"/>
  <c r="H122" i="5"/>
  <c r="AA121" i="5"/>
  <c r="AN121" i="5" s="1"/>
  <c r="Z121" i="5"/>
  <c r="Y121" i="5"/>
  <c r="X121" i="5"/>
  <c r="W121" i="5"/>
  <c r="V121" i="5"/>
  <c r="U121" i="5"/>
  <c r="T121" i="5"/>
  <c r="S121" i="5"/>
  <c r="AG121" i="5" s="1"/>
  <c r="R121" i="5"/>
  <c r="Q121" i="5"/>
  <c r="P121" i="5"/>
  <c r="N121" i="5"/>
  <c r="H121" i="5"/>
  <c r="AA120" i="5"/>
  <c r="Z120" i="5"/>
  <c r="Y120" i="5"/>
  <c r="X120" i="5"/>
  <c r="W120" i="5"/>
  <c r="V120" i="5"/>
  <c r="AJ120" i="5" s="1"/>
  <c r="U120" i="5"/>
  <c r="T120" i="5"/>
  <c r="S120" i="5"/>
  <c r="R120" i="5"/>
  <c r="Q120" i="5"/>
  <c r="P120" i="5"/>
  <c r="N120" i="5"/>
  <c r="H120" i="5"/>
  <c r="AA119" i="5"/>
  <c r="Z119" i="5"/>
  <c r="AM119" i="5" s="1"/>
  <c r="Y119" i="5"/>
  <c r="X119" i="5"/>
  <c r="W119" i="5"/>
  <c r="AK119" i="5" s="1"/>
  <c r="V119" i="5"/>
  <c r="U119" i="5"/>
  <c r="T119" i="5"/>
  <c r="S119" i="5"/>
  <c r="R119" i="5"/>
  <c r="Q119" i="5"/>
  <c r="P119" i="5"/>
  <c r="N119" i="5"/>
  <c r="H119" i="5"/>
  <c r="AA118" i="5"/>
  <c r="Z118" i="5"/>
  <c r="Y118" i="5"/>
  <c r="AL118" i="5" s="1"/>
  <c r="X118" i="5"/>
  <c r="W118" i="5"/>
  <c r="V118" i="5"/>
  <c r="U118" i="5"/>
  <c r="T118" i="5"/>
  <c r="S118" i="5"/>
  <c r="R118" i="5"/>
  <c r="Q118" i="5"/>
  <c r="P118" i="5"/>
  <c r="N118" i="5"/>
  <c r="H118" i="5"/>
  <c r="AA117" i="5"/>
  <c r="Z117" i="5"/>
  <c r="AM117" i="5" s="1"/>
  <c r="Y117" i="5"/>
  <c r="X117" i="5"/>
  <c r="W117" i="5"/>
  <c r="AK117" i="5" s="1"/>
  <c r="V117" i="5"/>
  <c r="U117" i="5"/>
  <c r="T117" i="5"/>
  <c r="S117" i="5"/>
  <c r="R117" i="5"/>
  <c r="Q117" i="5"/>
  <c r="P117" i="5"/>
  <c r="N117" i="5"/>
  <c r="H117" i="5"/>
  <c r="AA116" i="5"/>
  <c r="Z116" i="5"/>
  <c r="Y116" i="5"/>
  <c r="AM116" i="5" s="1"/>
  <c r="X116" i="5"/>
  <c r="W116" i="5"/>
  <c r="V116" i="5"/>
  <c r="U116" i="5"/>
  <c r="T116" i="5"/>
  <c r="S116" i="5"/>
  <c r="R116" i="5"/>
  <c r="Q116" i="5"/>
  <c r="P116" i="5"/>
  <c r="N116" i="5"/>
  <c r="H116" i="5"/>
  <c r="AA115" i="5"/>
  <c r="Z115" i="5"/>
  <c r="Y115" i="5"/>
  <c r="X115" i="5"/>
  <c r="W115" i="5"/>
  <c r="V115" i="5"/>
  <c r="AI115" i="5" s="1"/>
  <c r="U115" i="5"/>
  <c r="T115" i="5"/>
  <c r="S115" i="5"/>
  <c r="R115" i="5"/>
  <c r="Q115" i="5"/>
  <c r="P115" i="5"/>
  <c r="N115" i="5"/>
  <c r="H115" i="5"/>
  <c r="AA114" i="5"/>
  <c r="Z114" i="5"/>
  <c r="Y114" i="5"/>
  <c r="X114" i="5"/>
  <c r="AL114" i="5" s="1"/>
  <c r="W114" i="5"/>
  <c r="V114" i="5"/>
  <c r="U114" i="5"/>
  <c r="AH114" i="5" s="1"/>
  <c r="T114" i="5"/>
  <c r="S114" i="5"/>
  <c r="R114" i="5"/>
  <c r="Q114" i="5"/>
  <c r="P114" i="5"/>
  <c r="N114" i="5"/>
  <c r="H114" i="5"/>
  <c r="AA113" i="5"/>
  <c r="Z113" i="5"/>
  <c r="Y113" i="5"/>
  <c r="X113" i="5"/>
  <c r="W113" i="5"/>
  <c r="V113" i="5"/>
  <c r="U113" i="5"/>
  <c r="AH113" i="5" s="1"/>
  <c r="T113" i="5"/>
  <c r="S113" i="5"/>
  <c r="R113" i="5"/>
  <c r="Q113" i="5"/>
  <c r="P113" i="5"/>
  <c r="N113" i="5"/>
  <c r="H113" i="5"/>
  <c r="AA112" i="5"/>
  <c r="Z112" i="5"/>
  <c r="Y112" i="5"/>
  <c r="X112" i="5"/>
  <c r="W112" i="5"/>
  <c r="AJ112" i="5" s="1"/>
  <c r="V112" i="5"/>
  <c r="AI112" i="5" s="1"/>
  <c r="U112" i="5"/>
  <c r="AH112" i="5" s="1"/>
  <c r="T112" i="5"/>
  <c r="S112" i="5"/>
  <c r="AG112" i="5" s="1"/>
  <c r="R112" i="5"/>
  <c r="Q112" i="5"/>
  <c r="P112" i="5"/>
  <c r="N112" i="5"/>
  <c r="H112" i="5"/>
  <c r="AA111" i="5"/>
  <c r="Z111" i="5"/>
  <c r="AM111" i="5" s="1"/>
  <c r="Y111" i="5"/>
  <c r="X111" i="5"/>
  <c r="W111" i="5"/>
  <c r="AK111" i="5" s="1"/>
  <c r="V111" i="5"/>
  <c r="U111" i="5"/>
  <c r="T111" i="5"/>
  <c r="S111" i="5"/>
  <c r="R111" i="5"/>
  <c r="Q111" i="5"/>
  <c r="P111" i="5"/>
  <c r="N111" i="5"/>
  <c r="H111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N110" i="5"/>
  <c r="H110" i="5"/>
  <c r="AA109" i="5"/>
  <c r="Z109" i="5"/>
  <c r="Y109" i="5"/>
  <c r="X109" i="5"/>
  <c r="W109" i="5"/>
  <c r="V109" i="5"/>
  <c r="U109" i="5"/>
  <c r="T109" i="5"/>
  <c r="S109" i="5"/>
  <c r="AG109" i="5" s="1"/>
  <c r="R109" i="5"/>
  <c r="Q109" i="5"/>
  <c r="P109" i="5"/>
  <c r="N109" i="5"/>
  <c r="H109" i="5"/>
  <c r="AA108" i="5"/>
  <c r="Z108" i="5"/>
  <c r="Y108" i="5"/>
  <c r="X108" i="5"/>
  <c r="W108" i="5"/>
  <c r="V108" i="5"/>
  <c r="AI108" i="5" s="1"/>
  <c r="U108" i="5"/>
  <c r="T108" i="5"/>
  <c r="S108" i="5"/>
  <c r="AG108" i="5" s="1"/>
  <c r="R108" i="5"/>
  <c r="Q108" i="5"/>
  <c r="P108" i="5"/>
  <c r="N108" i="5"/>
  <c r="H108" i="5"/>
  <c r="AA107" i="5"/>
  <c r="Z107" i="5"/>
  <c r="Y107" i="5"/>
  <c r="AL107" i="5" s="1"/>
  <c r="X107" i="5"/>
  <c r="W107" i="5"/>
  <c r="AJ107" i="5" s="1"/>
  <c r="V107" i="5"/>
  <c r="U107" i="5"/>
  <c r="T107" i="5"/>
  <c r="S107" i="5"/>
  <c r="R107" i="5"/>
  <c r="Q107" i="5"/>
  <c r="P107" i="5"/>
  <c r="N107" i="5"/>
  <c r="H107" i="5"/>
  <c r="AA106" i="5"/>
  <c r="Z106" i="5"/>
  <c r="Y106" i="5"/>
  <c r="AM106" i="5" s="1"/>
  <c r="X106" i="5"/>
  <c r="W106" i="5"/>
  <c r="V106" i="5"/>
  <c r="AI106" i="5" s="1"/>
  <c r="U106" i="5"/>
  <c r="T106" i="5"/>
  <c r="S106" i="5"/>
  <c r="R106" i="5"/>
  <c r="Q106" i="5"/>
  <c r="P106" i="5"/>
  <c r="N106" i="5"/>
  <c r="H106" i="5"/>
  <c r="AA105" i="5"/>
  <c r="Z105" i="5"/>
  <c r="Y105" i="5"/>
  <c r="X105" i="5"/>
  <c r="AL105" i="5" s="1"/>
  <c r="W105" i="5"/>
  <c r="V105" i="5"/>
  <c r="U105" i="5"/>
  <c r="T105" i="5"/>
  <c r="S105" i="5"/>
  <c r="R105" i="5"/>
  <c r="Q105" i="5"/>
  <c r="P105" i="5"/>
  <c r="N105" i="5"/>
  <c r="H105" i="5"/>
  <c r="AA104" i="5"/>
  <c r="AN104" i="5" s="1"/>
  <c r="Z104" i="5"/>
  <c r="Y104" i="5"/>
  <c r="X104" i="5"/>
  <c r="W104" i="5"/>
  <c r="V104" i="5"/>
  <c r="U104" i="5"/>
  <c r="T104" i="5"/>
  <c r="AH104" i="5" s="1"/>
  <c r="S104" i="5"/>
  <c r="R104" i="5"/>
  <c r="Q104" i="5"/>
  <c r="P104" i="5"/>
  <c r="N104" i="5"/>
  <c r="H104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N103" i="5"/>
  <c r="H103" i="5"/>
  <c r="AA102" i="5"/>
  <c r="Z102" i="5"/>
  <c r="Y102" i="5"/>
  <c r="X102" i="5"/>
  <c r="W102" i="5"/>
  <c r="AJ102" i="5" s="1"/>
  <c r="V102" i="5"/>
  <c r="U102" i="5"/>
  <c r="T102" i="5"/>
  <c r="S102" i="5"/>
  <c r="R102" i="5"/>
  <c r="Q102" i="5"/>
  <c r="P102" i="5"/>
  <c r="N102" i="5"/>
  <c r="H102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N101" i="5"/>
  <c r="H101" i="5"/>
  <c r="AA100" i="5"/>
  <c r="Z100" i="5"/>
  <c r="Y100" i="5"/>
  <c r="X100" i="5"/>
  <c r="AK100" i="5" s="1"/>
  <c r="W100" i="5"/>
  <c r="V100" i="5"/>
  <c r="AJ100" i="5" s="1"/>
  <c r="U100" i="5"/>
  <c r="T100" i="5"/>
  <c r="S100" i="5"/>
  <c r="R100" i="5"/>
  <c r="Q100" i="5"/>
  <c r="P100" i="5"/>
  <c r="N100" i="5"/>
  <c r="H100" i="5"/>
  <c r="AA99" i="5"/>
  <c r="Z99" i="5"/>
  <c r="AN99" i="5" s="1"/>
  <c r="Y99" i="5"/>
  <c r="X99" i="5"/>
  <c r="W99" i="5"/>
  <c r="V99" i="5"/>
  <c r="U99" i="5"/>
  <c r="T99" i="5"/>
  <c r="S99" i="5"/>
  <c r="R99" i="5"/>
  <c r="Q99" i="5"/>
  <c r="P99" i="5"/>
  <c r="N99" i="5"/>
  <c r="H99" i="5"/>
  <c r="AA98" i="5"/>
  <c r="Z98" i="5"/>
  <c r="Y98" i="5"/>
  <c r="X98" i="5"/>
  <c r="AK98" i="5" s="1"/>
  <c r="W98" i="5"/>
  <c r="V98" i="5"/>
  <c r="AJ98" i="5" s="1"/>
  <c r="U98" i="5"/>
  <c r="T98" i="5"/>
  <c r="S98" i="5"/>
  <c r="R98" i="5"/>
  <c r="Q98" i="5"/>
  <c r="P98" i="5"/>
  <c r="N98" i="5"/>
  <c r="H98" i="5"/>
  <c r="AA97" i="5"/>
  <c r="Z97" i="5"/>
  <c r="Y97" i="5"/>
  <c r="X97" i="5"/>
  <c r="W97" i="5"/>
  <c r="V97" i="5"/>
  <c r="U97" i="5"/>
  <c r="T97" i="5"/>
  <c r="S97" i="5"/>
  <c r="R97" i="5"/>
  <c r="Q97" i="5"/>
  <c r="P97" i="5"/>
  <c r="N97" i="5"/>
  <c r="H97" i="5"/>
  <c r="AA96" i="5"/>
  <c r="Z96" i="5"/>
  <c r="Y96" i="5"/>
  <c r="X96" i="5"/>
  <c r="W96" i="5"/>
  <c r="V96" i="5"/>
  <c r="U96" i="5"/>
  <c r="T96" i="5"/>
  <c r="S96" i="5"/>
  <c r="R96" i="5"/>
  <c r="Q96" i="5"/>
  <c r="P96" i="5"/>
  <c r="N96" i="5"/>
  <c r="H96" i="5"/>
  <c r="AA95" i="5"/>
  <c r="Z95" i="5"/>
  <c r="Y95" i="5"/>
  <c r="AL95" i="5" s="1"/>
  <c r="X95" i="5"/>
  <c r="W95" i="5"/>
  <c r="V95" i="5"/>
  <c r="U95" i="5"/>
  <c r="T95" i="5"/>
  <c r="S95" i="5"/>
  <c r="R95" i="5"/>
  <c r="Q95" i="5"/>
  <c r="P95" i="5"/>
  <c r="N95" i="5"/>
  <c r="H95" i="5"/>
  <c r="AA94" i="5"/>
  <c r="Z94" i="5"/>
  <c r="Y94" i="5"/>
  <c r="X94" i="5"/>
  <c r="W94" i="5"/>
  <c r="V94" i="5"/>
  <c r="U94" i="5"/>
  <c r="T94" i="5"/>
  <c r="S94" i="5"/>
  <c r="R94" i="5"/>
  <c r="Q94" i="5"/>
  <c r="P94" i="5"/>
  <c r="N94" i="5"/>
  <c r="H94" i="5"/>
  <c r="AA93" i="5"/>
  <c r="Z93" i="5"/>
  <c r="Y93" i="5"/>
  <c r="X93" i="5"/>
  <c r="W93" i="5"/>
  <c r="V93" i="5"/>
  <c r="U93" i="5"/>
  <c r="T93" i="5"/>
  <c r="S93" i="5"/>
  <c r="AG93" i="5" s="1"/>
  <c r="R93" i="5"/>
  <c r="Q93" i="5"/>
  <c r="P93" i="5"/>
  <c r="N93" i="5"/>
  <c r="H93" i="5"/>
  <c r="AA92" i="5"/>
  <c r="Z92" i="5"/>
  <c r="Y92" i="5"/>
  <c r="X92" i="5"/>
  <c r="W92" i="5"/>
  <c r="V92" i="5"/>
  <c r="U92" i="5"/>
  <c r="T92" i="5"/>
  <c r="S92" i="5"/>
  <c r="R92" i="5"/>
  <c r="Q92" i="5"/>
  <c r="P92" i="5"/>
  <c r="N92" i="5"/>
  <c r="H92" i="5"/>
  <c r="AA91" i="5"/>
  <c r="Z91" i="5"/>
  <c r="Y91" i="5"/>
  <c r="AM91" i="5" s="1"/>
  <c r="X91" i="5"/>
  <c r="W91" i="5"/>
  <c r="V91" i="5"/>
  <c r="U91" i="5"/>
  <c r="T91" i="5"/>
  <c r="S91" i="5"/>
  <c r="AG91" i="5" s="1"/>
  <c r="R91" i="5"/>
  <c r="Q91" i="5"/>
  <c r="P91" i="5"/>
  <c r="N91" i="5"/>
  <c r="H91" i="5"/>
  <c r="AA90" i="5"/>
  <c r="Z90" i="5"/>
  <c r="Y90" i="5"/>
  <c r="X90" i="5"/>
  <c r="W90" i="5"/>
  <c r="V90" i="5"/>
  <c r="U90" i="5"/>
  <c r="T90" i="5"/>
  <c r="S90" i="5"/>
  <c r="R90" i="5"/>
  <c r="Q90" i="5"/>
  <c r="P90" i="5"/>
  <c r="N90" i="5"/>
  <c r="H90" i="5"/>
  <c r="AA89" i="5"/>
  <c r="Z89" i="5"/>
  <c r="Y89" i="5"/>
  <c r="X89" i="5"/>
  <c r="W89" i="5"/>
  <c r="V89" i="5"/>
  <c r="U89" i="5"/>
  <c r="T89" i="5"/>
  <c r="S89" i="5"/>
  <c r="AG89" i="5" s="1"/>
  <c r="R89" i="5"/>
  <c r="Q89" i="5"/>
  <c r="P89" i="5"/>
  <c r="N89" i="5"/>
  <c r="H89" i="5"/>
  <c r="AA88" i="5"/>
  <c r="Z88" i="5"/>
  <c r="AN88" i="5" s="1"/>
  <c r="Y88" i="5"/>
  <c r="X88" i="5"/>
  <c r="W88" i="5"/>
  <c r="V88" i="5"/>
  <c r="U88" i="5"/>
  <c r="T88" i="5"/>
  <c r="S88" i="5"/>
  <c r="R88" i="5"/>
  <c r="Q88" i="5"/>
  <c r="P88" i="5"/>
  <c r="N88" i="5"/>
  <c r="H88" i="5"/>
  <c r="AA87" i="5"/>
  <c r="Z87" i="5"/>
  <c r="Y87" i="5"/>
  <c r="X87" i="5"/>
  <c r="AL87" i="5" s="1"/>
  <c r="W87" i="5"/>
  <c r="V87" i="5"/>
  <c r="U87" i="5"/>
  <c r="T87" i="5"/>
  <c r="S87" i="5"/>
  <c r="AG87" i="5" s="1"/>
  <c r="R87" i="5"/>
  <c r="Q87" i="5"/>
  <c r="P87" i="5"/>
  <c r="N87" i="5"/>
  <c r="H87" i="5"/>
  <c r="AA86" i="5"/>
  <c r="Z86" i="5"/>
  <c r="Y86" i="5"/>
  <c r="X86" i="5"/>
  <c r="W86" i="5"/>
  <c r="AK86" i="5" s="1"/>
  <c r="V86" i="5"/>
  <c r="U86" i="5"/>
  <c r="T86" i="5"/>
  <c r="S86" i="5"/>
  <c r="R86" i="5"/>
  <c r="Q86" i="5"/>
  <c r="P86" i="5"/>
  <c r="N86" i="5"/>
  <c r="H86" i="5"/>
  <c r="AA85" i="5"/>
  <c r="Z85" i="5"/>
  <c r="Y85" i="5"/>
  <c r="X85" i="5"/>
  <c r="W85" i="5"/>
  <c r="V85" i="5"/>
  <c r="U85" i="5"/>
  <c r="AI85" i="5" s="1"/>
  <c r="T85" i="5"/>
  <c r="S85" i="5"/>
  <c r="AG85" i="5" s="1"/>
  <c r="R85" i="5"/>
  <c r="Q85" i="5"/>
  <c r="P85" i="5"/>
  <c r="N85" i="5"/>
  <c r="H85" i="5"/>
  <c r="AA84" i="5"/>
  <c r="Z84" i="5"/>
  <c r="Y84" i="5"/>
  <c r="X84" i="5"/>
  <c r="W84" i="5"/>
  <c r="V84" i="5"/>
  <c r="U84" i="5"/>
  <c r="AI84" i="5" s="1"/>
  <c r="T84" i="5"/>
  <c r="S84" i="5"/>
  <c r="R84" i="5"/>
  <c r="Q84" i="5"/>
  <c r="P84" i="5"/>
  <c r="N84" i="5"/>
  <c r="H84" i="5"/>
  <c r="AA83" i="5"/>
  <c r="Z83" i="5"/>
  <c r="AM83" i="5" s="1"/>
  <c r="Y83" i="5"/>
  <c r="X83" i="5"/>
  <c r="AL83" i="5" s="1"/>
  <c r="W83" i="5"/>
  <c r="V83" i="5"/>
  <c r="U83" i="5"/>
  <c r="AI83" i="5" s="1"/>
  <c r="T83" i="5"/>
  <c r="S83" i="5"/>
  <c r="R83" i="5"/>
  <c r="Q83" i="5"/>
  <c r="P83" i="5"/>
  <c r="N83" i="5"/>
  <c r="H83" i="5"/>
  <c r="AA82" i="5"/>
  <c r="Z82" i="5"/>
  <c r="AM82" i="5" s="1"/>
  <c r="Y82" i="5"/>
  <c r="X82" i="5"/>
  <c r="W82" i="5"/>
  <c r="V82" i="5"/>
  <c r="U82" i="5"/>
  <c r="T82" i="5"/>
  <c r="S82" i="5"/>
  <c r="R82" i="5"/>
  <c r="Q82" i="5"/>
  <c r="P82" i="5"/>
  <c r="N82" i="5"/>
  <c r="H82" i="5"/>
  <c r="AA81" i="5"/>
  <c r="Z81" i="5"/>
  <c r="Y81" i="5"/>
  <c r="X81" i="5"/>
  <c r="W81" i="5"/>
  <c r="V81" i="5"/>
  <c r="U81" i="5"/>
  <c r="T81" i="5"/>
  <c r="S81" i="5"/>
  <c r="R81" i="5"/>
  <c r="Q81" i="5"/>
  <c r="P81" i="5"/>
  <c r="N81" i="5"/>
  <c r="H81" i="5"/>
  <c r="AA80" i="5"/>
  <c r="Z80" i="5"/>
  <c r="Y80" i="5"/>
  <c r="X80" i="5"/>
  <c r="W80" i="5"/>
  <c r="AJ80" i="5" s="1"/>
  <c r="V80" i="5"/>
  <c r="U80" i="5"/>
  <c r="T80" i="5"/>
  <c r="S80" i="5"/>
  <c r="R80" i="5"/>
  <c r="Q80" i="5"/>
  <c r="P80" i="5"/>
  <c r="N80" i="5"/>
  <c r="H80" i="5"/>
  <c r="AA79" i="5"/>
  <c r="Z79" i="5"/>
  <c r="Y79" i="5"/>
  <c r="X79" i="5"/>
  <c r="W79" i="5"/>
  <c r="V79" i="5"/>
  <c r="U79" i="5"/>
  <c r="T79" i="5"/>
  <c r="S79" i="5"/>
  <c r="R79" i="5"/>
  <c r="Q79" i="5"/>
  <c r="P79" i="5"/>
  <c r="N79" i="5"/>
  <c r="H79" i="5"/>
  <c r="AA78" i="5"/>
  <c r="Z78" i="5"/>
  <c r="Y78" i="5"/>
  <c r="X78" i="5"/>
  <c r="W78" i="5"/>
  <c r="V78" i="5"/>
  <c r="U78" i="5"/>
  <c r="T78" i="5"/>
  <c r="S78" i="5"/>
  <c r="R78" i="5"/>
  <c r="Q78" i="5"/>
  <c r="P78" i="5"/>
  <c r="N78" i="5"/>
  <c r="H78" i="5"/>
  <c r="AA77" i="5"/>
  <c r="Z77" i="5"/>
  <c r="Y77" i="5"/>
  <c r="X77" i="5"/>
  <c r="W77" i="5"/>
  <c r="V77" i="5"/>
  <c r="U77" i="5"/>
  <c r="T77" i="5"/>
  <c r="S77" i="5"/>
  <c r="R77" i="5"/>
  <c r="Q77" i="5"/>
  <c r="P77" i="5"/>
  <c r="N77" i="5"/>
  <c r="H77" i="5"/>
  <c r="AA76" i="5"/>
  <c r="Z76" i="5"/>
  <c r="Y76" i="5"/>
  <c r="X76" i="5"/>
  <c r="W76" i="5"/>
  <c r="V76" i="5"/>
  <c r="U76" i="5"/>
  <c r="T76" i="5"/>
  <c r="S76" i="5"/>
  <c r="R76" i="5"/>
  <c r="Q76" i="5"/>
  <c r="P76" i="5"/>
  <c r="N76" i="5"/>
  <c r="H76" i="5"/>
  <c r="AA75" i="5"/>
  <c r="Z75" i="5"/>
  <c r="Y75" i="5"/>
  <c r="X75" i="5"/>
  <c r="W75" i="5"/>
  <c r="V75" i="5"/>
  <c r="U75" i="5"/>
  <c r="T75" i="5"/>
  <c r="S75" i="5"/>
  <c r="R75" i="5"/>
  <c r="Q75" i="5"/>
  <c r="P75" i="5"/>
  <c r="N75" i="5"/>
  <c r="H75" i="5"/>
  <c r="AA74" i="5"/>
  <c r="Z74" i="5"/>
  <c r="Y74" i="5"/>
  <c r="X74" i="5"/>
  <c r="W74" i="5"/>
  <c r="V74" i="5"/>
  <c r="U74" i="5"/>
  <c r="AI74" i="5" s="1"/>
  <c r="T74" i="5"/>
  <c r="S74" i="5"/>
  <c r="R74" i="5"/>
  <c r="Q74" i="5"/>
  <c r="P74" i="5"/>
  <c r="N74" i="5"/>
  <c r="H74" i="5"/>
  <c r="AA73" i="5"/>
  <c r="Z73" i="5"/>
  <c r="Y73" i="5"/>
  <c r="X73" i="5"/>
  <c r="W73" i="5"/>
  <c r="V73" i="5"/>
  <c r="U73" i="5"/>
  <c r="T73" i="5"/>
  <c r="S73" i="5"/>
  <c r="R73" i="5"/>
  <c r="Q73" i="5"/>
  <c r="P73" i="5"/>
  <c r="N73" i="5"/>
  <c r="H73" i="5"/>
  <c r="AA72" i="5"/>
  <c r="Z72" i="5"/>
  <c r="Y72" i="5"/>
  <c r="X72" i="5"/>
  <c r="W72" i="5"/>
  <c r="V72" i="5"/>
  <c r="U72" i="5"/>
  <c r="T72" i="5"/>
  <c r="S72" i="5"/>
  <c r="R72" i="5"/>
  <c r="Q72" i="5"/>
  <c r="P72" i="5"/>
  <c r="N72" i="5"/>
  <c r="H72" i="5"/>
  <c r="AA71" i="5"/>
  <c r="Z71" i="5"/>
  <c r="Y71" i="5"/>
  <c r="X71" i="5"/>
  <c r="W71" i="5"/>
  <c r="V71" i="5"/>
  <c r="U71" i="5"/>
  <c r="T71" i="5"/>
  <c r="S71" i="5"/>
  <c r="R71" i="5"/>
  <c r="Q71" i="5"/>
  <c r="P71" i="5"/>
  <c r="N71" i="5"/>
  <c r="H71" i="5"/>
  <c r="AA70" i="5"/>
  <c r="Z70" i="5"/>
  <c r="Y70" i="5"/>
  <c r="AL70" i="5" s="1"/>
  <c r="X70" i="5"/>
  <c r="W70" i="5"/>
  <c r="V70" i="5"/>
  <c r="U70" i="5"/>
  <c r="T70" i="5"/>
  <c r="S70" i="5"/>
  <c r="AG70" i="5" s="1"/>
  <c r="R70" i="5"/>
  <c r="Q70" i="5"/>
  <c r="P70" i="5"/>
  <c r="N70" i="5"/>
  <c r="H70" i="5"/>
  <c r="AA69" i="5"/>
  <c r="Z69" i="5"/>
  <c r="Y69" i="5"/>
  <c r="AL69" i="5" s="1"/>
  <c r="X69" i="5"/>
  <c r="W69" i="5"/>
  <c r="V69" i="5"/>
  <c r="U69" i="5"/>
  <c r="T69" i="5"/>
  <c r="S69" i="5"/>
  <c r="R69" i="5"/>
  <c r="Q69" i="5"/>
  <c r="P69" i="5"/>
  <c r="N69" i="5"/>
  <c r="H69" i="5"/>
  <c r="AA68" i="5"/>
  <c r="Z68" i="5"/>
  <c r="Y68" i="5"/>
  <c r="X68" i="5"/>
  <c r="W68" i="5"/>
  <c r="AJ68" i="5" s="1"/>
  <c r="V68" i="5"/>
  <c r="U68" i="5"/>
  <c r="T68" i="5"/>
  <c r="S68" i="5"/>
  <c r="AG68" i="5" s="1"/>
  <c r="R68" i="5"/>
  <c r="Q68" i="5"/>
  <c r="AE68" i="5" s="1"/>
  <c r="P68" i="5"/>
  <c r="N68" i="5"/>
  <c r="H68" i="5"/>
  <c r="AA67" i="5"/>
  <c r="Z67" i="5"/>
  <c r="Y67" i="5"/>
  <c r="AM67" i="5" s="1"/>
  <c r="X67" i="5"/>
  <c r="W67" i="5"/>
  <c r="V67" i="5"/>
  <c r="U67" i="5"/>
  <c r="T67" i="5"/>
  <c r="S67" i="5"/>
  <c r="R67" i="5"/>
  <c r="Q67" i="5"/>
  <c r="P67" i="5"/>
  <c r="N67" i="5"/>
  <c r="H67" i="5"/>
  <c r="AA66" i="5"/>
  <c r="AN66" i="5" s="1"/>
  <c r="Z66" i="5"/>
  <c r="AM66" i="5" s="1"/>
  <c r="Y66" i="5"/>
  <c r="X66" i="5"/>
  <c r="AK66" i="5" s="1"/>
  <c r="W66" i="5"/>
  <c r="V66" i="5"/>
  <c r="AJ66" i="5" s="1"/>
  <c r="U66" i="5"/>
  <c r="T66" i="5"/>
  <c r="S66" i="5"/>
  <c r="R66" i="5"/>
  <c r="Q66" i="5"/>
  <c r="P66" i="5"/>
  <c r="N66" i="5"/>
  <c r="H66" i="5"/>
  <c r="AA65" i="5"/>
  <c r="Z65" i="5"/>
  <c r="AM65" i="5" s="1"/>
  <c r="Y65" i="5"/>
  <c r="AL65" i="5" s="1"/>
  <c r="X65" i="5"/>
  <c r="W65" i="5"/>
  <c r="V65" i="5"/>
  <c r="U65" i="5"/>
  <c r="AI65" i="5" s="1"/>
  <c r="T65" i="5"/>
  <c r="S65" i="5"/>
  <c r="R65" i="5"/>
  <c r="Q65" i="5"/>
  <c r="P65" i="5"/>
  <c r="N65" i="5"/>
  <c r="H65" i="5"/>
  <c r="AA64" i="5"/>
  <c r="Z64" i="5"/>
  <c r="Y64" i="5"/>
  <c r="X64" i="5"/>
  <c r="W64" i="5"/>
  <c r="AJ64" i="5" s="1"/>
  <c r="V64" i="5"/>
  <c r="U64" i="5"/>
  <c r="T64" i="5"/>
  <c r="S64" i="5"/>
  <c r="R64" i="5"/>
  <c r="Q64" i="5"/>
  <c r="P64" i="5"/>
  <c r="N64" i="5"/>
  <c r="H64" i="5"/>
  <c r="AA63" i="5"/>
  <c r="Z63" i="5"/>
  <c r="AM63" i="5" s="1"/>
  <c r="Y63" i="5"/>
  <c r="X63" i="5"/>
  <c r="W63" i="5"/>
  <c r="AJ63" i="5" s="1"/>
  <c r="V63" i="5"/>
  <c r="U63" i="5"/>
  <c r="T63" i="5"/>
  <c r="S63" i="5"/>
  <c r="R63" i="5"/>
  <c r="Q63" i="5"/>
  <c r="P63" i="5"/>
  <c r="N63" i="5"/>
  <c r="H63" i="5"/>
  <c r="AA62" i="5"/>
  <c r="AN62" i="5" s="1"/>
  <c r="Z62" i="5"/>
  <c r="Y62" i="5"/>
  <c r="X62" i="5"/>
  <c r="W62" i="5"/>
  <c r="AK62" i="5" s="1"/>
  <c r="V62" i="5"/>
  <c r="U62" i="5"/>
  <c r="AI62" i="5" s="1"/>
  <c r="T62" i="5"/>
  <c r="S62" i="5"/>
  <c r="R62" i="5"/>
  <c r="Q62" i="5"/>
  <c r="P62" i="5"/>
  <c r="N62" i="5"/>
  <c r="H62" i="5"/>
  <c r="AA61" i="5"/>
  <c r="Z61" i="5"/>
  <c r="Y61" i="5"/>
  <c r="AL61" i="5" s="1"/>
  <c r="X61" i="5"/>
  <c r="W61" i="5"/>
  <c r="V61" i="5"/>
  <c r="U61" i="5"/>
  <c r="T61" i="5"/>
  <c r="S61" i="5"/>
  <c r="R61" i="5"/>
  <c r="Q61" i="5"/>
  <c r="P61" i="5"/>
  <c r="N61" i="5"/>
  <c r="H61" i="5"/>
  <c r="AA60" i="5"/>
  <c r="Z60" i="5"/>
  <c r="Y60" i="5"/>
  <c r="X60" i="5"/>
  <c r="W60" i="5"/>
  <c r="AJ60" i="5" s="1"/>
  <c r="V60" i="5"/>
  <c r="U60" i="5"/>
  <c r="T60" i="5"/>
  <c r="S60" i="5"/>
  <c r="R60" i="5"/>
  <c r="Q60" i="5"/>
  <c r="P60" i="5"/>
  <c r="N60" i="5"/>
  <c r="H60" i="5"/>
  <c r="AA59" i="5"/>
  <c r="Z59" i="5"/>
  <c r="AN59" i="5" s="1"/>
  <c r="Y59" i="5"/>
  <c r="X59" i="5"/>
  <c r="AK59" i="5" s="1"/>
  <c r="W59" i="5"/>
  <c r="V59" i="5"/>
  <c r="U59" i="5"/>
  <c r="T59" i="5"/>
  <c r="S59" i="5"/>
  <c r="R59" i="5"/>
  <c r="Q59" i="5"/>
  <c r="P59" i="5"/>
  <c r="N59" i="5"/>
  <c r="H59" i="5"/>
  <c r="AA58" i="5"/>
  <c r="Z58" i="5"/>
  <c r="Y58" i="5"/>
  <c r="AM58" i="5" s="1"/>
  <c r="X58" i="5"/>
  <c r="W58" i="5"/>
  <c r="AK58" i="5" s="1"/>
  <c r="V58" i="5"/>
  <c r="U58" i="5"/>
  <c r="AI58" i="5" s="1"/>
  <c r="T58" i="5"/>
  <c r="S58" i="5"/>
  <c r="R58" i="5"/>
  <c r="Q58" i="5"/>
  <c r="P58" i="5"/>
  <c r="N58" i="5"/>
  <c r="H58" i="5"/>
  <c r="AA57" i="5"/>
  <c r="Z57" i="5"/>
  <c r="Y57" i="5"/>
  <c r="X57" i="5"/>
  <c r="W57" i="5"/>
  <c r="V57" i="5"/>
  <c r="AI57" i="5" s="1"/>
  <c r="U57" i="5"/>
  <c r="T57" i="5"/>
  <c r="S57" i="5"/>
  <c r="R57" i="5"/>
  <c r="Q57" i="5"/>
  <c r="P57" i="5"/>
  <c r="N57" i="5"/>
  <c r="H57" i="5"/>
  <c r="AA56" i="5"/>
  <c r="Z56" i="5"/>
  <c r="Y56" i="5"/>
  <c r="X56" i="5"/>
  <c r="W56" i="5"/>
  <c r="AJ56" i="5" s="1"/>
  <c r="V56" i="5"/>
  <c r="U56" i="5"/>
  <c r="T56" i="5"/>
  <c r="S56" i="5"/>
  <c r="R56" i="5"/>
  <c r="Q56" i="5"/>
  <c r="P56" i="5"/>
  <c r="N56" i="5"/>
  <c r="H56" i="5"/>
  <c r="AA55" i="5"/>
  <c r="Z55" i="5"/>
  <c r="AN55" i="5" s="1"/>
  <c r="Y55" i="5"/>
  <c r="X55" i="5"/>
  <c r="W55" i="5"/>
  <c r="V55" i="5"/>
  <c r="U55" i="5"/>
  <c r="T55" i="5"/>
  <c r="S55" i="5"/>
  <c r="R55" i="5"/>
  <c r="Q55" i="5"/>
  <c r="P55" i="5"/>
  <c r="N55" i="5"/>
  <c r="H55" i="5"/>
  <c r="AA54" i="5"/>
  <c r="Z54" i="5"/>
  <c r="Y54" i="5"/>
  <c r="AM54" i="5" s="1"/>
  <c r="X54" i="5"/>
  <c r="W54" i="5"/>
  <c r="AK54" i="5" s="1"/>
  <c r="V54" i="5"/>
  <c r="AI54" i="5" s="1"/>
  <c r="U54" i="5"/>
  <c r="T54" i="5"/>
  <c r="S54" i="5"/>
  <c r="R54" i="5"/>
  <c r="Q54" i="5"/>
  <c r="P54" i="5"/>
  <c r="N54" i="5"/>
  <c r="H54" i="5"/>
  <c r="AA53" i="5"/>
  <c r="Z53" i="5"/>
  <c r="Y53" i="5"/>
  <c r="AL53" i="5" s="1"/>
  <c r="X53" i="5"/>
  <c r="W53" i="5"/>
  <c r="V53" i="5"/>
  <c r="U53" i="5"/>
  <c r="T53" i="5"/>
  <c r="S53" i="5"/>
  <c r="R53" i="5"/>
  <c r="Q53" i="5"/>
  <c r="P53" i="5"/>
  <c r="N53" i="5"/>
  <c r="H53" i="5"/>
  <c r="AA52" i="5"/>
  <c r="Z52" i="5"/>
  <c r="Y52" i="5"/>
  <c r="X52" i="5"/>
  <c r="AK52" i="5" s="1"/>
  <c r="W52" i="5"/>
  <c r="V52" i="5"/>
  <c r="U52" i="5"/>
  <c r="T52" i="5"/>
  <c r="S52" i="5"/>
  <c r="R52" i="5"/>
  <c r="Q52" i="5"/>
  <c r="P52" i="5"/>
  <c r="N52" i="5"/>
  <c r="H52" i="5"/>
  <c r="AA51" i="5"/>
  <c r="Z51" i="5"/>
  <c r="Y51" i="5"/>
  <c r="AM51" i="5" s="1"/>
  <c r="X51" i="5"/>
  <c r="W51" i="5"/>
  <c r="V51" i="5"/>
  <c r="U51" i="5"/>
  <c r="T51" i="5"/>
  <c r="S51" i="5"/>
  <c r="R51" i="5"/>
  <c r="Q51" i="5"/>
  <c r="P51" i="5"/>
  <c r="N51" i="5"/>
  <c r="H51" i="5"/>
  <c r="AA50" i="5"/>
  <c r="AN50" i="5" s="1"/>
  <c r="Z50" i="5"/>
  <c r="Y50" i="5"/>
  <c r="X50" i="5"/>
  <c r="AK50" i="5" s="1"/>
  <c r="W50" i="5"/>
  <c r="V50" i="5"/>
  <c r="U50" i="5"/>
  <c r="T50" i="5"/>
  <c r="S50" i="5"/>
  <c r="AG50" i="5" s="1"/>
  <c r="R50" i="5"/>
  <c r="Q50" i="5"/>
  <c r="P50" i="5"/>
  <c r="N50" i="5"/>
  <c r="H50" i="5"/>
  <c r="AA49" i="5"/>
  <c r="Z49" i="5"/>
  <c r="Y49" i="5"/>
  <c r="AL49" i="5" s="1"/>
  <c r="X49" i="5"/>
  <c r="W49" i="5"/>
  <c r="AJ49" i="5" s="1"/>
  <c r="V49" i="5"/>
  <c r="U49" i="5"/>
  <c r="T49" i="5"/>
  <c r="S49" i="5"/>
  <c r="AG49" i="5" s="1"/>
  <c r="R49" i="5"/>
  <c r="Q49" i="5"/>
  <c r="P49" i="5"/>
  <c r="N49" i="5"/>
  <c r="H49" i="5"/>
  <c r="AA48" i="5"/>
  <c r="AN48" i="5" s="1"/>
  <c r="Z48" i="5"/>
  <c r="Y48" i="5"/>
  <c r="AL48" i="5" s="1"/>
  <c r="X48" i="5"/>
  <c r="W48" i="5"/>
  <c r="AK48" i="5" s="1"/>
  <c r="V48" i="5"/>
  <c r="U48" i="5"/>
  <c r="T48" i="5"/>
  <c r="S48" i="5"/>
  <c r="R48" i="5"/>
  <c r="Q48" i="5"/>
  <c r="P48" i="5"/>
  <c r="N48" i="5"/>
  <c r="H48" i="5"/>
  <c r="AA47" i="5"/>
  <c r="Z47" i="5"/>
  <c r="Y47" i="5"/>
  <c r="X47" i="5"/>
  <c r="AK47" i="5" s="1"/>
  <c r="W47" i="5"/>
  <c r="AJ47" i="5" s="1"/>
  <c r="V47" i="5"/>
  <c r="U47" i="5"/>
  <c r="T47" i="5"/>
  <c r="S47" i="5"/>
  <c r="AG47" i="5" s="1"/>
  <c r="R47" i="5"/>
  <c r="Q47" i="5"/>
  <c r="P47" i="5"/>
  <c r="N47" i="5"/>
  <c r="H47" i="5"/>
  <c r="AA46" i="5"/>
  <c r="Z46" i="5"/>
  <c r="Y46" i="5"/>
  <c r="X46" i="5"/>
  <c r="W46" i="5"/>
  <c r="V46" i="5"/>
  <c r="U46" i="5"/>
  <c r="T46" i="5"/>
  <c r="S46" i="5"/>
  <c r="R46" i="5"/>
  <c r="Q46" i="5"/>
  <c r="P46" i="5"/>
  <c r="N46" i="5"/>
  <c r="H46" i="5"/>
  <c r="AA45" i="5"/>
  <c r="Z45" i="5"/>
  <c r="Y45" i="5"/>
  <c r="X45" i="5"/>
  <c r="AK45" i="5" s="1"/>
  <c r="W45" i="5"/>
  <c r="AJ45" i="5" s="1"/>
  <c r="V45" i="5"/>
  <c r="U45" i="5"/>
  <c r="T45" i="5"/>
  <c r="S45" i="5"/>
  <c r="AG45" i="5" s="1"/>
  <c r="R45" i="5"/>
  <c r="Q45" i="5"/>
  <c r="P45" i="5"/>
  <c r="N45" i="5"/>
  <c r="H45" i="5"/>
  <c r="AA44" i="5"/>
  <c r="Z44" i="5"/>
  <c r="Y44" i="5"/>
  <c r="X44" i="5"/>
  <c r="W44" i="5"/>
  <c r="V44" i="5"/>
  <c r="U44" i="5"/>
  <c r="T44" i="5"/>
  <c r="S44" i="5"/>
  <c r="R44" i="5"/>
  <c r="Q44" i="5"/>
  <c r="P44" i="5"/>
  <c r="N44" i="5"/>
  <c r="H44" i="5"/>
  <c r="AA43" i="5"/>
  <c r="Z43" i="5"/>
  <c r="Y43" i="5"/>
  <c r="X43" i="5"/>
  <c r="W43" i="5"/>
  <c r="V43" i="5"/>
  <c r="U43" i="5"/>
  <c r="T43" i="5"/>
  <c r="S43" i="5"/>
  <c r="AG43" i="5" s="1"/>
  <c r="R43" i="5"/>
  <c r="Q43" i="5"/>
  <c r="P43" i="5"/>
  <c r="N43" i="5"/>
  <c r="H43" i="5"/>
  <c r="AA42" i="5"/>
  <c r="Z42" i="5"/>
  <c r="Y42" i="5"/>
  <c r="X42" i="5"/>
  <c r="W42" i="5"/>
  <c r="V42" i="5"/>
  <c r="AI42" i="5" s="1"/>
  <c r="U42" i="5"/>
  <c r="AH42" i="5" s="1"/>
  <c r="T42" i="5"/>
  <c r="S42" i="5"/>
  <c r="R42" i="5"/>
  <c r="Q42" i="5"/>
  <c r="P42" i="5"/>
  <c r="N42" i="5"/>
  <c r="H42" i="5"/>
  <c r="AA41" i="5"/>
  <c r="AN41" i="5" s="1"/>
  <c r="Z41" i="5"/>
  <c r="Y41" i="5"/>
  <c r="X41" i="5"/>
  <c r="W41" i="5"/>
  <c r="V41" i="5"/>
  <c r="U41" i="5"/>
  <c r="T41" i="5"/>
  <c r="S41" i="5"/>
  <c r="R41" i="5"/>
  <c r="Q41" i="5"/>
  <c r="P41" i="5"/>
  <c r="N41" i="5"/>
  <c r="H41" i="5"/>
  <c r="AA40" i="5"/>
  <c r="Z40" i="5"/>
  <c r="Y40" i="5"/>
  <c r="X40" i="5"/>
  <c r="AK40" i="5" s="1"/>
  <c r="W40" i="5"/>
  <c r="V40" i="5"/>
  <c r="U40" i="5"/>
  <c r="T40" i="5"/>
  <c r="S40" i="5"/>
  <c r="R40" i="5"/>
  <c r="Q40" i="5"/>
  <c r="P40" i="5"/>
  <c r="N40" i="5"/>
  <c r="H40" i="5"/>
  <c r="AA39" i="5"/>
  <c r="AN39" i="5" s="1"/>
  <c r="Z39" i="5"/>
  <c r="AM39" i="5" s="1"/>
  <c r="Y39" i="5"/>
  <c r="X39" i="5"/>
  <c r="W39" i="5"/>
  <c r="V39" i="5"/>
  <c r="U39" i="5"/>
  <c r="T39" i="5"/>
  <c r="S39" i="5"/>
  <c r="R39" i="5"/>
  <c r="Q39" i="5"/>
  <c r="P39" i="5"/>
  <c r="N39" i="5"/>
  <c r="H39" i="5"/>
  <c r="AA38" i="5"/>
  <c r="Z38" i="5"/>
  <c r="Y38" i="5"/>
  <c r="X38" i="5"/>
  <c r="AL38" i="5" s="1"/>
  <c r="W38" i="5"/>
  <c r="V38" i="5"/>
  <c r="U38" i="5"/>
  <c r="AH38" i="5" s="1"/>
  <c r="T38" i="5"/>
  <c r="S38" i="5"/>
  <c r="R38" i="5"/>
  <c r="Q38" i="5"/>
  <c r="P38" i="5"/>
  <c r="N38" i="5"/>
  <c r="H38" i="5"/>
  <c r="AA37" i="5"/>
  <c r="Z37" i="5"/>
  <c r="AM37" i="5" s="1"/>
  <c r="Y37" i="5"/>
  <c r="X37" i="5"/>
  <c r="AK37" i="5" s="1"/>
  <c r="W37" i="5"/>
  <c r="V37" i="5"/>
  <c r="U37" i="5"/>
  <c r="T37" i="5"/>
  <c r="S37" i="5"/>
  <c r="R37" i="5"/>
  <c r="Q37" i="5"/>
  <c r="P37" i="5"/>
  <c r="N37" i="5"/>
  <c r="H37" i="5"/>
  <c r="AA36" i="5"/>
  <c r="Z36" i="5"/>
  <c r="Y36" i="5"/>
  <c r="AL36" i="5" s="1"/>
  <c r="X36" i="5"/>
  <c r="W36" i="5"/>
  <c r="V36" i="5"/>
  <c r="U36" i="5"/>
  <c r="T36" i="5"/>
  <c r="S36" i="5"/>
  <c r="R36" i="5"/>
  <c r="Q36" i="5"/>
  <c r="P36" i="5"/>
  <c r="N36" i="5"/>
  <c r="H36" i="5"/>
  <c r="AA35" i="5"/>
  <c r="Z35" i="5"/>
  <c r="Y35" i="5"/>
  <c r="X35" i="5"/>
  <c r="W35" i="5"/>
  <c r="V35" i="5"/>
  <c r="U35" i="5"/>
  <c r="AH35" i="5" s="1"/>
  <c r="T35" i="5"/>
  <c r="S35" i="5"/>
  <c r="AG35" i="5" s="1"/>
  <c r="R35" i="5"/>
  <c r="Q35" i="5"/>
  <c r="P35" i="5"/>
  <c r="N35" i="5"/>
  <c r="H35" i="5"/>
  <c r="AA34" i="5"/>
  <c r="Z34" i="5"/>
  <c r="Y34" i="5"/>
  <c r="X34" i="5"/>
  <c r="W34" i="5"/>
  <c r="V34" i="5"/>
  <c r="U34" i="5"/>
  <c r="T34" i="5"/>
  <c r="S34" i="5"/>
  <c r="R34" i="5"/>
  <c r="Q34" i="5"/>
  <c r="P34" i="5"/>
  <c r="N34" i="5"/>
  <c r="H34" i="5"/>
  <c r="AA33" i="5"/>
  <c r="Z33" i="5"/>
  <c r="Y33" i="5"/>
  <c r="X33" i="5"/>
  <c r="W33" i="5"/>
  <c r="V33" i="5"/>
  <c r="U33" i="5"/>
  <c r="T33" i="5"/>
  <c r="S33" i="5"/>
  <c r="AG33" i="5" s="1"/>
  <c r="R33" i="5"/>
  <c r="Q33" i="5"/>
  <c r="P33" i="5"/>
  <c r="N33" i="5"/>
  <c r="H33" i="5"/>
  <c r="AA32" i="5"/>
  <c r="AN32" i="5" s="1"/>
  <c r="Z32" i="5"/>
  <c r="Y32" i="5"/>
  <c r="AL32" i="5" s="1"/>
  <c r="X32" i="5"/>
  <c r="W32" i="5"/>
  <c r="V32" i="5"/>
  <c r="U32" i="5"/>
  <c r="T32" i="5"/>
  <c r="S32" i="5"/>
  <c r="AG32" i="5" s="1"/>
  <c r="R32" i="5"/>
  <c r="Q32" i="5"/>
  <c r="P32" i="5"/>
  <c r="N32" i="5"/>
  <c r="H32" i="5"/>
  <c r="AA31" i="5"/>
  <c r="Z31" i="5"/>
  <c r="Y31" i="5"/>
  <c r="X31" i="5"/>
  <c r="W31" i="5"/>
  <c r="V31" i="5"/>
  <c r="U31" i="5"/>
  <c r="T31" i="5"/>
  <c r="AH31" i="5" s="1"/>
  <c r="S31" i="5"/>
  <c r="R31" i="5"/>
  <c r="Q31" i="5"/>
  <c r="P31" i="5"/>
  <c r="N31" i="5"/>
  <c r="H31" i="5"/>
  <c r="AA30" i="5"/>
  <c r="Z30" i="5"/>
  <c r="Y30" i="5"/>
  <c r="X30" i="5"/>
  <c r="W30" i="5"/>
  <c r="V30" i="5"/>
  <c r="U30" i="5"/>
  <c r="T30" i="5"/>
  <c r="S30" i="5"/>
  <c r="R30" i="5"/>
  <c r="Q30" i="5"/>
  <c r="P30" i="5"/>
  <c r="N30" i="5"/>
  <c r="H30" i="5"/>
  <c r="AA29" i="5"/>
  <c r="AN29" i="5" s="1"/>
  <c r="Z29" i="5"/>
  <c r="Y29" i="5"/>
  <c r="X29" i="5"/>
  <c r="W29" i="5"/>
  <c r="AK29" i="5" s="1"/>
  <c r="V29" i="5"/>
  <c r="U29" i="5"/>
  <c r="T29" i="5"/>
  <c r="AH29" i="5" s="1"/>
  <c r="S29" i="5"/>
  <c r="AG29" i="5" s="1"/>
  <c r="R29" i="5"/>
  <c r="Q29" i="5"/>
  <c r="P29" i="5"/>
  <c r="N29" i="5"/>
  <c r="H29" i="5"/>
  <c r="AA28" i="5"/>
  <c r="Z28" i="5"/>
  <c r="Y28" i="5"/>
  <c r="AL28" i="5" s="1"/>
  <c r="X28" i="5"/>
  <c r="W28" i="5"/>
  <c r="V28" i="5"/>
  <c r="U28" i="5"/>
  <c r="T28" i="5"/>
  <c r="S28" i="5"/>
  <c r="R28" i="5"/>
  <c r="Q28" i="5"/>
  <c r="P28" i="5"/>
  <c r="N28" i="5"/>
  <c r="H28" i="5"/>
  <c r="AA27" i="5"/>
  <c r="Z27" i="5"/>
  <c r="AM27" i="5" s="1"/>
  <c r="Y27" i="5"/>
  <c r="AL27" i="5" s="1"/>
  <c r="X27" i="5"/>
  <c r="W27" i="5"/>
  <c r="V27" i="5"/>
  <c r="U27" i="5"/>
  <c r="T27" i="5"/>
  <c r="S27" i="5"/>
  <c r="AG27" i="5" s="1"/>
  <c r="R27" i="5"/>
  <c r="Q27" i="5"/>
  <c r="P27" i="5"/>
  <c r="N27" i="5"/>
  <c r="H27" i="5"/>
  <c r="AA26" i="5"/>
  <c r="Z26" i="5"/>
  <c r="Y26" i="5"/>
  <c r="X26" i="5"/>
  <c r="W26" i="5"/>
  <c r="V26" i="5"/>
  <c r="U26" i="5"/>
  <c r="T26" i="5"/>
  <c r="S26" i="5"/>
  <c r="R26" i="5"/>
  <c r="Q26" i="5"/>
  <c r="P26" i="5"/>
  <c r="N26" i="5"/>
  <c r="H26" i="5"/>
  <c r="AA25" i="5"/>
  <c r="Z25" i="5"/>
  <c r="Y25" i="5"/>
  <c r="X25" i="5"/>
  <c r="W25" i="5"/>
  <c r="V25" i="5"/>
  <c r="U25" i="5"/>
  <c r="T25" i="5"/>
  <c r="AH25" i="5" s="1"/>
  <c r="S25" i="5"/>
  <c r="R25" i="5"/>
  <c r="Q25" i="5"/>
  <c r="P25" i="5"/>
  <c r="N25" i="5"/>
  <c r="H25" i="5"/>
  <c r="AA24" i="5"/>
  <c r="Z24" i="5"/>
  <c r="Y24" i="5"/>
  <c r="X24" i="5"/>
  <c r="W24" i="5"/>
  <c r="V24" i="5"/>
  <c r="U24" i="5"/>
  <c r="T24" i="5"/>
  <c r="S24" i="5"/>
  <c r="R24" i="5"/>
  <c r="Q24" i="5"/>
  <c r="P24" i="5"/>
  <c r="N24" i="5"/>
  <c r="H24" i="5"/>
  <c r="AA23" i="5"/>
  <c r="Z23" i="5"/>
  <c r="Y23" i="5"/>
  <c r="X23" i="5"/>
  <c r="W23" i="5"/>
  <c r="V23" i="5"/>
  <c r="U23" i="5"/>
  <c r="T23" i="5"/>
  <c r="S23" i="5"/>
  <c r="R23" i="5"/>
  <c r="Q23" i="5"/>
  <c r="P23" i="5"/>
  <c r="N23" i="5"/>
  <c r="H23" i="5"/>
  <c r="AA22" i="5"/>
  <c r="Z22" i="5"/>
  <c r="Y22" i="5"/>
  <c r="X22" i="5"/>
  <c r="W22" i="5"/>
  <c r="V22" i="5"/>
  <c r="AI22" i="5" s="1"/>
  <c r="U22" i="5"/>
  <c r="T22" i="5"/>
  <c r="S22" i="5"/>
  <c r="R22" i="5"/>
  <c r="Q22" i="5"/>
  <c r="P22" i="5"/>
  <c r="N22" i="5"/>
  <c r="H22" i="5"/>
  <c r="AA21" i="5"/>
  <c r="AN21" i="5" s="1"/>
  <c r="Z21" i="5"/>
  <c r="Y21" i="5"/>
  <c r="X21" i="5"/>
  <c r="W21" i="5"/>
  <c r="V21" i="5"/>
  <c r="U21" i="5"/>
  <c r="T21" i="5"/>
  <c r="S21" i="5"/>
  <c r="AG21" i="5" s="1"/>
  <c r="R21" i="5"/>
  <c r="Q21" i="5"/>
  <c r="P21" i="5"/>
  <c r="N21" i="5"/>
  <c r="H21" i="5"/>
  <c r="AA20" i="5"/>
  <c r="Z20" i="5"/>
  <c r="Y20" i="5"/>
  <c r="X20" i="5"/>
  <c r="W20" i="5"/>
  <c r="V20" i="5"/>
  <c r="U20" i="5"/>
  <c r="T20" i="5"/>
  <c r="S20" i="5"/>
  <c r="AG20" i="5" s="1"/>
  <c r="R20" i="5"/>
  <c r="Q20" i="5"/>
  <c r="P20" i="5"/>
  <c r="N20" i="5"/>
  <c r="H20" i="5"/>
  <c r="AA19" i="5"/>
  <c r="Z19" i="5"/>
  <c r="Y19" i="5"/>
  <c r="AL19" i="5" s="1"/>
  <c r="X19" i="5"/>
  <c r="W19" i="5"/>
  <c r="V19" i="5"/>
  <c r="AJ19" i="5" s="1"/>
  <c r="U19" i="5"/>
  <c r="T19" i="5"/>
  <c r="S19" i="5"/>
  <c r="AG19" i="5" s="1"/>
  <c r="R19" i="5"/>
  <c r="Q19" i="5"/>
  <c r="P19" i="5"/>
  <c r="N19" i="5"/>
  <c r="H19" i="5"/>
  <c r="AA18" i="5"/>
  <c r="Z18" i="5"/>
  <c r="Y18" i="5"/>
  <c r="AL18" i="5" s="1"/>
  <c r="X18" i="5"/>
  <c r="W18" i="5"/>
  <c r="V18" i="5"/>
  <c r="U18" i="5"/>
  <c r="T18" i="5"/>
  <c r="S18" i="5"/>
  <c r="R18" i="5"/>
  <c r="Q18" i="5"/>
  <c r="P18" i="5"/>
  <c r="N18" i="5"/>
  <c r="H18" i="5"/>
  <c r="AA17" i="5"/>
  <c r="Z17" i="5"/>
  <c r="AM17" i="5" s="1"/>
  <c r="Y17" i="5"/>
  <c r="X17" i="5"/>
  <c r="W17" i="5"/>
  <c r="V17" i="5"/>
  <c r="U17" i="5"/>
  <c r="T17" i="5"/>
  <c r="S17" i="5"/>
  <c r="R17" i="5"/>
  <c r="Q17" i="5"/>
  <c r="P17" i="5"/>
  <c r="N17" i="5"/>
  <c r="H17" i="5"/>
  <c r="AA16" i="5"/>
  <c r="AN16" i="5" s="1"/>
  <c r="Z16" i="5"/>
  <c r="Y16" i="5"/>
  <c r="X16" i="5"/>
  <c r="W16" i="5"/>
  <c r="V16" i="5"/>
  <c r="U16" i="5"/>
  <c r="T16" i="5"/>
  <c r="S16" i="5"/>
  <c r="R16" i="5"/>
  <c r="Q16" i="5"/>
  <c r="P16" i="5"/>
  <c r="N16" i="5"/>
  <c r="H16" i="5"/>
  <c r="AA15" i="5"/>
  <c r="Z15" i="5"/>
  <c r="Y15" i="5"/>
  <c r="X15" i="5"/>
  <c r="W15" i="5"/>
  <c r="V15" i="5"/>
  <c r="U15" i="5"/>
  <c r="T15" i="5"/>
  <c r="S15" i="5"/>
  <c r="R15" i="5"/>
  <c r="Q15" i="5"/>
  <c r="AE15" i="5" s="1"/>
  <c r="P15" i="5"/>
  <c r="N15" i="5"/>
  <c r="H15" i="5"/>
  <c r="AA14" i="5"/>
  <c r="AN14" i="5" s="1"/>
  <c r="Z14" i="5"/>
  <c r="Y14" i="5"/>
  <c r="X14" i="5"/>
  <c r="W14" i="5"/>
  <c r="V14" i="5"/>
  <c r="U14" i="5"/>
  <c r="T14" i="5"/>
  <c r="S14" i="5"/>
  <c r="R14" i="5"/>
  <c r="Q14" i="5"/>
  <c r="P14" i="5"/>
  <c r="N14" i="5"/>
  <c r="H14" i="5"/>
  <c r="AA13" i="5"/>
  <c r="Z13" i="5"/>
  <c r="Y13" i="5"/>
  <c r="X13" i="5"/>
  <c r="W13" i="5"/>
  <c r="V13" i="5"/>
  <c r="U13" i="5"/>
  <c r="T13" i="5"/>
  <c r="S13" i="5"/>
  <c r="AG13" i="5" s="1"/>
  <c r="R13" i="5"/>
  <c r="Q13" i="5"/>
  <c r="P13" i="5"/>
  <c r="N13" i="5"/>
  <c r="H13" i="5"/>
  <c r="AA12" i="5"/>
  <c r="Z12" i="5"/>
  <c r="Y12" i="5"/>
  <c r="X12" i="5"/>
  <c r="W12" i="5"/>
  <c r="AJ12" i="5" s="1"/>
  <c r="V12" i="5"/>
  <c r="U12" i="5"/>
  <c r="T12" i="5"/>
  <c r="S12" i="5"/>
  <c r="R12" i="5"/>
  <c r="Q12" i="5"/>
  <c r="P12" i="5"/>
  <c r="N12" i="5"/>
  <c r="H12" i="5"/>
  <c r="AA11" i="5"/>
  <c r="Z11" i="5"/>
  <c r="AM11" i="5" s="1"/>
  <c r="Y11" i="5"/>
  <c r="X11" i="5"/>
  <c r="AK11" i="5" s="1"/>
  <c r="W11" i="5"/>
  <c r="V11" i="5"/>
  <c r="U11" i="5"/>
  <c r="T11" i="5"/>
  <c r="S11" i="5"/>
  <c r="AG11" i="5" s="1"/>
  <c r="R11" i="5"/>
  <c r="Q11" i="5"/>
  <c r="P11" i="5"/>
  <c r="N11" i="5"/>
  <c r="H11" i="5"/>
  <c r="AA10" i="5"/>
  <c r="AN10" i="5" s="1"/>
  <c r="Z10" i="5"/>
  <c r="Y10" i="5"/>
  <c r="AM10" i="5" s="1"/>
  <c r="X10" i="5"/>
  <c r="W10" i="5"/>
  <c r="V10" i="5"/>
  <c r="U10" i="5"/>
  <c r="T10" i="5"/>
  <c r="S10" i="5"/>
  <c r="R10" i="5"/>
  <c r="Q10" i="5"/>
  <c r="P10" i="5"/>
  <c r="N10" i="5"/>
  <c r="H10" i="5"/>
  <c r="AA9" i="5"/>
  <c r="Z9" i="5"/>
  <c r="Y9" i="5"/>
  <c r="X9" i="5"/>
  <c r="W9" i="5"/>
  <c r="V9" i="5"/>
  <c r="U9" i="5"/>
  <c r="T9" i="5"/>
  <c r="S9" i="5"/>
  <c r="R9" i="5"/>
  <c r="Q9" i="5"/>
  <c r="P9" i="5"/>
  <c r="N9" i="5"/>
  <c r="H9" i="5"/>
  <c r="AA8" i="5"/>
  <c r="Z8" i="5"/>
  <c r="Y8" i="5"/>
  <c r="X8" i="5"/>
  <c r="W8" i="5"/>
  <c r="V8" i="5"/>
  <c r="U8" i="5"/>
  <c r="AH8" i="5" s="1"/>
  <c r="T8" i="5"/>
  <c r="S8" i="5"/>
  <c r="AG8" i="5" s="1"/>
  <c r="R8" i="5"/>
  <c r="Q8" i="5"/>
  <c r="P8" i="5"/>
  <c r="N8" i="5"/>
  <c r="H8" i="5"/>
  <c r="AA7" i="5"/>
  <c r="AN7" i="5" s="1"/>
  <c r="Z7" i="5"/>
  <c r="Y7" i="5"/>
  <c r="X7" i="5"/>
  <c r="W7" i="5"/>
  <c r="V7" i="5"/>
  <c r="U7" i="5"/>
  <c r="T7" i="5"/>
  <c r="S7" i="5"/>
  <c r="R7" i="5"/>
  <c r="Q7" i="5"/>
  <c r="P7" i="5"/>
  <c r="N7" i="5"/>
  <c r="H7" i="5"/>
  <c r="AA6" i="5"/>
  <c r="AN6" i="5" s="1"/>
  <c r="Z6" i="5"/>
  <c r="AM6" i="5" s="1"/>
  <c r="Y6" i="5"/>
  <c r="X6" i="5"/>
  <c r="W6" i="5"/>
  <c r="V6" i="5"/>
  <c r="U6" i="5"/>
  <c r="T6" i="5"/>
  <c r="S6" i="5"/>
  <c r="R6" i="5"/>
  <c r="Q6" i="5"/>
  <c r="P6" i="5"/>
  <c r="N6" i="5"/>
  <c r="H6" i="5"/>
  <c r="AA5" i="5"/>
  <c r="Z5" i="5"/>
  <c r="Y5" i="5"/>
  <c r="AL5" i="5" s="1"/>
  <c r="X5" i="5"/>
  <c r="W5" i="5"/>
  <c r="V5" i="5"/>
  <c r="AJ5" i="5" s="1"/>
  <c r="U5" i="5"/>
  <c r="AI5" i="5" s="1"/>
  <c r="T5" i="5"/>
  <c r="S5" i="5"/>
  <c r="R5" i="5"/>
  <c r="Q5" i="5"/>
  <c r="P5" i="5"/>
  <c r="N5" i="5"/>
  <c r="H5" i="5"/>
  <c r="C9" i="2"/>
  <c r="B39" i="11"/>
  <c r="B40" i="11"/>
  <c r="B41" i="11"/>
  <c r="S236" i="6" l="1"/>
  <c r="P236" i="6"/>
  <c r="AD220" i="6"/>
  <c r="AD217" i="6"/>
  <c r="AE210" i="6"/>
  <c r="AD205" i="6"/>
  <c r="AE202" i="6"/>
  <c r="AE201" i="6"/>
  <c r="AE197" i="6"/>
  <c r="AD196" i="6"/>
  <c r="AJ195" i="6"/>
  <c r="AE195" i="6"/>
  <c r="AD195" i="6"/>
  <c r="AN192" i="6"/>
  <c r="AE192" i="6"/>
  <c r="AE191" i="6"/>
  <c r="AD190" i="6"/>
  <c r="AH188" i="6"/>
  <c r="AE187" i="6"/>
  <c r="AE182" i="6"/>
  <c r="AH181" i="6"/>
  <c r="AE179" i="6"/>
  <c r="AE176" i="6"/>
  <c r="AJ174" i="6"/>
  <c r="AJ158" i="6"/>
  <c r="AE157" i="6"/>
  <c r="AN152" i="6"/>
  <c r="AK152" i="6"/>
  <c r="AG151" i="6"/>
  <c r="AE149" i="6"/>
  <c r="AK148" i="6"/>
  <c r="AE148" i="6"/>
  <c r="AK146" i="6"/>
  <c r="AI144" i="6"/>
  <c r="AE142" i="6"/>
  <c r="AD138" i="6"/>
  <c r="AN131" i="6"/>
  <c r="AL130" i="6"/>
  <c r="AD127" i="6"/>
  <c r="AD123" i="6"/>
  <c r="AH117" i="6"/>
  <c r="AE105" i="6"/>
  <c r="AE100" i="6"/>
  <c r="AL98" i="6"/>
  <c r="AI97" i="6"/>
  <c r="AK94" i="6"/>
  <c r="AD89" i="6"/>
  <c r="AE88" i="6"/>
  <c r="AL84" i="6"/>
  <c r="AD84" i="6"/>
  <c r="AI83" i="6"/>
  <c r="AE83" i="6"/>
  <c r="AD83" i="6"/>
  <c r="AK82" i="6"/>
  <c r="AJ82" i="6"/>
  <c r="AE82" i="6"/>
  <c r="AD82" i="6"/>
  <c r="AE81" i="6"/>
  <c r="AN80" i="6"/>
  <c r="AL80" i="6"/>
  <c r="AE80" i="6"/>
  <c r="AD79" i="6"/>
  <c r="AN78" i="6"/>
  <c r="AE77" i="6"/>
  <c r="AD76" i="6"/>
  <c r="AI75" i="6"/>
  <c r="AI73" i="6"/>
  <c r="AM72" i="6"/>
  <c r="AE72" i="6"/>
  <c r="AI71" i="6"/>
  <c r="AI68" i="6"/>
  <c r="AD68" i="6"/>
  <c r="AD61" i="6"/>
  <c r="AL56" i="6"/>
  <c r="AE56" i="6"/>
  <c r="AE55" i="6"/>
  <c r="AD53" i="6"/>
  <c r="AL49" i="6"/>
  <c r="AI49" i="6"/>
  <c r="AK48" i="6"/>
  <c r="AN47" i="6"/>
  <c r="AE45" i="6"/>
  <c r="AL44" i="6"/>
  <c r="AN38" i="6"/>
  <c r="AM34" i="6"/>
  <c r="AJ31" i="6"/>
  <c r="AN28" i="6"/>
  <c r="AK27" i="6"/>
  <c r="AK37" i="6"/>
  <c r="AM21" i="6"/>
  <c r="AL17" i="6"/>
  <c r="AM7" i="6"/>
  <c r="AD226" i="6"/>
  <c r="AE225" i="6"/>
  <c r="AE224" i="6"/>
  <c r="AD224" i="6"/>
  <c r="AE223" i="6"/>
  <c r="AD223" i="6"/>
  <c r="AE222" i="6"/>
  <c r="AE221" i="6"/>
  <c r="AE217" i="6"/>
  <c r="AF216" i="6"/>
  <c r="AD215" i="6"/>
  <c r="AD214" i="6"/>
  <c r="AD213" i="6"/>
  <c r="AE212" i="6"/>
  <c r="AE211" i="6"/>
  <c r="AD210" i="6"/>
  <c r="AE209" i="6"/>
  <c r="AD207" i="6"/>
  <c r="AD204" i="6"/>
  <c r="AL203" i="6"/>
  <c r="AD185" i="6"/>
  <c r="AD183" i="6"/>
  <c r="AJ182" i="6"/>
  <c r="AG182" i="6"/>
  <c r="AN181" i="6"/>
  <c r="AD180" i="6"/>
  <c r="AH179" i="6"/>
  <c r="AD178" i="6"/>
  <c r="AE177" i="6"/>
  <c r="AD175" i="6"/>
  <c r="AD173" i="6"/>
  <c r="AM171" i="6"/>
  <c r="AG171" i="6"/>
  <c r="AK170" i="6"/>
  <c r="AE170" i="6"/>
  <c r="AN168" i="6"/>
  <c r="AH168" i="6"/>
  <c r="AD168" i="6"/>
  <c r="AK167" i="6"/>
  <c r="AD167" i="6"/>
  <c r="AJ166" i="6"/>
  <c r="AE166" i="6"/>
  <c r="AE163" i="6"/>
  <c r="AG162" i="6"/>
  <c r="AD162" i="6"/>
  <c r="AH158" i="6"/>
  <c r="AD158" i="6"/>
  <c r="AL152" i="6"/>
  <c r="AJ152" i="6"/>
  <c r="AE151" i="6"/>
  <c r="AJ150" i="6"/>
  <c r="AD150" i="6"/>
  <c r="AD149" i="6"/>
  <c r="AM147" i="6"/>
  <c r="AD146" i="6"/>
  <c r="AL145" i="6"/>
  <c r="AN143" i="6"/>
  <c r="AK142" i="6"/>
  <c r="AN141" i="6"/>
  <c r="AH139" i="6"/>
  <c r="AI138" i="6"/>
  <c r="AE138" i="6"/>
  <c r="AD137" i="6"/>
  <c r="AM136" i="6"/>
  <c r="AN135" i="6"/>
  <c r="AD135" i="6"/>
  <c r="AJ134" i="6"/>
  <c r="AM133" i="6"/>
  <c r="AE133" i="6"/>
  <c r="AE131" i="6"/>
  <c r="AH128" i="6"/>
  <c r="AD128" i="6"/>
  <c r="AN126" i="6"/>
  <c r="AD124" i="6"/>
  <c r="AE123" i="6"/>
  <c r="AL122" i="6"/>
  <c r="AE121" i="6"/>
  <c r="AI119" i="6"/>
  <c r="AE119" i="6"/>
  <c r="AD118" i="6"/>
  <c r="AI117" i="6"/>
  <c r="AG117" i="6"/>
  <c r="AD117" i="6"/>
  <c r="AG113" i="6"/>
  <c r="AD111" i="6"/>
  <c r="AE106" i="6"/>
  <c r="AK102" i="6"/>
  <c r="AE102" i="6"/>
  <c r="AH101" i="6"/>
  <c r="AD101" i="6"/>
  <c r="AE97" i="6"/>
  <c r="AE95" i="6"/>
  <c r="AD93" i="6"/>
  <c r="AN91" i="6"/>
  <c r="AD219" i="6"/>
  <c r="AD212" i="6"/>
  <c r="AE208" i="6"/>
  <c r="AD200" i="6"/>
  <c r="AH198" i="6"/>
  <c r="AN197" i="6"/>
  <c r="AL195" i="6"/>
  <c r="AI195" i="6"/>
  <c r="AH194" i="6"/>
  <c r="AD194" i="6"/>
  <c r="AJ190" i="6"/>
  <c r="AE189" i="6"/>
  <c r="AN187" i="6"/>
  <c r="AH186" i="6"/>
  <c r="AE184" i="6"/>
  <c r="AE183" i="6"/>
  <c r="AK182" i="6"/>
  <c r="AE180" i="6"/>
  <c r="AD177" i="6"/>
  <c r="AD176" i="6"/>
  <c r="AH174" i="6"/>
  <c r="AI171" i="6"/>
  <c r="AD166" i="6"/>
  <c r="AE162" i="6"/>
  <c r="AJ160" i="6"/>
  <c r="AD159" i="6"/>
  <c r="AD157" i="6"/>
  <c r="AE156" i="6"/>
  <c r="AE153" i="6"/>
  <c r="AN151" i="6"/>
  <c r="AD151" i="6"/>
  <c r="AK150" i="6"/>
  <c r="AE150" i="6"/>
  <c r="AD145" i="6"/>
  <c r="AJ144" i="6"/>
  <c r="AE144" i="6"/>
  <c r="AE140" i="6"/>
  <c r="AI139" i="6"/>
  <c r="AE139" i="6"/>
  <c r="AE136" i="6"/>
  <c r="AD126" i="6"/>
  <c r="AE114" i="6"/>
  <c r="AE113" i="6"/>
  <c r="AE111" i="6"/>
  <c r="AE110" i="6"/>
  <c r="AN103" i="6"/>
  <c r="AL100" i="6"/>
  <c r="AD99" i="6"/>
  <c r="AG97" i="6"/>
  <c r="AE89" i="6"/>
  <c r="AE87" i="6"/>
  <c r="AD86" i="6"/>
  <c r="AM85" i="6"/>
  <c r="AE85" i="6"/>
  <c r="AD85" i="6"/>
  <c r="AN84" i="6"/>
  <c r="AG84" i="6"/>
  <c r="AG75" i="6"/>
  <c r="AE74" i="6"/>
  <c r="AJ73" i="6"/>
  <c r="AE73" i="6"/>
  <c r="AH71" i="6"/>
  <c r="AJ70" i="6"/>
  <c r="AE65" i="6"/>
  <c r="AD218" i="6"/>
  <c r="AD202" i="6"/>
  <c r="AD199" i="6"/>
  <c r="AG197" i="6"/>
  <c r="AE193" i="6"/>
  <c r="AM192" i="6"/>
  <c r="AH190" i="6"/>
  <c r="AM188" i="6"/>
  <c r="AD188" i="6"/>
  <c r="AJ186" i="6"/>
  <c r="AE186" i="6"/>
  <c r="AD179" i="6"/>
  <c r="AI178" i="6"/>
  <c r="AE174" i="6"/>
  <c r="AE173" i="6"/>
  <c r="AD169" i="6"/>
  <c r="AE168" i="6"/>
  <c r="AL167" i="6"/>
  <c r="AL159" i="6"/>
  <c r="AE159" i="6"/>
  <c r="AN145" i="6"/>
  <c r="AE145" i="6"/>
  <c r="AJ142" i="6"/>
  <c r="AN136" i="6"/>
  <c r="AE130" i="6"/>
  <c r="AH126" i="6"/>
  <c r="AE122" i="6"/>
  <c r="AN121" i="6"/>
  <c r="AH118" i="6"/>
  <c r="AE118" i="6"/>
  <c r="AD116" i="6"/>
  <c r="AM110" i="6"/>
  <c r="AH110" i="6"/>
  <c r="AD109" i="6"/>
  <c r="AD108" i="6"/>
  <c r="AD105" i="6"/>
  <c r="AE103" i="6"/>
  <c r="AE91" i="6"/>
  <c r="AE86" i="6"/>
  <c r="AM73" i="6"/>
  <c r="AG73" i="6"/>
  <c r="AD73" i="6"/>
  <c r="AH72" i="6"/>
  <c r="AD72" i="6"/>
  <c r="AE70" i="6"/>
  <c r="AK66" i="6"/>
  <c r="AE66" i="6"/>
  <c r="AD59" i="6"/>
  <c r="AL58" i="6"/>
  <c r="AJ54" i="6"/>
  <c r="AD54" i="6"/>
  <c r="AI53" i="6"/>
  <c r="AG53" i="6"/>
  <c r="AM50" i="6"/>
  <c r="AI50" i="6"/>
  <c r="AE48" i="6"/>
  <c r="AN43" i="6"/>
  <c r="AM41" i="6"/>
  <c r="AJ37" i="6"/>
  <c r="AN36" i="6"/>
  <c r="AK35" i="6"/>
  <c r="AN34" i="6"/>
  <c r="AK34" i="6"/>
  <c r="AJ33" i="6"/>
  <c r="AM9" i="6"/>
  <c r="AG6" i="6"/>
  <c r="AM5" i="6"/>
  <c r="AE198" i="6"/>
  <c r="AE165" i="6"/>
  <c r="AD80" i="6"/>
  <c r="AK44" i="6"/>
  <c r="AM69" i="6"/>
  <c r="AE67" i="6"/>
  <c r="AE64" i="6"/>
  <c r="AI61" i="6"/>
  <c r="AE61" i="6"/>
  <c r="AD60" i="6"/>
  <c r="AI59" i="6"/>
  <c r="AE59" i="6"/>
  <c r="AE58" i="6"/>
  <c r="AJ56" i="6"/>
  <c r="AH56" i="6"/>
  <c r="AD55" i="6"/>
  <c r="AN54" i="6"/>
  <c r="AK54" i="6"/>
  <c r="AJ53" i="6"/>
  <c r="AE53" i="6"/>
  <c r="AM52" i="6"/>
  <c r="AK52" i="6"/>
  <c r="AE52" i="6"/>
  <c r="AE51" i="6"/>
  <c r="AN50" i="6"/>
  <c r="AE50" i="6"/>
  <c r="AD49" i="6"/>
  <c r="AD48" i="6"/>
  <c r="AE47" i="6"/>
  <c r="AI45" i="6"/>
  <c r="AD45" i="6"/>
  <c r="AM44" i="6"/>
  <c r="AL42" i="6"/>
  <c r="AK41" i="6"/>
  <c r="AI36" i="6"/>
  <c r="AL33" i="6"/>
  <c r="AI33" i="6"/>
  <c r="AI29" i="6"/>
  <c r="AH28" i="6"/>
  <c r="AL21" i="6"/>
  <c r="AJ11" i="6"/>
  <c r="AN9" i="6"/>
  <c r="AN7" i="6"/>
  <c r="AN5" i="6"/>
  <c r="AF226" i="6"/>
  <c r="AF224" i="6"/>
  <c r="AF215" i="6"/>
  <c r="AF214" i="6"/>
  <c r="AF213" i="6"/>
  <c r="AF211" i="6"/>
  <c r="AF210" i="6"/>
  <c r="AF209" i="6"/>
  <c r="AF208" i="6"/>
  <c r="AF207" i="6"/>
  <c r="AF206" i="6"/>
  <c r="AF205" i="6"/>
  <c r="AF204" i="6"/>
  <c r="AN203" i="6"/>
  <c r="AM203" i="6"/>
  <c r="AI203" i="6"/>
  <c r="AH203" i="6"/>
  <c r="AI202" i="6"/>
  <c r="AN200" i="6"/>
  <c r="AM200" i="6"/>
  <c r="AL200" i="6"/>
  <c r="AN199" i="6"/>
  <c r="AL199" i="6"/>
  <c r="AK198" i="6"/>
  <c r="AJ198" i="6"/>
  <c r="AI198" i="6"/>
  <c r="AH197" i="6"/>
  <c r="AN196" i="6"/>
  <c r="AM196" i="6"/>
  <c r="AN195" i="6"/>
  <c r="AH195" i="6"/>
  <c r="AK190" i="6"/>
  <c r="AN188" i="6"/>
  <c r="AL188" i="6"/>
  <c r="AI188" i="6"/>
  <c r="AL187" i="6"/>
  <c r="AL186" i="6"/>
  <c r="AI184" i="6"/>
  <c r="AL182" i="6"/>
  <c r="AI181" i="6"/>
  <c r="AI180" i="6"/>
  <c r="AH180" i="6"/>
  <c r="AM179" i="6"/>
  <c r="AM175" i="6"/>
  <c r="AJ175" i="6"/>
  <c r="AL174" i="6"/>
  <c r="AI174" i="6"/>
  <c r="AN173" i="6"/>
  <c r="AL173" i="6"/>
  <c r="AI173" i="6"/>
  <c r="AN171" i="6"/>
  <c r="AN170" i="6"/>
  <c r="AL170" i="6"/>
  <c r="AL169" i="6"/>
  <c r="AH169" i="6"/>
  <c r="AJ165" i="6"/>
  <c r="AN164" i="6"/>
  <c r="AM164" i="6"/>
  <c r="AL164" i="6"/>
  <c r="AI164" i="6"/>
  <c r="AN163" i="6"/>
  <c r="AM163" i="6"/>
  <c r="AL163" i="6"/>
  <c r="AI163" i="6"/>
  <c r="AI162" i="6"/>
  <c r="AH161" i="6"/>
  <c r="AG161" i="6"/>
  <c r="AN159" i="6"/>
  <c r="AI159" i="6"/>
  <c r="AH159" i="6"/>
  <c r="AI158" i="6"/>
  <c r="AH157" i="6"/>
  <c r="AI156" i="6"/>
  <c r="AJ194" i="6"/>
  <c r="AI192" i="6"/>
  <c r="AN191" i="6"/>
  <c r="AK186" i="6"/>
  <c r="AN172" i="6"/>
  <c r="AL156" i="6"/>
  <c r="AN155" i="6"/>
  <c r="AN154" i="6"/>
  <c r="AK154" i="6"/>
  <c r="AM153" i="6"/>
  <c r="AJ138" i="6"/>
  <c r="AH138" i="6"/>
  <c r="AL131" i="6"/>
  <c r="AL116" i="6"/>
  <c r="AL66" i="6"/>
  <c r="AI51" i="6"/>
  <c r="AJ49" i="6"/>
  <c r="AH49" i="6"/>
  <c r="AM47" i="6"/>
  <c r="AI46" i="6"/>
  <c r="AM45" i="6"/>
  <c r="AJ45" i="6"/>
  <c r="AH43" i="6"/>
  <c r="AM42" i="6"/>
  <c r="AI42" i="6"/>
  <c r="AJ36" i="6"/>
  <c r="AK32" i="6"/>
  <c r="AH32" i="6"/>
  <c r="AH30" i="6"/>
  <c r="AM29" i="6"/>
  <c r="AH29" i="6"/>
  <c r="AJ28" i="6"/>
  <c r="AJ192" i="6"/>
  <c r="AM191" i="6"/>
  <c r="AJ184" i="6"/>
  <c r="AF233" i="6"/>
  <c r="AF232" i="6"/>
  <c r="AF231" i="6"/>
  <c r="AF230" i="6"/>
  <c r="AF229" i="6"/>
  <c r="AF228" i="6"/>
  <c r="AF227" i="6"/>
  <c r="AI168" i="6"/>
  <c r="AN167" i="6"/>
  <c r="AJ167" i="6"/>
  <c r="AL166" i="6"/>
  <c r="AI166" i="6"/>
  <c r="AL150" i="6"/>
  <c r="AH144" i="6"/>
  <c r="AH141" i="6"/>
  <c r="AH140" i="6"/>
  <c r="AH150" i="6"/>
  <c r="AL146" i="6"/>
  <c r="AI146" i="6"/>
  <c r="AL142" i="6"/>
  <c r="AI142" i="6"/>
  <c r="AN138" i="6"/>
  <c r="AK138" i="6"/>
  <c r="AL137" i="6"/>
  <c r="AL97" i="6"/>
  <c r="AI136" i="6"/>
  <c r="AL134" i="6"/>
  <c r="AH134" i="6"/>
  <c r="AG134" i="6"/>
  <c r="AI133" i="6"/>
  <c r="AH133" i="6"/>
  <c r="AN132" i="6"/>
  <c r="AI130" i="6"/>
  <c r="AH130" i="6"/>
  <c r="AG130" i="6"/>
  <c r="AH129" i="6"/>
  <c r="AN128" i="6"/>
  <c r="AI128" i="6"/>
  <c r="AN127" i="6"/>
  <c r="AI127" i="6"/>
  <c r="AH127" i="6"/>
  <c r="AM126" i="6"/>
  <c r="AJ126" i="6"/>
  <c r="AI126" i="6"/>
  <c r="AH124" i="6"/>
  <c r="AN123" i="6"/>
  <c r="AL123" i="6"/>
  <c r="AK123" i="6"/>
  <c r="AM122" i="6"/>
  <c r="AH122" i="6"/>
  <c r="AG122" i="6"/>
  <c r="AI121" i="6"/>
  <c r="AJ119" i="6"/>
  <c r="AL86" i="6"/>
  <c r="AI86" i="6"/>
  <c r="AH86" i="6"/>
  <c r="AN85" i="6"/>
  <c r="AL85" i="6"/>
  <c r="AK85" i="6"/>
  <c r="AI84" i="6"/>
  <c r="AH84" i="6"/>
  <c r="AJ83" i="6"/>
  <c r="AH83" i="6"/>
  <c r="AN81" i="6"/>
  <c r="AJ80" i="6"/>
  <c r="AI79" i="6"/>
  <c r="AL78" i="6"/>
  <c r="AK78" i="6"/>
  <c r="AK77" i="6"/>
  <c r="AI77" i="6"/>
  <c r="AH77" i="6"/>
  <c r="AM76" i="6"/>
  <c r="AL76" i="6"/>
  <c r="AH76" i="6"/>
  <c r="AN75" i="6"/>
  <c r="AM75" i="6"/>
  <c r="AI74" i="6"/>
  <c r="AN73" i="6"/>
  <c r="AL73" i="6"/>
  <c r="AK73" i="6"/>
  <c r="AH73" i="6"/>
  <c r="AM70" i="6"/>
  <c r="AI65" i="6"/>
  <c r="AH65" i="6"/>
  <c r="AN64" i="6"/>
  <c r="AN63" i="6"/>
  <c r="AI62" i="6"/>
  <c r="AJ55" i="6"/>
  <c r="AL53" i="6"/>
  <c r="AH51" i="6"/>
  <c r="AL41" i="6"/>
  <c r="AH40" i="6"/>
  <c r="AK38" i="6"/>
  <c r="AN33" i="6"/>
  <c r="AK31" i="6"/>
  <c r="AJ26" i="6"/>
  <c r="AN25" i="6"/>
  <c r="AM25" i="6"/>
  <c r="AL25" i="6"/>
  <c r="AJ24" i="6"/>
  <c r="AM23" i="6"/>
  <c r="AI23" i="6"/>
  <c r="AL22" i="6"/>
  <c r="AK22" i="6"/>
  <c r="AI22" i="6"/>
  <c r="AN21" i="6"/>
  <c r="AK21" i="6"/>
  <c r="AJ21" i="6"/>
  <c r="AL20" i="6"/>
  <c r="AJ20" i="6"/>
  <c r="AI20" i="6"/>
  <c r="AJ19" i="6"/>
  <c r="AM18" i="6"/>
  <c r="AL18" i="6"/>
  <c r="AK18" i="6"/>
  <c r="AN17" i="6"/>
  <c r="AI17" i="6"/>
  <c r="AH17" i="6"/>
  <c r="AJ16" i="6"/>
  <c r="AH16" i="6"/>
  <c r="AL15" i="6"/>
  <c r="AK15" i="6"/>
  <c r="AN14" i="6"/>
  <c r="AN13" i="6"/>
  <c r="AM13" i="6"/>
  <c r="AH13" i="6"/>
  <c r="AJ12" i="6"/>
  <c r="AI12" i="6"/>
  <c r="AH12" i="6"/>
  <c r="AK11" i="6"/>
  <c r="AN10" i="6"/>
  <c r="AL10" i="6"/>
  <c r="AI10" i="6"/>
  <c r="AH9" i="6"/>
  <c r="AL8" i="6"/>
  <c r="AJ8" i="6"/>
  <c r="AI8" i="6"/>
  <c r="AH8" i="6"/>
  <c r="AI7" i="6"/>
  <c r="AN6" i="6"/>
  <c r="AM6" i="6"/>
  <c r="AL6" i="6"/>
  <c r="AK6" i="6"/>
  <c r="AI6" i="6"/>
  <c r="AH6" i="6"/>
  <c r="AI5" i="6"/>
  <c r="AH113" i="6"/>
  <c r="AK112" i="6"/>
  <c r="AH112" i="6"/>
  <c r="AN109" i="6"/>
  <c r="AL106" i="6"/>
  <c r="AN105" i="6"/>
  <c r="AL105" i="6"/>
  <c r="AH105" i="6"/>
  <c r="AL104" i="6"/>
  <c r="AM103" i="6"/>
  <c r="AL103" i="6"/>
  <c r="AK103" i="6"/>
  <c r="AM102" i="6"/>
  <c r="AJ102" i="6"/>
  <c r="AI101" i="6"/>
  <c r="AK100" i="6"/>
  <c r="AJ100" i="6"/>
  <c r="AI100" i="6"/>
  <c r="AF222" i="6"/>
  <c r="AF221" i="6"/>
  <c r="AF220" i="6"/>
  <c r="AL95" i="6"/>
  <c r="AI52" i="6"/>
  <c r="AF219" i="6"/>
  <c r="AF218" i="6"/>
  <c r="AF217" i="6"/>
  <c r="AK95" i="6"/>
  <c r="AM94" i="6"/>
  <c r="AJ94" i="6"/>
  <c r="AN93" i="6"/>
  <c r="AH93" i="6"/>
  <c r="AH91" i="6"/>
  <c r="AN90" i="6"/>
  <c r="AL90" i="6"/>
  <c r="AK90" i="6"/>
  <c r="AI90" i="6"/>
  <c r="AM89" i="6"/>
  <c r="AI89" i="6"/>
  <c r="AM88" i="6"/>
  <c r="AH88" i="6"/>
  <c r="AN87" i="6"/>
  <c r="AN72" i="6"/>
  <c r="AN70" i="6"/>
  <c r="AL69" i="6"/>
  <c r="AI67" i="6"/>
  <c r="AJ61" i="6"/>
  <c r="AM60" i="6"/>
  <c r="AK60" i="6"/>
  <c r="AK59" i="6"/>
  <c r="AH59" i="6"/>
  <c r="AM58" i="6"/>
  <c r="AH57" i="6"/>
  <c r="AN56" i="6"/>
  <c r="AI55" i="6"/>
  <c r="AN49" i="6"/>
  <c r="AK45" i="6"/>
  <c r="AN41" i="6"/>
  <c r="AN37" i="6"/>
  <c r="AI37" i="6"/>
  <c r="AK29" i="6"/>
  <c r="AM123" i="6"/>
  <c r="AK119" i="6"/>
  <c r="AK118" i="6"/>
  <c r="AK116" i="6"/>
  <c r="AL115" i="6"/>
  <c r="AM114" i="6"/>
  <c r="AH114" i="6"/>
  <c r="AI113" i="6"/>
  <c r="AN112" i="6"/>
  <c r="AK111" i="6"/>
  <c r="AH111" i="6"/>
  <c r="AJ110" i="6"/>
  <c r="AI110" i="6"/>
  <c r="AI109" i="6"/>
  <c r="AJ107" i="6"/>
  <c r="AJ43" i="6"/>
  <c r="AJ41" i="6"/>
  <c r="AJ40" i="6"/>
  <c r="AI39" i="6"/>
  <c r="AK33" i="6"/>
  <c r="AM184" i="6"/>
  <c r="AL184" i="6"/>
  <c r="AM181" i="6"/>
  <c r="AL181" i="6"/>
  <c r="AI148" i="6"/>
  <c r="AH148" i="6"/>
  <c r="AN119" i="6"/>
  <c r="AM119" i="6"/>
  <c r="AI107" i="6"/>
  <c r="AH107" i="6"/>
  <c r="AJ103" i="6"/>
  <c r="AI103" i="6"/>
  <c r="AN100" i="6"/>
  <c r="AM100" i="6"/>
  <c r="AK25" i="6"/>
  <c r="AJ25" i="6"/>
  <c r="AI25" i="6"/>
  <c r="AH25" i="6"/>
  <c r="AJ18" i="6"/>
  <c r="AI18" i="6"/>
  <c r="AK180" i="5"/>
  <c r="AM177" i="5"/>
  <c r="AK168" i="5"/>
  <c r="AK150" i="5"/>
  <c r="AG147" i="5"/>
  <c r="AN138" i="5"/>
  <c r="AK138" i="5"/>
  <c r="AM136" i="5"/>
  <c r="AM133" i="5"/>
  <c r="AN128" i="5"/>
  <c r="AL126" i="5"/>
  <c r="AM121" i="5"/>
  <c r="AL109" i="5"/>
  <c r="AH109" i="5"/>
  <c r="AH108" i="5"/>
  <c r="AH102" i="5"/>
  <c r="AL101" i="5"/>
  <c r="AL97" i="5"/>
  <c r="AL85" i="5"/>
  <c r="AH71" i="5"/>
  <c r="AK65" i="5"/>
  <c r="AK63" i="5"/>
  <c r="AM56" i="5"/>
  <c r="AJ53" i="5"/>
  <c r="AI52" i="5"/>
  <c r="AI48" i="5"/>
  <c r="AM45" i="5"/>
  <c r="AN44" i="5"/>
  <c r="AJ44" i="5"/>
  <c r="AK41" i="5"/>
  <c r="AN35" i="5"/>
  <c r="AJ33" i="5"/>
  <c r="AL31" i="5"/>
  <c r="AM30" i="5"/>
  <c r="AL29" i="5"/>
  <c r="AI29" i="5"/>
  <c r="AJ22" i="5"/>
  <c r="AN20" i="5"/>
  <c r="AH19" i="5"/>
  <c r="AI18" i="5"/>
  <c r="AL17" i="5"/>
  <c r="AL16" i="5"/>
  <c r="AL14" i="5"/>
  <c r="AK6" i="5"/>
  <c r="AI6" i="5"/>
  <c r="AN203" i="5"/>
  <c r="AL202" i="5"/>
  <c r="AJ202" i="5"/>
  <c r="AL200" i="5"/>
  <c r="AN197" i="5"/>
  <c r="AH197" i="5"/>
  <c r="AL196" i="5"/>
  <c r="AN193" i="5"/>
  <c r="AG193" i="5"/>
  <c r="AN191" i="5"/>
  <c r="AI189" i="5"/>
  <c r="AM188" i="5"/>
  <c r="AI188" i="5"/>
  <c r="AM186" i="5"/>
  <c r="AL183" i="5"/>
  <c r="AN175" i="5"/>
  <c r="AN171" i="5"/>
  <c r="AJ166" i="5"/>
  <c r="AN131" i="5"/>
  <c r="AI130" i="5"/>
  <c r="AL123" i="5"/>
  <c r="AN116" i="5"/>
  <c r="AK113" i="5"/>
  <c r="AN189" i="5"/>
  <c r="AL188" i="5"/>
  <c r="AL186" i="5"/>
  <c r="AM163" i="5"/>
  <c r="AN151" i="5"/>
  <c r="AK141" i="5"/>
  <c r="AM140" i="5"/>
  <c r="AL139" i="5"/>
  <c r="AM138" i="5"/>
  <c r="AI137" i="5"/>
  <c r="AN136" i="5"/>
  <c r="AH131" i="5"/>
  <c r="AN130" i="5"/>
  <c r="AK130" i="5"/>
  <c r="AG120" i="5"/>
  <c r="AL117" i="5"/>
  <c r="AM109" i="5"/>
  <c r="AI109" i="5"/>
  <c r="AJ108" i="5"/>
  <c r="AN107" i="5"/>
  <c r="AI107" i="5"/>
  <c r="AN106" i="5"/>
  <c r="AK102" i="5"/>
  <c r="AN97" i="5"/>
  <c r="AI88" i="5"/>
  <c r="AJ83" i="5"/>
  <c r="AH73" i="5"/>
  <c r="AK70" i="5"/>
  <c r="AL63" i="5"/>
  <c r="AI50" i="5"/>
  <c r="AN49" i="5"/>
  <c r="AG48" i="5"/>
  <c r="AI47" i="5"/>
  <c r="AN46" i="5"/>
  <c r="AN45" i="5"/>
  <c r="AH37" i="5"/>
  <c r="AL35" i="5"/>
  <c r="AI34" i="5"/>
  <c r="AI28" i="5"/>
  <c r="AN26" i="5"/>
  <c r="AN25" i="5"/>
  <c r="AM25" i="5"/>
  <c r="AJ188" i="5"/>
  <c r="AK178" i="5"/>
  <c r="AL176" i="5"/>
  <c r="AI173" i="5"/>
  <c r="AH167" i="5"/>
  <c r="AM151" i="5"/>
  <c r="AL141" i="5"/>
  <c r="AL128" i="5"/>
  <c r="AH124" i="5"/>
  <c r="AL121" i="5"/>
  <c r="AL119" i="5"/>
  <c r="AL113" i="5"/>
  <c r="AI110" i="5"/>
  <c r="AK107" i="5"/>
  <c r="AM93" i="5"/>
  <c r="AH88" i="5"/>
  <c r="AM87" i="5"/>
  <c r="AK73" i="5"/>
  <c r="AG72" i="5"/>
  <c r="AH67" i="5"/>
  <c r="AN63" i="5"/>
  <c r="AK61" i="5"/>
  <c r="AN51" i="5"/>
  <c r="AH50" i="5"/>
  <c r="AL41" i="5"/>
  <c r="AJ41" i="5"/>
  <c r="AJ40" i="5"/>
  <c r="AN31" i="5"/>
  <c r="AM29" i="5"/>
  <c r="AJ26" i="5"/>
  <c r="AK24" i="5"/>
  <c r="AN23" i="5"/>
  <c r="AL22" i="5"/>
  <c r="AN18" i="5"/>
  <c r="AJ18" i="5"/>
  <c r="AL12" i="5"/>
  <c r="AI12" i="5"/>
  <c r="AL8" i="5"/>
  <c r="AF232" i="5"/>
  <c r="AF231" i="5"/>
  <c r="AF226" i="5"/>
  <c r="AJ203" i="5"/>
  <c r="AI203" i="5"/>
  <c r="AH203" i="5"/>
  <c r="AM202" i="5"/>
  <c r="AK202" i="5"/>
  <c r="AN201" i="5"/>
  <c r="AK200" i="5"/>
  <c r="AN199" i="5"/>
  <c r="AM194" i="5"/>
  <c r="AK194" i="5"/>
  <c r="AM193" i="5"/>
  <c r="AJ187" i="5"/>
  <c r="AN179" i="5"/>
  <c r="AL178" i="5"/>
  <c r="AI178" i="5"/>
  <c r="AJ177" i="5"/>
  <c r="AK176" i="5"/>
  <c r="AM175" i="5"/>
  <c r="AI175" i="5"/>
  <c r="AM171" i="5"/>
  <c r="AG171" i="5"/>
  <c r="AN169" i="5"/>
  <c r="AI168" i="5"/>
  <c r="AI164" i="5"/>
  <c r="AI154" i="5"/>
  <c r="AH151" i="5"/>
  <c r="AL125" i="5"/>
  <c r="AI122" i="5"/>
  <c r="AN113" i="5"/>
  <c r="AN110" i="5"/>
  <c r="AM97" i="5"/>
  <c r="AM89" i="5"/>
  <c r="AN82" i="5"/>
  <c r="AI82" i="5"/>
  <c r="AJ65" i="5"/>
  <c r="AL62" i="5"/>
  <c r="AI53" i="5"/>
  <c r="AL44" i="5"/>
  <c r="AJ34" i="5"/>
  <c r="AL33" i="5"/>
  <c r="AJ27" i="5"/>
  <c r="AI26" i="5"/>
  <c r="AI25" i="5"/>
  <c r="AJ24" i="5"/>
  <c r="AG23" i="5"/>
  <c r="AK16" i="5"/>
  <c r="AN15" i="5"/>
  <c r="AM13" i="5"/>
  <c r="AN12" i="5"/>
  <c r="AK12" i="5"/>
  <c r="AN11" i="5"/>
  <c r="AM9" i="5"/>
  <c r="AI9" i="5"/>
  <c r="AM7" i="5"/>
  <c r="AK5" i="5"/>
  <c r="AK10" i="5"/>
  <c r="AL9" i="5"/>
  <c r="AH7" i="5"/>
  <c r="AJ6" i="5"/>
  <c r="AN177" i="5"/>
  <c r="AN61" i="5"/>
  <c r="AL59" i="5"/>
  <c r="AL40" i="5"/>
  <c r="AM33" i="5"/>
  <c r="AM18" i="5"/>
  <c r="AJ17" i="5"/>
  <c r="AJ11" i="5"/>
  <c r="AH11" i="5"/>
  <c r="AH136" i="5"/>
  <c r="AH130" i="5"/>
  <c r="AH66" i="5"/>
  <c r="AN65" i="5"/>
  <c r="AN58" i="5"/>
  <c r="AN57" i="5"/>
  <c r="AN52" i="5"/>
  <c r="AJ23" i="5"/>
  <c r="AJ15" i="5"/>
  <c r="AH12" i="5"/>
  <c r="AM8" i="5"/>
  <c r="AH6" i="5"/>
  <c r="AM5" i="5"/>
  <c r="AF220" i="5"/>
  <c r="AF219" i="5"/>
  <c r="AF218" i="5"/>
  <c r="AF210" i="5"/>
  <c r="AF209" i="5"/>
  <c r="AF207" i="5"/>
  <c r="AF206" i="5"/>
  <c r="AF205" i="5"/>
  <c r="AF204" i="5"/>
  <c r="AM203" i="5"/>
  <c r="AN202" i="5"/>
  <c r="AM200" i="5"/>
  <c r="AI199" i="5"/>
  <c r="AI197" i="5"/>
  <c r="AN196" i="5"/>
  <c r="AN195" i="5"/>
  <c r="AJ193" i="5"/>
  <c r="AN192" i="5"/>
  <c r="AI192" i="5"/>
  <c r="AJ191" i="5"/>
  <c r="AN188" i="5"/>
  <c r="AH187" i="5"/>
  <c r="AH185" i="5"/>
  <c r="AN184" i="5"/>
  <c r="AM183" i="5"/>
  <c r="AJ183" i="5"/>
  <c r="AH183" i="5"/>
  <c r="AM182" i="5"/>
  <c r="AJ182" i="5"/>
  <c r="AH181" i="5"/>
  <c r="AM180" i="5"/>
  <c r="AI180" i="5"/>
  <c r="AH180" i="5"/>
  <c r="AJ173" i="5"/>
  <c r="AH172" i="5"/>
  <c r="AJ171" i="5"/>
  <c r="AH171" i="5"/>
  <c r="AK170" i="5"/>
  <c r="AI139" i="5"/>
  <c r="AG139" i="5"/>
  <c r="AM137" i="5"/>
  <c r="AI127" i="5"/>
  <c r="AN126" i="5"/>
  <c r="AJ124" i="5"/>
  <c r="AI124" i="5"/>
  <c r="AK123" i="5"/>
  <c r="AH121" i="5"/>
  <c r="AH120" i="5"/>
  <c r="AJ115" i="5"/>
  <c r="AL111" i="5"/>
  <c r="AL56" i="5"/>
  <c r="AM47" i="5"/>
  <c r="AH41" i="5"/>
  <c r="AH39" i="5"/>
  <c r="AG36" i="5"/>
  <c r="AI35" i="5"/>
  <c r="AJ30" i="5"/>
  <c r="AH27" i="5"/>
  <c r="AL24" i="5"/>
  <c r="AG24" i="5"/>
  <c r="AH21" i="5"/>
  <c r="AF230" i="5"/>
  <c r="AF225" i="5"/>
  <c r="AF221" i="5"/>
  <c r="AI191" i="5"/>
  <c r="AN190" i="5"/>
  <c r="AL189" i="5"/>
  <c r="AK189" i="5"/>
  <c r="AL182" i="5"/>
  <c r="AJ179" i="5"/>
  <c r="AJ172" i="5"/>
  <c r="AH119" i="5"/>
  <c r="AL112" i="5"/>
  <c r="AK108" i="5"/>
  <c r="AI60" i="5"/>
  <c r="AJ59" i="5"/>
  <c r="AL57" i="5"/>
  <c r="AN37" i="5"/>
  <c r="AH30" i="5"/>
  <c r="AN28" i="5"/>
  <c r="AN27" i="5"/>
  <c r="AH23" i="5"/>
  <c r="AL20" i="5"/>
  <c r="AI16" i="5"/>
  <c r="AJ14" i="5"/>
  <c r="AJ13" i="5"/>
  <c r="AJ9" i="5"/>
  <c r="AL6" i="5"/>
  <c r="AF229" i="5"/>
  <c r="AF228" i="5"/>
  <c r="AF222" i="5"/>
  <c r="AF217" i="5"/>
  <c r="AF216" i="5"/>
  <c r="AF215" i="5"/>
  <c r="AF214" i="5"/>
  <c r="AF213" i="5"/>
  <c r="AK198" i="5"/>
  <c r="AJ198" i="5"/>
  <c r="AH193" i="5"/>
  <c r="AL190" i="5"/>
  <c r="AH135" i="5"/>
  <c r="AI133" i="5"/>
  <c r="AH117" i="5"/>
  <c r="AJ169" i="5"/>
  <c r="AI169" i="5"/>
  <c r="AM168" i="5"/>
  <c r="AN167" i="5"/>
  <c r="AN166" i="5"/>
  <c r="AM166" i="5"/>
  <c r="AN165" i="5"/>
  <c r="AK165" i="5"/>
  <c r="AN164" i="5"/>
  <c r="AM164" i="5"/>
  <c r="AL163" i="5"/>
  <c r="AI163" i="5"/>
  <c r="AM162" i="5"/>
  <c r="AI161" i="5"/>
  <c r="AH161" i="5"/>
  <c r="AL160" i="5"/>
  <c r="AJ160" i="5"/>
  <c r="AH159" i="5"/>
  <c r="AN158" i="5"/>
  <c r="AJ158" i="5"/>
  <c r="AI157" i="5"/>
  <c r="AN156" i="5"/>
  <c r="AM156" i="5"/>
  <c r="AL156" i="5"/>
  <c r="AI156" i="5"/>
  <c r="AH156" i="5"/>
  <c r="AN155" i="5"/>
  <c r="AJ155" i="5"/>
  <c r="AI155" i="5"/>
  <c r="AL154" i="5"/>
  <c r="AH154" i="5"/>
  <c r="AN153" i="5"/>
  <c r="AI153" i="5"/>
  <c r="AH152" i="5"/>
  <c r="AL151" i="5"/>
  <c r="AN150" i="5"/>
  <c r="AL150" i="5"/>
  <c r="AH149" i="5"/>
  <c r="AK148" i="5"/>
  <c r="AI148" i="5"/>
  <c r="AK147" i="5"/>
  <c r="AI147" i="5"/>
  <c r="AM146" i="5"/>
  <c r="AJ146" i="5"/>
  <c r="AL145" i="5"/>
  <c r="AL144" i="5"/>
  <c r="AN143" i="5"/>
  <c r="AJ143" i="5"/>
  <c r="AI143" i="5"/>
  <c r="AJ142" i="5"/>
  <c r="AI142" i="5"/>
  <c r="AM141" i="5"/>
  <c r="AI141" i="5"/>
  <c r="AH141" i="5"/>
  <c r="AK140" i="5"/>
  <c r="AG135" i="5"/>
  <c r="AJ50" i="5"/>
  <c r="AM44" i="5"/>
  <c r="AI37" i="5"/>
  <c r="AJ31" i="5"/>
  <c r="AN17" i="5"/>
  <c r="AG16" i="5"/>
  <c r="AI14" i="5"/>
  <c r="AL13" i="5"/>
  <c r="AM105" i="5"/>
  <c r="AH105" i="5"/>
  <c r="AM104" i="5"/>
  <c r="AJ104" i="5"/>
  <c r="AK103" i="5"/>
  <c r="AH103" i="5"/>
  <c r="AN102" i="5"/>
  <c r="AL102" i="5"/>
  <c r="AI102" i="5"/>
  <c r="AM101" i="5"/>
  <c r="AJ101" i="5"/>
  <c r="AL100" i="5"/>
  <c r="AJ99" i="5"/>
  <c r="AN98" i="5"/>
  <c r="AL98" i="5"/>
  <c r="AN96" i="5"/>
  <c r="AN95" i="5"/>
  <c r="AK95" i="5"/>
  <c r="AM94" i="5"/>
  <c r="AK94" i="5"/>
  <c r="AH94" i="5"/>
  <c r="AN93" i="5"/>
  <c r="AL93" i="5"/>
  <c r="AI92" i="5"/>
  <c r="AN91" i="5"/>
  <c r="AK91" i="5"/>
  <c r="AJ91" i="5"/>
  <c r="AI91" i="5"/>
  <c r="AM90" i="5"/>
  <c r="AK90" i="5"/>
  <c r="AN89" i="5"/>
  <c r="AI89" i="5"/>
  <c r="AL88" i="5"/>
  <c r="AJ88" i="5"/>
  <c r="AI87" i="5"/>
  <c r="AH87" i="5"/>
  <c r="AH86" i="5"/>
  <c r="AM85" i="5"/>
  <c r="AK85" i="5"/>
  <c r="AM84" i="5"/>
  <c r="AJ84" i="5"/>
  <c r="AN83" i="5"/>
  <c r="AM81" i="5"/>
  <c r="AK81" i="5"/>
  <c r="AH81" i="5"/>
  <c r="AK79" i="5"/>
  <c r="AI79" i="5"/>
  <c r="AN78" i="5"/>
  <c r="AI78" i="5"/>
  <c r="AN77" i="5"/>
  <c r="AI77" i="5"/>
  <c r="AL76" i="5"/>
  <c r="AL75" i="5"/>
  <c r="AK75" i="5"/>
  <c r="AN74" i="5"/>
  <c r="AM74" i="5"/>
  <c r="AK74" i="5"/>
  <c r="AI73" i="5"/>
  <c r="AJ72" i="5"/>
  <c r="AK71" i="5"/>
  <c r="AJ71" i="5"/>
  <c r="AI71" i="5"/>
  <c r="AN70" i="5"/>
  <c r="AM70" i="5"/>
  <c r="AJ70" i="5"/>
  <c r="AL68" i="5"/>
  <c r="AK68" i="5"/>
  <c r="AN67" i="5"/>
  <c r="AK67" i="5"/>
  <c r="AK42" i="5"/>
  <c r="AK109" i="5"/>
  <c r="AJ109" i="5"/>
  <c r="AM46" i="5"/>
  <c r="AL46" i="5"/>
  <c r="AI45" i="5"/>
  <c r="AH45" i="5"/>
  <c r="AN43" i="5"/>
  <c r="AM43" i="5"/>
  <c r="AI33" i="5"/>
  <c r="AH33" i="5"/>
  <c r="AJ21" i="5"/>
  <c r="AI21" i="5"/>
  <c r="AN19" i="5"/>
  <c r="AM19" i="5"/>
  <c r="AI13" i="5"/>
  <c r="AH13" i="5"/>
  <c r="AJ10" i="5"/>
  <c r="AI10" i="5"/>
  <c r="AV76" i="7"/>
  <c r="AV79" i="7"/>
  <c r="AV92" i="7"/>
  <c r="AG63" i="6"/>
  <c r="AG150" i="5"/>
  <c r="AF173" i="5"/>
  <c r="AD235" i="8"/>
  <c r="AW66" i="7"/>
  <c r="AW50" i="7"/>
  <c r="AV100" i="7"/>
  <c r="AV60" i="7"/>
  <c r="AV99" i="7"/>
  <c r="AV20" i="7"/>
  <c r="AW20" i="7"/>
  <c r="AW21" i="7"/>
  <c r="AV88" i="7"/>
  <c r="AV40" i="7"/>
  <c r="AF62" i="6"/>
  <c r="AG37" i="6"/>
  <c r="AG40" i="6"/>
  <c r="AG179" i="6"/>
  <c r="AG96" i="6"/>
  <c r="AF53" i="6"/>
  <c r="AF85" i="5"/>
  <c r="AG9" i="5"/>
  <c r="AG60" i="5"/>
  <c r="AF114" i="5"/>
  <c r="P235" i="8"/>
  <c r="AW169" i="7"/>
  <c r="P256" i="7"/>
  <c r="AW140" i="7"/>
  <c r="AV132" i="7"/>
  <c r="AW200" i="7"/>
  <c r="AW145" i="7"/>
  <c r="AV145" i="7"/>
  <c r="AW189" i="7"/>
  <c r="AV189" i="7"/>
  <c r="AW172" i="7"/>
  <c r="AV172" i="7"/>
  <c r="AW187" i="7"/>
  <c r="AV187" i="7"/>
  <c r="AV95" i="7"/>
  <c r="AW171" i="7"/>
  <c r="AV171" i="7"/>
  <c r="AW205" i="7"/>
  <c r="AV205" i="7"/>
  <c r="AW184" i="7"/>
  <c r="AV184" i="7"/>
  <c r="AD256" i="7"/>
  <c r="BF52" i="7" s="1"/>
  <c r="AW201" i="7"/>
  <c r="AV201" i="7"/>
  <c r="AV10" i="7"/>
  <c r="AV55" i="7"/>
  <c r="AW213" i="7"/>
  <c r="AV213" i="7"/>
  <c r="AV50" i="7"/>
  <c r="AW73" i="7"/>
  <c r="AW156" i="7"/>
  <c r="AV156" i="7"/>
  <c r="AW165" i="7"/>
  <c r="AV165" i="7"/>
  <c r="AV123" i="7"/>
  <c r="AW154" i="7"/>
  <c r="AW195" i="7"/>
  <c r="AV195" i="7"/>
  <c r="AW211" i="7"/>
  <c r="AV211" i="7"/>
  <c r="AW191" i="7"/>
  <c r="AV191" i="7"/>
  <c r="AW103" i="7"/>
  <c r="AV33" i="7"/>
  <c r="AW193" i="7"/>
  <c r="AV193" i="7"/>
  <c r="AW162" i="7"/>
  <c r="AV162" i="7"/>
  <c r="AW175" i="7"/>
  <c r="AV175" i="7"/>
  <c r="AV103" i="7"/>
  <c r="AW148" i="7"/>
  <c r="AV148" i="7"/>
  <c r="AW149" i="7"/>
  <c r="H236" i="6"/>
  <c r="AF99" i="6"/>
  <c r="AF154" i="6"/>
  <c r="AF165" i="6"/>
  <c r="AF5" i="6"/>
  <c r="AF149" i="6"/>
  <c r="AG68" i="6"/>
  <c r="AF201" i="6"/>
  <c r="AG51" i="6"/>
  <c r="AF63" i="6"/>
  <c r="AF178" i="6"/>
  <c r="AG88" i="6"/>
  <c r="N236" i="6"/>
  <c r="AP37" i="6" s="1"/>
  <c r="AF77" i="6"/>
  <c r="AG203" i="6"/>
  <c r="AF203" i="6"/>
  <c r="AF26" i="6"/>
  <c r="AG167" i="6"/>
  <c r="AG26" i="6"/>
  <c r="AG116" i="6"/>
  <c r="AG201" i="6"/>
  <c r="AG44" i="6"/>
  <c r="AF108" i="5"/>
  <c r="AG82" i="5"/>
  <c r="AF159" i="5"/>
  <c r="AG175" i="5"/>
  <c r="AG88" i="5"/>
  <c r="AF118" i="5"/>
  <c r="AF162" i="5"/>
  <c r="AI110" i="9"/>
  <c r="AI88" i="9"/>
  <c r="AI66" i="9"/>
  <c r="AI45" i="9"/>
  <c r="AI24" i="9"/>
  <c r="AW25" i="7"/>
  <c r="AV119" i="7"/>
  <c r="AW16" i="7"/>
  <c r="AW209" i="7"/>
  <c r="AV59" i="7"/>
  <c r="AW60" i="7"/>
  <c r="AV80" i="7"/>
  <c r="AW144" i="7"/>
  <c r="AV73" i="7"/>
  <c r="AW168" i="7"/>
  <c r="AW90" i="7"/>
  <c r="AV135" i="7"/>
  <c r="AV133" i="7"/>
  <c r="AV29" i="7"/>
  <c r="AV32" i="7"/>
  <c r="AV121" i="7"/>
  <c r="AV22" i="7"/>
  <c r="AW26" i="7"/>
  <c r="AW33" i="7"/>
  <c r="AW38" i="7"/>
  <c r="AW48" i="7"/>
  <c r="AV67" i="7"/>
  <c r="AV87" i="7"/>
  <c r="AW88" i="7"/>
  <c r="AV109" i="7"/>
  <c r="AV140" i="7"/>
  <c r="AV9" i="7"/>
  <c r="AW14" i="7"/>
  <c r="AW28" i="7"/>
  <c r="AV36" i="7"/>
  <c r="AV46" i="7"/>
  <c r="AW47" i="7"/>
  <c r="AV65" i="7"/>
  <c r="AW68" i="7"/>
  <c r="AV124" i="7"/>
  <c r="AW6" i="7"/>
  <c r="AW13" i="7"/>
  <c r="AW46" i="7"/>
  <c r="AV63" i="7"/>
  <c r="AV64" i="7"/>
  <c r="AW124" i="7"/>
  <c r="AW7" i="7"/>
  <c r="AW12" i="7"/>
  <c r="AW63" i="7"/>
  <c r="AW64" i="7"/>
  <c r="AV105" i="7"/>
  <c r="AW183" i="7"/>
  <c r="AW207" i="7"/>
  <c r="AW62" i="7"/>
  <c r="AV101" i="7"/>
  <c r="AW105" i="7"/>
  <c r="AW121" i="7"/>
  <c r="AV131" i="7"/>
  <c r="AW132" i="7"/>
  <c r="AW203" i="7"/>
  <c r="AW101" i="7"/>
  <c r="AW131" i="7"/>
  <c r="AW164" i="7"/>
  <c r="AW97" i="7"/>
  <c r="AW119" i="7"/>
  <c r="AW180" i="7"/>
  <c r="AW199" i="7"/>
  <c r="AW57" i="7"/>
  <c r="AW78" i="7"/>
  <c r="AW99" i="7"/>
  <c r="AW152" i="7"/>
  <c r="AW179" i="7"/>
  <c r="AW74" i="7"/>
  <c r="AW151" i="7"/>
  <c r="AW197" i="7"/>
  <c r="AV34" i="7"/>
  <c r="AV41" i="7"/>
  <c r="AV69" i="7"/>
  <c r="AV91" i="7"/>
  <c r="AW69" i="7"/>
  <c r="AW91" i="7"/>
  <c r="AW160" i="7"/>
  <c r="AG29" i="6"/>
  <c r="AF94" i="6"/>
  <c r="AG181" i="6"/>
  <c r="AF68" i="6"/>
  <c r="AG77" i="6"/>
  <c r="AG154" i="6"/>
  <c r="AG165" i="6"/>
  <c r="AG93" i="6"/>
  <c r="AF130" i="6"/>
  <c r="AF191" i="6"/>
  <c r="AG71" i="6"/>
  <c r="AG92" i="6"/>
  <c r="AF106" i="6"/>
  <c r="AF37" i="6"/>
  <c r="AF41" i="6"/>
  <c r="AG89" i="6"/>
  <c r="AG105" i="6"/>
  <c r="AF113" i="6"/>
  <c r="AG103" i="6"/>
  <c r="AF12" i="6"/>
  <c r="AF30" i="6"/>
  <c r="AG24" i="6"/>
  <c r="AG28" i="6"/>
  <c r="AG56" i="6"/>
  <c r="AF57" i="6"/>
  <c r="AF86" i="6"/>
  <c r="AG128" i="6"/>
  <c r="AF161" i="6"/>
  <c r="AG17" i="6"/>
  <c r="AG19" i="6"/>
  <c r="AG85" i="6"/>
  <c r="AG86" i="6"/>
  <c r="AG127" i="6"/>
  <c r="AF15" i="6"/>
  <c r="AF72" i="6"/>
  <c r="AF75" i="6"/>
  <c r="AG99" i="6"/>
  <c r="AF137" i="6"/>
  <c r="AF157" i="6"/>
  <c r="AG191" i="6"/>
  <c r="AF65" i="6"/>
  <c r="AG72" i="6"/>
  <c r="AG111" i="6"/>
  <c r="AG137" i="6"/>
  <c r="AG76" i="6"/>
  <c r="AF109" i="6"/>
  <c r="AG135" i="6"/>
  <c r="AG136" i="6"/>
  <c r="AG187" i="6"/>
  <c r="AF32" i="6"/>
  <c r="AG33" i="6"/>
  <c r="AG65" i="6"/>
  <c r="AF155" i="6"/>
  <c r="AG13" i="6"/>
  <c r="AG32" i="6"/>
  <c r="AG185" i="6"/>
  <c r="AG107" i="6"/>
  <c r="AG119" i="6"/>
  <c r="AG120" i="6"/>
  <c r="AG8" i="6"/>
  <c r="AF29" i="6"/>
  <c r="AG30" i="6"/>
  <c r="AG62" i="6"/>
  <c r="AF147" i="6"/>
  <c r="AG148" i="6"/>
  <c r="AF82" i="6"/>
  <c r="AF105" i="6"/>
  <c r="AF114" i="6"/>
  <c r="AF195" i="6"/>
  <c r="AF197" i="6"/>
  <c r="AG199" i="6"/>
  <c r="AF24" i="6"/>
  <c r="AF55" i="6"/>
  <c r="AF59" i="6"/>
  <c r="AF87" i="6"/>
  <c r="AF142" i="6"/>
  <c r="AF162" i="6"/>
  <c r="AF80" i="5"/>
  <c r="AG97" i="5"/>
  <c r="AG98" i="5"/>
  <c r="AG161" i="5"/>
  <c r="AF197" i="5"/>
  <c r="AF15" i="5"/>
  <c r="AF5" i="5"/>
  <c r="AG114" i="5"/>
  <c r="AF78" i="5"/>
  <c r="AG181" i="5"/>
  <c r="AG51" i="5"/>
  <c r="AF104" i="5"/>
  <c r="AF101" i="5"/>
  <c r="AF21" i="5"/>
  <c r="AG41" i="5"/>
  <c r="AF42" i="5"/>
  <c r="AG101" i="5"/>
  <c r="AF56" i="5"/>
  <c r="AF20" i="5"/>
  <c r="AF98" i="5"/>
  <c r="AG118" i="5"/>
  <c r="AF24" i="5"/>
  <c r="AF30" i="5"/>
  <c r="AG54" i="5"/>
  <c r="AG123" i="5"/>
  <c r="AG140" i="5"/>
  <c r="AG141" i="5"/>
  <c r="AG151" i="5"/>
  <c r="AG30" i="5"/>
  <c r="AF50" i="5"/>
  <c r="AF64" i="5"/>
  <c r="AG66" i="5"/>
  <c r="AF115" i="5"/>
  <c r="AG173" i="5"/>
  <c r="AF195" i="5"/>
  <c r="AG196" i="5"/>
  <c r="AF39" i="5"/>
  <c r="AF40" i="5"/>
  <c r="AF47" i="5"/>
  <c r="AF60" i="5"/>
  <c r="AF94" i="5"/>
  <c r="AG115" i="5"/>
  <c r="AG78" i="5"/>
  <c r="AG131" i="5"/>
  <c r="AF169" i="5"/>
  <c r="AF9" i="5"/>
  <c r="AF12" i="5"/>
  <c r="AF13" i="5"/>
  <c r="AG59" i="5"/>
  <c r="AG77" i="5"/>
  <c r="AG15" i="5"/>
  <c r="AG129" i="5"/>
  <c r="AF189" i="5"/>
  <c r="S235" i="5"/>
  <c r="AG235" i="5" s="1"/>
  <c r="AG192" i="5"/>
  <c r="AG7" i="5"/>
  <c r="AG111" i="5"/>
  <c r="AF127" i="5"/>
  <c r="AG190" i="5"/>
  <c r="AG57" i="5"/>
  <c r="AF203" i="5"/>
  <c r="AF33" i="5"/>
  <c r="AG127" i="5"/>
  <c r="AG201" i="5"/>
  <c r="AF70" i="5"/>
  <c r="AG74" i="5"/>
  <c r="AF198" i="5"/>
  <c r="AF31" i="5"/>
  <c r="AG34" i="5"/>
  <c r="AF54" i="5"/>
  <c r="AF68" i="5"/>
  <c r="AG100" i="5"/>
  <c r="AF122" i="5"/>
  <c r="AF123" i="5"/>
  <c r="AG126" i="5"/>
  <c r="AF135" i="5"/>
  <c r="AF139" i="5"/>
  <c r="AF141" i="5"/>
  <c r="AX256" i="7"/>
  <c r="AI236" i="6"/>
  <c r="AA236" i="6"/>
  <c r="AN236" i="6" s="1"/>
  <c r="AV28" i="7"/>
  <c r="AV5" i="7"/>
  <c r="AE24" i="6"/>
  <c r="AF141" i="6"/>
  <c r="BC16" i="7"/>
  <c r="BA25" i="7"/>
  <c r="AW39" i="7"/>
  <c r="AZ47" i="7"/>
  <c r="BC57" i="7"/>
  <c r="AX124" i="7"/>
  <c r="BA128" i="7"/>
  <c r="BA130" i="7"/>
  <c r="BB156" i="7"/>
  <c r="AX176" i="7"/>
  <c r="AW176" i="7"/>
  <c r="AX20" i="7"/>
  <c r="BA30" i="7"/>
  <c r="BD31" i="7"/>
  <c r="BB60" i="7"/>
  <c r="AW8" i="7"/>
  <c r="AW9" i="7"/>
  <c r="AZ11" i="7"/>
  <c r="BC23" i="7"/>
  <c r="BA32" i="7"/>
  <c r="BC36" i="7"/>
  <c r="AY39" i="7"/>
  <c r="BC59" i="7"/>
  <c r="BC60" i="7"/>
  <c r="AY63" i="7"/>
  <c r="AV83" i="7"/>
  <c r="BA120" i="7"/>
  <c r="BA123" i="7"/>
  <c r="AZ124" i="7"/>
  <c r="BB126" i="7"/>
  <c r="BC146" i="7"/>
  <c r="BB61" i="7"/>
  <c r="BA61" i="7"/>
  <c r="AZ128" i="7"/>
  <c r="AV6" i="7"/>
  <c r="BD12" i="7"/>
  <c r="BD13" i="7"/>
  <c r="AX19" i="7"/>
  <c r="AZ21" i="7"/>
  <c r="AY22" i="7"/>
  <c r="BC24" i="7"/>
  <c r="AZ31" i="7"/>
  <c r="AY34" i="7"/>
  <c r="BD47" i="7"/>
  <c r="BB58" i="7"/>
  <c r="AX68" i="7"/>
  <c r="AW83" i="7"/>
  <c r="AX90" i="7"/>
  <c r="AW107" i="7"/>
  <c r="BA153" i="7"/>
  <c r="AY162" i="7"/>
  <c r="BD163" i="7"/>
  <c r="AX7" i="7"/>
  <c r="AX14" i="7"/>
  <c r="AV16" i="7"/>
  <c r="BA21" i="7"/>
  <c r="AX25" i="7"/>
  <c r="AV30" i="7"/>
  <c r="AZ37" i="7"/>
  <c r="AZ65" i="7"/>
  <c r="AX66" i="7"/>
  <c r="AZ68" i="7"/>
  <c r="AY68" i="7"/>
  <c r="AW71" i="7"/>
  <c r="AW72" i="7"/>
  <c r="AY74" i="7"/>
  <c r="AX74" i="7"/>
  <c r="AY97" i="7"/>
  <c r="BB117" i="7"/>
  <c r="BA117" i="7"/>
  <c r="BC119" i="7"/>
  <c r="BB119" i="7"/>
  <c r="BD125" i="7"/>
  <c r="BC125" i="7"/>
  <c r="AY157" i="7"/>
  <c r="BC158" i="7"/>
  <c r="AZ13" i="7"/>
  <c r="AV17" i="7"/>
  <c r="AV18" i="7"/>
  <c r="AZ26" i="7"/>
  <c r="AZ38" i="7"/>
  <c r="BA85" i="7"/>
  <c r="BA87" i="7"/>
  <c r="AZ92" i="7"/>
  <c r="AY92" i="7"/>
  <c r="BA126" i="7"/>
  <c r="BC154" i="7"/>
  <c r="BC162" i="7"/>
  <c r="AZ174" i="7"/>
  <c r="AY174" i="7"/>
  <c r="BB19" i="7"/>
  <c r="BB32" i="7"/>
  <c r="AZ76" i="7"/>
  <c r="AY76" i="7"/>
  <c r="AX121" i="7"/>
  <c r="BB5" i="7"/>
  <c r="BC8" i="7"/>
  <c r="BA14" i="7"/>
  <c r="AX16" i="7"/>
  <c r="AW18" i="7"/>
  <c r="BC26" i="7"/>
  <c r="AX27" i="7"/>
  <c r="BC38" i="7"/>
  <c r="BD41" i="7"/>
  <c r="AZ43" i="7"/>
  <c r="AY48" i="7"/>
  <c r="BC50" i="7"/>
  <c r="BA51" i="7"/>
  <c r="AZ51" i="7"/>
  <c r="AV57" i="7"/>
  <c r="AX62" i="7"/>
  <c r="BD65" i="7"/>
  <c r="AZ80" i="7"/>
  <c r="AY80" i="7"/>
  <c r="BA92" i="7"/>
  <c r="BA101" i="7"/>
  <c r="BA104" i="7"/>
  <c r="BB107" i="7"/>
  <c r="BA108" i="7"/>
  <c r="AZ120" i="7"/>
  <c r="AZ208" i="7"/>
  <c r="AW40" i="7"/>
  <c r="BD69" i="7"/>
  <c r="AV138" i="7"/>
  <c r="AY193" i="7"/>
  <c r="AX193" i="7"/>
  <c r="AY9" i="7"/>
  <c r="BC14" i="7"/>
  <c r="BA80" i="7"/>
  <c r="BB98" i="7"/>
  <c r="BC98" i="7"/>
  <c r="BC174" i="7"/>
  <c r="AY188" i="7"/>
  <c r="AX10" i="7"/>
  <c r="AV12" i="7"/>
  <c r="AV13" i="7"/>
  <c r="AV14" i="7"/>
  <c r="AZ17" i="7"/>
  <c r="AZ22" i="7"/>
  <c r="AV26" i="7"/>
  <c r="AV38" i="7"/>
  <c r="AX50" i="7"/>
  <c r="AX57" i="7"/>
  <c r="BA67" i="7"/>
  <c r="BC69" i="7"/>
  <c r="BC78" i="7"/>
  <c r="BB78" i="7"/>
  <c r="AX88" i="7"/>
  <c r="BD113" i="7"/>
  <c r="AV129" i="7"/>
  <c r="AY141" i="7"/>
  <c r="AX152" i="7"/>
  <c r="AZ188" i="7"/>
  <c r="BC197" i="7"/>
  <c r="BB197" i="7"/>
  <c r="AW5" i="7"/>
  <c r="AR10" i="7"/>
  <c r="AZ56" i="7"/>
  <c r="AZ82" i="7"/>
  <c r="BC87" i="7"/>
  <c r="AZ90" i="7"/>
  <c r="AY149" i="7"/>
  <c r="AX166" i="7"/>
  <c r="AW166" i="7"/>
  <c r="BA167" i="7"/>
  <c r="AZ167" i="7"/>
  <c r="AX13" i="7"/>
  <c r="AX26" i="7"/>
  <c r="AX38" i="7"/>
  <c r="BC42" i="7"/>
  <c r="AY46" i="7"/>
  <c r="BC51" i="7"/>
  <c r="BC54" i="7"/>
  <c r="BA56" i="7"/>
  <c r="BB85" i="7"/>
  <c r="BC109" i="7"/>
  <c r="BD187" i="7"/>
  <c r="BC187" i="7"/>
  <c r="AW76" i="7"/>
  <c r="BD79" i="7"/>
  <c r="BD80" i="7"/>
  <c r="BD130" i="7"/>
  <c r="AX140" i="7"/>
  <c r="AZ160" i="7"/>
  <c r="BA176" i="7"/>
  <c r="BB180" i="7"/>
  <c r="AW182" i="7"/>
  <c r="AX183" i="7"/>
  <c r="BA184" i="7"/>
  <c r="AY186" i="7"/>
  <c r="BC191" i="7"/>
  <c r="BA204" i="7"/>
  <c r="BC213" i="7"/>
  <c r="BA29" i="7"/>
  <c r="BA33" i="7"/>
  <c r="AV43" i="7"/>
  <c r="AV44" i="7"/>
  <c r="BD50" i="7"/>
  <c r="AV52" i="7"/>
  <c r="AV53" i="7"/>
  <c r="BD73" i="7"/>
  <c r="AV77" i="7"/>
  <c r="AV84" i="7"/>
  <c r="AV85" i="7"/>
  <c r="AV104" i="7"/>
  <c r="BD108" i="7"/>
  <c r="BB115" i="7"/>
  <c r="AV120" i="7"/>
  <c r="AY140" i="7"/>
  <c r="BD153" i="7"/>
  <c r="BA160" i="7"/>
  <c r="AZ189" i="7"/>
  <c r="AX207" i="7"/>
  <c r="BA17" i="7"/>
  <c r="BB21" i="7"/>
  <c r="BC46" i="7"/>
  <c r="BD66" i="7"/>
  <c r="AY72" i="7"/>
  <c r="BC73" i="7"/>
  <c r="BD82" i="7"/>
  <c r="BC88" i="7"/>
  <c r="BD102" i="7"/>
  <c r="BD115" i="7"/>
  <c r="AX120" i="7"/>
  <c r="BC124" i="7"/>
  <c r="AV127" i="7"/>
  <c r="BC139" i="7"/>
  <c r="BB141" i="7"/>
  <c r="AZ158" i="7"/>
  <c r="BB159" i="7"/>
  <c r="AX168" i="7"/>
  <c r="BC179" i="7"/>
  <c r="BC192" i="7"/>
  <c r="BC114" i="7"/>
  <c r="AY172" i="7"/>
  <c r="BA185" i="7"/>
  <c r="AY196" i="7"/>
  <c r="AV71" i="7"/>
  <c r="AV72" i="7"/>
  <c r="BD75" i="7"/>
  <c r="AZ104" i="7"/>
  <c r="AW106" i="7"/>
  <c r="AV107" i="7"/>
  <c r="AX135" i="7"/>
  <c r="AV136" i="7"/>
  <c r="BC140" i="7"/>
  <c r="BB149" i="7"/>
  <c r="BB188" i="7"/>
  <c r="AW198" i="7"/>
  <c r="AX201" i="7"/>
  <c r="AX203" i="7"/>
  <c r="BB207" i="7"/>
  <c r="AY209" i="7"/>
  <c r="AX213" i="7"/>
  <c r="AW185" i="7"/>
  <c r="BC185" i="7"/>
  <c r="BC205" i="7"/>
  <c r="AL256" i="7"/>
  <c r="AY256" i="7" s="1"/>
  <c r="AW177" i="7"/>
  <c r="AZ201" i="7"/>
  <c r="AM256" i="7"/>
  <c r="AW59" i="7"/>
  <c r="AY78" i="7"/>
  <c r="BC89" i="7"/>
  <c r="BA96" i="7"/>
  <c r="AY98" i="7"/>
  <c r="BB104" i="7"/>
  <c r="AZ109" i="7"/>
  <c r="BB110" i="7"/>
  <c r="AY117" i="7"/>
  <c r="BB120" i="7"/>
  <c r="BC126" i="7"/>
  <c r="AY134" i="7"/>
  <c r="AX164" i="7"/>
  <c r="BA174" i="7"/>
  <c r="BB184" i="7"/>
  <c r="AY192" i="7"/>
  <c r="BB201" i="7"/>
  <c r="BB204" i="7"/>
  <c r="BC206" i="7"/>
  <c r="AW256" i="7"/>
  <c r="BA69" i="7"/>
  <c r="AY71" i="7"/>
  <c r="AW80" i="7"/>
  <c r="BC82" i="7"/>
  <c r="BD85" i="7"/>
  <c r="BB92" i="7"/>
  <c r="AY107" i="7"/>
  <c r="BC120" i="7"/>
  <c r="BB128" i="7"/>
  <c r="AW130" i="7"/>
  <c r="AZ134" i="7"/>
  <c r="AW138" i="7"/>
  <c r="AY164" i="7"/>
  <c r="AX171" i="7"/>
  <c r="AV24" i="7"/>
  <c r="AW32" i="7"/>
  <c r="AT33" i="7"/>
  <c r="AV37" i="7"/>
  <c r="BD43" i="7"/>
  <c r="AX49" i="7"/>
  <c r="BD104" i="7"/>
  <c r="BB105" i="7"/>
  <c r="BD110" i="7"/>
  <c r="AV115" i="7"/>
  <c r="AW122" i="7"/>
  <c r="BC128" i="7"/>
  <c r="BB145" i="7"/>
  <c r="BB157" i="7"/>
  <c r="AZ164" i="7"/>
  <c r="AY171" i="7"/>
  <c r="AX179" i="7"/>
  <c r="BD184" i="7"/>
  <c r="BD199" i="7"/>
  <c r="BB200" i="7"/>
  <c r="BA202" i="7"/>
  <c r="AV21" i="7"/>
  <c r="AW24" i="7"/>
  <c r="AV25" i="7"/>
  <c r="AY36" i="7"/>
  <c r="BA40" i="7"/>
  <c r="AV47" i="7"/>
  <c r="BA59" i="7"/>
  <c r="AV68" i="7"/>
  <c r="BB71" i="7"/>
  <c r="BB72" i="7"/>
  <c r="AV75" i="7"/>
  <c r="AV89" i="7"/>
  <c r="BC91" i="7"/>
  <c r="BC99" i="7"/>
  <c r="BD105" i="7"/>
  <c r="BC113" i="7"/>
  <c r="AW115" i="7"/>
  <c r="AV117" i="7"/>
  <c r="BC134" i="7"/>
  <c r="BB136" i="7"/>
  <c r="AV141" i="7"/>
  <c r="AZ143" i="7"/>
  <c r="BD145" i="7"/>
  <c r="BC151" i="7"/>
  <c r="BB164" i="7"/>
  <c r="AW190" i="7"/>
  <c r="BA195" i="7"/>
  <c r="BC202" i="7"/>
  <c r="BA86" i="7"/>
  <c r="AV96" i="7"/>
  <c r="AV97" i="7"/>
  <c r="BD107" i="7"/>
  <c r="AX131" i="7"/>
  <c r="AX160" i="7"/>
  <c r="BD164" i="7"/>
  <c r="BB172" i="7"/>
  <c r="AY190" i="7"/>
  <c r="BB194" i="7"/>
  <c r="BB196" i="7"/>
  <c r="AW206" i="7"/>
  <c r="AQ256" i="7"/>
  <c r="BD256" i="7" s="1"/>
  <c r="AI16" i="6"/>
  <c r="AG18" i="6"/>
  <c r="AH50" i="6"/>
  <c r="AN57" i="6"/>
  <c r="AJ66" i="6"/>
  <c r="AJ78" i="6"/>
  <c r="AI91" i="6"/>
  <c r="AM105" i="6"/>
  <c r="AL144" i="6"/>
  <c r="AN147" i="6"/>
  <c r="AM156" i="6"/>
  <c r="AG159" i="6"/>
  <c r="AJ162" i="6"/>
  <c r="AK166" i="6"/>
  <c r="AH173" i="6"/>
  <c r="AG174" i="6"/>
  <c r="AK122" i="6"/>
  <c r="AK158" i="6"/>
  <c r="AK162" i="6"/>
  <c r="AH167" i="6"/>
  <c r="AL11" i="6"/>
  <c r="AI85" i="6"/>
  <c r="AM27" i="6"/>
  <c r="AI34" i="6"/>
  <c r="AN58" i="6"/>
  <c r="AH68" i="6"/>
  <c r="AI124" i="6"/>
  <c r="AM10" i="6"/>
  <c r="AK13" i="6"/>
  <c r="AJ15" i="6"/>
  <c r="AF22" i="6"/>
  <c r="AL31" i="6"/>
  <c r="AJ34" i="6"/>
  <c r="AL48" i="6"/>
  <c r="AK51" i="6"/>
  <c r="AH54" i="6"/>
  <c r="AH63" i="6"/>
  <c r="AN65" i="6"/>
  <c r="AN76" i="6"/>
  <c r="AN88" i="6"/>
  <c r="AN89" i="6"/>
  <c r="AM90" i="6"/>
  <c r="AF97" i="6"/>
  <c r="AF98" i="6"/>
  <c r="AN104" i="6"/>
  <c r="AG109" i="6"/>
  <c r="AM112" i="6"/>
  <c r="AM124" i="6"/>
  <c r="AG125" i="6"/>
  <c r="AM134" i="6"/>
  <c r="AI140" i="6"/>
  <c r="AF187" i="6"/>
  <c r="AI170" i="6"/>
  <c r="AJ170" i="6"/>
  <c r="AG20" i="6"/>
  <c r="AN29" i="6"/>
  <c r="AJ51" i="6"/>
  <c r="AI57" i="6"/>
  <c r="AM104" i="6"/>
  <c r="AI21" i="6"/>
  <c r="AF43" i="6"/>
  <c r="AJ59" i="6"/>
  <c r="AJ60" i="6"/>
  <c r="AJ75" i="6"/>
  <c r="AF84" i="6"/>
  <c r="AJ87" i="6"/>
  <c r="AK107" i="6"/>
  <c r="AF122" i="6"/>
  <c r="AH142" i="6"/>
  <c r="AG142" i="6"/>
  <c r="AF150" i="6"/>
  <c r="AH182" i="6"/>
  <c r="AK203" i="6"/>
  <c r="AG10" i="6"/>
  <c r="AJ29" i="6"/>
  <c r="AJ63" i="6"/>
  <c r="AF71" i="6"/>
  <c r="AF73" i="6"/>
  <c r="AF101" i="6"/>
  <c r="AH33" i="6"/>
  <c r="AF47" i="6"/>
  <c r="AK63" i="6"/>
  <c r="AJ65" i="6"/>
  <c r="AJ77" i="6"/>
  <c r="AJ91" i="6"/>
  <c r="AH97" i="6"/>
  <c r="AK110" i="6"/>
  <c r="AK114" i="6"/>
  <c r="AK126" i="6"/>
  <c r="AJ127" i="6"/>
  <c r="AF145" i="6"/>
  <c r="AF146" i="6"/>
  <c r="AG150" i="6"/>
  <c r="AJ178" i="6"/>
  <c r="AH185" i="6"/>
  <c r="AI186" i="6"/>
  <c r="AF193" i="6"/>
  <c r="AM49" i="6"/>
  <c r="AN60" i="6"/>
  <c r="AG67" i="6"/>
  <c r="AG79" i="6"/>
  <c r="AJ90" i="6"/>
  <c r="AK91" i="6"/>
  <c r="AL110" i="6"/>
  <c r="AH136" i="6"/>
  <c r="AK178" i="6"/>
  <c r="AN107" i="6"/>
  <c r="AM107" i="6"/>
  <c r="AM14" i="6"/>
  <c r="AK19" i="6"/>
  <c r="AM20" i="6"/>
  <c r="AI43" i="6"/>
  <c r="AG47" i="6"/>
  <c r="AN52" i="6"/>
  <c r="AN68" i="6"/>
  <c r="AI72" i="6"/>
  <c r="AJ116" i="6"/>
  <c r="AH120" i="6"/>
  <c r="AK134" i="6"/>
  <c r="AM139" i="6"/>
  <c r="AN139" i="6"/>
  <c r="AL178" i="6"/>
  <c r="AG193" i="6"/>
  <c r="AI13" i="6"/>
  <c r="AG36" i="6"/>
  <c r="AH47" i="6"/>
  <c r="AG48" i="6"/>
  <c r="AF49" i="6"/>
  <c r="AK70" i="6"/>
  <c r="AM82" i="6"/>
  <c r="AI93" i="6"/>
  <c r="AK98" i="6"/>
  <c r="AF133" i="6"/>
  <c r="AH145" i="6"/>
  <c r="AH153" i="6"/>
  <c r="AI154" i="6"/>
  <c r="AJ154" i="6"/>
  <c r="AH155" i="6"/>
  <c r="AG155" i="6"/>
  <c r="AI167" i="6"/>
  <c r="AM176" i="6"/>
  <c r="AL179" i="6"/>
  <c r="AK183" i="6"/>
  <c r="AJ199" i="6"/>
  <c r="AH80" i="6"/>
  <c r="AK194" i="6"/>
  <c r="AK24" i="6"/>
  <c r="AF10" i="6"/>
  <c r="AF11" i="6"/>
  <c r="AL13" i="6"/>
  <c r="AL23" i="6"/>
  <c r="AJ27" i="6"/>
  <c r="AF33" i="6"/>
  <c r="AJ47" i="6"/>
  <c r="AL54" i="6"/>
  <c r="AN55" i="6"/>
  <c r="AM56" i="6"/>
  <c r="AF66" i="6"/>
  <c r="AF78" i="6"/>
  <c r="AK80" i="6"/>
  <c r="AL83" i="6"/>
  <c r="AF90" i="6"/>
  <c r="AI118" i="6"/>
  <c r="AI131" i="6"/>
  <c r="AF134" i="6"/>
  <c r="AL141" i="6"/>
  <c r="AN142" i="6"/>
  <c r="AJ146" i="6"/>
  <c r="AL158" i="6"/>
  <c r="AK174" i="6"/>
  <c r="AN176" i="6"/>
  <c r="AN179" i="6"/>
  <c r="AM183" i="6"/>
  <c r="AN183" i="6"/>
  <c r="AK192" i="6"/>
  <c r="AL198" i="6"/>
  <c r="AJ203" i="6"/>
  <c r="AH26" i="6"/>
  <c r="AK96" i="6"/>
  <c r="AF111" i="6"/>
  <c r="AH119" i="6"/>
  <c r="AI132" i="6"/>
  <c r="AM148" i="6"/>
  <c r="AM150" i="6"/>
  <c r="AL157" i="6"/>
  <c r="AK175" i="6"/>
  <c r="AH176" i="6"/>
  <c r="AI179" i="6"/>
  <c r="AL192" i="6"/>
  <c r="AF67" i="6"/>
  <c r="AF79" i="6"/>
  <c r="AF93" i="6"/>
  <c r="AL96" i="6"/>
  <c r="AF115" i="6"/>
  <c r="AM145" i="6"/>
  <c r="AK160" i="6"/>
  <c r="AL176" i="6"/>
  <c r="AK184" i="6"/>
  <c r="AF80" i="6"/>
  <c r="AK106" i="6"/>
  <c r="AM160" i="6"/>
  <c r="AF174" i="6"/>
  <c r="AM8" i="6"/>
  <c r="AJ10" i="6"/>
  <c r="AF13" i="6"/>
  <c r="AF19" i="6"/>
  <c r="AG27" i="6"/>
  <c r="AG42" i="6"/>
  <c r="AF51" i="6"/>
  <c r="AK55" i="6"/>
  <c r="AN59" i="6"/>
  <c r="AI94" i="6"/>
  <c r="AH108" i="6"/>
  <c r="AJ109" i="6"/>
  <c r="AF125" i="6"/>
  <c r="AM131" i="6"/>
  <c r="AM132" i="6"/>
  <c r="AI134" i="6"/>
  <c r="AM151" i="6"/>
  <c r="AL154" i="6"/>
  <c r="AI155" i="6"/>
  <c r="AH165" i="6"/>
  <c r="AM168" i="6"/>
  <c r="AL190" i="6"/>
  <c r="AI197" i="6"/>
  <c r="AN202" i="6"/>
  <c r="AF28" i="6"/>
  <c r="AF70" i="6"/>
  <c r="AF89" i="6"/>
  <c r="AF138" i="6"/>
  <c r="T236" i="6"/>
  <c r="AF159" i="6"/>
  <c r="AF167" i="6"/>
  <c r="AF173" i="6"/>
  <c r="AF185" i="6"/>
  <c r="AF199" i="6"/>
  <c r="AB202" i="6"/>
  <c r="AM236" i="6"/>
  <c r="AJ202" i="6"/>
  <c r="AN20" i="6"/>
  <c r="AG23" i="6"/>
  <c r="AM35" i="6"/>
  <c r="AN42" i="6"/>
  <c r="AN44" i="6"/>
  <c r="AG58" i="6"/>
  <c r="AI64" i="6"/>
  <c r="AM74" i="6"/>
  <c r="AH98" i="6"/>
  <c r="AH104" i="6"/>
  <c r="AI105" i="6"/>
  <c r="AN110" i="6"/>
  <c r="AI111" i="6"/>
  <c r="AM118" i="6"/>
  <c r="AL125" i="6"/>
  <c r="AM143" i="6"/>
  <c r="AH149" i="6"/>
  <c r="AM157" i="6"/>
  <c r="AN166" i="6"/>
  <c r="AJ173" i="6"/>
  <c r="AH193" i="6"/>
  <c r="AI194" i="6"/>
  <c r="AN198" i="6"/>
  <c r="AF8" i="6"/>
  <c r="AG14" i="6"/>
  <c r="AF17" i="6"/>
  <c r="AM19" i="6"/>
  <c r="AG46" i="6"/>
  <c r="AF48" i="6"/>
  <c r="AM51" i="6"/>
  <c r="AI66" i="6"/>
  <c r="AN74" i="6"/>
  <c r="AL81" i="6"/>
  <c r="AN86" i="6"/>
  <c r="AL89" i="6"/>
  <c r="AG91" i="6"/>
  <c r="AI104" i="6"/>
  <c r="AG106" i="6"/>
  <c r="AF121" i="6"/>
  <c r="AN124" i="6"/>
  <c r="AM125" i="6"/>
  <c r="AF128" i="6"/>
  <c r="AF131" i="6"/>
  <c r="AM135" i="6"/>
  <c r="AL138" i="6"/>
  <c r="AI149" i="6"/>
  <c r="AI150" i="6"/>
  <c r="AN178" i="6"/>
  <c r="AF181" i="6"/>
  <c r="AN184" i="6"/>
  <c r="AF153" i="6"/>
  <c r="AM159" i="6"/>
  <c r="AI161" i="6"/>
  <c r="AM167" i="6"/>
  <c r="AF169" i="6"/>
  <c r="AF182" i="6"/>
  <c r="AM186" i="6"/>
  <c r="AG188" i="6"/>
  <c r="AF189" i="6"/>
  <c r="AL194" i="6"/>
  <c r="AM199" i="6"/>
  <c r="AI200" i="6"/>
  <c r="AH201" i="6"/>
  <c r="AJ201" i="6"/>
  <c r="AL180" i="6"/>
  <c r="AM187" i="6"/>
  <c r="AH189" i="6"/>
  <c r="AI190" i="6"/>
  <c r="AN193" i="6"/>
  <c r="AK8" i="6"/>
  <c r="AI9" i="6"/>
  <c r="AF20" i="6"/>
  <c r="AJ32" i="6"/>
  <c r="AK39" i="6"/>
  <c r="AF44" i="6"/>
  <c r="AM46" i="6"/>
  <c r="AJ67" i="6"/>
  <c r="AG87" i="6"/>
  <c r="AH92" i="6"/>
  <c r="AM106" i="6"/>
  <c r="AM113" i="6"/>
  <c r="AF117" i="6"/>
  <c r="AM127" i="6"/>
  <c r="AM130" i="6"/>
  <c r="AJ148" i="6"/>
  <c r="AF158" i="6"/>
  <c r="AL162" i="6"/>
  <c r="AF171" i="6"/>
  <c r="AG176" i="6"/>
  <c r="AF177" i="6"/>
  <c r="AI182" i="6"/>
  <c r="AM195" i="6"/>
  <c r="AL201" i="6"/>
  <c r="AL202" i="6"/>
  <c r="AL10" i="5"/>
  <c r="AM12" i="5"/>
  <c r="AK13" i="5"/>
  <c r="AH14" i="5"/>
  <c r="AH15" i="5"/>
  <c r="AG17" i="5"/>
  <c r="AG18" i="5"/>
  <c r="AL30" i="5"/>
  <c r="AK32" i="5"/>
  <c r="AK33" i="5"/>
  <c r="AH34" i="5"/>
  <c r="AJ35" i="5"/>
  <c r="AK36" i="5"/>
  <c r="AL37" i="5"/>
  <c r="AG52" i="5"/>
  <c r="AH53" i="5"/>
  <c r="AH54" i="5"/>
  <c r="AK56" i="5"/>
  <c r="AM57" i="5"/>
  <c r="AN72" i="5"/>
  <c r="AM73" i="5"/>
  <c r="AM77" i="5"/>
  <c r="AM78" i="5"/>
  <c r="AK83" i="5"/>
  <c r="AN85" i="5"/>
  <c r="AJ89" i="5"/>
  <c r="AJ93" i="5"/>
  <c r="AJ94" i="5"/>
  <c r="AJ95" i="5"/>
  <c r="AI131" i="5"/>
  <c r="AL140" i="5"/>
  <c r="AJ144" i="5"/>
  <c r="AN146" i="5"/>
  <c r="AN159" i="5"/>
  <c r="AN168" i="5"/>
  <c r="AN183" i="5"/>
  <c r="AH199" i="5"/>
  <c r="AI200" i="5"/>
  <c r="AM38" i="5"/>
  <c r="AN38" i="5"/>
  <c r="AI41" i="5"/>
  <c r="AN76" i="5"/>
  <c r="AM86" i="5"/>
  <c r="AN87" i="5"/>
  <c r="AK116" i="5"/>
  <c r="AI129" i="5"/>
  <c r="AJ131" i="5"/>
  <c r="AK142" i="5"/>
  <c r="AK143" i="5"/>
  <c r="AK144" i="5"/>
  <c r="AN180" i="5"/>
  <c r="AJ200" i="5"/>
  <c r="AN84" i="5"/>
  <c r="AH85" i="5"/>
  <c r="AH98" i="5"/>
  <c r="AH100" i="5"/>
  <c r="AK131" i="5"/>
  <c r="AM132" i="5"/>
  <c r="AL132" i="5"/>
  <c r="AN140" i="5"/>
  <c r="AL143" i="5"/>
  <c r="AH198" i="5"/>
  <c r="AJ199" i="5"/>
  <c r="AJ75" i="5"/>
  <c r="AI75" i="5"/>
  <c r="AL133" i="5"/>
  <c r="AK133" i="5"/>
  <c r="AG12" i="5"/>
  <c r="AJ29" i="5"/>
  <c r="AH77" i="5"/>
  <c r="AH5" i="5"/>
  <c r="AN13" i="5"/>
  <c r="AK14" i="5"/>
  <c r="AK15" i="5"/>
  <c r="AE23" i="5"/>
  <c r="AF26" i="5"/>
  <c r="AN30" i="5"/>
  <c r="AL34" i="5"/>
  <c r="AN42" i="5"/>
  <c r="AK44" i="5"/>
  <c r="AK49" i="5"/>
  <c r="AH51" i="5"/>
  <c r="AK53" i="5"/>
  <c r="AL55" i="5"/>
  <c r="AF61" i="5"/>
  <c r="AG62" i="5"/>
  <c r="AE64" i="5"/>
  <c r="AH74" i="5"/>
  <c r="AF82" i="5"/>
  <c r="AN86" i="5"/>
  <c r="AL90" i="5"/>
  <c r="AL92" i="5"/>
  <c r="AL94" i="5"/>
  <c r="AM95" i="5"/>
  <c r="AI98" i="5"/>
  <c r="AI100" i="5"/>
  <c r="AN101" i="5"/>
  <c r="AM102" i="5"/>
  <c r="AL103" i="5"/>
  <c r="AG110" i="5"/>
  <c r="AI114" i="5"/>
  <c r="AK115" i="5"/>
  <c r="AH126" i="5"/>
  <c r="AL130" i="5"/>
  <c r="AM139" i="5"/>
  <c r="AM143" i="5"/>
  <c r="AM144" i="5"/>
  <c r="AF161" i="5"/>
  <c r="AH163" i="5"/>
  <c r="AH164" i="5"/>
  <c r="AL180" i="5"/>
  <c r="AG197" i="5"/>
  <c r="AI198" i="5"/>
  <c r="AG104" i="5"/>
  <c r="AN122" i="5"/>
  <c r="AF149" i="5"/>
  <c r="AF153" i="5"/>
  <c r="AF177" i="5"/>
  <c r="AF185" i="5"/>
  <c r="AM34" i="5"/>
  <c r="AI8" i="5"/>
  <c r="AH10" i="5"/>
  <c r="AJ16" i="5"/>
  <c r="AI20" i="5"/>
  <c r="AI24" i="5"/>
  <c r="AF28" i="5"/>
  <c r="AM35" i="5"/>
  <c r="AM50" i="5"/>
  <c r="AM52" i="5"/>
  <c r="AN53" i="5"/>
  <c r="AN54" i="5"/>
  <c r="AI61" i="5"/>
  <c r="AG64" i="5"/>
  <c r="AL74" i="5"/>
  <c r="AG80" i="5"/>
  <c r="AH82" i="5"/>
  <c r="AG83" i="5"/>
  <c r="AI94" i="5"/>
  <c r="AN109" i="5"/>
  <c r="AJ110" i="5"/>
  <c r="AM123" i="5"/>
  <c r="AF137" i="5"/>
  <c r="AG149" i="5"/>
  <c r="AK162" i="5"/>
  <c r="AJ162" i="5"/>
  <c r="AG185" i="5"/>
  <c r="AG195" i="5"/>
  <c r="AL198" i="5"/>
  <c r="AA235" i="5"/>
  <c r="AN235" i="5" s="1"/>
  <c r="AM31" i="5"/>
  <c r="AL50" i="5"/>
  <c r="AN114" i="5"/>
  <c r="AM114" i="5"/>
  <c r="AK186" i="5"/>
  <c r="AJ186" i="5"/>
  <c r="AI7" i="5"/>
  <c r="AG10" i="5"/>
  <c r="AM14" i="5"/>
  <c r="AK7" i="5"/>
  <c r="AL7" i="5"/>
  <c r="AK8" i="5"/>
  <c r="AK9" i="5"/>
  <c r="AH18" i="5"/>
  <c r="AK20" i="5"/>
  <c r="AH22" i="5"/>
  <c r="AI23" i="5"/>
  <c r="AN33" i="5"/>
  <c r="AG39" i="5"/>
  <c r="AG40" i="5"/>
  <c r="AL47" i="5"/>
  <c r="AJ52" i="5"/>
  <c r="AG58" i="5"/>
  <c r="AH60" i="5"/>
  <c r="AJ61" i="5"/>
  <c r="AH80" i="5"/>
  <c r="AJ82" i="5"/>
  <c r="AM112" i="5"/>
  <c r="AM126" i="5"/>
  <c r="AG148" i="5"/>
  <c r="AH160" i="5"/>
  <c r="AJ161" i="5"/>
  <c r="AH173" i="5"/>
  <c r="AI185" i="5"/>
  <c r="AH195" i="5"/>
  <c r="AM53" i="5"/>
  <c r="AL21" i="5"/>
  <c r="AK21" i="5"/>
  <c r="AF37" i="5"/>
  <c r="AH40" i="5"/>
  <c r="AF44" i="5"/>
  <c r="AF45" i="5"/>
  <c r="AF76" i="5"/>
  <c r="AH79" i="5"/>
  <c r="AI80" i="5"/>
  <c r="AJ81" i="5"/>
  <c r="AN111" i="5"/>
  <c r="AN112" i="5"/>
  <c r="AM113" i="5"/>
  <c r="AM122" i="5"/>
  <c r="AF133" i="5"/>
  <c r="AI136" i="5"/>
  <c r="AF145" i="5"/>
  <c r="AG146" i="5"/>
  <c r="AH148" i="5"/>
  <c r="AG159" i="5"/>
  <c r="AI160" i="5"/>
  <c r="AK174" i="5"/>
  <c r="AJ174" i="5"/>
  <c r="AI193" i="5"/>
  <c r="AM197" i="5"/>
  <c r="AH9" i="5"/>
  <c r="AJ7" i="5"/>
  <c r="AJ8" i="5"/>
  <c r="AK184" i="5"/>
  <c r="AJ184" i="5"/>
  <c r="AG26" i="5"/>
  <c r="AM49" i="5"/>
  <c r="AG61" i="5"/>
  <c r="AG5" i="5"/>
  <c r="AN8" i="5"/>
  <c r="AN9" i="5"/>
  <c r="AF16" i="5"/>
  <c r="AM21" i="5"/>
  <c r="AK22" i="5"/>
  <c r="AF35" i="5"/>
  <c r="AF36" i="5"/>
  <c r="AG37" i="5"/>
  <c r="AG38" i="5"/>
  <c r="AI39" i="5"/>
  <c r="AI40" i="5"/>
  <c r="AH57" i="5"/>
  <c r="AF75" i="5"/>
  <c r="AG76" i="5"/>
  <c r="AH78" i="5"/>
  <c r="AJ79" i="5"/>
  <c r="AK80" i="5"/>
  <c r="AL81" i="5"/>
  <c r="AF95" i="5"/>
  <c r="AI97" i="5"/>
  <c r="AF102" i="5"/>
  <c r="AF106" i="5"/>
  <c r="AG133" i="5"/>
  <c r="AI135" i="5"/>
  <c r="AG145" i="5"/>
  <c r="AJ147" i="5"/>
  <c r="AJ148" i="5"/>
  <c r="AJ157" i="5"/>
  <c r="AI159" i="5"/>
  <c r="AK169" i="5"/>
  <c r="AI171" i="5"/>
  <c r="AI183" i="5"/>
  <c r="AM196" i="5"/>
  <c r="AM22" i="5"/>
  <c r="AI38" i="5"/>
  <c r="AL79" i="5"/>
  <c r="AG95" i="5"/>
  <c r="AH96" i="5"/>
  <c r="AJ97" i="5"/>
  <c r="AG116" i="5"/>
  <c r="AH118" i="5"/>
  <c r="AI121" i="5"/>
  <c r="AG132" i="5"/>
  <c r="AJ134" i="5"/>
  <c r="AI134" i="5"/>
  <c r="AI145" i="5"/>
  <c r="AK146" i="5"/>
  <c r="AL148" i="5"/>
  <c r="AM152" i="5"/>
  <c r="AM154" i="5"/>
  <c r="AK158" i="5"/>
  <c r="AN160" i="5"/>
  <c r="AM160" i="5"/>
  <c r="AK172" i="5"/>
  <c r="AJ180" i="5"/>
  <c r="AI181" i="5"/>
  <c r="AM189" i="5"/>
  <c r="AM190" i="5"/>
  <c r="AL194" i="5"/>
  <c r="AH26" i="5"/>
  <c r="AK39" i="5"/>
  <c r="AL39" i="5"/>
  <c r="AJ57" i="5"/>
  <c r="AM59" i="5"/>
  <c r="AM69" i="5"/>
  <c r="AJ73" i="5"/>
  <c r="AI76" i="5"/>
  <c r="AJ77" i="5"/>
  <c r="AJ78" i="5"/>
  <c r="AL11" i="5"/>
  <c r="AH16" i="5"/>
  <c r="AF18" i="5"/>
  <c r="AN22" i="5"/>
  <c r="AI30" i="5"/>
  <c r="AK31" i="5"/>
  <c r="AH32" i="5"/>
  <c r="AH36" i="5"/>
  <c r="AJ37" i="5"/>
  <c r="AJ38" i="5"/>
  <c r="AF52" i="5"/>
  <c r="AI56" i="5"/>
  <c r="AH64" i="5"/>
  <c r="AL71" i="5"/>
  <c r="AL72" i="5"/>
  <c r="AJ74" i="5"/>
  <c r="AH75" i="5"/>
  <c r="AK77" i="5"/>
  <c r="AM79" i="5"/>
  <c r="AI81" i="5"/>
  <c r="AL84" i="5"/>
  <c r="AJ87" i="5"/>
  <c r="AH89" i="5"/>
  <c r="AG90" i="5"/>
  <c r="AH91" i="5"/>
  <c r="AI93" i="5"/>
  <c r="AG94" i="5"/>
  <c r="AH95" i="5"/>
  <c r="AI96" i="5"/>
  <c r="AH116" i="5"/>
  <c r="AI117" i="5"/>
  <c r="AI118" i="5"/>
  <c r="AJ119" i="5"/>
  <c r="AH144" i="5"/>
  <c r="AM147" i="5"/>
  <c r="AN148" i="5"/>
  <c r="AM148" i="5"/>
  <c r="AI149" i="5"/>
  <c r="AL158" i="5"/>
  <c r="AM170" i="5"/>
  <c r="AL172" i="5"/>
  <c r="AM178" i="5"/>
  <c r="AJ181" i="5"/>
  <c r="AK182" i="5"/>
  <c r="AM198" i="5"/>
  <c r="AG6" i="5"/>
  <c r="AM15" i="5"/>
  <c r="AI17" i="5"/>
  <c r="AM23" i="5"/>
  <c r="AN24" i="5"/>
  <c r="AK25" i="5"/>
  <c r="AL26" i="5"/>
  <c r="AG31" i="5"/>
  <c r="AN36" i="5"/>
  <c r="AH43" i="5"/>
  <c r="AI44" i="5"/>
  <c r="AF48" i="5"/>
  <c r="AF49" i="5"/>
  <c r="AL60" i="5"/>
  <c r="AM61" i="5"/>
  <c r="AM62" i="5"/>
  <c r="AI64" i="5"/>
  <c r="AH68" i="5"/>
  <c r="AI69" i="5"/>
  <c r="AG71" i="5"/>
  <c r="AF87" i="5"/>
  <c r="AI99" i="5"/>
  <c r="AI104" i="5"/>
  <c r="AG105" i="5"/>
  <c r="AH107" i="5"/>
  <c r="AM115" i="5"/>
  <c r="AK118" i="5"/>
  <c r="AK120" i="5"/>
  <c r="AN132" i="5"/>
  <c r="AK134" i="5"/>
  <c r="AL135" i="5"/>
  <c r="AL149" i="5"/>
  <c r="AF155" i="5"/>
  <c r="AI167" i="5"/>
  <c r="AD170" i="5"/>
  <c r="AK175" i="5"/>
  <c r="AI176" i="5"/>
  <c r="AI177" i="5"/>
  <c r="AF179" i="5"/>
  <c r="AJ201" i="5"/>
  <c r="AN5" i="5"/>
  <c r="AI11" i="5"/>
  <c r="AK17" i="5"/>
  <c r="AK18" i="5"/>
  <c r="AM26" i="5"/>
  <c r="AJ28" i="5"/>
  <c r="AF32" i="5"/>
  <c r="AM41" i="5"/>
  <c r="AJ42" i="5"/>
  <c r="AL45" i="5"/>
  <c r="AI46" i="5"/>
  <c r="AH48" i="5"/>
  <c r="AN60" i="5"/>
  <c r="AK64" i="5"/>
  <c r="AL66" i="5"/>
  <c r="AI67" i="5"/>
  <c r="AF89" i="5"/>
  <c r="AF91" i="5"/>
  <c r="AF93" i="5"/>
  <c r="AM98" i="5"/>
  <c r="AM100" i="5"/>
  <c r="AI105" i="5"/>
  <c r="AN117" i="5"/>
  <c r="AM118" i="5"/>
  <c r="AH123" i="5"/>
  <c r="AM134" i="5"/>
  <c r="AL137" i="5"/>
  <c r="AM150" i="5"/>
  <c r="AF157" i="5"/>
  <c r="AN161" i="5"/>
  <c r="AN162" i="5"/>
  <c r="AN185" i="5"/>
  <c r="AF193" i="5"/>
  <c r="AN200" i="5"/>
  <c r="AL201" i="5"/>
  <c r="AF8" i="5"/>
  <c r="AL43" i="5"/>
  <c r="AK46" i="5"/>
  <c r="AD51" i="5"/>
  <c r="AF90" i="5"/>
  <c r="AF110" i="5"/>
  <c r="AJ123" i="5"/>
  <c r="AF130" i="5"/>
  <c r="AF142" i="5"/>
  <c r="AF171" i="5"/>
  <c r="X235" i="5"/>
  <c r="AK235" i="5" s="1"/>
  <c r="AF181" i="5"/>
  <c r="AH235" i="5"/>
  <c r="AJ114" i="5"/>
  <c r="AI116" i="5"/>
  <c r="AG119" i="5"/>
  <c r="AK127" i="5"/>
  <c r="AN147" i="5"/>
  <c r="AM158" i="5"/>
  <c r="AK160" i="5"/>
  <c r="AF165" i="5"/>
  <c r="AF166" i="5"/>
  <c r="AN170" i="5"/>
  <c r="AG174" i="5"/>
  <c r="AL181" i="5"/>
  <c r="AH184" i="5"/>
  <c r="AK197" i="5"/>
  <c r="AG200" i="5"/>
  <c r="AF201" i="5"/>
  <c r="AK199" i="5"/>
  <c r="AL15" i="5"/>
  <c r="AH17" i="5"/>
  <c r="AL23" i="5"/>
  <c r="AJ25" i="5"/>
  <c r="AG28" i="5"/>
  <c r="AN34" i="5"/>
  <c r="AG42" i="5"/>
  <c r="AK60" i="5"/>
  <c r="AH70" i="5"/>
  <c r="AN81" i="5"/>
  <c r="AL96" i="5"/>
  <c r="AH99" i="5"/>
  <c r="AH101" i="5"/>
  <c r="AG106" i="5"/>
  <c r="AK149" i="5"/>
  <c r="AI165" i="5"/>
  <c r="AL173" i="5"/>
  <c r="AJ175" i="5"/>
  <c r="AH176" i="5"/>
  <c r="AH188" i="5"/>
  <c r="AF190" i="5"/>
  <c r="AN198" i="5"/>
  <c r="AI201" i="5"/>
  <c r="AU13" i="7"/>
  <c r="AE42" i="6"/>
  <c r="AE37" i="6"/>
  <c r="AE185" i="5"/>
  <c r="AE186" i="5"/>
  <c r="AH88" i="9"/>
  <c r="AH45" i="9"/>
  <c r="AH256" i="7"/>
  <c r="AV256" i="7" s="1"/>
  <c r="AR192" i="7"/>
  <c r="AR93" i="7"/>
  <c r="AU17" i="7"/>
  <c r="AU21" i="7"/>
  <c r="AU28" i="7"/>
  <c r="AU9" i="7"/>
  <c r="AU18" i="7"/>
  <c r="AU29" i="7"/>
  <c r="AU10" i="7"/>
  <c r="AE19" i="6"/>
  <c r="AE32" i="6"/>
  <c r="AE191" i="5"/>
  <c r="AE35" i="5"/>
  <c r="AE181" i="5"/>
  <c r="AE145" i="5"/>
  <c r="AE147" i="5"/>
  <c r="AE24" i="5"/>
  <c r="AE198" i="5"/>
  <c r="AE5" i="5"/>
  <c r="AE96" i="5"/>
  <c r="AR34" i="7"/>
  <c r="AR215" i="7"/>
  <c r="AE13" i="6"/>
  <c r="AE35" i="6"/>
  <c r="AE29" i="6"/>
  <c r="AE23" i="6"/>
  <c r="AF50" i="6"/>
  <c r="AF198" i="6"/>
  <c r="AE20" i="6"/>
  <c r="AE27" i="6"/>
  <c r="AF34" i="5"/>
  <c r="AF59" i="5"/>
  <c r="AE159" i="5"/>
  <c r="AE45" i="5"/>
  <c r="AE149" i="5"/>
  <c r="AE138" i="5"/>
  <c r="AE139" i="5"/>
  <c r="AE123" i="5"/>
  <c r="AF11" i="5"/>
  <c r="AE21" i="5"/>
  <c r="AE99" i="5"/>
  <c r="AE48" i="5"/>
  <c r="AE49" i="5"/>
  <c r="AE195" i="5"/>
  <c r="AF147" i="5"/>
  <c r="AE150" i="5"/>
  <c r="AE174" i="5"/>
  <c r="AE111" i="5"/>
  <c r="AE110" i="5"/>
  <c r="AE39" i="5"/>
  <c r="AE81" i="5"/>
  <c r="AF25" i="5"/>
  <c r="AE80" i="5"/>
  <c r="AH110" i="9"/>
  <c r="AH66" i="9"/>
  <c r="AH24" i="9"/>
  <c r="AU16" i="7"/>
  <c r="AU20" i="7"/>
  <c r="AU24" i="7"/>
  <c r="AU43" i="7"/>
  <c r="AR110" i="7"/>
  <c r="AU14" i="7"/>
  <c r="AU37" i="7"/>
  <c r="AU41" i="7"/>
  <c r="AV15" i="7"/>
  <c r="AR230" i="7"/>
  <c r="AU22" i="7"/>
  <c r="AU25" i="7"/>
  <c r="AU32" i="7"/>
  <c r="AU39" i="7"/>
  <c r="AU44" i="7"/>
  <c r="AU36" i="7"/>
  <c r="AV39" i="7"/>
  <c r="AU40" i="7"/>
  <c r="AV51" i="7"/>
  <c r="AV98" i="7"/>
  <c r="AU26" i="7"/>
  <c r="AV54" i="7"/>
  <c r="AU5" i="7"/>
  <c r="AU8" i="7"/>
  <c r="AU30" i="7"/>
  <c r="AV108" i="7"/>
  <c r="AV116" i="7"/>
  <c r="AU34" i="7"/>
  <c r="AV48" i="7"/>
  <c r="AV61" i="7"/>
  <c r="AU6" i="7"/>
  <c r="AU12" i="7"/>
  <c r="AV86" i="7"/>
  <c r="AB134" i="6"/>
  <c r="AF166" i="6"/>
  <c r="AF39" i="6"/>
  <c r="AF140" i="6"/>
  <c r="AF76" i="6"/>
  <c r="AE31" i="6"/>
  <c r="AF74" i="6"/>
  <c r="AF27" i="6"/>
  <c r="AF81" i="6"/>
  <c r="AB169" i="6"/>
  <c r="AE12" i="6"/>
  <c r="AF34" i="6"/>
  <c r="AF144" i="6"/>
  <c r="AF42" i="6"/>
  <c r="AF31" i="6"/>
  <c r="AF172" i="6"/>
  <c r="AF143" i="6"/>
  <c r="AE7" i="6"/>
  <c r="AE8" i="6"/>
  <c r="AF132" i="6"/>
  <c r="AF160" i="6"/>
  <c r="AF64" i="6"/>
  <c r="AF156" i="6"/>
  <c r="AF46" i="6"/>
  <c r="AF23" i="6"/>
  <c r="AF35" i="6"/>
  <c r="AF95" i="6"/>
  <c r="AF7" i="6"/>
  <c r="AE39" i="6"/>
  <c r="AF58" i="6"/>
  <c r="AF54" i="6"/>
  <c r="AE15" i="6"/>
  <c r="AF38" i="6"/>
  <c r="AE41" i="6"/>
  <c r="AF112" i="6"/>
  <c r="AF151" i="6"/>
  <c r="AF25" i="6"/>
  <c r="R236" i="6"/>
  <c r="AF9" i="6"/>
  <c r="AE28" i="6"/>
  <c r="AF192" i="6"/>
  <c r="AF196" i="6"/>
  <c r="AE5" i="6"/>
  <c r="AE11" i="6"/>
  <c r="AE17" i="6"/>
  <c r="AF121" i="5"/>
  <c r="AF192" i="5"/>
  <c r="AF92" i="5"/>
  <c r="AF22" i="5"/>
  <c r="AF154" i="5"/>
  <c r="AF174" i="5"/>
  <c r="AE72" i="5"/>
  <c r="AE73" i="5"/>
  <c r="AE128" i="5"/>
  <c r="AF164" i="5"/>
  <c r="AE11" i="5"/>
  <c r="AE17" i="5"/>
  <c r="AE36" i="5"/>
  <c r="AF128" i="5"/>
  <c r="AE87" i="5"/>
  <c r="AE115" i="5"/>
  <c r="AE144" i="5"/>
  <c r="AE76" i="5"/>
  <c r="AE161" i="5"/>
  <c r="AE169" i="5"/>
  <c r="AE179" i="5"/>
  <c r="AE7" i="5"/>
  <c r="AE28" i="5"/>
  <c r="AE40" i="5"/>
  <c r="AE78" i="5"/>
  <c r="AE89" i="5"/>
  <c r="AE104" i="5"/>
  <c r="AE203" i="5"/>
  <c r="AF120" i="5"/>
  <c r="AF182" i="5"/>
  <c r="AE8" i="5"/>
  <c r="AE118" i="5"/>
  <c r="AE135" i="5"/>
  <c r="AF107" i="5"/>
  <c r="AE9" i="5"/>
  <c r="AF19" i="5"/>
  <c r="AE37" i="5"/>
  <c r="AE60" i="5"/>
  <c r="AE85" i="5"/>
  <c r="AE122" i="5"/>
  <c r="AF146" i="5"/>
  <c r="AF38" i="5"/>
  <c r="AF150" i="5"/>
  <c r="AF151" i="5"/>
  <c r="AF160" i="5"/>
  <c r="AF178" i="5"/>
  <c r="AF10" i="5"/>
  <c r="AE52" i="5"/>
  <c r="AE53" i="5"/>
  <c r="AE69" i="5"/>
  <c r="AF81" i="5"/>
  <c r="AE82" i="5"/>
  <c r="AE91" i="5"/>
  <c r="AE140" i="5"/>
  <c r="AE153" i="5"/>
  <c r="AF170" i="5"/>
  <c r="AF134" i="5"/>
  <c r="AF168" i="5"/>
  <c r="AF111" i="5"/>
  <c r="AF176" i="5"/>
  <c r="AF196" i="5"/>
  <c r="AF79" i="5"/>
  <c r="AF138" i="5"/>
  <c r="AF65" i="5"/>
  <c r="AF6" i="5"/>
  <c r="AF67" i="5"/>
  <c r="AF69" i="5"/>
  <c r="AB73" i="5"/>
  <c r="AE92" i="5"/>
  <c r="AB94" i="5"/>
  <c r="AB118" i="5"/>
  <c r="AE127" i="5"/>
  <c r="AF140" i="5"/>
  <c r="AE141" i="5"/>
  <c r="AE154" i="5"/>
  <c r="AF200" i="5"/>
  <c r="AF63" i="5"/>
  <c r="AF96" i="5"/>
  <c r="AF112" i="5"/>
  <c r="AF186" i="5"/>
  <c r="AF86" i="5"/>
  <c r="AF14" i="5"/>
  <c r="AE12" i="5"/>
  <c r="AE44" i="5"/>
  <c r="AF51" i="5"/>
  <c r="AE56" i="5"/>
  <c r="AE103" i="5"/>
  <c r="AE107" i="5"/>
  <c r="AE117" i="5"/>
  <c r="AF152" i="5"/>
  <c r="AF180" i="5"/>
  <c r="AF29" i="5"/>
  <c r="AF184" i="5"/>
  <c r="AF103" i="5"/>
  <c r="AF117" i="5"/>
  <c r="AF7" i="5"/>
  <c r="AF17" i="5"/>
  <c r="AE19" i="5"/>
  <c r="AF55" i="5"/>
  <c r="AF72" i="5"/>
  <c r="AF83" i="5"/>
  <c r="AE95" i="5"/>
  <c r="AE133" i="5"/>
  <c r="AE146" i="5"/>
  <c r="AF172" i="5"/>
  <c r="AF202" i="5"/>
  <c r="R235" i="5"/>
  <c r="AR190" i="7"/>
  <c r="AR28" i="7"/>
  <c r="AT22" i="7"/>
  <c r="AT25" i="7"/>
  <c r="AR8" i="7"/>
  <c r="AB230" i="6"/>
  <c r="AD182" i="5"/>
  <c r="AD49" i="5"/>
  <c r="AB50" i="5"/>
  <c r="AB53" i="5"/>
  <c r="AB166" i="5"/>
  <c r="AG45" i="9"/>
  <c r="AU33" i="7"/>
  <c r="AR139" i="7"/>
  <c r="AR155" i="7"/>
  <c r="AE38" i="5"/>
  <c r="AB26" i="5"/>
  <c r="AD44" i="5"/>
  <c r="AD28" i="5"/>
  <c r="AD36" i="5"/>
  <c r="AD76" i="5"/>
  <c r="AB98" i="5"/>
  <c r="AD180" i="5"/>
  <c r="AD142" i="5"/>
  <c r="AD12" i="5"/>
  <c r="AD184" i="5"/>
  <c r="AG110" i="9"/>
  <c r="AG88" i="9"/>
  <c r="AG66" i="9"/>
  <c r="AG24" i="9"/>
  <c r="AR183" i="7"/>
  <c r="AR252" i="7"/>
  <c r="AT44" i="7"/>
  <c r="AT8" i="7"/>
  <c r="AR26" i="7"/>
  <c r="AT30" i="7"/>
  <c r="AT40" i="7"/>
  <c r="AT13" i="7"/>
  <c r="AT37" i="7"/>
  <c r="AT10" i="7"/>
  <c r="AT16" i="7"/>
  <c r="AT34" i="7"/>
  <c r="AR91" i="7"/>
  <c r="AR178" i="7"/>
  <c r="AR103" i="7"/>
  <c r="AG256" i="7"/>
  <c r="AT20" i="7"/>
  <c r="AR198" i="7"/>
  <c r="AR214" i="7"/>
  <c r="AT24" i="7"/>
  <c r="AD21" i="6"/>
  <c r="AB125" i="6"/>
  <c r="AB61" i="6"/>
  <c r="AB62" i="6"/>
  <c r="AE14" i="6"/>
  <c r="AD35" i="6"/>
  <c r="AB94" i="6"/>
  <c r="AD31" i="6"/>
  <c r="AD39" i="6"/>
  <c r="AD41" i="6"/>
  <c r="AB68" i="6"/>
  <c r="AB205" i="6"/>
  <c r="AD37" i="6"/>
  <c r="AD7" i="6"/>
  <c r="AD8" i="6"/>
  <c r="AB215" i="5"/>
  <c r="AD111" i="5"/>
  <c r="AD112" i="5"/>
  <c r="AD202" i="5"/>
  <c r="AD15" i="5"/>
  <c r="AD138" i="5"/>
  <c r="AD53" i="5"/>
  <c r="AD67" i="5"/>
  <c r="AE113" i="5"/>
  <c r="AD125" i="5"/>
  <c r="AD150" i="5"/>
  <c r="AB43" i="5"/>
  <c r="AD56" i="5"/>
  <c r="AD107" i="5"/>
  <c r="AD117" i="5"/>
  <c r="AD188" i="5"/>
  <c r="AD47" i="5"/>
  <c r="AE108" i="5"/>
  <c r="AD120" i="5"/>
  <c r="AD172" i="5"/>
  <c r="AB58" i="5"/>
  <c r="AD59" i="5"/>
  <c r="AD72" i="5"/>
  <c r="AD73" i="5"/>
  <c r="AD192" i="5"/>
  <c r="AD176" i="5"/>
  <c r="AD14" i="5"/>
  <c r="AD160" i="5"/>
  <c r="AD178" i="5"/>
  <c r="AD11" i="5"/>
  <c r="AD132" i="5"/>
  <c r="AD7" i="5"/>
  <c r="AE30" i="5"/>
  <c r="AD78" i="5"/>
  <c r="AD198" i="5"/>
  <c r="AD146" i="5"/>
  <c r="AD100" i="5"/>
  <c r="AD164" i="5"/>
  <c r="AD156" i="5"/>
  <c r="AD166" i="5"/>
  <c r="AT6" i="7"/>
  <c r="AT28" i="7"/>
  <c r="AR59" i="7"/>
  <c r="AR95" i="7"/>
  <c r="AU42" i="7"/>
  <c r="AT21" i="7"/>
  <c r="AT41" i="7"/>
  <c r="AR36" i="7"/>
  <c r="AT9" i="7"/>
  <c r="AR24" i="7"/>
  <c r="AT36" i="7"/>
  <c r="AT39" i="7"/>
  <c r="AU35" i="7"/>
  <c r="AT12" i="7"/>
  <c r="AT43" i="7"/>
  <c r="AR13" i="7"/>
  <c r="AR210" i="7"/>
  <c r="AT14" i="7"/>
  <c r="AT26" i="7"/>
  <c r="AT29" i="7"/>
  <c r="AT5" i="7"/>
  <c r="AT17" i="7"/>
  <c r="AT32" i="7"/>
  <c r="Q236" i="6"/>
  <c r="AD236" i="6" s="1"/>
  <c r="AB58" i="6"/>
  <c r="AB116" i="6"/>
  <c r="AB128" i="6"/>
  <c r="AB200" i="6"/>
  <c r="AD17" i="6"/>
  <c r="AD27" i="6"/>
  <c r="AD44" i="6"/>
  <c r="AD12" i="6"/>
  <c r="AD23" i="6"/>
  <c r="AD28" i="6"/>
  <c r="AB232" i="6"/>
  <c r="AB35" i="6"/>
  <c r="AB92" i="6"/>
  <c r="AB231" i="6"/>
  <c r="AB7" i="6"/>
  <c r="AD24" i="6"/>
  <c r="AB47" i="6"/>
  <c r="AE6" i="6"/>
  <c r="AE21" i="6"/>
  <c r="AB144" i="6"/>
  <c r="AB153" i="6"/>
  <c r="AB13" i="6"/>
  <c r="AD32" i="6"/>
  <c r="AD42" i="6"/>
  <c r="AB210" i="6"/>
  <c r="AB218" i="6"/>
  <c r="AB226" i="6"/>
  <c r="AE38" i="6"/>
  <c r="AD5" i="6"/>
  <c r="AB174" i="6"/>
  <c r="AD19" i="6"/>
  <c r="AD20" i="6"/>
  <c r="AD11" i="6"/>
  <c r="AD15" i="6"/>
  <c r="AD36" i="6"/>
  <c r="AE94" i="5"/>
  <c r="AE196" i="5"/>
  <c r="AE125" i="5"/>
  <c r="AD105" i="5"/>
  <c r="AE126" i="5"/>
  <c r="AE116" i="5"/>
  <c r="AD43" i="5"/>
  <c r="AD45" i="5"/>
  <c r="AB81" i="5"/>
  <c r="AD200" i="5"/>
  <c r="AE47" i="5"/>
  <c r="AD48" i="5"/>
  <c r="AB213" i="5"/>
  <c r="AB221" i="5"/>
  <c r="AE109" i="5"/>
  <c r="AE183" i="5"/>
  <c r="AD30" i="5"/>
  <c r="AD60" i="5"/>
  <c r="AE90" i="5"/>
  <c r="AE167" i="5"/>
  <c r="AE10" i="5"/>
  <c r="AE88" i="5"/>
  <c r="AD8" i="5"/>
  <c r="AD99" i="5"/>
  <c r="AD186" i="5"/>
  <c r="AD194" i="5"/>
  <c r="AB196" i="5"/>
  <c r="AB220" i="5"/>
  <c r="AE132" i="5"/>
  <c r="AE6" i="5"/>
  <c r="AD17" i="5"/>
  <c r="AD18" i="5"/>
  <c r="AD40" i="5"/>
  <c r="AB180" i="5"/>
  <c r="AE194" i="5"/>
  <c r="AD196" i="5"/>
  <c r="AB227" i="5"/>
  <c r="AB112" i="5"/>
  <c r="AE155" i="5"/>
  <c r="AE180" i="5"/>
  <c r="AE54" i="5"/>
  <c r="AD55" i="5"/>
  <c r="AE67" i="5"/>
  <c r="AD70" i="5"/>
  <c r="AE101" i="5"/>
  <c r="AE112" i="5"/>
  <c r="AD158" i="5"/>
  <c r="AD168" i="5"/>
  <c r="AD174" i="5"/>
  <c r="AD190" i="5"/>
  <c r="AE119" i="5"/>
  <c r="AE130" i="5"/>
  <c r="AE162" i="5"/>
  <c r="AE42" i="5"/>
  <c r="AE163" i="5"/>
  <c r="AB70" i="5"/>
  <c r="AD23" i="5"/>
  <c r="AD24" i="5"/>
  <c r="AE55" i="5"/>
  <c r="AE70" i="5"/>
  <c r="AE84" i="5"/>
  <c r="AD95" i="5"/>
  <c r="AD103" i="5"/>
  <c r="AD123" i="5"/>
  <c r="AD135" i="5"/>
  <c r="AE158" i="5"/>
  <c r="AE168" i="5"/>
  <c r="AE190" i="5"/>
  <c r="AE199" i="5"/>
  <c r="AE57" i="5"/>
  <c r="AD80" i="5"/>
  <c r="AD87" i="5"/>
  <c r="AD134" i="5"/>
  <c r="AE182" i="5"/>
  <c r="AB192" i="5"/>
  <c r="AE200" i="5"/>
  <c r="AE43" i="5"/>
  <c r="AE75" i="5"/>
  <c r="AE100" i="5"/>
  <c r="AE164" i="5"/>
  <c r="AD32" i="5"/>
  <c r="AE59" i="5"/>
  <c r="AB60" i="5"/>
  <c r="AB105" i="5"/>
  <c r="AE51" i="5"/>
  <c r="AB189" i="5"/>
  <c r="AE172" i="5"/>
  <c r="AE66" i="5"/>
  <c r="AE120" i="5"/>
  <c r="AE131" i="5"/>
  <c r="AE156" i="5"/>
  <c r="AE13" i="5"/>
  <c r="AE32" i="5"/>
  <c r="AE33" i="5"/>
  <c r="AE176" i="5"/>
  <c r="AE192" i="5"/>
  <c r="AD26" i="5"/>
  <c r="AE61" i="5"/>
  <c r="AD63" i="5"/>
  <c r="AD96" i="5"/>
  <c r="AE105" i="5"/>
  <c r="AD144" i="5"/>
  <c r="AD152" i="5"/>
  <c r="AE160" i="5"/>
  <c r="AE184" i="5"/>
  <c r="AE202" i="5"/>
  <c r="AE14" i="5"/>
  <c r="AE65" i="5"/>
  <c r="AE29" i="5"/>
  <c r="AE188" i="5"/>
  <c r="AE16" i="5"/>
  <c r="AB55" i="5"/>
  <c r="AD115" i="5"/>
  <c r="AE134" i="5"/>
  <c r="AD154" i="5"/>
  <c r="Q235" i="5"/>
  <c r="AE136" i="5"/>
  <c r="AE142" i="5"/>
  <c r="AD20" i="5"/>
  <c r="AD21" i="5"/>
  <c r="AE25" i="5"/>
  <c r="AE63" i="5"/>
  <c r="AD68" i="5"/>
  <c r="AD91" i="5"/>
  <c r="AE152" i="5"/>
  <c r="AE170" i="5"/>
  <c r="AE178" i="5"/>
  <c r="AD34" i="5"/>
  <c r="AD64" i="5"/>
  <c r="AD119" i="5"/>
  <c r="AD127" i="5"/>
  <c r="AD128" i="5"/>
  <c r="AD130" i="5"/>
  <c r="AD139" i="5"/>
  <c r="AD162" i="5"/>
  <c r="AF45" i="9"/>
  <c r="AR182" i="7"/>
  <c r="AR17" i="7"/>
  <c r="AR172" i="7"/>
  <c r="AR239" i="7"/>
  <c r="AR22" i="7"/>
  <c r="AR43" i="7"/>
  <c r="AR253" i="7"/>
  <c r="AR87" i="7"/>
  <c r="AR153" i="7"/>
  <c r="AR116" i="7"/>
  <c r="AR147" i="7"/>
  <c r="AR69" i="7"/>
  <c r="AR122" i="7"/>
  <c r="AR163" i="7"/>
  <c r="AR42" i="7"/>
  <c r="AR82" i="7"/>
  <c r="AR39" i="7"/>
  <c r="AR16" i="7"/>
  <c r="AR5" i="7"/>
  <c r="AR25" i="7"/>
  <c r="AR37" i="7"/>
  <c r="AR55" i="7"/>
  <c r="AR159" i="7"/>
  <c r="AR238" i="7"/>
  <c r="AR194" i="7"/>
  <c r="AR221" i="7"/>
  <c r="AR84" i="7"/>
  <c r="AR71" i="7"/>
  <c r="AR72" i="7"/>
  <c r="AR126" i="7"/>
  <c r="AR151" i="7"/>
  <c r="AR171" i="7"/>
  <c r="AR29" i="7"/>
  <c r="AR48" i="7"/>
  <c r="AR167" i="7"/>
  <c r="AR188" i="7"/>
  <c r="AB188" i="6"/>
  <c r="AB79" i="6"/>
  <c r="AB132" i="6"/>
  <c r="AB34" i="6"/>
  <c r="AB50" i="6"/>
  <c r="AB51" i="6"/>
  <c r="AB93" i="6"/>
  <c r="AB100" i="6"/>
  <c r="AB229" i="6"/>
  <c r="AB28" i="6"/>
  <c r="AB204" i="6"/>
  <c r="AB36" i="6"/>
  <c r="AB21" i="6"/>
  <c r="AB118" i="6"/>
  <c r="AB112" i="6"/>
  <c r="AB168" i="6"/>
  <c r="AB233" i="6"/>
  <c r="AB142" i="6"/>
  <c r="AB215" i="6"/>
  <c r="AB48" i="6"/>
  <c r="AB83" i="6"/>
  <c r="AB213" i="6"/>
  <c r="AB24" i="6"/>
  <c r="AB39" i="6"/>
  <c r="AB96" i="6"/>
  <c r="AB176" i="6"/>
  <c r="AB5" i="6"/>
  <c r="AB127" i="5"/>
  <c r="AB229" i="5"/>
  <c r="AB36" i="5"/>
  <c r="AB93" i="5"/>
  <c r="AB212" i="5"/>
  <c r="AB77" i="5"/>
  <c r="AB211" i="5"/>
  <c r="AB71" i="5"/>
  <c r="AB142" i="5"/>
  <c r="AB20" i="5"/>
  <c r="AB41" i="5"/>
  <c r="AB144" i="5"/>
  <c r="AB194" i="5"/>
  <c r="AB28" i="5"/>
  <c r="AB42" i="5"/>
  <c r="AB150" i="5"/>
  <c r="AB176" i="5"/>
  <c r="AB54" i="5"/>
  <c r="AB109" i="5"/>
  <c r="AB184" i="5"/>
  <c r="AB92" i="5"/>
  <c r="AB139" i="5"/>
  <c r="AB231" i="5"/>
  <c r="AD118" i="5"/>
  <c r="AB10" i="5"/>
  <c r="AB84" i="5"/>
  <c r="AB188" i="5"/>
  <c r="AB204" i="5"/>
  <c r="AR47" i="7"/>
  <c r="AR44" i="7"/>
  <c r="AR212" i="7"/>
  <c r="AR161" i="7"/>
  <c r="AR12" i="7"/>
  <c r="AR102" i="7"/>
  <c r="AR152" i="7"/>
  <c r="AR237" i="7"/>
  <c r="AR11" i="7"/>
  <c r="AR143" i="7"/>
  <c r="AR213" i="7"/>
  <c r="AR224" i="7"/>
  <c r="AR56" i="7"/>
  <c r="AR175" i="7"/>
  <c r="AR222" i="7"/>
  <c r="AR52" i="7"/>
  <c r="AR241" i="7"/>
  <c r="AR223" i="7"/>
  <c r="AR240" i="7"/>
  <c r="AR57" i="7"/>
  <c r="AR131" i="7"/>
  <c r="AR146" i="7"/>
  <c r="AR20" i="7"/>
  <c r="AR50" i="7"/>
  <c r="AR18" i="7"/>
  <c r="AR107" i="7"/>
  <c r="AR90" i="7"/>
  <c r="AR200" i="7"/>
  <c r="AR191" i="7"/>
  <c r="AR229" i="7"/>
  <c r="AR75" i="7"/>
  <c r="AR251" i="7"/>
  <c r="AT31" i="7"/>
  <c r="AR83" i="7"/>
  <c r="AR9" i="7"/>
  <c r="AT11" i="7"/>
  <c r="AR89" i="7"/>
  <c r="AR174" i="7"/>
  <c r="AB42" i="6"/>
  <c r="AB114" i="6"/>
  <c r="AB14" i="6"/>
  <c r="AB25" i="6"/>
  <c r="AB40" i="6"/>
  <c r="AB44" i="6"/>
  <c r="AB88" i="6"/>
  <c r="AB89" i="6"/>
  <c r="AB101" i="6"/>
  <c r="AB166" i="6"/>
  <c r="AB185" i="6"/>
  <c r="AB216" i="6"/>
  <c r="AB84" i="6"/>
  <c r="AB102" i="6"/>
  <c r="AB196" i="6"/>
  <c r="AB64" i="6"/>
  <c r="AB180" i="6"/>
  <c r="AB198" i="6"/>
  <c r="AB138" i="6"/>
  <c r="AB160" i="6"/>
  <c r="AB30" i="6"/>
  <c r="AB91" i="6"/>
  <c r="AB221" i="6"/>
  <c r="AB209" i="6"/>
  <c r="AB122" i="6"/>
  <c r="AB129" i="6"/>
  <c r="AB143" i="6"/>
  <c r="AB75" i="6"/>
  <c r="AB97" i="6"/>
  <c r="AB74" i="6"/>
  <c r="AB145" i="6"/>
  <c r="AB57" i="6"/>
  <c r="AB10" i="6"/>
  <c r="AB225" i="6"/>
  <c r="AB17" i="6"/>
  <c r="AB55" i="6"/>
  <c r="AB214" i="6"/>
  <c r="AB32" i="6"/>
  <c r="AB67" i="6"/>
  <c r="AB140" i="6"/>
  <c r="AB178" i="6"/>
  <c r="AB211" i="6"/>
  <c r="AB227" i="6"/>
  <c r="AD9" i="6"/>
  <c r="AD38" i="6"/>
  <c r="AB41" i="6"/>
  <c r="AB126" i="6"/>
  <c r="AB184" i="6"/>
  <c r="AB54" i="6"/>
  <c r="AB164" i="6"/>
  <c r="AB219" i="6"/>
  <c r="AD29" i="6"/>
  <c r="AB31" i="6"/>
  <c r="AB235" i="6"/>
  <c r="AB27" i="6"/>
  <c r="AB136" i="6"/>
  <c r="AB192" i="6"/>
  <c r="AB230" i="5"/>
  <c r="AB44" i="5"/>
  <c r="AB86" i="5"/>
  <c r="AB123" i="5"/>
  <c r="AB168" i="5"/>
  <c r="AD5" i="5"/>
  <c r="AB45" i="5"/>
  <c r="AB228" i="5"/>
  <c r="AB11" i="5"/>
  <c r="AB132" i="5"/>
  <c r="AB172" i="5"/>
  <c r="AB133" i="5"/>
  <c r="AB96" i="5"/>
  <c r="AB124" i="5"/>
  <c r="AB143" i="5"/>
  <c r="AB190" i="5"/>
  <c r="AB219" i="5"/>
  <c r="AB97" i="5"/>
  <c r="AB125" i="5"/>
  <c r="AB39" i="5"/>
  <c r="AB46" i="5"/>
  <c r="AB218" i="5"/>
  <c r="AB6" i="5"/>
  <c r="AB47" i="5"/>
  <c r="AB152" i="5"/>
  <c r="AB17" i="5"/>
  <c r="AB56" i="5"/>
  <c r="AB140" i="5"/>
  <c r="AB164" i="5"/>
  <c r="AB102" i="5"/>
  <c r="AB222" i="5"/>
  <c r="AB205" i="5"/>
  <c r="AB18" i="5"/>
  <c r="AB35" i="5"/>
  <c r="AB57" i="5"/>
  <c r="AB131" i="5"/>
  <c r="AB155" i="5"/>
  <c r="AD141" i="5"/>
  <c r="AD167" i="5"/>
  <c r="P235" i="5"/>
  <c r="AD16" i="5"/>
  <c r="AD57" i="5"/>
  <c r="AD37" i="5"/>
  <c r="AD38" i="5"/>
  <c r="AD116" i="5"/>
  <c r="AB88" i="5"/>
  <c r="AB134" i="5"/>
  <c r="AF110" i="9"/>
  <c r="AF88" i="9"/>
  <c r="AF66" i="9"/>
  <c r="AF24" i="9"/>
  <c r="AR23" i="7"/>
  <c r="AR67" i="7"/>
  <c r="AR130" i="7"/>
  <c r="AR134" i="7"/>
  <c r="AR168" i="7"/>
  <c r="AR61" i="7"/>
  <c r="AR184" i="7"/>
  <c r="AF256" i="7"/>
  <c r="AR21" i="7"/>
  <c r="AR40" i="7"/>
  <c r="AR49" i="7"/>
  <c r="AR66" i="7"/>
  <c r="AR78" i="7"/>
  <c r="AR96" i="7"/>
  <c r="AR124" i="7"/>
  <c r="AR136" i="7"/>
  <c r="AR32" i="7"/>
  <c r="AR46" i="7"/>
  <c r="AR58" i="7"/>
  <c r="AR97" i="7"/>
  <c r="AR206" i="7"/>
  <c r="AR255" i="7"/>
  <c r="AR74" i="7"/>
  <c r="AR30" i="7"/>
  <c r="AR62" i="7"/>
  <c r="AR79" i="7"/>
  <c r="AR80" i="7"/>
  <c r="AR92" i="7"/>
  <c r="AR108" i="7"/>
  <c r="AR113" i="7"/>
  <c r="AR118" i="7"/>
  <c r="AR120" i="7"/>
  <c r="AR160" i="7"/>
  <c r="AR180" i="7"/>
  <c r="AR202" i="7"/>
  <c r="AR216" i="7"/>
  <c r="AR254" i="7"/>
  <c r="AR35" i="7"/>
  <c r="AR27" i="7"/>
  <c r="AR33" i="7"/>
  <c r="AR54" i="7"/>
  <c r="AR81" i="7"/>
  <c r="AR86" i="7"/>
  <c r="AR114" i="7"/>
  <c r="AR170" i="7"/>
  <c r="AR203" i="7"/>
  <c r="AR51" i="7"/>
  <c r="AR64" i="7"/>
  <c r="AR70" i="7"/>
  <c r="AR94" i="7"/>
  <c r="AR98" i="7"/>
  <c r="AR99" i="7"/>
  <c r="AR104" i="7"/>
  <c r="AR115" i="7"/>
  <c r="AR127" i="7"/>
  <c r="AR128" i="7"/>
  <c r="AR196" i="7"/>
  <c r="AR76" i="7"/>
  <c r="AR140" i="7"/>
  <c r="AR157" i="7"/>
  <c r="AR186" i="7"/>
  <c r="AR31" i="7"/>
  <c r="AR45" i="7"/>
  <c r="AR77" i="7"/>
  <c r="AR106" i="7"/>
  <c r="AR14" i="7"/>
  <c r="AR179" i="7"/>
  <c r="AR7" i="7"/>
  <c r="AR19" i="7"/>
  <c r="AR166" i="7"/>
  <c r="AR225" i="7"/>
  <c r="AT42" i="7"/>
  <c r="AR148" i="7"/>
  <c r="AR88" i="7"/>
  <c r="AR117" i="7"/>
  <c r="AR125" i="7"/>
  <c r="AR15" i="7"/>
  <c r="AR144" i="7"/>
  <c r="AT45" i="7"/>
  <c r="AR112" i="7"/>
  <c r="AR177" i="7"/>
  <c r="AR109" i="7"/>
  <c r="AB33" i="6"/>
  <c r="AB46" i="6"/>
  <c r="AB170" i="6"/>
  <c r="AB106" i="6"/>
  <c r="AB12" i="6"/>
  <c r="AB52" i="6"/>
  <c r="AB90" i="6"/>
  <c r="AB113" i="6"/>
  <c r="AB124" i="6"/>
  <c r="AB212" i="6"/>
  <c r="AB8" i="6"/>
  <c r="AB161" i="6"/>
  <c r="AB220" i="6"/>
  <c r="AB76" i="6"/>
  <c r="AB148" i="6"/>
  <c r="AB149" i="6"/>
  <c r="AB156" i="6"/>
  <c r="AB173" i="6"/>
  <c r="AB228" i="6"/>
  <c r="AB9" i="6"/>
  <c r="AB23" i="6"/>
  <c r="AB108" i="6"/>
  <c r="AB150" i="6"/>
  <c r="AB172" i="6"/>
  <c r="AB182" i="6"/>
  <c r="AB193" i="6"/>
  <c r="AB217" i="6"/>
  <c r="AB59" i="6"/>
  <c r="AB86" i="6"/>
  <c r="AB120" i="6"/>
  <c r="AB130" i="6"/>
  <c r="AB19" i="6"/>
  <c r="AB56" i="6"/>
  <c r="AB104" i="6"/>
  <c r="AB117" i="6"/>
  <c r="AB152" i="6"/>
  <c r="AB190" i="6"/>
  <c r="AD13" i="6"/>
  <c r="AB72" i="6"/>
  <c r="AB135" i="6"/>
  <c r="AB189" i="6"/>
  <c r="AD6" i="6"/>
  <c r="AD33" i="6"/>
  <c r="AB26" i="6"/>
  <c r="AB137" i="6"/>
  <c r="AB81" i="6"/>
  <c r="AB157" i="6"/>
  <c r="AB38" i="6"/>
  <c r="AB103" i="6"/>
  <c r="AD14" i="6"/>
  <c r="AD34" i="6"/>
  <c r="AB177" i="6"/>
  <c r="AB70" i="6"/>
  <c r="AB69" i="6"/>
  <c r="AB197" i="6"/>
  <c r="AB121" i="6"/>
  <c r="AB234" i="6"/>
  <c r="AB16" i="6"/>
  <c r="AB20" i="6"/>
  <c r="AB71" i="6"/>
  <c r="AB141" i="6"/>
  <c r="AB40" i="5"/>
  <c r="AB206" i="5"/>
  <c r="AB62" i="5"/>
  <c r="AB72" i="5"/>
  <c r="AB126" i="5"/>
  <c r="AB136" i="5"/>
  <c r="AB234" i="5"/>
  <c r="AB120" i="5"/>
  <c r="AB121" i="5"/>
  <c r="AB156" i="5"/>
  <c r="AB214" i="5"/>
  <c r="AD62" i="5"/>
  <c r="AB64" i="5"/>
  <c r="AD101" i="5"/>
  <c r="AD126" i="5"/>
  <c r="AD183" i="5"/>
  <c r="AB128" i="5"/>
  <c r="AB158" i="5"/>
  <c r="AD22" i="5"/>
  <c r="AB23" i="5"/>
  <c r="AB65" i="5"/>
  <c r="AD102" i="5"/>
  <c r="AB113" i="5"/>
  <c r="AD6" i="5"/>
  <c r="AD13" i="5"/>
  <c r="AB7" i="5"/>
  <c r="AB68" i="5"/>
  <c r="AD143" i="5"/>
  <c r="AB200" i="5"/>
  <c r="AB210" i="5"/>
  <c r="AD31" i="5"/>
  <c r="AB83" i="5"/>
  <c r="AD88" i="5"/>
  <c r="AD114" i="5"/>
  <c r="AD131" i="5"/>
  <c r="AB146" i="5"/>
  <c r="AB160" i="5"/>
  <c r="AB8" i="5"/>
  <c r="AB15" i="5"/>
  <c r="AB32" i="5"/>
  <c r="AB69" i="5"/>
  <c r="AB174" i="5"/>
  <c r="AD83" i="5"/>
  <c r="AD90" i="5"/>
  <c r="AB12" i="5"/>
  <c r="AD69" i="5"/>
  <c r="AB100" i="5"/>
  <c r="AB117" i="5"/>
  <c r="AB148" i="5"/>
  <c r="AD201" i="5"/>
  <c r="AB108" i="5"/>
  <c r="AD121" i="5"/>
  <c r="AD140" i="5"/>
  <c r="AB165" i="5"/>
  <c r="AD199" i="5"/>
  <c r="AD84" i="5"/>
  <c r="AB67" i="5"/>
  <c r="AD74" i="5"/>
  <c r="AD81" i="5"/>
  <c r="AD106" i="5"/>
  <c r="AD113" i="5"/>
  <c r="AD175" i="5"/>
  <c r="AD29" i="5"/>
  <c r="AD35" i="5"/>
  <c r="AD66" i="5"/>
  <c r="AD93" i="5"/>
  <c r="AD9" i="5"/>
  <c r="AB51" i="5"/>
  <c r="AB52" i="5"/>
  <c r="AD58" i="5"/>
  <c r="AB87" i="5"/>
  <c r="AB99" i="5"/>
  <c r="AB141" i="5"/>
  <c r="AD98" i="5"/>
  <c r="AB30" i="5"/>
  <c r="AB31" i="5"/>
  <c r="AD46" i="5"/>
  <c r="AB75" i="5"/>
  <c r="AD94" i="5"/>
  <c r="AB183" i="5"/>
  <c r="AB34" i="5"/>
  <c r="AB9" i="5"/>
  <c r="AB61" i="5"/>
  <c r="AD86" i="5"/>
  <c r="AB195" i="5"/>
  <c r="AD25" i="5"/>
  <c r="AB63" i="5"/>
  <c r="AD77" i="5"/>
  <c r="AD137" i="5"/>
  <c r="AD149" i="5"/>
  <c r="AD155" i="5"/>
  <c r="AD179" i="5"/>
  <c r="AD203" i="5"/>
  <c r="AB59" i="5"/>
  <c r="AD92" i="5"/>
  <c r="H235" i="5"/>
  <c r="AD10" i="5"/>
  <c r="AB27" i="5"/>
  <c r="AB5" i="5"/>
  <c r="AB22" i="5"/>
  <c r="AB38" i="5"/>
  <c r="AB49" i="5"/>
  <c r="AD71" i="5"/>
  <c r="AB90" i="5"/>
  <c r="AB119" i="5"/>
  <c r="AD27" i="5"/>
  <c r="AD33" i="5"/>
  <c r="AD39" i="5"/>
  <c r="AD151" i="5"/>
  <c r="AB14" i="5"/>
  <c r="AB19" i="5"/>
  <c r="AD79" i="5"/>
  <c r="AB107" i="5"/>
  <c r="AB163" i="5"/>
  <c r="AD169" i="5"/>
  <c r="AB175" i="5"/>
  <c r="AT27" i="7"/>
  <c r="BD5" i="7"/>
  <c r="AT23" i="7"/>
  <c r="BA150" i="7"/>
  <c r="BB150" i="7"/>
  <c r="AZ20" i="7"/>
  <c r="BA20" i="7"/>
  <c r="BC55" i="7"/>
  <c r="BD139" i="7"/>
  <c r="BA79" i="7"/>
  <c r="AZ39" i="7"/>
  <c r="AV42" i="7"/>
  <c r="BB79" i="7"/>
  <c r="AR6" i="7"/>
  <c r="AZ28" i="7"/>
  <c r="BA28" i="7"/>
  <c r="AR38" i="7"/>
  <c r="AX12" i="7"/>
  <c r="AW194" i="7"/>
  <c r="AZ52" i="7"/>
  <c r="AV31" i="7"/>
  <c r="AW31" i="7"/>
  <c r="AZ66" i="7"/>
  <c r="BC5" i="7"/>
  <c r="BA66" i="7"/>
  <c r="BA52" i="7"/>
  <c r="BA46" i="7"/>
  <c r="AZ49" i="7"/>
  <c r="AU27" i="7"/>
  <c r="AX59" i="7"/>
  <c r="AY59" i="7"/>
  <c r="BC168" i="7"/>
  <c r="BB46" i="7"/>
  <c r="BD97" i="7"/>
  <c r="BC97" i="7"/>
  <c r="AZ16" i="7"/>
  <c r="BA16" i="7"/>
  <c r="AY93" i="7"/>
  <c r="AZ93" i="7"/>
  <c r="AV82" i="7"/>
  <c r="AV35" i="7"/>
  <c r="AW35" i="7"/>
  <c r="AU31" i="7"/>
  <c r="BA124" i="7"/>
  <c r="BA88" i="7"/>
  <c r="AZ105" i="7"/>
  <c r="AY105" i="7"/>
  <c r="BA133" i="7"/>
  <c r="BB133" i="7"/>
  <c r="BC9" i="7"/>
  <c r="AY20" i="7"/>
  <c r="AZ24" i="7"/>
  <c r="AT35" i="7"/>
  <c r="AX39" i="7"/>
  <c r="AZ46" i="7"/>
  <c r="AV56" i="7"/>
  <c r="AZ79" i="7"/>
  <c r="BB88" i="7"/>
  <c r="AV110" i="7"/>
  <c r="AW110" i="7"/>
  <c r="AR132" i="7"/>
  <c r="AY12" i="7"/>
  <c r="AU23" i="7"/>
  <c r="AV27" i="7"/>
  <c r="AW42" i="7"/>
  <c r="BB49" i="7"/>
  <c r="BA49" i="7"/>
  <c r="BB52" i="7"/>
  <c r="BD55" i="7"/>
  <c r="BA62" i="7"/>
  <c r="AR65" i="7"/>
  <c r="BB66" i="7"/>
  <c r="AR149" i="7"/>
  <c r="BD168" i="7"/>
  <c r="AZ186" i="7"/>
  <c r="AW192" i="7"/>
  <c r="AW208" i="7"/>
  <c r="AX8" i="7"/>
  <c r="AZ12" i="7"/>
  <c r="AT19" i="7"/>
  <c r="AV23" i="7"/>
  <c r="AT38" i="7"/>
  <c r="AX42" i="7"/>
  <c r="AU45" i="7"/>
  <c r="BC52" i="7"/>
  <c r="BB62" i="7"/>
  <c r="BA68" i="7"/>
  <c r="BD120" i="7"/>
  <c r="BA121" i="7"/>
  <c r="AZ121" i="7"/>
  <c r="BA186" i="7"/>
  <c r="AR189" i="7"/>
  <c r="AZ190" i="7"/>
  <c r="AY8" i="7"/>
  <c r="AU19" i="7"/>
  <c r="BB33" i="7"/>
  <c r="AU38" i="7"/>
  <c r="AR41" i="7"/>
  <c r="AY42" i="7"/>
  <c r="AV45" i="7"/>
  <c r="BC62" i="7"/>
  <c r="BB68" i="7"/>
  <c r="BC68" i="7"/>
  <c r="BA81" i="7"/>
  <c r="BB81" i="7"/>
  <c r="AW86" i="7"/>
  <c r="AW113" i="7"/>
  <c r="AV113" i="7"/>
  <c r="AR145" i="7"/>
  <c r="BB186" i="7"/>
  <c r="AZ8" i="7"/>
  <c r="AT15" i="7"/>
  <c r="AV19" i="7"/>
  <c r="BB29" i="7"/>
  <c r="BC33" i="7"/>
  <c r="BD37" i="7"/>
  <c r="AW45" i="7"/>
  <c r="BD62" i="7"/>
  <c r="BD72" i="7"/>
  <c r="AX73" i="7"/>
  <c r="AX86" i="7"/>
  <c r="AR101" i="7"/>
  <c r="AV128" i="7"/>
  <c r="AV137" i="7"/>
  <c r="AU15" i="7"/>
  <c r="BB25" i="7"/>
  <c r="BC29" i="7"/>
  <c r="BD33" i="7"/>
  <c r="AZ57" i="7"/>
  <c r="AZ73" i="7"/>
  <c r="AY73" i="7"/>
  <c r="BD81" i="7"/>
  <c r="BC81" i="7"/>
  <c r="AY113" i="7"/>
  <c r="AX113" i="7"/>
  <c r="AW128" i="7"/>
  <c r="AW137" i="7"/>
  <c r="AZ207" i="7"/>
  <c r="AW51" i="7"/>
  <c r="AR135" i="7"/>
  <c r="BA203" i="7"/>
  <c r="BB77" i="7"/>
  <c r="BA77" i="7"/>
  <c r="AZ142" i="7"/>
  <c r="AZ203" i="7"/>
  <c r="BD126" i="7"/>
  <c r="BB142" i="7"/>
  <c r="BA142" i="7"/>
  <c r="BB57" i="7"/>
  <c r="BA57" i="7"/>
  <c r="AR85" i="7"/>
  <c r="AU11" i="7"/>
  <c r="BC21" i="7"/>
  <c r="BD25" i="7"/>
  <c r="AX36" i="7"/>
  <c r="AW36" i="7"/>
  <c r="AW54" i="7"/>
  <c r="AW56" i="7"/>
  <c r="BA64" i="7"/>
  <c r="AZ127" i="7"/>
  <c r="AT7" i="7"/>
  <c r="AV11" i="7"/>
  <c r="BB17" i="7"/>
  <c r="BD21" i="7"/>
  <c r="BD40" i="7"/>
  <c r="AX54" i="7"/>
  <c r="AW61" i="7"/>
  <c r="AZ100" i="7"/>
  <c r="AY100" i="7"/>
  <c r="AR111" i="7"/>
  <c r="BA112" i="7"/>
  <c r="BA127" i="7"/>
  <c r="AU7" i="7"/>
  <c r="BC17" i="7"/>
  <c r="BA43" i="7"/>
  <c r="BC64" i="7"/>
  <c r="AW118" i="7"/>
  <c r="AX118" i="7"/>
  <c r="AR141" i="7"/>
  <c r="AV7" i="7"/>
  <c r="BB13" i="7"/>
  <c r="BD17" i="7"/>
  <c r="AX28" i="7"/>
  <c r="AY32" i="7"/>
  <c r="AZ36" i="7"/>
  <c r="BB43" i="7"/>
  <c r="AR53" i="7"/>
  <c r="AZ54" i="7"/>
  <c r="AR199" i="7"/>
  <c r="AR219" i="7"/>
  <c r="AR164" i="7"/>
  <c r="AZ166" i="7"/>
  <c r="BC40" i="7"/>
  <c r="BB64" i="7"/>
  <c r="BB203" i="7"/>
  <c r="AX32" i="7"/>
  <c r="AY54" i="7"/>
  <c r="BD60" i="7"/>
  <c r="BD99" i="7"/>
  <c r="BB112" i="7"/>
  <c r="BA12" i="7"/>
  <c r="BC13" i="7"/>
  <c r="AX24" i="7"/>
  <c r="AW27" i="7"/>
  <c r="AY28" i="7"/>
  <c r="AZ32" i="7"/>
  <c r="BC43" i="7"/>
  <c r="AR63" i="7"/>
  <c r="BD70" i="7"/>
  <c r="BC70" i="7"/>
  <c r="AY75" i="7"/>
  <c r="BC83" i="7"/>
  <c r="BD83" i="7"/>
  <c r="BC104" i="7"/>
  <c r="AX105" i="7"/>
  <c r="AR195" i="7"/>
  <c r="AZ86" i="7"/>
  <c r="AW134" i="7"/>
  <c r="AX134" i="7"/>
  <c r="BC136" i="7"/>
  <c r="AR138" i="7"/>
  <c r="BC186" i="7"/>
  <c r="BD186" i="7"/>
  <c r="BC203" i="7"/>
  <c r="AR218" i="7"/>
  <c r="AX51" i="7"/>
  <c r="AZ84" i="7"/>
  <c r="AY84" i="7"/>
  <c r="AY86" i="7"/>
  <c r="BB166" i="7"/>
  <c r="BA166" i="7"/>
  <c r="BD77" i="7"/>
  <c r="BC77" i="7"/>
  <c r="AY110" i="7"/>
  <c r="BD136" i="7"/>
  <c r="AX163" i="7"/>
  <c r="BB190" i="7"/>
  <c r="BD203" i="7"/>
  <c r="AY61" i="7"/>
  <c r="AX71" i="7"/>
  <c r="AX96" i="7"/>
  <c r="AW96" i="7"/>
  <c r="BA118" i="7"/>
  <c r="AX181" i="7"/>
  <c r="AY211" i="7"/>
  <c r="AZ69" i="7"/>
  <c r="AY69" i="7"/>
  <c r="BB118" i="7"/>
  <c r="AY125" i="7"/>
  <c r="AZ144" i="7"/>
  <c r="AX173" i="7"/>
  <c r="AY181" i="7"/>
  <c r="AZ211" i="7"/>
  <c r="BC118" i="7"/>
  <c r="AY155" i="7"/>
  <c r="BB163" i="7"/>
  <c r="BA163" i="7"/>
  <c r="AY173" i="7"/>
  <c r="AZ63" i="7"/>
  <c r="AV114" i="7"/>
  <c r="BB177" i="7"/>
  <c r="BA177" i="7"/>
  <c r="AR187" i="7"/>
  <c r="AX198" i="7"/>
  <c r="AR248" i="7"/>
  <c r="BB48" i="7"/>
  <c r="AW117" i="7"/>
  <c r="BD131" i="7"/>
  <c r="BC131" i="7"/>
  <c r="BC144" i="7"/>
  <c r="BB96" i="7"/>
  <c r="BD128" i="7"/>
  <c r="AZ178" i="7"/>
  <c r="AZ198" i="7"/>
  <c r="BA53" i="7"/>
  <c r="BD56" i="7"/>
  <c r="AR73" i="7"/>
  <c r="AZ74" i="7"/>
  <c r="AV81" i="7"/>
  <c r="AX83" i="7"/>
  <c r="BB94" i="7"/>
  <c r="AR105" i="7"/>
  <c r="AZ106" i="7"/>
  <c r="AZ114" i="7"/>
  <c r="AY114" i="7"/>
  <c r="BD116" i="7"/>
  <c r="BB122" i="7"/>
  <c r="AX129" i="7"/>
  <c r="AZ138" i="7"/>
  <c r="AV139" i="7"/>
  <c r="AW146" i="7"/>
  <c r="AX146" i="7"/>
  <c r="BC149" i="7"/>
  <c r="BD156" i="7"/>
  <c r="BC156" i="7"/>
  <c r="BA178" i="7"/>
  <c r="AZ179" i="7"/>
  <c r="BC194" i="7"/>
  <c r="BC195" i="7"/>
  <c r="BA198" i="7"/>
  <c r="AR233" i="7"/>
  <c r="BB84" i="7"/>
  <c r="AZ91" i="7"/>
  <c r="AX103" i="7"/>
  <c r="BA110" i="7"/>
  <c r="AZ119" i="7"/>
  <c r="BD147" i="7"/>
  <c r="BD151" i="7"/>
  <c r="AX155" i="7"/>
  <c r="AZ163" i="7"/>
  <c r="BD172" i="7"/>
  <c r="BD190" i="7"/>
  <c r="AZ96" i="7"/>
  <c r="AY96" i="7"/>
  <c r="AW202" i="7"/>
  <c r="AZ173" i="7"/>
  <c r="AZ67" i="7"/>
  <c r="AR121" i="7"/>
  <c r="BA155" i="7"/>
  <c r="AR176" i="7"/>
  <c r="AR197" i="7"/>
  <c r="AY202" i="7"/>
  <c r="AY58" i="7"/>
  <c r="BA94" i="7"/>
  <c r="AW109" i="7"/>
  <c r="BD127" i="7"/>
  <c r="BB155" i="7"/>
  <c r="AX55" i="7"/>
  <c r="AV62" i="7"/>
  <c r="BC66" i="7"/>
  <c r="BC67" i="7"/>
  <c r="BA74" i="7"/>
  <c r="AW81" i="7"/>
  <c r="BA93" i="7"/>
  <c r="BD94" i="7"/>
  <c r="BC94" i="7"/>
  <c r="BD96" i="7"/>
  <c r="AV102" i="7"/>
  <c r="BA106" i="7"/>
  <c r="AV112" i="7"/>
  <c r="BD122" i="7"/>
  <c r="BC122" i="7"/>
  <c r="AY129" i="7"/>
  <c r="BA138" i="7"/>
  <c r="AW139" i="7"/>
  <c r="AX139" i="7"/>
  <c r="AV142" i="7"/>
  <c r="BD149" i="7"/>
  <c r="AW150" i="7"/>
  <c r="BD155" i="7"/>
  <c r="AX167" i="7"/>
  <c r="AX177" i="7"/>
  <c r="BB178" i="7"/>
  <c r="BA179" i="7"/>
  <c r="BD195" i="7"/>
  <c r="BB198" i="7"/>
  <c r="AR246" i="7"/>
  <c r="BC256" i="7"/>
  <c r="AX116" i="7"/>
  <c r="AW116" i="7"/>
  <c r="AZ118" i="7"/>
  <c r="AW181" i="7"/>
  <c r="BD52" i="7"/>
  <c r="AZ89" i="7"/>
  <c r="AY89" i="7"/>
  <c r="AY91" i="7"/>
  <c r="AY119" i="7"/>
  <c r="AY131" i="7"/>
  <c r="AW155" i="7"/>
  <c r="AW173" i="7"/>
  <c r="AX63" i="7"/>
  <c r="AR68" i="7"/>
  <c r="AZ71" i="7"/>
  <c r="BB89" i="7"/>
  <c r="BA89" i="7"/>
  <c r="BA144" i="7"/>
  <c r="AR154" i="7"/>
  <c r="AR162" i="7"/>
  <c r="AX101" i="7"/>
  <c r="AZ103" i="7"/>
  <c r="BD118" i="7"/>
  <c r="AY122" i="7"/>
  <c r="BA181" i="7"/>
  <c r="BB181" i="7"/>
  <c r="AX202" i="7"/>
  <c r="BB56" i="7"/>
  <c r="AZ101" i="7"/>
  <c r="AY101" i="7"/>
  <c r="BC56" i="7"/>
  <c r="AY179" i="7"/>
  <c r="AR207" i="7"/>
  <c r="BB44" i="7"/>
  <c r="BD67" i="7"/>
  <c r="BB74" i="7"/>
  <c r="BB76" i="7"/>
  <c r="AX81" i="7"/>
  <c r="AW82" i="7"/>
  <c r="AZ83" i="7"/>
  <c r="BC86" i="7"/>
  <c r="BB93" i="7"/>
  <c r="AX95" i="7"/>
  <c r="AZ98" i="7"/>
  <c r="AZ99" i="7"/>
  <c r="BA100" i="7"/>
  <c r="BC102" i="7"/>
  <c r="BB106" i="7"/>
  <c r="AW112" i="7"/>
  <c r="BA114" i="7"/>
  <c r="AV125" i="7"/>
  <c r="AZ129" i="7"/>
  <c r="BA134" i="7"/>
  <c r="AX136" i="7"/>
  <c r="AW136" i="7"/>
  <c r="AR137" i="7"/>
  <c r="AY137" i="7"/>
  <c r="AW142" i="7"/>
  <c r="AX158" i="7"/>
  <c r="AW158" i="7"/>
  <c r="AY168" i="7"/>
  <c r="BD170" i="7"/>
  <c r="BA173" i="7"/>
  <c r="BC198" i="7"/>
  <c r="BD198" i="7"/>
  <c r="AR232" i="7"/>
  <c r="AV58" i="7"/>
  <c r="BC84" i="7"/>
  <c r="BA91" i="7"/>
  <c r="AW196" i="7"/>
  <c r="BC110" i="7"/>
  <c r="BB134" i="7"/>
  <c r="AX153" i="7"/>
  <c r="AW153" i="7"/>
  <c r="AZ155" i="7"/>
  <c r="AY198" i="7"/>
  <c r="AV70" i="7"/>
  <c r="AW129" i="7"/>
  <c r="BD159" i="7"/>
  <c r="BC159" i="7"/>
  <c r="AX43" i="7"/>
  <c r="AV49" i="7"/>
  <c r="BB50" i="7"/>
  <c r="AZ55" i="7"/>
  <c r="AV66" i="7"/>
  <c r="BA71" i="7"/>
  <c r="BA73" i="7"/>
  <c r="AX79" i="7"/>
  <c r="BD87" i="7"/>
  <c r="AV93" i="7"/>
  <c r="BC93" i="7"/>
  <c r="BA98" i="7"/>
  <c r="BA105" i="7"/>
  <c r="BC106" i="7"/>
  <c r="AY112" i="7"/>
  <c r="AX112" i="7"/>
  <c r="AR119" i="7"/>
  <c r="BA119" i="7"/>
  <c r="BB129" i="7"/>
  <c r="BA129" i="7"/>
  <c r="AZ137" i="7"/>
  <c r="BD141" i="7"/>
  <c r="AX142" i="7"/>
  <c r="BD144" i="7"/>
  <c r="AY150" i="7"/>
  <c r="AZ168" i="7"/>
  <c r="BB173" i="7"/>
  <c r="BD174" i="7"/>
  <c r="AY175" i="7"/>
  <c r="BC196" i="7"/>
  <c r="AR211" i="7"/>
  <c r="BC79" i="7"/>
  <c r="AW98" i="7"/>
  <c r="BC112" i="7"/>
  <c r="BB127" i="7"/>
  <c r="AW163" i="7"/>
  <c r="AW167" i="7"/>
  <c r="BC180" i="7"/>
  <c r="BA190" i="7"/>
  <c r="BD64" i="7"/>
  <c r="AV78" i="7"/>
  <c r="AX98" i="7"/>
  <c r="BD112" i="7"/>
  <c r="AX119" i="7"/>
  <c r="AR123" i="7"/>
  <c r="AR165" i="7"/>
  <c r="BD180" i="7"/>
  <c r="AR242" i="7"/>
  <c r="BB36" i="7"/>
  <c r="AR60" i="7"/>
  <c r="AX69" i="7"/>
  <c r="AW108" i="7"/>
  <c r="AZ110" i="7"/>
  <c r="AY163" i="7"/>
  <c r="BC190" i="7"/>
  <c r="AR250" i="7"/>
  <c r="AY108" i="7"/>
  <c r="AX108" i="7"/>
  <c r="AZ131" i="7"/>
  <c r="AR236" i="7"/>
  <c r="AR249" i="7"/>
  <c r="BA131" i="7"/>
  <c r="AW161" i="7"/>
  <c r="AZ181" i="7"/>
  <c r="BA211" i="7"/>
  <c r="BD84" i="7"/>
  <c r="AV90" i="7"/>
  <c r="BA125" i="7"/>
  <c r="AX47" i="7"/>
  <c r="AR100" i="7"/>
  <c r="AX114" i="7"/>
  <c r="BA199" i="7"/>
  <c r="AR247" i="7"/>
  <c r="AZ64" i="7"/>
  <c r="AY64" i="7"/>
  <c r="AZ88" i="7"/>
  <c r="BA103" i="7"/>
  <c r="AZ125" i="7"/>
  <c r="BA137" i="7"/>
  <c r="AZ150" i="7"/>
  <c r="BA168" i="7"/>
  <c r="AX182" i="7"/>
  <c r="AR185" i="7"/>
  <c r="AR205" i="7"/>
  <c r="BB206" i="7"/>
  <c r="BA206" i="7"/>
  <c r="AR220" i="7"/>
  <c r="BD88" i="7"/>
  <c r="BB100" i="7"/>
  <c r="AZ107" i="7"/>
  <c r="AX115" i="7"/>
  <c r="BB123" i="7"/>
  <c r="BC132" i="7"/>
  <c r="BD134" i="7"/>
  <c r="AY135" i="7"/>
  <c r="AR156" i="7"/>
  <c r="BB160" i="7"/>
  <c r="AZ175" i="7"/>
  <c r="BC178" i="7"/>
  <c r="BC188" i="7"/>
  <c r="AX194" i="7"/>
  <c r="BD196" i="7"/>
  <c r="BA209" i="7"/>
  <c r="AZ209" i="7"/>
  <c r="BB211" i="7"/>
  <c r="AR235" i="7"/>
  <c r="AZ75" i="7"/>
  <c r="AX87" i="7"/>
  <c r="AV94" i="7"/>
  <c r="BA107" i="7"/>
  <c r="AY115" i="7"/>
  <c r="AV126" i="7"/>
  <c r="BD132" i="7"/>
  <c r="AW133" i="7"/>
  <c r="AZ135" i="7"/>
  <c r="AZ147" i="7"/>
  <c r="AY148" i="7"/>
  <c r="BC157" i="7"/>
  <c r="BC160" i="7"/>
  <c r="AZ169" i="7"/>
  <c r="BA175" i="7"/>
  <c r="BD178" i="7"/>
  <c r="BD188" i="7"/>
  <c r="AR193" i="7"/>
  <c r="AY194" i="7"/>
  <c r="AX206" i="7"/>
  <c r="AR208" i="7"/>
  <c r="BC211" i="7"/>
  <c r="BD68" i="7"/>
  <c r="BB80" i="7"/>
  <c r="BD100" i="7"/>
  <c r="BA113" i="7"/>
  <c r="AZ115" i="7"/>
  <c r="BD123" i="7"/>
  <c r="AW126" i="7"/>
  <c r="BA135" i="7"/>
  <c r="BA140" i="7"/>
  <c r="BA147" i="7"/>
  <c r="AZ148" i="7"/>
  <c r="BD157" i="7"/>
  <c r="BD160" i="7"/>
  <c r="BA169" i="7"/>
  <c r="BD182" i="7"/>
  <c r="AZ194" i="7"/>
  <c r="BD211" i="7"/>
  <c r="AR234" i="7"/>
  <c r="AX67" i="7"/>
  <c r="AV74" i="7"/>
  <c r="AZ87" i="7"/>
  <c r="AX99" i="7"/>
  <c r="AV106" i="7"/>
  <c r="BC107" i="7"/>
  <c r="AV122" i="7"/>
  <c r="BD143" i="7"/>
  <c r="AY144" i="7"/>
  <c r="BB147" i="7"/>
  <c r="BA148" i="7"/>
  <c r="AW170" i="7"/>
  <c r="BC175" i="7"/>
  <c r="AW186" i="7"/>
  <c r="AW204" i="7"/>
  <c r="AW210" i="7"/>
  <c r="AY111" i="7"/>
  <c r="BB124" i="7"/>
  <c r="AV130" i="7"/>
  <c r="BC145" i="7"/>
  <c r="BC153" i="7"/>
  <c r="AW159" i="7"/>
  <c r="BC161" i="7"/>
  <c r="BC176" i="7"/>
  <c r="BC184" i="7"/>
  <c r="BA194" i="7"/>
  <c r="AR201" i="7"/>
  <c r="BA207" i="7"/>
  <c r="AR245" i="7"/>
  <c r="BA205" i="7"/>
  <c r="AZ205" i="7"/>
  <c r="AR209" i="7"/>
  <c r="AV118" i="7"/>
  <c r="BD124" i="7"/>
  <c r="AR129" i="7"/>
  <c r="AV134" i="7"/>
  <c r="AZ140" i="7"/>
  <c r="AR150" i="7"/>
  <c r="AZ151" i="7"/>
  <c r="AX157" i="7"/>
  <c r="AW157" i="7"/>
  <c r="AR158" i="7"/>
  <c r="AY159" i="7"/>
  <c r="BA164" i="7"/>
  <c r="AZ171" i="7"/>
  <c r="AR181" i="7"/>
  <c r="AZ182" i="7"/>
  <c r="AR204" i="7"/>
  <c r="BC207" i="7"/>
  <c r="AR226" i="7"/>
  <c r="AR244" i="7"/>
  <c r="BA151" i="7"/>
  <c r="AZ159" i="7"/>
  <c r="BA171" i="7"/>
  <c r="BA182" i="7"/>
  <c r="AW188" i="7"/>
  <c r="BC108" i="7"/>
  <c r="BB116" i="7"/>
  <c r="AY123" i="7"/>
  <c r="AR133" i="7"/>
  <c r="AX138" i="7"/>
  <c r="BB140" i="7"/>
  <c r="BB151" i="7"/>
  <c r="AY152" i="7"/>
  <c r="BB162" i="7"/>
  <c r="BA162" i="7"/>
  <c r="BC164" i="7"/>
  <c r="AX169" i="7"/>
  <c r="BB171" i="7"/>
  <c r="BB182" i="7"/>
  <c r="AY183" i="7"/>
  <c r="AX190" i="7"/>
  <c r="BD192" i="7"/>
  <c r="AR243" i="7"/>
  <c r="AV143" i="7"/>
  <c r="AZ152" i="7"/>
  <c r="BD161" i="7"/>
  <c r="AR169" i="7"/>
  <c r="AZ183" i="7"/>
  <c r="AY187" i="7"/>
  <c r="BD200" i="7"/>
  <c r="BC204" i="7"/>
  <c r="BB137" i="7"/>
  <c r="AW143" i="7"/>
  <c r="BA152" i="7"/>
  <c r="AY156" i="7"/>
  <c r="BC165" i="7"/>
  <c r="AW174" i="7"/>
  <c r="BA183" i="7"/>
  <c r="AZ187" i="7"/>
  <c r="AY191" i="7"/>
  <c r="BD204" i="7"/>
  <c r="BC208" i="7"/>
  <c r="AR217" i="7"/>
  <c r="AR231" i="7"/>
  <c r="AN256" i="7"/>
  <c r="BB256" i="7" s="1"/>
  <c r="AR142" i="7"/>
  <c r="AZ156" i="7"/>
  <c r="BD165" i="7"/>
  <c r="AR173" i="7"/>
  <c r="BA187" i="7"/>
  <c r="AZ191" i="7"/>
  <c r="AY195" i="7"/>
  <c r="BD208" i="7"/>
  <c r="BA213" i="7"/>
  <c r="AR228" i="7"/>
  <c r="BD137" i="7"/>
  <c r="AW147" i="7"/>
  <c r="BA156" i="7"/>
  <c r="AY160" i="7"/>
  <c r="AW178" i="7"/>
  <c r="BA191" i="7"/>
  <c r="AZ195" i="7"/>
  <c r="AY199" i="7"/>
  <c r="BB213" i="7"/>
  <c r="AR227" i="7"/>
  <c r="AK101" i="6"/>
  <c r="AJ143" i="6"/>
  <c r="AH14" i="6"/>
  <c r="AJ23" i="6"/>
  <c r="AL50" i="6"/>
  <c r="AL71" i="6"/>
  <c r="AN8" i="6"/>
  <c r="AE18" i="6"/>
  <c r="AK26" i="6"/>
  <c r="AB78" i="6"/>
  <c r="AL121" i="6"/>
  <c r="AM121" i="6"/>
  <c r="AL139" i="6"/>
  <c r="AK139" i="6"/>
  <c r="AK12" i="6"/>
  <c r="AF52" i="6"/>
  <c r="AB11" i="6"/>
  <c r="AB107" i="6"/>
  <c r="AF36" i="6"/>
  <c r="AE36" i="6"/>
  <c r="AB37" i="6"/>
  <c r="AK46" i="6"/>
  <c r="AB73" i="6"/>
  <c r="AB77" i="6"/>
  <c r="AJ86" i="6"/>
  <c r="AF110" i="6"/>
  <c r="AH143" i="6"/>
  <c r="AI143" i="6"/>
  <c r="AI160" i="6"/>
  <c r="AH160" i="6"/>
  <c r="AB162" i="6"/>
  <c r="AE9" i="6"/>
  <c r="AF14" i="6"/>
  <c r="AK17" i="6"/>
  <c r="AJ17" i="6"/>
  <c r="AB18" i="6"/>
  <c r="AL19" i="6"/>
  <c r="AH23" i="6"/>
  <c r="AL32" i="6"/>
  <c r="AL34" i="6"/>
  <c r="AG38" i="6"/>
  <c r="AJ44" i="6"/>
  <c r="AI44" i="6"/>
  <c r="AB45" i="6"/>
  <c r="AL46" i="6"/>
  <c r="AJ50" i="6"/>
  <c r="AJ52" i="6"/>
  <c r="AM53" i="6"/>
  <c r="AN53" i="6"/>
  <c r="AI54" i="6"/>
  <c r="AJ64" i="6"/>
  <c r="AJ71" i="6"/>
  <c r="AJ79" i="6"/>
  <c r="AM81" i="6"/>
  <c r="AK86" i="6"/>
  <c r="AJ101" i="6"/>
  <c r="AI102" i="6"/>
  <c r="AH102" i="6"/>
  <c r="AJ111" i="6"/>
  <c r="AJ112" i="6"/>
  <c r="AI112" i="6"/>
  <c r="AG156" i="6"/>
  <c r="AH156" i="6"/>
  <c r="AI191" i="6"/>
  <c r="AH191" i="6"/>
  <c r="AF200" i="6"/>
  <c r="AG69" i="6"/>
  <c r="AB87" i="6"/>
  <c r="AN97" i="6"/>
  <c r="AJ108" i="6"/>
  <c r="AL117" i="6"/>
  <c r="AN120" i="6"/>
  <c r="AK128" i="6"/>
  <c r="AJ151" i="6"/>
  <c r="AB165" i="6"/>
  <c r="AM174" i="6"/>
  <c r="AG175" i="6"/>
  <c r="AN182" i="6"/>
  <c r="AH183" i="6"/>
  <c r="AI183" i="6"/>
  <c r="AG184" i="6"/>
  <c r="AH184" i="6"/>
  <c r="AM22" i="6"/>
  <c r="AN22" i="6"/>
  <c r="AB49" i="6"/>
  <c r="AK71" i="6"/>
  <c r="AK79" i="6"/>
  <c r="AB85" i="6"/>
  <c r="AB82" i="6"/>
  <c r="AK84" i="6"/>
  <c r="AJ84" i="6"/>
  <c r="AG118" i="6"/>
  <c r="AF118" i="6"/>
  <c r="AJ14" i="6"/>
  <c r="AB43" i="6"/>
  <c r="AL12" i="6"/>
  <c r="AD16" i="6"/>
  <c r="AN26" i="6"/>
  <c r="AM26" i="6"/>
  <c r="AK36" i="6"/>
  <c r="AI76" i="6"/>
  <c r="AB119" i="6"/>
  <c r="AL120" i="6"/>
  <c r="AL127" i="6"/>
  <c r="AK127" i="6"/>
  <c r="AI129" i="6"/>
  <c r="AJ129" i="6"/>
  <c r="AB133" i="6"/>
  <c r="AN134" i="6"/>
  <c r="AI135" i="6"/>
  <c r="AH135" i="6"/>
  <c r="AI152" i="6"/>
  <c r="AH152" i="6"/>
  <c r="AF183" i="6"/>
  <c r="AG196" i="6"/>
  <c r="AM12" i="6"/>
  <c r="AE16" i="6"/>
  <c r="AG21" i="6"/>
  <c r="AB22" i="6"/>
  <c r="AJ30" i="6"/>
  <c r="AD43" i="6"/>
  <c r="AH52" i="6"/>
  <c r="AF56" i="6"/>
  <c r="AM61" i="6"/>
  <c r="AF69" i="6"/>
  <c r="AK76" i="6"/>
  <c r="AJ76" i="6"/>
  <c r="AM97" i="6"/>
  <c r="AI108" i="6"/>
  <c r="AK117" i="6"/>
  <c r="AM120" i="6"/>
  <c r="AJ128" i="6"/>
  <c r="AF175" i="6"/>
  <c r="AM182" i="6"/>
  <c r="AG183" i="6"/>
  <c r="AG7" i="6"/>
  <c r="AN12" i="6"/>
  <c r="AF16" i="6"/>
  <c r="AN19" i="6"/>
  <c r="AH21" i="6"/>
  <c r="AD25" i="6"/>
  <c r="AB29" i="6"/>
  <c r="AK30" i="6"/>
  <c r="AN51" i="6"/>
  <c r="AL55" i="6"/>
  <c r="AN61" i="6"/>
  <c r="AF6" i="6"/>
  <c r="AH7" i="6"/>
  <c r="AE25" i="6"/>
  <c r="AL30" i="6"/>
  <c r="AM55" i="6"/>
  <c r="AH69" i="6"/>
  <c r="AK108" i="6"/>
  <c r="AN117" i="6"/>
  <c r="AM117" i="6"/>
  <c r="AM128" i="6"/>
  <c r="AL128" i="6"/>
  <c r="AL129" i="6"/>
  <c r="AM129" i="6"/>
  <c r="AK151" i="6"/>
  <c r="AL151" i="6"/>
  <c r="AN174" i="6"/>
  <c r="AI175" i="6"/>
  <c r="AH175" i="6"/>
  <c r="AB181" i="6"/>
  <c r="AK185" i="6"/>
  <c r="AG200" i="6"/>
  <c r="AH200" i="6"/>
  <c r="AI38" i="6"/>
  <c r="AK57" i="6"/>
  <c r="AL101" i="6"/>
  <c r="AJ139" i="6"/>
  <c r="AK155" i="6"/>
  <c r="AL155" i="6"/>
  <c r="AL185" i="6"/>
  <c r="AJ38" i="6"/>
  <c r="AM57" i="6"/>
  <c r="AL57" i="6"/>
  <c r="AM101" i="6"/>
  <c r="AN111" i="6"/>
  <c r="AM111" i="6"/>
  <c r="AJ120" i="6"/>
  <c r="AB203" i="6"/>
  <c r="AN101" i="6"/>
  <c r="AK120" i="6"/>
  <c r="AK14" i="6"/>
  <c r="AI30" i="6"/>
  <c r="AK62" i="6"/>
  <c r="AJ88" i="6"/>
  <c r="AK88" i="6"/>
  <c r="AJ98" i="6"/>
  <c r="AI98" i="6"/>
  <c r="AL14" i="6"/>
  <c r="AB65" i="6"/>
  <c r="AJ114" i="6"/>
  <c r="AI114" i="6"/>
  <c r="AJ7" i="6"/>
  <c r="AM15" i="6"/>
  <c r="AK61" i="6"/>
  <c r="AI125" i="6"/>
  <c r="AG126" i="6"/>
  <c r="AF126" i="6"/>
  <c r="AK179" i="6"/>
  <c r="AJ179" i="6"/>
  <c r="AB6" i="6"/>
  <c r="AK7" i="6"/>
  <c r="AG34" i="6"/>
  <c r="AN39" i="6"/>
  <c r="AF60" i="6"/>
  <c r="AJ104" i="6"/>
  <c r="AN113" i="6"/>
  <c r="AK5" i="6"/>
  <c r="AJ5" i="6"/>
  <c r="AL7" i="6"/>
  <c r="AK10" i="6"/>
  <c r="AB15" i="6"/>
  <c r="AH19" i="6"/>
  <c r="AN24" i="6"/>
  <c r="AL28" i="6"/>
  <c r="AE33" i="6"/>
  <c r="AH34" i="6"/>
  <c r="AK42" i="6"/>
  <c r="AH46" i="6"/>
  <c r="AM59" i="6"/>
  <c r="AG60" i="6"/>
  <c r="AH74" i="6"/>
  <c r="AB80" i="6"/>
  <c r="AI81" i="6"/>
  <c r="AN94" i="6"/>
  <c r="AJ95" i="6"/>
  <c r="AI95" i="6"/>
  <c r="AK104" i="6"/>
  <c r="AJ147" i="6"/>
  <c r="AB158" i="6"/>
  <c r="AJ163" i="6"/>
  <c r="AK163" i="6"/>
  <c r="AJ121" i="6"/>
  <c r="AJ155" i="6"/>
  <c r="AG9" i="6"/>
  <c r="AD18" i="6"/>
  <c r="AN32" i="6"/>
  <c r="AB99" i="6"/>
  <c r="AD40" i="6"/>
  <c r="AM79" i="6"/>
  <c r="AM83" i="6"/>
  <c r="AN83" i="6"/>
  <c r="AF40" i="6"/>
  <c r="AE40" i="6"/>
  <c r="AF45" i="6"/>
  <c r="AJ48" i="6"/>
  <c r="AI48" i="6"/>
  <c r="AJ62" i="6"/>
  <c r="AB154" i="6"/>
  <c r="AG52" i="6"/>
  <c r="AL61" i="6"/>
  <c r="AN30" i="6"/>
  <c r="AM30" i="6"/>
  <c r="AG11" i="6"/>
  <c r="AL24" i="6"/>
  <c r="AM39" i="6"/>
  <c r="AG81" i="6"/>
  <c r="AH95" i="6"/>
  <c r="AG95" i="6"/>
  <c r="AF164" i="6"/>
  <c r="AG172" i="6"/>
  <c r="AN15" i="6"/>
  <c r="AM24" i="6"/>
  <c r="AJ42" i="6"/>
  <c r="AL59" i="6"/>
  <c r="AG74" i="6"/>
  <c r="AG164" i="6"/>
  <c r="AJ9" i="6"/>
  <c r="AI19" i="6"/>
  <c r="AG45" i="6"/>
  <c r="AG50" i="6"/>
  <c r="AH60" i="6"/>
  <c r="AB63" i="6"/>
  <c r="AG64" i="6"/>
  <c r="AJ81" i="6"/>
  <c r="AL147" i="6"/>
  <c r="AK147" i="6"/>
  <c r="AK159" i="6"/>
  <c r="AJ159" i="6"/>
  <c r="AK50" i="6"/>
  <c r="AJ57" i="6"/>
  <c r="AL64" i="6"/>
  <c r="AK64" i="6"/>
  <c r="AB110" i="6"/>
  <c r="AN46" i="6"/>
  <c r="AL79" i="6"/>
  <c r="AL111" i="6"/>
  <c r="AI120" i="6"/>
  <c r="AI14" i="6"/>
  <c r="AH48" i="6"/>
  <c r="AN185" i="6"/>
  <c r="AM185" i="6"/>
  <c r="AG202" i="6"/>
  <c r="AF202" i="6"/>
  <c r="AF18" i="6"/>
  <c r="AL26" i="6"/>
  <c r="AN35" i="6"/>
  <c r="AF21" i="6"/>
  <c r="AB53" i="6"/>
  <c r="AK28" i="6"/>
  <c r="AH81" i="6"/>
  <c r="AJ46" i="6"/>
  <c r="AG54" i="6"/>
  <c r="AH64" i="6"/>
  <c r="AK81" i="6"/>
  <c r="AF102" i="6"/>
  <c r="AG102" i="6"/>
  <c r="AG112" i="6"/>
  <c r="AM142" i="6"/>
  <c r="AG143" i="6"/>
  <c r="AB201" i="6"/>
  <c r="AB66" i="6"/>
  <c r="AJ74" i="6"/>
  <c r="AF100" i="6"/>
  <c r="AM108" i="6"/>
  <c r="AF119" i="6"/>
  <c r="AN125" i="6"/>
  <c r="AK135" i="6"/>
  <c r="AJ135" i="6"/>
  <c r="AI11" i="6"/>
  <c r="AH11" i="6"/>
  <c r="AN79" i="6"/>
  <c r="AD10" i="6"/>
  <c r="AM67" i="6"/>
  <c r="AK93" i="6"/>
  <c r="AB98" i="6"/>
  <c r="AK172" i="6"/>
  <c r="AE10" i="6"/>
  <c r="AG15" i="6"/>
  <c r="AE26" i="6"/>
  <c r="AH35" i="6"/>
  <c r="AL43" i="6"/>
  <c r="AF61" i="6"/>
  <c r="AK65" i="6"/>
  <c r="AM77" i="6"/>
  <c r="AI78" i="6"/>
  <c r="AM92" i="6"/>
  <c r="AL99" i="6"/>
  <c r="AK115" i="6"/>
  <c r="AN122" i="6"/>
  <c r="AF124" i="6"/>
  <c r="AJ132" i="6"/>
  <c r="AK132" i="6"/>
  <c r="AK136" i="6"/>
  <c r="AB151" i="6"/>
  <c r="AJ153" i="6"/>
  <c r="AB155" i="6"/>
  <c r="AG170" i="6"/>
  <c r="AF170" i="6"/>
  <c r="AB171" i="6"/>
  <c r="AM172" i="6"/>
  <c r="AL172" i="6"/>
  <c r="AI189" i="6"/>
  <c r="AI193" i="6"/>
  <c r="AB222" i="6"/>
  <c r="AH27" i="6"/>
  <c r="AH58" i="6"/>
  <c r="AL62" i="6"/>
  <c r="AI69" i="6"/>
  <c r="AK72" i="6"/>
  <c r="AJ72" i="6"/>
  <c r="AH172" i="6"/>
  <c r="AH196" i="6"/>
  <c r="AD22" i="6"/>
  <c r="AM62" i="6"/>
  <c r="AG115" i="6"/>
  <c r="AK131" i="6"/>
  <c r="AJ131" i="6"/>
  <c r="AB224" i="6"/>
  <c r="AH100" i="6"/>
  <c r="AN118" i="6"/>
  <c r="AB167" i="6"/>
  <c r="AG190" i="6"/>
  <c r="AF190" i="6"/>
  <c r="AJ197" i="6"/>
  <c r="AK43" i="6"/>
  <c r="AK99" i="6"/>
  <c r="AH15" i="6"/>
  <c r="AD30" i="6"/>
  <c r="AI35" i="6"/>
  <c r="AG39" i="6"/>
  <c r="AM43" i="6"/>
  <c r="AK47" i="6"/>
  <c r="AG61" i="6"/>
  <c r="AL65" i="6"/>
  <c r="AG66" i="6"/>
  <c r="AN77" i="6"/>
  <c r="AN82" i="6"/>
  <c r="AN92" i="6"/>
  <c r="AM99" i="6"/>
  <c r="AN99" i="6"/>
  <c r="AJ145" i="6"/>
  <c r="AH146" i="6"/>
  <c r="AG146" i="6"/>
  <c r="AK153" i="6"/>
  <c r="AM165" i="6"/>
  <c r="AB187" i="6"/>
  <c r="AJ189" i="6"/>
  <c r="AJ193" i="6"/>
  <c r="AM86" i="6"/>
  <c r="AI92" i="6"/>
  <c r="AB127" i="6"/>
  <c r="AL143" i="6"/>
  <c r="AK143" i="6"/>
  <c r="AK67" i="6"/>
  <c r="AJ69" i="6"/>
  <c r="AI99" i="6"/>
  <c r="AL109" i="6"/>
  <c r="AF123" i="6"/>
  <c r="AN130" i="6"/>
  <c r="AL16" i="6"/>
  <c r="AN62" i="6"/>
  <c r="AL67" i="6"/>
  <c r="AB105" i="6"/>
  <c r="AL140" i="6"/>
  <c r="AJ168" i="6"/>
  <c r="AM16" i="6"/>
  <c r="AD26" i="6"/>
  <c r="AI31" i="6"/>
  <c r="AI15" i="6"/>
  <c r="AK20" i="6"/>
  <c r="AE30" i="6"/>
  <c r="AH39" i="6"/>
  <c r="AL47" i="6"/>
  <c r="AH61" i="6"/>
  <c r="AM65" i="6"/>
  <c r="AH66" i="6"/>
  <c r="AK69" i="6"/>
  <c r="AF88" i="6"/>
  <c r="AF91" i="6"/>
  <c r="AN106" i="6"/>
  <c r="AJ113" i="6"/>
  <c r="AK133" i="6"/>
  <c r="AK145" i="6"/>
  <c r="AL160" i="6"/>
  <c r="AN165" i="6"/>
  <c r="AK177" i="6"/>
  <c r="AG186" i="6"/>
  <c r="AF186" i="6"/>
  <c r="AK193" i="6"/>
  <c r="AL36" i="6"/>
  <c r="AK109" i="6"/>
  <c r="AJ140" i="6"/>
  <c r="AJ156" i="6"/>
  <c r="AK156" i="6"/>
  <c r="AF180" i="6"/>
  <c r="AI27" i="6"/>
  <c r="AF85" i="6"/>
  <c r="AI172" i="6"/>
  <c r="AI196" i="6"/>
  <c r="AE22" i="6"/>
  <c r="AH31" i="6"/>
  <c r="AL40" i="6"/>
  <c r="AG78" i="6"/>
  <c r="AK92" i="6"/>
  <c r="AJ99" i="6"/>
  <c r="AF107" i="6"/>
  <c r="AH115" i="6"/>
  <c r="AG123" i="6"/>
  <c r="AJ172" i="6"/>
  <c r="AG194" i="6"/>
  <c r="AF194" i="6"/>
  <c r="AJ196" i="6"/>
  <c r="AB223" i="6"/>
  <c r="AG35" i="6"/>
  <c r="AL77" i="6"/>
  <c r="AF83" i="6"/>
  <c r="AI153" i="6"/>
  <c r="AL196" i="6"/>
  <c r="AK196" i="6"/>
  <c r="AB60" i="6"/>
  <c r="AM95" i="6"/>
  <c r="AJ97" i="6"/>
  <c r="AB109" i="6"/>
  <c r="AK113" i="6"/>
  <c r="AN115" i="6"/>
  <c r="AM115" i="6"/>
  <c r="AG129" i="6"/>
  <c r="AF129" i="6"/>
  <c r="AL148" i="6"/>
  <c r="AN149" i="6"/>
  <c r="AM149" i="6"/>
  <c r="AN161" i="6"/>
  <c r="AG163" i="6"/>
  <c r="AF163" i="6"/>
  <c r="AM169" i="6"/>
  <c r="AM177" i="6"/>
  <c r="AL177" i="6"/>
  <c r="AB179" i="6"/>
  <c r="AI185" i="6"/>
  <c r="AL193" i="6"/>
  <c r="AH106" i="6"/>
  <c r="AK16" i="6"/>
  <c r="AG31" i="6"/>
  <c r="AM36" i="6"/>
  <c r="AK40" i="6"/>
  <c r="AI58" i="6"/>
  <c r="AK74" i="6"/>
  <c r="AH90" i="6"/>
  <c r="AG90" i="6"/>
  <c r="AJ92" i="6"/>
  <c r="AG100" i="6"/>
  <c r="AJ106" i="6"/>
  <c r="AI106" i="6"/>
  <c r="AN108" i="6"/>
  <c r="AJ58" i="6"/>
  <c r="AL74" i="6"/>
  <c r="AB195" i="6"/>
  <c r="AM40" i="6"/>
  <c r="AH78" i="6"/>
  <c r="AL92" i="6"/>
  <c r="AI115" i="6"/>
  <c r="AI123" i="6"/>
  <c r="AH123" i="6"/>
  <c r="AK168" i="6"/>
  <c r="AE34" i="6"/>
  <c r="AL51" i="6"/>
  <c r="AK83" i="6"/>
  <c r="AK97" i="6"/>
  <c r="AL113" i="6"/>
  <c r="AK140" i="6"/>
  <c r="AJ185" i="6"/>
  <c r="AM71" i="6"/>
  <c r="AG82" i="6"/>
  <c r="AF96" i="6"/>
  <c r="AN102" i="6"/>
  <c r="AF103" i="6"/>
  <c r="AJ105" i="6"/>
  <c r="AM109" i="6"/>
  <c r="AG124" i="6"/>
  <c r="AL136" i="6"/>
  <c r="AI137" i="6"/>
  <c r="AB146" i="6"/>
  <c r="AL153" i="6"/>
  <c r="AH164" i="6"/>
  <c r="AM193" i="6"/>
  <c r="AB208" i="6"/>
  <c r="AG70" i="6"/>
  <c r="AH82" i="6"/>
  <c r="AJ137" i="6"/>
  <c r="AJ141" i="6"/>
  <c r="AJ176" i="6"/>
  <c r="AJ183" i="6"/>
  <c r="AK191" i="6"/>
  <c r="AJ191" i="6"/>
  <c r="AB207" i="6"/>
  <c r="AL63" i="6"/>
  <c r="AH70" i="6"/>
  <c r="AI82" i="6"/>
  <c r="AK87" i="6"/>
  <c r="AH96" i="6"/>
  <c r="AH103" i="6"/>
  <c r="AB111" i="6"/>
  <c r="AN116" i="6"/>
  <c r="AK130" i="6"/>
  <c r="AJ130" i="6"/>
  <c r="AN153" i="6"/>
  <c r="AN157" i="6"/>
  <c r="AJ161" i="6"/>
  <c r="AJ164" i="6"/>
  <c r="AB175" i="6"/>
  <c r="AG192" i="6"/>
  <c r="AM194" i="6"/>
  <c r="AM201" i="6"/>
  <c r="AH62" i="6"/>
  <c r="AM63" i="6"/>
  <c r="AI70" i="6"/>
  <c r="AK75" i="6"/>
  <c r="AL87" i="6"/>
  <c r="AJ89" i="6"/>
  <c r="AG94" i="6"/>
  <c r="AI96" i="6"/>
  <c r="AF108" i="6"/>
  <c r="AB123" i="6"/>
  <c r="AJ124" i="6"/>
  <c r="AG131" i="6"/>
  <c r="AN150" i="6"/>
  <c r="AI151" i="6"/>
  <c r="AH151" i="6"/>
  <c r="AK161" i="6"/>
  <c r="AB163" i="6"/>
  <c r="AK164" i="6"/>
  <c r="AI177" i="6"/>
  <c r="AJ180" i="6"/>
  <c r="AB186" i="6"/>
  <c r="AN201" i="6"/>
  <c r="AL75" i="6"/>
  <c r="AM87" i="6"/>
  <c r="AK89" i="6"/>
  <c r="AH94" i="6"/>
  <c r="AB95" i="6"/>
  <c r="AG108" i="6"/>
  <c r="AN114" i="6"/>
  <c r="AJ117" i="6"/>
  <c r="AJ122" i="6"/>
  <c r="AI122" i="6"/>
  <c r="AK124" i="6"/>
  <c r="AF135" i="6"/>
  <c r="AN137" i="6"/>
  <c r="AM137" i="6"/>
  <c r="AI145" i="6"/>
  <c r="AF152" i="6"/>
  <c r="AL161" i="6"/>
  <c r="AK171" i="6"/>
  <c r="AJ171" i="6"/>
  <c r="AK180" i="6"/>
  <c r="AK188" i="6"/>
  <c r="AJ188" i="6"/>
  <c r="AI199" i="6"/>
  <c r="AH199" i="6"/>
  <c r="AJ93" i="6"/>
  <c r="AK105" i="6"/>
  <c r="AF116" i="6"/>
  <c r="AK121" i="6"/>
  <c r="AF127" i="6"/>
  <c r="AK129" i="6"/>
  <c r="AI141" i="6"/>
  <c r="AG144" i="6"/>
  <c r="AG160" i="6"/>
  <c r="AJ181" i="6"/>
  <c r="AK189" i="6"/>
  <c r="AK197" i="6"/>
  <c r="AM202" i="6"/>
  <c r="AK181" i="6"/>
  <c r="AL93" i="6"/>
  <c r="AN98" i="6"/>
  <c r="AF104" i="6"/>
  <c r="AH116" i="6"/>
  <c r="AJ125" i="6"/>
  <c r="AB131" i="6"/>
  <c r="AF139" i="6"/>
  <c r="AK141" i="6"/>
  <c r="AM146" i="6"/>
  <c r="AJ149" i="6"/>
  <c r="AI157" i="6"/>
  <c r="AM162" i="6"/>
  <c r="AF168" i="6"/>
  <c r="AF179" i="6"/>
  <c r="AN186" i="6"/>
  <c r="AI187" i="6"/>
  <c r="AH187" i="6"/>
  <c r="AM189" i="6"/>
  <c r="AM197" i="6"/>
  <c r="AB199" i="6"/>
  <c r="AJ200" i="6"/>
  <c r="AF92" i="6"/>
  <c r="AG104" i="6"/>
  <c r="AB115" i="6"/>
  <c r="AF120" i="6"/>
  <c r="AK125" i="6"/>
  <c r="AM138" i="6"/>
  <c r="AG139" i="6"/>
  <c r="AN146" i="6"/>
  <c r="AG147" i="6"/>
  <c r="AK149" i="6"/>
  <c r="AJ157" i="6"/>
  <c r="AG168" i="6"/>
  <c r="AM178" i="6"/>
  <c r="AN189" i="6"/>
  <c r="AB194" i="6"/>
  <c r="AK200" i="6"/>
  <c r="AI147" i="6"/>
  <c r="AH147" i="6"/>
  <c r="AK157" i="6"/>
  <c r="AK165" i="6"/>
  <c r="AJ187" i="6"/>
  <c r="AF188" i="6"/>
  <c r="AJ133" i="6"/>
  <c r="AK137" i="6"/>
  <c r="AF148" i="6"/>
  <c r="AG152" i="6"/>
  <c r="AB159" i="6"/>
  <c r="AM166" i="6"/>
  <c r="AJ177" i="6"/>
  <c r="AF184" i="6"/>
  <c r="AB191" i="6"/>
  <c r="AM198" i="6"/>
  <c r="AB206" i="6"/>
  <c r="AF136" i="6"/>
  <c r="AG140" i="6"/>
  <c r="AB147" i="6"/>
  <c r="AN162" i="6"/>
  <c r="AI169" i="6"/>
  <c r="AK173" i="6"/>
  <c r="AG180" i="6"/>
  <c r="AN194" i="6"/>
  <c r="AI201" i="6"/>
  <c r="W236" i="6"/>
  <c r="AM158" i="6"/>
  <c r="AJ169" i="6"/>
  <c r="AF176" i="6"/>
  <c r="AB183" i="6"/>
  <c r="X236" i="6"/>
  <c r="AL126" i="6"/>
  <c r="AG132" i="6"/>
  <c r="AB139" i="6"/>
  <c r="AM154" i="6"/>
  <c r="AN158" i="6"/>
  <c r="AI165" i="6"/>
  <c r="AK169" i="6"/>
  <c r="AN190" i="6"/>
  <c r="AK201" i="6"/>
  <c r="AB29" i="5"/>
  <c r="AH128" i="5"/>
  <c r="AG128" i="5"/>
  <c r="AN47" i="5"/>
  <c r="AM60" i="5"/>
  <c r="AB37" i="5"/>
  <c r="AK99" i="5"/>
  <c r="AL99" i="5"/>
  <c r="AH106" i="5"/>
  <c r="AK110" i="5"/>
  <c r="AN176" i="5"/>
  <c r="AH55" i="5"/>
  <c r="AB103" i="5"/>
  <c r="AM20" i="5"/>
  <c r="AH46" i="5"/>
  <c r="AN75" i="5"/>
  <c r="AK96" i="5"/>
  <c r="AJ96" i="5"/>
  <c r="AJ106" i="5"/>
  <c r="AK106" i="5"/>
  <c r="AJ55" i="5"/>
  <c r="AF74" i="5"/>
  <c r="AE74" i="5"/>
  <c r="AG53" i="5"/>
  <c r="AF53" i="5"/>
  <c r="AG63" i="5"/>
  <c r="AL91" i="5"/>
  <c r="AM92" i="5"/>
  <c r="AB114" i="5"/>
  <c r="AK157" i="5"/>
  <c r="AE18" i="5"/>
  <c r="AK19" i="5"/>
  <c r="AE20" i="5"/>
  <c r="AF23" i="5"/>
  <c r="AH24" i="5"/>
  <c r="AE26" i="5"/>
  <c r="AK26" i="5"/>
  <c r="AI31" i="5"/>
  <c r="AH44" i="5"/>
  <c r="AG44" i="5"/>
  <c r="AH61" i="5"/>
  <c r="AH63" i="5"/>
  <c r="AN92" i="5"/>
  <c r="AM99" i="5"/>
  <c r="AH110" i="5"/>
  <c r="AN135" i="5"/>
  <c r="AM135" i="5"/>
  <c r="AN144" i="5"/>
  <c r="AJ145" i="5"/>
  <c r="AD148" i="5"/>
  <c r="AE148" i="5"/>
  <c r="AG14" i="5"/>
  <c r="AB33" i="5"/>
  <c r="AL64" i="5"/>
  <c r="AJ51" i="5"/>
  <c r="AF97" i="5"/>
  <c r="AE97" i="5"/>
  <c r="AB147" i="5"/>
  <c r="AG46" i="5"/>
  <c r="AK51" i="5"/>
  <c r="AM110" i="5"/>
  <c r="AL110" i="5"/>
  <c r="AJ167" i="5"/>
  <c r="AB203" i="5"/>
  <c r="AM32" i="5"/>
  <c r="AL67" i="5"/>
  <c r="AK92" i="5"/>
  <c r="AJ92" i="5"/>
  <c r="AL25" i="5"/>
  <c r="AN40" i="5"/>
  <c r="AB79" i="5"/>
  <c r="AB95" i="5"/>
  <c r="AL161" i="5"/>
  <c r="AM161" i="5"/>
  <c r="AG56" i="5"/>
  <c r="AH56" i="5"/>
  <c r="AK114" i="5"/>
  <c r="AN120" i="5"/>
  <c r="AM120" i="5"/>
  <c r="AM129" i="5"/>
  <c r="AN129" i="5"/>
  <c r="AB171" i="5"/>
  <c r="AK72" i="5"/>
  <c r="AL73" i="5"/>
  <c r="AE79" i="5"/>
  <c r="AB110" i="5"/>
  <c r="AL195" i="5"/>
  <c r="AM195" i="5"/>
  <c r="AE77" i="5"/>
  <c r="AD41" i="5"/>
  <c r="AF46" i="5"/>
  <c r="AM64" i="5"/>
  <c r="AG84" i="5"/>
  <c r="AH84" i="5"/>
  <c r="AH129" i="5"/>
  <c r="AG22" i="5"/>
  <c r="AN64" i="5"/>
  <c r="AI55" i="5"/>
  <c r="AB104" i="5"/>
  <c r="AM36" i="5"/>
  <c r="AL86" i="5"/>
  <c r="AI19" i="5"/>
  <c r="AH59" i="5"/>
  <c r="AK69" i="5"/>
  <c r="AJ69" i="5"/>
  <c r="AL120" i="5"/>
  <c r="AB48" i="5"/>
  <c r="AG65" i="5"/>
  <c r="AK152" i="5"/>
  <c r="AJ152" i="5"/>
  <c r="AM16" i="5"/>
  <c r="AH20" i="5"/>
  <c r="AB25" i="5"/>
  <c r="AG25" i="5"/>
  <c r="AK28" i="5"/>
  <c r="AK30" i="5"/>
  <c r="AI32" i="5"/>
  <c r="AK35" i="5"/>
  <c r="AJ39" i="5"/>
  <c r="AF43" i="5"/>
  <c r="AK55" i="5"/>
  <c r="AF57" i="5"/>
  <c r="AF58" i="5"/>
  <c r="AD61" i="5"/>
  <c r="AH65" i="5"/>
  <c r="AG67" i="5"/>
  <c r="AM72" i="5"/>
  <c r="AN73" i="5"/>
  <c r="AM76" i="5"/>
  <c r="AG79" i="5"/>
  <c r="AH90" i="5"/>
  <c r="AJ113" i="5"/>
  <c r="AI113" i="5"/>
  <c r="AF119" i="5"/>
  <c r="AE143" i="5"/>
  <c r="AM145" i="5"/>
  <c r="AN145" i="5"/>
  <c r="AL146" i="5"/>
  <c r="AG187" i="5"/>
  <c r="AF187" i="5"/>
  <c r="AM71" i="5"/>
  <c r="AN71" i="5"/>
  <c r="AM127" i="5"/>
  <c r="AI43" i="5"/>
  <c r="AM75" i="5"/>
  <c r="AJ128" i="5"/>
  <c r="AK128" i="5"/>
  <c r="AB191" i="5"/>
  <c r="AL199" i="5"/>
  <c r="AM199" i="5"/>
  <c r="AF41" i="5"/>
  <c r="AI125" i="5"/>
  <c r="AH125" i="5"/>
  <c r="AJ129" i="5"/>
  <c r="AK129" i="5"/>
  <c r="AF158" i="5"/>
  <c r="AG158" i="5"/>
  <c r="AE50" i="5"/>
  <c r="AB91" i="5"/>
  <c r="AN105" i="5"/>
  <c r="AJ121" i="5"/>
  <c r="AK27" i="5"/>
  <c r="AL54" i="5"/>
  <c r="AL106" i="5"/>
  <c r="AI132" i="5"/>
  <c r="AJ132" i="5"/>
  <c r="AH186" i="5"/>
  <c r="AI186" i="5"/>
  <c r="AD193" i="5"/>
  <c r="AE193" i="5"/>
  <c r="AE27" i="5"/>
  <c r="AJ32" i="5"/>
  <c r="AK34" i="5"/>
  <c r="AI36" i="5"/>
  <c r="AJ48" i="5"/>
  <c r="AD52" i="5"/>
  <c r="AF62" i="5"/>
  <c r="AH69" i="5"/>
  <c r="AK78" i="5"/>
  <c r="AL78" i="5"/>
  <c r="AK84" i="5"/>
  <c r="AI90" i="5"/>
  <c r="AJ90" i="5"/>
  <c r="AB130" i="5"/>
  <c r="AI138" i="5"/>
  <c r="AJ138" i="5"/>
  <c r="AF143" i="5"/>
  <c r="AG143" i="5"/>
  <c r="AL185" i="5"/>
  <c r="AM185" i="5"/>
  <c r="AM42" i="5"/>
  <c r="AL42" i="5"/>
  <c r="AD97" i="5"/>
  <c r="AE41" i="5"/>
  <c r="AL51" i="5"/>
  <c r="AN68" i="5"/>
  <c r="AM68" i="5"/>
  <c r="AI27" i="5"/>
  <c r="AM40" i="5"/>
  <c r="AM80" i="5"/>
  <c r="AN80" i="5"/>
  <c r="AG163" i="5"/>
  <c r="AF163" i="5"/>
  <c r="AI49" i="5"/>
  <c r="AH49" i="5"/>
  <c r="AK89" i="5"/>
  <c r="AL89" i="5"/>
  <c r="AI15" i="5"/>
  <c r="AB16" i="5"/>
  <c r="AD19" i="5"/>
  <c r="AJ20" i="5"/>
  <c r="AM24" i="5"/>
  <c r="AF27" i="5"/>
  <c r="AH28" i="5"/>
  <c r="AE34" i="5"/>
  <c r="AJ36" i="5"/>
  <c r="AK38" i="5"/>
  <c r="AJ43" i="5"/>
  <c r="AJ46" i="5"/>
  <c r="AM55" i="5"/>
  <c r="AJ58" i="5"/>
  <c r="AD82" i="5"/>
  <c r="AD85" i="5"/>
  <c r="AJ86" i="5"/>
  <c r="AI86" i="5"/>
  <c r="AK88" i="5"/>
  <c r="AH93" i="5"/>
  <c r="AH97" i="5"/>
  <c r="AG99" i="5"/>
  <c r="AF99" i="5"/>
  <c r="AI101" i="5"/>
  <c r="AM108" i="5"/>
  <c r="AN108" i="5"/>
  <c r="AK121" i="5"/>
  <c r="AB85" i="5"/>
  <c r="AB13" i="5"/>
  <c r="AE22" i="5"/>
  <c r="AE46" i="5"/>
  <c r="AI51" i="5"/>
  <c r="AM28" i="5"/>
  <c r="AK105" i="5"/>
  <c r="AJ105" i="5"/>
  <c r="AJ111" i="5"/>
  <c r="AI111" i="5"/>
  <c r="AG69" i="5"/>
  <c r="AN127" i="5"/>
  <c r="AL80" i="5"/>
  <c r="AB159" i="5"/>
  <c r="AD50" i="5"/>
  <c r="AD104" i="5"/>
  <c r="AB76" i="5"/>
  <c r="AJ103" i="5"/>
  <c r="AI103" i="5"/>
  <c r="AF116" i="5"/>
  <c r="AK43" i="5"/>
  <c r="AN56" i="5"/>
  <c r="AL58" i="5"/>
  <c r="AJ62" i="5"/>
  <c r="AD65" i="5"/>
  <c r="AB66" i="5"/>
  <c r="AJ67" i="5"/>
  <c r="AN69" i="5"/>
  <c r="AH72" i="5"/>
  <c r="AD89" i="5"/>
  <c r="AE124" i="5"/>
  <c r="AD124" i="5"/>
  <c r="AD129" i="5"/>
  <c r="AK145" i="5"/>
  <c r="AB151" i="5"/>
  <c r="AH166" i="5"/>
  <c r="AI166" i="5"/>
  <c r="N235" i="5"/>
  <c r="AP223" i="5" s="1"/>
  <c r="AK23" i="5"/>
  <c r="AF84" i="5"/>
  <c r="AH111" i="5"/>
  <c r="AG55" i="5"/>
  <c r="AK76" i="5"/>
  <c r="AJ76" i="5"/>
  <c r="AB21" i="5"/>
  <c r="AB24" i="5"/>
  <c r="AE31" i="5"/>
  <c r="AH52" i="5"/>
  <c r="AF66" i="5"/>
  <c r="AE137" i="5"/>
  <c r="AG167" i="5"/>
  <c r="AF167" i="5"/>
  <c r="AB173" i="5"/>
  <c r="AH182" i="5"/>
  <c r="AI182" i="5"/>
  <c r="AG183" i="5"/>
  <c r="AF183" i="5"/>
  <c r="AD54" i="5"/>
  <c r="AJ54" i="5"/>
  <c r="AK57" i="5"/>
  <c r="AH58" i="5"/>
  <c r="AI59" i="5"/>
  <c r="AH62" i="5"/>
  <c r="AI63" i="5"/>
  <c r="AI66" i="5"/>
  <c r="AF71" i="5"/>
  <c r="AI72" i="5"/>
  <c r="AF77" i="5"/>
  <c r="AB78" i="5"/>
  <c r="AK82" i="5"/>
  <c r="AL82" i="5"/>
  <c r="AE83" i="5"/>
  <c r="AF88" i="5"/>
  <c r="AB89" i="5"/>
  <c r="AM96" i="5"/>
  <c r="AI120" i="5"/>
  <c r="AF126" i="5"/>
  <c r="AL142" i="5"/>
  <c r="AL157" i="5"/>
  <c r="AM181" i="5"/>
  <c r="AB216" i="5"/>
  <c r="AE93" i="5"/>
  <c r="AE106" i="5"/>
  <c r="AD109" i="5"/>
  <c r="AD136" i="5"/>
  <c r="AM142" i="5"/>
  <c r="AN181" i="5"/>
  <c r="AB197" i="5"/>
  <c r="AB209" i="5"/>
  <c r="AD42" i="5"/>
  <c r="AE58" i="5"/>
  <c r="AE62" i="5"/>
  <c r="AI70" i="5"/>
  <c r="AH83" i="5"/>
  <c r="AN90" i="5"/>
  <c r="AM103" i="5"/>
  <c r="AM107" i="5"/>
  <c r="AL115" i="5"/>
  <c r="AJ116" i="5"/>
  <c r="AN118" i="5"/>
  <c r="AN125" i="5"/>
  <c r="AM125" i="5"/>
  <c r="AI126" i="5"/>
  <c r="AF136" i="5"/>
  <c r="AG136" i="5"/>
  <c r="AN152" i="5"/>
  <c r="AL153" i="5"/>
  <c r="AM153" i="5"/>
  <c r="AM172" i="5"/>
  <c r="AN172" i="5"/>
  <c r="AH174" i="5"/>
  <c r="AI174" i="5"/>
  <c r="AE175" i="5"/>
  <c r="AF175" i="5"/>
  <c r="AB198" i="5"/>
  <c r="AB226" i="5"/>
  <c r="AI235" i="5"/>
  <c r="AJ235" i="5"/>
  <c r="AD171" i="5"/>
  <c r="AE171" i="5"/>
  <c r="AB225" i="5"/>
  <c r="AM48" i="5"/>
  <c r="AG75" i="5"/>
  <c r="AE86" i="5"/>
  <c r="AI95" i="5"/>
  <c r="AN100" i="5"/>
  <c r="AF113" i="5"/>
  <c r="AG113" i="5"/>
  <c r="AN115" i="5"/>
  <c r="AE121" i="5"/>
  <c r="AL134" i="5"/>
  <c r="AH150" i="5"/>
  <c r="AI150" i="5"/>
  <c r="AE151" i="5"/>
  <c r="AB167" i="5"/>
  <c r="AG170" i="5"/>
  <c r="AH190" i="5"/>
  <c r="AI190" i="5"/>
  <c r="AJ195" i="5"/>
  <c r="AI195" i="5"/>
  <c r="AH196" i="5"/>
  <c r="AI196" i="5"/>
  <c r="AG202" i="5"/>
  <c r="AF73" i="5"/>
  <c r="AG73" i="5"/>
  <c r="AG92" i="5"/>
  <c r="AH92" i="5"/>
  <c r="AG124" i="5"/>
  <c r="AF124" i="5"/>
  <c r="AB157" i="5"/>
  <c r="AH170" i="5"/>
  <c r="AI170" i="5"/>
  <c r="AB187" i="5"/>
  <c r="AH202" i="5"/>
  <c r="AI202" i="5"/>
  <c r="AH47" i="5"/>
  <c r="AL52" i="5"/>
  <c r="AB74" i="5"/>
  <c r="AG81" i="5"/>
  <c r="AB82" i="5"/>
  <c r="AG86" i="5"/>
  <c r="AM88" i="5"/>
  <c r="AN94" i="5"/>
  <c r="AK101" i="5"/>
  <c r="AL108" i="5"/>
  <c r="AB111" i="5"/>
  <c r="AE114" i="5"/>
  <c r="AB122" i="5"/>
  <c r="AL131" i="5"/>
  <c r="AM131" i="5"/>
  <c r="AN134" i="5"/>
  <c r="AJ136" i="5"/>
  <c r="AN149" i="5"/>
  <c r="AM149" i="5"/>
  <c r="AJ163" i="5"/>
  <c r="AL169" i="5"/>
  <c r="AN173" i="5"/>
  <c r="AB193" i="5"/>
  <c r="AN194" i="5"/>
  <c r="AK196" i="5"/>
  <c r="AJ196" i="5"/>
  <c r="AE71" i="5"/>
  <c r="AL77" i="5"/>
  <c r="AB80" i="5"/>
  <c r="AK97" i="5"/>
  <c r="AE102" i="5"/>
  <c r="AB115" i="5"/>
  <c r="AI119" i="5"/>
  <c r="AH133" i="5"/>
  <c r="AF144" i="5"/>
  <c r="AG144" i="5"/>
  <c r="AK167" i="5"/>
  <c r="AG168" i="5"/>
  <c r="AB177" i="5"/>
  <c r="AN178" i="5"/>
  <c r="AB185" i="5"/>
  <c r="AN186" i="5"/>
  <c r="AH192" i="5"/>
  <c r="AK201" i="5"/>
  <c r="AH76" i="5"/>
  <c r="AK93" i="5"/>
  <c r="AE98" i="5"/>
  <c r="AF100" i="5"/>
  <c r="AG102" i="5"/>
  <c r="AG107" i="5"/>
  <c r="AG117" i="5"/>
  <c r="AF131" i="5"/>
  <c r="AI140" i="5"/>
  <c r="AH140" i="5"/>
  <c r="AB153" i="5"/>
  <c r="AJ159" i="5"/>
  <c r="AG160" i="5"/>
  <c r="AB161" i="5"/>
  <c r="AG164" i="5"/>
  <c r="AD165" i="5"/>
  <c r="AE165" i="5"/>
  <c r="AE166" i="5"/>
  <c r="AD177" i="5"/>
  <c r="AE177" i="5"/>
  <c r="AK179" i="5"/>
  <c r="AD185" i="5"/>
  <c r="AL187" i="5"/>
  <c r="AM187" i="5"/>
  <c r="AD189" i="5"/>
  <c r="AE189" i="5"/>
  <c r="AL191" i="5"/>
  <c r="AM191" i="5"/>
  <c r="AK192" i="5"/>
  <c r="AJ192" i="5"/>
  <c r="AM201" i="5"/>
  <c r="AB135" i="5"/>
  <c r="AD157" i="5"/>
  <c r="AE157" i="5"/>
  <c r="AD173" i="5"/>
  <c r="AE173" i="5"/>
  <c r="AL179" i="5"/>
  <c r="AM179" i="5"/>
  <c r="AL155" i="5"/>
  <c r="AM155" i="5"/>
  <c r="AL159" i="5"/>
  <c r="AM159" i="5"/>
  <c r="AB186" i="5"/>
  <c r="AK203" i="5"/>
  <c r="AI68" i="5"/>
  <c r="AD75" i="5"/>
  <c r="AN79" i="5"/>
  <c r="AJ85" i="5"/>
  <c r="AK87" i="5"/>
  <c r="AG96" i="5"/>
  <c r="AB101" i="5"/>
  <c r="AF105" i="5"/>
  <c r="AD108" i="5"/>
  <c r="AB116" i="5"/>
  <c r="AJ117" i="5"/>
  <c r="AN119" i="5"/>
  <c r="AJ122" i="5"/>
  <c r="AF125" i="5"/>
  <c r="AM130" i="5"/>
  <c r="AG134" i="5"/>
  <c r="AG138" i="5"/>
  <c r="AB154" i="5"/>
  <c r="AB162" i="5"/>
  <c r="AI172" i="5"/>
  <c r="AJ176" i="5"/>
  <c r="AB182" i="5"/>
  <c r="AF194" i="5"/>
  <c r="AG199" i="5"/>
  <c r="AF199" i="5"/>
  <c r="AK122" i="5"/>
  <c r="AH138" i="5"/>
  <c r="AH145" i="5"/>
  <c r="AK156" i="5"/>
  <c r="AJ156" i="5"/>
  <c r="AG103" i="5"/>
  <c r="AH115" i="5"/>
  <c r="AN123" i="5"/>
  <c r="AD133" i="5"/>
  <c r="AJ137" i="5"/>
  <c r="AN141" i="5"/>
  <c r="AD145" i="5"/>
  <c r="AK155" i="5"/>
  <c r="AH162" i="5"/>
  <c r="AI162" i="5"/>
  <c r="AD163" i="5"/>
  <c r="AJ165" i="5"/>
  <c r="AB170" i="5"/>
  <c r="AG172" i="5"/>
  <c r="AN174" i="5"/>
  <c r="AG182" i="5"/>
  <c r="AB199" i="5"/>
  <c r="Y235" i="5"/>
  <c r="AN103" i="5"/>
  <c r="AB106" i="5"/>
  <c r="AF109" i="5"/>
  <c r="AK112" i="5"/>
  <c r="AL124" i="5"/>
  <c r="AJ126" i="5"/>
  <c r="AF129" i="5"/>
  <c r="AE129" i="5"/>
  <c r="AG137" i="5"/>
  <c r="AB149" i="5"/>
  <c r="AD161" i="5"/>
  <c r="AM169" i="5"/>
  <c r="AB178" i="5"/>
  <c r="AG180" i="5"/>
  <c r="AB181" i="5"/>
  <c r="AD187" i="5"/>
  <c r="AE187" i="5"/>
  <c r="AJ189" i="5"/>
  <c r="AF191" i="5"/>
  <c r="AE201" i="5"/>
  <c r="AB207" i="5"/>
  <c r="AB137" i="5"/>
  <c r="AD197" i="5"/>
  <c r="AE197" i="5"/>
  <c r="AJ141" i="5"/>
  <c r="AH146" i="5"/>
  <c r="AM157" i="5"/>
  <c r="AH158" i="5"/>
  <c r="AL167" i="5"/>
  <c r="AK177" i="5"/>
  <c r="AG178" i="5"/>
  <c r="AI184" i="5"/>
  <c r="AK193" i="5"/>
  <c r="AL203" i="5"/>
  <c r="AB224" i="5"/>
  <c r="AK104" i="5"/>
  <c r="AL116" i="5"/>
  <c r="AD122" i="5"/>
  <c r="AH127" i="5"/>
  <c r="AJ139" i="5"/>
  <c r="AI146" i="5"/>
  <c r="AD147" i="5"/>
  <c r="AD153" i="5"/>
  <c r="AN154" i="5"/>
  <c r="AK164" i="5"/>
  <c r="AJ164" i="5"/>
  <c r="AK171" i="5"/>
  <c r="AL177" i="5"/>
  <c r="AL193" i="5"/>
  <c r="AL104" i="5"/>
  <c r="AD110" i="5"/>
  <c r="AJ118" i="5"/>
  <c r="AH132" i="5"/>
  <c r="AB138" i="5"/>
  <c r="AI144" i="5"/>
  <c r="AI152" i="5"/>
  <c r="AK161" i="5"/>
  <c r="AL171" i="5"/>
  <c r="AK187" i="5"/>
  <c r="AH194" i="5"/>
  <c r="AI194" i="5"/>
  <c r="AD195" i="5"/>
  <c r="AJ197" i="5"/>
  <c r="AB202" i="5"/>
  <c r="AJ133" i="5"/>
  <c r="AG142" i="5"/>
  <c r="AJ153" i="5"/>
  <c r="AF156" i="5"/>
  <c r="AD159" i="5"/>
  <c r="AL165" i="5"/>
  <c r="AH168" i="5"/>
  <c r="AB169" i="5"/>
  <c r="AL175" i="5"/>
  <c r="AH178" i="5"/>
  <c r="AB179" i="5"/>
  <c r="AD181" i="5"/>
  <c r="AN182" i="5"/>
  <c r="AJ185" i="5"/>
  <c r="AF188" i="5"/>
  <c r="AD191" i="5"/>
  <c r="AL197" i="5"/>
  <c r="AH200" i="5"/>
  <c r="AB201" i="5"/>
  <c r="AB208" i="5"/>
  <c r="AB233" i="5"/>
  <c r="AG130" i="5"/>
  <c r="AH142" i="5"/>
  <c r="AK153" i="5"/>
  <c r="AG156" i="5"/>
  <c r="AK163" i="5"/>
  <c r="AG166" i="5"/>
  <c r="AK185" i="5"/>
  <c r="AG188" i="5"/>
  <c r="AK195" i="5"/>
  <c r="AG198" i="5"/>
  <c r="AB217" i="5"/>
  <c r="AB223" i="5"/>
  <c r="AB232" i="5"/>
  <c r="AB129" i="5"/>
  <c r="AF132" i="5"/>
  <c r="AK135" i="5"/>
  <c r="AL147" i="5"/>
  <c r="AJ149" i="5"/>
  <c r="AK151" i="5"/>
  <c r="AG154" i="5"/>
  <c r="AK173" i="5"/>
  <c r="AG176" i="5"/>
  <c r="AK183" i="5"/>
  <c r="AG186" i="5"/>
  <c r="AH134" i="5"/>
  <c r="AN142" i="5"/>
  <c r="AB145" i="5"/>
  <c r="AF148" i="5"/>
  <c r="AG152" i="5"/>
  <c r="AK159" i="5"/>
  <c r="AG162" i="5"/>
  <c r="AM165" i="5"/>
  <c r="AK181" i="5"/>
  <c r="AG184" i="5"/>
  <c r="AK191" i="5"/>
  <c r="AG194" i="5"/>
  <c r="B66" i="12"/>
  <c r="AF235" i="5" l="1"/>
  <c r="AG236" i="6"/>
  <c r="AE236" i="6"/>
  <c r="AF236" i="6"/>
  <c r="AL235" i="5"/>
  <c r="AZ256" i="7"/>
  <c r="AH236" i="6"/>
  <c r="AM235" i="5"/>
  <c r="AP5" i="5"/>
  <c r="AE235" i="5"/>
  <c r="BF68" i="7"/>
  <c r="BF44" i="7"/>
  <c r="BF187" i="7"/>
  <c r="BF117" i="7"/>
  <c r="BF179" i="7"/>
  <c r="BF246" i="7"/>
  <c r="BF245" i="7"/>
  <c r="BF235" i="7"/>
  <c r="BF116" i="7"/>
  <c r="BF191" i="7"/>
  <c r="BF59" i="7"/>
  <c r="BF226" i="7"/>
  <c r="AP130" i="6"/>
  <c r="AD235" i="5"/>
  <c r="BF185" i="7"/>
  <c r="BF247" i="7"/>
  <c r="BF164" i="7"/>
  <c r="BF157" i="7"/>
  <c r="BF158" i="7"/>
  <c r="BF195" i="7"/>
  <c r="BF243" i="7"/>
  <c r="BF219" i="7"/>
  <c r="BF108" i="7"/>
  <c r="BF40" i="7"/>
  <c r="BF200" i="7"/>
  <c r="BF161" i="7"/>
  <c r="BF38" i="7"/>
  <c r="AP175" i="6"/>
  <c r="AP88" i="6"/>
  <c r="AP167" i="6"/>
  <c r="AP123" i="6"/>
  <c r="AP90" i="6"/>
  <c r="AP56" i="6"/>
  <c r="AP186" i="6"/>
  <c r="AP169" i="6"/>
  <c r="AP102" i="6"/>
  <c r="AP233" i="6"/>
  <c r="BF211" i="7"/>
  <c r="BF234" i="7"/>
  <c r="BF128" i="7"/>
  <c r="BF172" i="7"/>
  <c r="BF218" i="7"/>
  <c r="BF115" i="7"/>
  <c r="BF111" i="7"/>
  <c r="BF189" i="7"/>
  <c r="BF30" i="7"/>
  <c r="BF60" i="7"/>
  <c r="AP47" i="6"/>
  <c r="AP219" i="6"/>
  <c r="AP206" i="6"/>
  <c r="AP199" i="6"/>
  <c r="AP105" i="6"/>
  <c r="AP11" i="6"/>
  <c r="AP202" i="6"/>
  <c r="AP52" i="6"/>
  <c r="AP115" i="6"/>
  <c r="AP106" i="6"/>
  <c r="AP171" i="6"/>
  <c r="AP217" i="6"/>
  <c r="AP78" i="6"/>
  <c r="AP194" i="6"/>
  <c r="AP138" i="6"/>
  <c r="BF152" i="7"/>
  <c r="BF154" i="7"/>
  <c r="BF135" i="7"/>
  <c r="BF22" i="7"/>
  <c r="BF34" i="7"/>
  <c r="BF192" i="7"/>
  <c r="BF88" i="7"/>
  <c r="BF208" i="7"/>
  <c r="BF249" i="7"/>
  <c r="BF124" i="7"/>
  <c r="BF145" i="7"/>
  <c r="BF153" i="7"/>
  <c r="BF160" i="7"/>
  <c r="BF193" i="7"/>
  <c r="BF231" i="7"/>
  <c r="BF10" i="7"/>
  <c r="BF65" i="7"/>
  <c r="BF209" i="7"/>
  <c r="BF100" i="7"/>
  <c r="BF97" i="7"/>
  <c r="BF197" i="7"/>
  <c r="AP119" i="6"/>
  <c r="AP158" i="6"/>
  <c r="AP207" i="6"/>
  <c r="AP232" i="6"/>
  <c r="AP109" i="6"/>
  <c r="AP66" i="6"/>
  <c r="AP18" i="6"/>
  <c r="AP49" i="6"/>
  <c r="AP126" i="6"/>
  <c r="AP223" i="6"/>
  <c r="AP55" i="6"/>
  <c r="AP22" i="6"/>
  <c r="AP135" i="6"/>
  <c r="AP146" i="6"/>
  <c r="AP190" i="6"/>
  <c r="AP127" i="6"/>
  <c r="AP203" i="6"/>
  <c r="AP162" i="5"/>
  <c r="AP195" i="5"/>
  <c r="AP149" i="5"/>
  <c r="AP164" i="5"/>
  <c r="AP113" i="5"/>
  <c r="BA256" i="7"/>
  <c r="BF141" i="7"/>
  <c r="BF41" i="7"/>
  <c r="BF244" i="7"/>
  <c r="BF220" i="7"/>
  <c r="BF242" i="7"/>
  <c r="BF148" i="7"/>
  <c r="BF207" i="7"/>
  <c r="BF176" i="7"/>
  <c r="BF233" i="7"/>
  <c r="BF256" i="7"/>
  <c r="BF241" i="7"/>
  <c r="BF225" i="7"/>
  <c r="BF240" i="7"/>
  <c r="BF224" i="7"/>
  <c r="BF255" i="7"/>
  <c r="BF239" i="7"/>
  <c r="BF223" i="7"/>
  <c r="BF178" i="7"/>
  <c r="BF147" i="7"/>
  <c r="BF230" i="7"/>
  <c r="BF216" i="7"/>
  <c r="BF174" i="7"/>
  <c r="BF143" i="7"/>
  <c r="BF229" i="7"/>
  <c r="BF215" i="7"/>
  <c r="BF222" i="7"/>
  <c r="BF206" i="7"/>
  <c r="BF186" i="7"/>
  <c r="BF118" i="7"/>
  <c r="BF221" i="7"/>
  <c r="BF168" i="7"/>
  <c r="BF155" i="7"/>
  <c r="AR256" i="7"/>
  <c r="BF198" i="7"/>
  <c r="BF175" i="7"/>
  <c r="BF144" i="7"/>
  <c r="BF254" i="7"/>
  <c r="BF212" i="7"/>
  <c r="BF253" i="7"/>
  <c r="BF177" i="7"/>
  <c r="BF146" i="7"/>
  <c r="BF210" i="7"/>
  <c r="BF170" i="7"/>
  <c r="BF159" i="7"/>
  <c r="BF122" i="7"/>
  <c r="BF99" i="7"/>
  <c r="BF67" i="7"/>
  <c r="BF190" i="7"/>
  <c r="BF133" i="7"/>
  <c r="BF131" i="7"/>
  <c r="BF126" i="7"/>
  <c r="BF120" i="7"/>
  <c r="BF82" i="7"/>
  <c r="BF62" i="7"/>
  <c r="BF173" i="7"/>
  <c r="BF87" i="7"/>
  <c r="BF102" i="7"/>
  <c r="BF228" i="7"/>
  <c r="BF181" i="7"/>
  <c r="BF169" i="7"/>
  <c r="BF140" i="7"/>
  <c r="BF134" i="7"/>
  <c r="BF93" i="7"/>
  <c r="BF86" i="7"/>
  <c r="BF83" i="7"/>
  <c r="BF58" i="7"/>
  <c r="BF27" i="7"/>
  <c r="BF19" i="7"/>
  <c r="BF48" i="7"/>
  <c r="BF202" i="7"/>
  <c r="BF213" i="7"/>
  <c r="BF94" i="7"/>
  <c r="BF80" i="7"/>
  <c r="BF39" i="7"/>
  <c r="BF251" i="7"/>
  <c r="BF163" i="7"/>
  <c r="BF66" i="7"/>
  <c r="BF35" i="7"/>
  <c r="BF31" i="7"/>
  <c r="BF15" i="7"/>
  <c r="BF142" i="7"/>
  <c r="BF45" i="7"/>
  <c r="BF194" i="7"/>
  <c r="BF110" i="7"/>
  <c r="BF95" i="7"/>
  <c r="BF70" i="7"/>
  <c r="BF171" i="7"/>
  <c r="BF238" i="7"/>
  <c r="BF106" i="7"/>
  <c r="BF78" i="7"/>
  <c r="BF252" i="7"/>
  <c r="BF166" i="7"/>
  <c r="BF130" i="7"/>
  <c r="BF81" i="7"/>
  <c r="BF55" i="7"/>
  <c r="BF150" i="7"/>
  <c r="BF23" i="7"/>
  <c r="BF7" i="7"/>
  <c r="BF74" i="7"/>
  <c r="BF114" i="7"/>
  <c r="BF76" i="7"/>
  <c r="BF139" i="7"/>
  <c r="BF127" i="7"/>
  <c r="BF90" i="7"/>
  <c r="BF79" i="7"/>
  <c r="BF151" i="7"/>
  <c r="BF112" i="7"/>
  <c r="BF11" i="7"/>
  <c r="BF129" i="7"/>
  <c r="BF61" i="7"/>
  <c r="BF51" i="7"/>
  <c r="BF214" i="7"/>
  <c r="BF56" i="7"/>
  <c r="BF42" i="7"/>
  <c r="BF237" i="7"/>
  <c r="BF69" i="7"/>
  <c r="BF32" i="7"/>
  <c r="BF28" i="7"/>
  <c r="BF24" i="7"/>
  <c r="BF20" i="7"/>
  <c r="BF16" i="7"/>
  <c r="BF12" i="7"/>
  <c r="BF8" i="7"/>
  <c r="BF103" i="7"/>
  <c r="BF236" i="7"/>
  <c r="BF167" i="7"/>
  <c r="BF125" i="7"/>
  <c r="BF96" i="7"/>
  <c r="BF98" i="7"/>
  <c r="BF49" i="7"/>
  <c r="BF5" i="7"/>
  <c r="BG5" i="7" s="1"/>
  <c r="BF89" i="7"/>
  <c r="BF46" i="7"/>
  <c r="BF9" i="7"/>
  <c r="BF36" i="7"/>
  <c r="BF75" i="7"/>
  <c r="BF71" i="7"/>
  <c r="BF13" i="7"/>
  <c r="BF182" i="7"/>
  <c r="BF119" i="7"/>
  <c r="BF105" i="7"/>
  <c r="BF250" i="7"/>
  <c r="BF54" i="7"/>
  <c r="BF43" i="7"/>
  <c r="BF17" i="7"/>
  <c r="BF113" i="7"/>
  <c r="BF21" i="7"/>
  <c r="BF73" i="7"/>
  <c r="BF156" i="7"/>
  <c r="BF91" i="7"/>
  <c r="BF29" i="7"/>
  <c r="BF33" i="7"/>
  <c r="BF57" i="7"/>
  <c r="BF25" i="7"/>
  <c r="BF227" i="7"/>
  <c r="BF183" i="7"/>
  <c r="BF162" i="7"/>
  <c r="BF107" i="7"/>
  <c r="BF199" i="7"/>
  <c r="BF101" i="7"/>
  <c r="BF196" i="7"/>
  <c r="BF184" i="7"/>
  <c r="BF136" i="7"/>
  <c r="BF165" i="7"/>
  <c r="BF137" i="7"/>
  <c r="BF104" i="7"/>
  <c r="BF63" i="7"/>
  <c r="BF138" i="7"/>
  <c r="BF53" i="7"/>
  <c r="BF37" i="7"/>
  <c r="BF26" i="7"/>
  <c r="BF188" i="7"/>
  <c r="BF201" i="7"/>
  <c r="BF92" i="7"/>
  <c r="BF77" i="7"/>
  <c r="BF232" i="7"/>
  <c r="BF121" i="7"/>
  <c r="BF47" i="7"/>
  <c r="BF149" i="7"/>
  <c r="BF204" i="7"/>
  <c r="BF205" i="7"/>
  <c r="BF72" i="7"/>
  <c r="BF248" i="7"/>
  <c r="BF50" i="7"/>
  <c r="BF14" i="7"/>
  <c r="BF85" i="7"/>
  <c r="BF18" i="7"/>
  <c r="BF84" i="7"/>
  <c r="BF123" i="7"/>
  <c r="BF180" i="7"/>
  <c r="BF109" i="7"/>
  <c r="BF203" i="7"/>
  <c r="BF217" i="7"/>
  <c r="BF132" i="7"/>
  <c r="BF6" i="7"/>
  <c r="BF64" i="7"/>
  <c r="AK236" i="6"/>
  <c r="AP9" i="6"/>
  <c r="AP17" i="6"/>
  <c r="AP48" i="6"/>
  <c r="AP93" i="6"/>
  <c r="AP154" i="6"/>
  <c r="AP6" i="6"/>
  <c r="AP166" i="6"/>
  <c r="AP134" i="6"/>
  <c r="AP150" i="6"/>
  <c r="AP182" i="6"/>
  <c r="AP97" i="6"/>
  <c r="AP179" i="6"/>
  <c r="AP151" i="6"/>
  <c r="AP71" i="6"/>
  <c r="AP125" i="6"/>
  <c r="AP193" i="6"/>
  <c r="AP110" i="6"/>
  <c r="AP20" i="6"/>
  <c r="AP65" i="6"/>
  <c r="AP133" i="6"/>
  <c r="AP165" i="6"/>
  <c r="AP162" i="6"/>
  <c r="AP63" i="6"/>
  <c r="AP15" i="6"/>
  <c r="AP122" i="6"/>
  <c r="AP163" i="6"/>
  <c r="AP76" i="6"/>
  <c r="AP155" i="6"/>
  <c r="AP80" i="6"/>
  <c r="AP24" i="6"/>
  <c r="AP161" i="6"/>
  <c r="AP72" i="6"/>
  <c r="AP195" i="6"/>
  <c r="AP44" i="6"/>
  <c r="AP121" i="6"/>
  <c r="AJ236" i="6"/>
  <c r="AP43" i="6"/>
  <c r="AP214" i="6"/>
  <c r="AP107" i="6"/>
  <c r="AP191" i="6"/>
  <c r="AP59" i="6"/>
  <c r="AP114" i="6"/>
  <c r="AP33" i="6"/>
  <c r="AP29" i="6"/>
  <c r="AP236" i="6"/>
  <c r="AP221" i="6"/>
  <c r="AP205" i="6"/>
  <c r="AP220" i="6"/>
  <c r="AP204" i="6"/>
  <c r="AP176" i="6"/>
  <c r="AP132" i="6"/>
  <c r="AP136" i="6"/>
  <c r="AP180" i="6"/>
  <c r="AP140" i="6"/>
  <c r="AP234" i="6"/>
  <c r="AP231" i="6"/>
  <c r="AP152" i="6"/>
  <c r="AB236" i="6"/>
  <c r="AP196" i="6"/>
  <c r="AP153" i="6"/>
  <c r="AP145" i="6"/>
  <c r="AP120" i="6"/>
  <c r="AP104" i="6"/>
  <c r="AP185" i="6"/>
  <c r="AP139" i="6"/>
  <c r="AP168" i="6"/>
  <c r="AP160" i="6"/>
  <c r="AP200" i="6"/>
  <c r="AP156" i="6"/>
  <c r="AP149" i="6"/>
  <c r="AP216" i="6"/>
  <c r="AP213" i="6"/>
  <c r="AP192" i="6"/>
  <c r="AP108" i="6"/>
  <c r="AP92" i="6"/>
  <c r="AP218" i="6"/>
  <c r="AP215" i="6"/>
  <c r="AP212" i="6"/>
  <c r="AP172" i="6"/>
  <c r="AP101" i="6"/>
  <c r="AP211" i="6"/>
  <c r="AP103" i="6"/>
  <c r="AP95" i="6"/>
  <c r="AP61" i="6"/>
  <c r="AP35" i="6"/>
  <c r="AP83" i="6"/>
  <c r="AP124" i="6"/>
  <c r="AP100" i="6"/>
  <c r="AP164" i="6"/>
  <c r="AP86" i="6"/>
  <c r="AP42" i="6"/>
  <c r="AP81" i="6"/>
  <c r="AP31" i="6"/>
  <c r="AP113" i="6"/>
  <c r="AP143" i="6"/>
  <c r="AP39" i="6"/>
  <c r="AP228" i="6"/>
  <c r="AP129" i="6"/>
  <c r="AP111" i="6"/>
  <c r="AP227" i="6"/>
  <c r="AP226" i="6"/>
  <c r="AP210" i="6"/>
  <c r="AP230" i="6"/>
  <c r="AP147" i="6"/>
  <c r="AP117" i="6"/>
  <c r="AP229" i="6"/>
  <c r="AP225" i="6"/>
  <c r="AP58" i="6"/>
  <c r="AP148" i="6"/>
  <c r="AP208" i="6"/>
  <c r="AP188" i="6"/>
  <c r="AP131" i="6"/>
  <c r="AP62" i="6"/>
  <c r="AP30" i="6"/>
  <c r="AP23" i="6"/>
  <c r="AP54" i="6"/>
  <c r="AP32" i="6"/>
  <c r="AP177" i="6"/>
  <c r="AP173" i="6"/>
  <c r="AP96" i="6"/>
  <c r="AP34" i="6"/>
  <c r="AP16" i="6"/>
  <c r="AP189" i="6"/>
  <c r="AP74" i="6"/>
  <c r="AP197" i="6"/>
  <c r="AP144" i="6"/>
  <c r="AP112" i="6"/>
  <c r="AP38" i="6"/>
  <c r="AP14" i="6"/>
  <c r="AP116" i="6"/>
  <c r="AP209" i="6"/>
  <c r="AP46" i="6"/>
  <c r="AP137" i="6"/>
  <c r="AP50" i="6"/>
  <c r="AP19" i="6"/>
  <c r="AP67" i="6"/>
  <c r="AP184" i="6"/>
  <c r="AP40" i="6"/>
  <c r="AP64" i="6"/>
  <c r="AP224" i="6"/>
  <c r="AP141" i="6"/>
  <c r="AP69" i="6"/>
  <c r="AP27" i="6"/>
  <c r="AP89" i="6"/>
  <c r="AP36" i="6"/>
  <c r="AP12" i="6"/>
  <c r="AP7" i="6"/>
  <c r="AP79" i="6"/>
  <c r="AP235" i="6"/>
  <c r="AP5" i="6"/>
  <c r="AQ5" i="6" s="1"/>
  <c r="AP68" i="6"/>
  <c r="AP51" i="6"/>
  <c r="AP70" i="6"/>
  <c r="AP82" i="6"/>
  <c r="AP118" i="6"/>
  <c r="AP142" i="6"/>
  <c r="AP57" i="6"/>
  <c r="AP84" i="6"/>
  <c r="AP157" i="6"/>
  <c r="AP75" i="6"/>
  <c r="AP73" i="6"/>
  <c r="AP21" i="6"/>
  <c r="AP41" i="6"/>
  <c r="AP98" i="6"/>
  <c r="AP77" i="6"/>
  <c r="AP187" i="6"/>
  <c r="AP198" i="6"/>
  <c r="AP128" i="6"/>
  <c r="AP178" i="6"/>
  <c r="AP94" i="6"/>
  <c r="AP26" i="6"/>
  <c r="AP222" i="6"/>
  <c r="AP53" i="6"/>
  <c r="AP99" i="6"/>
  <c r="AP28" i="6"/>
  <c r="AP60" i="6"/>
  <c r="AP91" i="6"/>
  <c r="AP181" i="6"/>
  <c r="AP87" i="6"/>
  <c r="AL236" i="6"/>
  <c r="AP183" i="6"/>
  <c r="AP170" i="6"/>
  <c r="AP159" i="6"/>
  <c r="AP174" i="6"/>
  <c r="AP25" i="6"/>
  <c r="AP10" i="6"/>
  <c r="AP201" i="6"/>
  <c r="AP13" i="6"/>
  <c r="AP8" i="6"/>
  <c r="AP85" i="6"/>
  <c r="AP45" i="6"/>
  <c r="AP235" i="5"/>
  <c r="AP221" i="5"/>
  <c r="AP205" i="5"/>
  <c r="AP220" i="5"/>
  <c r="AP214" i="5"/>
  <c r="AP230" i="5"/>
  <c r="AP219" i="5"/>
  <c r="AP213" i="5"/>
  <c r="AP125" i="5"/>
  <c r="AP106" i="5"/>
  <c r="AP229" i="5"/>
  <c r="AP233" i="5"/>
  <c r="AP204" i="5"/>
  <c r="AP218" i="5"/>
  <c r="AP100" i="5"/>
  <c r="AP96" i="5"/>
  <c r="AP92" i="5"/>
  <c r="AP88" i="5"/>
  <c r="AP84" i="5"/>
  <c r="AP81" i="5"/>
  <c r="AP234" i="5"/>
  <c r="AP146" i="5"/>
  <c r="AP73" i="5"/>
  <c r="AB235" i="5"/>
  <c r="AP217" i="5"/>
  <c r="AP120" i="5"/>
  <c r="AP145" i="5"/>
  <c r="AP138" i="5"/>
  <c r="AP112" i="5"/>
  <c r="AP165" i="5"/>
  <c r="AP69" i="5"/>
  <c r="AP129" i="5"/>
  <c r="AP118" i="5"/>
  <c r="AP99" i="5"/>
  <c r="AP124" i="5"/>
  <c r="AP227" i="5"/>
  <c r="AP212" i="5"/>
  <c r="AP175" i="5"/>
  <c r="AP101" i="5"/>
  <c r="AP75" i="5"/>
  <c r="AP226" i="5"/>
  <c r="AP211" i="5"/>
  <c r="AP155" i="5"/>
  <c r="AP77" i="5"/>
  <c r="AP70" i="5"/>
  <c r="AP209" i="5"/>
  <c r="AP65" i="5"/>
  <c r="AP55" i="5"/>
  <c r="AP30" i="5"/>
  <c r="AP23" i="5"/>
  <c r="AP6" i="5"/>
  <c r="AP22" i="5"/>
  <c r="AP97" i="5"/>
  <c r="AP46" i="5"/>
  <c r="AP179" i="5"/>
  <c r="AP34" i="5"/>
  <c r="AP67" i="5"/>
  <c r="AP53" i="5"/>
  <c r="AP19" i="5"/>
  <c r="AP116" i="5"/>
  <c r="AP72" i="5"/>
  <c r="AP10" i="5"/>
  <c r="AP41" i="5"/>
  <c r="AP63" i="5"/>
  <c r="AP25" i="5"/>
  <c r="AP11" i="5"/>
  <c r="AP139" i="5"/>
  <c r="AP111" i="5"/>
  <c r="AP64" i="5"/>
  <c r="AP74" i="5"/>
  <c r="AP87" i="5"/>
  <c r="AP57" i="5"/>
  <c r="AP51" i="5"/>
  <c r="AP228" i="5"/>
  <c r="AP193" i="5"/>
  <c r="AP123" i="5"/>
  <c r="AP93" i="5"/>
  <c r="AP38" i="5"/>
  <c r="AP210" i="5"/>
  <c r="AP107" i="5"/>
  <c r="AP143" i="5"/>
  <c r="AP27" i="5"/>
  <c r="AP133" i="5"/>
  <c r="AP126" i="5"/>
  <c r="AP14" i="5"/>
  <c r="AP17" i="5"/>
  <c r="AP7" i="5"/>
  <c r="AP163" i="5"/>
  <c r="AP52" i="5"/>
  <c r="AP49" i="5"/>
  <c r="AP207" i="5"/>
  <c r="AP86" i="5"/>
  <c r="AP196" i="5"/>
  <c r="AP117" i="5"/>
  <c r="AP206" i="5"/>
  <c r="AP176" i="5"/>
  <c r="AP199" i="5"/>
  <c r="AP90" i="5"/>
  <c r="AP62" i="5"/>
  <c r="AP159" i="5"/>
  <c r="AP183" i="5"/>
  <c r="AP66" i="5"/>
  <c r="AP48" i="5"/>
  <c r="AP68" i="5"/>
  <c r="AP79" i="5"/>
  <c r="AP147" i="5"/>
  <c r="AP114" i="5"/>
  <c r="AP201" i="5"/>
  <c r="AP232" i="5"/>
  <c r="AP208" i="5"/>
  <c r="AP132" i="5"/>
  <c r="AP152" i="5"/>
  <c r="AP222" i="5"/>
  <c r="AP134" i="5"/>
  <c r="AP168" i="5"/>
  <c r="AP136" i="5"/>
  <c r="AP109" i="5"/>
  <c r="AP32" i="5"/>
  <c r="AP60" i="5"/>
  <c r="AP20" i="5"/>
  <c r="AP58" i="5"/>
  <c r="AP61" i="5"/>
  <c r="AP29" i="5"/>
  <c r="AP9" i="5"/>
  <c r="AP200" i="5"/>
  <c r="AP33" i="5"/>
  <c r="AP47" i="5"/>
  <c r="AP18" i="5"/>
  <c r="AP80" i="5"/>
  <c r="AP45" i="5"/>
  <c r="AP50" i="5"/>
  <c r="AP156" i="5"/>
  <c r="AP127" i="5"/>
  <c r="AP185" i="5"/>
  <c r="AP95" i="5"/>
  <c r="AP119" i="5"/>
  <c r="AP203" i="5"/>
  <c r="AP16" i="5"/>
  <c r="AP83" i="5"/>
  <c r="AP8" i="5"/>
  <c r="AP131" i="5"/>
  <c r="AP91" i="5"/>
  <c r="AP171" i="5"/>
  <c r="AP103" i="5"/>
  <c r="AP54" i="5"/>
  <c r="AP166" i="5"/>
  <c r="AP154" i="5"/>
  <c r="AP59" i="5"/>
  <c r="AP169" i="5"/>
  <c r="AP140" i="5"/>
  <c r="AP190" i="5"/>
  <c r="AP189" i="5"/>
  <c r="AP43" i="5"/>
  <c r="AP31" i="5"/>
  <c r="AP128" i="5"/>
  <c r="AP170" i="5"/>
  <c r="AP153" i="5"/>
  <c r="AP198" i="5"/>
  <c r="AP184" i="5"/>
  <c r="AP98" i="5"/>
  <c r="AP188" i="5"/>
  <c r="AP12" i="5"/>
  <c r="AP150" i="5"/>
  <c r="AP202" i="5"/>
  <c r="AP141" i="5"/>
  <c r="AP122" i="5"/>
  <c r="AP78" i="5"/>
  <c r="AP71" i="5"/>
  <c r="AP110" i="5"/>
  <c r="AP104" i="5"/>
  <c r="AP158" i="5"/>
  <c r="AP161" i="5"/>
  <c r="AP144" i="5"/>
  <c r="AP115" i="5"/>
  <c r="AP181" i="5"/>
  <c r="AP89" i="5"/>
  <c r="AP76" i="5"/>
  <c r="AP121" i="5"/>
  <c r="AQ5" i="5"/>
  <c r="AP160" i="5"/>
  <c r="AP216" i="5"/>
  <c r="AP44" i="5"/>
  <c r="AP135" i="5"/>
  <c r="AP94" i="5"/>
  <c r="AP37" i="5"/>
  <c r="AP26" i="5"/>
  <c r="AP151" i="5"/>
  <c r="AP172" i="5"/>
  <c r="AP191" i="5"/>
  <c r="AP39" i="5"/>
  <c r="AP105" i="5"/>
  <c r="AP187" i="5"/>
  <c r="AP177" i="5"/>
  <c r="AP102" i="5"/>
  <c r="AP13" i="5"/>
  <c r="AP40" i="5"/>
  <c r="AP174" i="5"/>
  <c r="AP192" i="5"/>
  <c r="AP224" i="5"/>
  <c r="AP194" i="5"/>
  <c r="AP178" i="5"/>
  <c r="AP182" i="5"/>
  <c r="AP186" i="5"/>
  <c r="AP157" i="5"/>
  <c r="AP167" i="5"/>
  <c r="AP225" i="5"/>
  <c r="AP180" i="5"/>
  <c r="AP24" i="5"/>
  <c r="AP56" i="5"/>
  <c r="AP85" i="5"/>
  <c r="AP36" i="5"/>
  <c r="AP21" i="5"/>
  <c r="AP82" i="5"/>
  <c r="AP142" i="5"/>
  <c r="AP197" i="5"/>
  <c r="AP42" i="5"/>
  <c r="AP148" i="5"/>
  <c r="AP130" i="5"/>
  <c r="AP231" i="5"/>
  <c r="AP173" i="5"/>
  <c r="AP35" i="5"/>
  <c r="AP215" i="5"/>
  <c r="AP137" i="5"/>
  <c r="AP108" i="5"/>
  <c r="AP28" i="5"/>
  <c r="AP15" i="5"/>
  <c r="B63" i="12"/>
  <c r="C63" i="12"/>
  <c r="D63" i="12"/>
  <c r="B57" i="12"/>
  <c r="C57" i="12"/>
  <c r="D57" i="12"/>
  <c r="B51" i="12"/>
  <c r="C51" i="12"/>
  <c r="D51" i="12"/>
  <c r="B36" i="12"/>
  <c r="C36" i="12"/>
  <c r="D36" i="12"/>
  <c r="B30" i="12"/>
  <c r="C30" i="12"/>
  <c r="D30" i="12"/>
  <c r="B15" i="12"/>
  <c r="C15" i="12"/>
  <c r="D15" i="12"/>
  <c r="B9" i="12"/>
  <c r="C9" i="12"/>
  <c r="D9" i="12"/>
  <c r="B63" i="11"/>
  <c r="C63" i="11"/>
  <c r="D63" i="11"/>
  <c r="B51" i="11"/>
  <c r="C51" i="11"/>
  <c r="D51" i="11"/>
  <c r="B57" i="11"/>
  <c r="C57" i="11"/>
  <c r="D57" i="11"/>
  <c r="B36" i="11"/>
  <c r="C36" i="11"/>
  <c r="D36" i="11"/>
  <c r="B30" i="11"/>
  <c r="C30" i="11"/>
  <c r="D30" i="11"/>
  <c r="B15" i="11"/>
  <c r="C15" i="11"/>
  <c r="D15" i="11"/>
  <c r="B9" i="11"/>
  <c r="C9" i="11"/>
  <c r="D9" i="11"/>
  <c r="D9" i="2"/>
  <c r="E9" i="2"/>
  <c r="BG6" i="7" l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3" i="7" s="1"/>
  <c r="BG104" i="7" s="1"/>
  <c r="BG105" i="7" s="1"/>
  <c r="BG106" i="7" s="1"/>
  <c r="BG107" i="7" s="1"/>
  <c r="BG108" i="7" s="1"/>
  <c r="BG109" i="7" s="1"/>
  <c r="BG110" i="7" s="1"/>
  <c r="BG111" i="7" s="1"/>
  <c r="BG112" i="7" s="1"/>
  <c r="BG113" i="7" s="1"/>
  <c r="BG114" i="7" s="1"/>
  <c r="BG115" i="7" s="1"/>
  <c r="BG116" i="7" s="1"/>
  <c r="BG117" i="7" s="1"/>
  <c r="BG118" i="7" s="1"/>
  <c r="BG119" i="7" s="1"/>
  <c r="BG120" i="7" s="1"/>
  <c r="BG121" i="7" s="1"/>
  <c r="BG122" i="7" s="1"/>
  <c r="BG123" i="7" s="1"/>
  <c r="BG124" i="7" s="1"/>
  <c r="BG125" i="7" s="1"/>
  <c r="BG126" i="7" s="1"/>
  <c r="BG127" i="7" s="1"/>
  <c r="BG128" i="7" s="1"/>
  <c r="BG129" i="7" s="1"/>
  <c r="BG130" i="7" s="1"/>
  <c r="BG131" i="7" s="1"/>
  <c r="BG132" i="7" s="1"/>
  <c r="BG133" i="7" s="1"/>
  <c r="BG134" i="7" s="1"/>
  <c r="BG135" i="7" s="1"/>
  <c r="BG136" i="7" s="1"/>
  <c r="BG137" i="7" s="1"/>
  <c r="BG138" i="7" s="1"/>
  <c r="BG139" i="7" s="1"/>
  <c r="BG140" i="7" s="1"/>
  <c r="BG141" i="7" s="1"/>
  <c r="BG142" i="7" s="1"/>
  <c r="BG143" i="7" s="1"/>
  <c r="BG144" i="7" s="1"/>
  <c r="BG145" i="7" s="1"/>
  <c r="BG146" i="7" s="1"/>
  <c r="BG147" i="7" s="1"/>
  <c r="BG148" i="7" s="1"/>
  <c r="BG149" i="7" s="1"/>
  <c r="BG150" i="7" s="1"/>
  <c r="BG151" i="7" s="1"/>
  <c r="BG152" i="7" s="1"/>
  <c r="BG153" i="7" s="1"/>
  <c r="BG154" i="7" s="1"/>
  <c r="BG155" i="7" s="1"/>
  <c r="BG156" i="7" s="1"/>
  <c r="BG157" i="7" s="1"/>
  <c r="BG158" i="7" s="1"/>
  <c r="BG159" i="7" s="1"/>
  <c r="BG160" i="7" s="1"/>
  <c r="BG161" i="7" s="1"/>
  <c r="BG162" i="7" s="1"/>
  <c r="BG163" i="7" s="1"/>
  <c r="BG164" i="7" s="1"/>
  <c r="BG165" i="7" s="1"/>
  <c r="BG166" i="7" s="1"/>
  <c r="BG167" i="7" s="1"/>
  <c r="BG168" i="7" s="1"/>
  <c r="BG169" i="7" s="1"/>
  <c r="BG170" i="7" s="1"/>
  <c r="BG171" i="7" s="1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G183" i="7" s="1"/>
  <c r="BG184" i="7" s="1"/>
  <c r="BG185" i="7" s="1"/>
  <c r="BG186" i="7" s="1"/>
  <c r="BG187" i="7" s="1"/>
  <c r="BG188" i="7" s="1"/>
  <c r="BG189" i="7" s="1"/>
  <c r="BG190" i="7" s="1"/>
  <c r="BG191" i="7" s="1"/>
  <c r="BG192" i="7" s="1"/>
  <c r="BG193" i="7" s="1"/>
  <c r="BG194" i="7" s="1"/>
  <c r="BG195" i="7" s="1"/>
  <c r="BG196" i="7" s="1"/>
  <c r="BG197" i="7" s="1"/>
  <c r="BG198" i="7" s="1"/>
  <c r="BG199" i="7" s="1"/>
  <c r="BG200" i="7" s="1"/>
  <c r="BG201" i="7" s="1"/>
  <c r="BG202" i="7" s="1"/>
  <c r="BG203" i="7" s="1"/>
  <c r="BG204" i="7" s="1"/>
  <c r="BG205" i="7" s="1"/>
  <c r="BG206" i="7" s="1"/>
  <c r="BG207" i="7" s="1"/>
  <c r="BG208" i="7" s="1"/>
  <c r="BG209" i="7" s="1"/>
  <c r="BG210" i="7" s="1"/>
  <c r="BG211" i="7" s="1"/>
  <c r="BG212" i="7" s="1"/>
  <c r="BG213" i="7" s="1"/>
  <c r="BG214" i="7" s="1"/>
  <c r="BG215" i="7" s="1"/>
  <c r="BG216" i="7" s="1"/>
  <c r="BG217" i="7" s="1"/>
  <c r="BG218" i="7" s="1"/>
  <c r="BG219" i="7" s="1"/>
  <c r="BG220" i="7" s="1"/>
  <c r="BG221" i="7" s="1"/>
  <c r="BG222" i="7" s="1"/>
  <c r="BG223" i="7" s="1"/>
  <c r="BG224" i="7" s="1"/>
  <c r="BG225" i="7" s="1"/>
  <c r="BG226" i="7" s="1"/>
  <c r="BG227" i="7" s="1"/>
  <c r="BG228" i="7" s="1"/>
  <c r="BG229" i="7" s="1"/>
  <c r="BG230" i="7" s="1"/>
  <c r="BG231" i="7" s="1"/>
  <c r="BG232" i="7" s="1"/>
  <c r="BG233" i="7" s="1"/>
  <c r="BG234" i="7" s="1"/>
  <c r="BG235" i="7" s="1"/>
  <c r="BG236" i="7" s="1"/>
  <c r="BG237" i="7" s="1"/>
  <c r="BG238" i="7" s="1"/>
  <c r="BG239" i="7" s="1"/>
  <c r="BG240" i="7" s="1"/>
  <c r="BG241" i="7" s="1"/>
  <c r="BG242" i="7" s="1"/>
  <c r="BG243" i="7" s="1"/>
  <c r="BG244" i="7" s="1"/>
  <c r="BG245" i="7" s="1"/>
  <c r="BG246" i="7" s="1"/>
  <c r="BG247" i="7" s="1"/>
  <c r="BG248" i="7" s="1"/>
  <c r="BG249" i="7" s="1"/>
  <c r="BG250" i="7" s="1"/>
  <c r="BG251" i="7" s="1"/>
  <c r="BG252" i="7" s="1"/>
  <c r="BG253" i="7" s="1"/>
  <c r="BG254" i="7" s="1"/>
  <c r="BG255" i="7" s="1"/>
  <c r="AQ6" i="6"/>
  <c r="AQ7" i="6" s="1"/>
  <c r="AQ8" i="6" s="1"/>
  <c r="AQ9" i="6" s="1"/>
  <c r="AQ10" i="6" s="1"/>
  <c r="AQ11" i="6" s="1"/>
  <c r="AQ12" i="6" s="1"/>
  <c r="AQ13" i="6" s="1"/>
  <c r="AQ14" i="6" s="1"/>
  <c r="AQ15" i="6" s="1"/>
  <c r="AQ16" i="6" s="1"/>
  <c r="AQ17" i="6" s="1"/>
  <c r="AQ18" i="6" s="1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Q29" i="6" s="1"/>
  <c r="AQ30" i="6" s="1"/>
  <c r="AQ31" i="6" s="1"/>
  <c r="AQ32" i="6" s="1"/>
  <c r="AQ33" i="6" s="1"/>
  <c r="AQ34" i="6" s="1"/>
  <c r="AQ35" i="6" s="1"/>
  <c r="AQ36" i="6" s="1"/>
  <c r="AQ37" i="6" s="1"/>
  <c r="AQ38" i="6" s="1"/>
  <c r="AQ39" i="6" s="1"/>
  <c r="AQ40" i="6" s="1"/>
  <c r="AQ41" i="6" s="1"/>
  <c r="AQ42" i="6" s="1"/>
  <c r="AQ43" i="6" s="1"/>
  <c r="AQ44" i="6" s="1"/>
  <c r="AQ45" i="6" s="1"/>
  <c r="AQ46" i="6" s="1"/>
  <c r="AQ47" i="6" s="1"/>
  <c r="AQ48" i="6" s="1"/>
  <c r="AQ49" i="6" s="1"/>
  <c r="AQ50" i="6" s="1"/>
  <c r="AQ51" i="6" s="1"/>
  <c r="AQ52" i="6" s="1"/>
  <c r="AQ53" i="6" s="1"/>
  <c r="AQ54" i="6" s="1"/>
  <c r="AQ55" i="6" s="1"/>
  <c r="AQ56" i="6" s="1"/>
  <c r="AQ57" i="6" s="1"/>
  <c r="AQ58" i="6" s="1"/>
  <c r="AQ59" i="6" s="1"/>
  <c r="AQ60" i="6" s="1"/>
  <c r="AQ61" i="6" s="1"/>
  <c r="AQ62" i="6" s="1"/>
  <c r="AQ63" i="6" s="1"/>
  <c r="AQ64" i="6" s="1"/>
  <c r="AQ65" i="6" s="1"/>
  <c r="AQ66" i="6" s="1"/>
  <c r="AQ67" i="6" s="1"/>
  <c r="AQ68" i="6" s="1"/>
  <c r="AQ69" i="6" s="1"/>
  <c r="AQ70" i="6" s="1"/>
  <c r="AQ71" i="6" s="1"/>
  <c r="AQ72" i="6" s="1"/>
  <c r="AQ73" i="6" s="1"/>
  <c r="AQ74" i="6" s="1"/>
  <c r="AQ75" i="6" s="1"/>
  <c r="AQ76" i="6" s="1"/>
  <c r="AQ77" i="6" s="1"/>
  <c r="AQ78" i="6" s="1"/>
  <c r="AQ79" i="6" s="1"/>
  <c r="AQ80" i="6" s="1"/>
  <c r="AQ81" i="6" s="1"/>
  <c r="AQ82" i="6" s="1"/>
  <c r="AQ83" i="6" s="1"/>
  <c r="AQ84" i="6" s="1"/>
  <c r="AQ85" i="6" s="1"/>
  <c r="AQ86" i="6" s="1"/>
  <c r="AQ87" i="6" s="1"/>
  <c r="AQ88" i="6" s="1"/>
  <c r="AQ89" i="6" s="1"/>
  <c r="AQ90" i="6" s="1"/>
  <c r="AQ91" i="6" s="1"/>
  <c r="AQ92" i="6" s="1"/>
  <c r="AQ93" i="6" s="1"/>
  <c r="AQ94" i="6" s="1"/>
  <c r="AQ95" i="6" s="1"/>
  <c r="AQ96" i="6" s="1"/>
  <c r="AQ97" i="6" s="1"/>
  <c r="AQ98" i="6" s="1"/>
  <c r="AQ99" i="6" s="1"/>
  <c r="AQ100" i="6" s="1"/>
  <c r="AQ101" i="6" s="1"/>
  <c r="AQ102" i="6" s="1"/>
  <c r="AQ103" i="6" s="1"/>
  <c r="AQ104" i="6" s="1"/>
  <c r="AQ105" i="6" s="1"/>
  <c r="AQ106" i="6" s="1"/>
  <c r="AQ107" i="6" s="1"/>
  <c r="AQ108" i="6" s="1"/>
  <c r="AQ109" i="6" s="1"/>
  <c r="AQ110" i="6" s="1"/>
  <c r="AQ111" i="6" s="1"/>
  <c r="AQ112" i="6" s="1"/>
  <c r="AQ113" i="6" s="1"/>
  <c r="AQ114" i="6" s="1"/>
  <c r="AQ115" i="6" s="1"/>
  <c r="AQ116" i="6" s="1"/>
  <c r="AQ117" i="6" s="1"/>
  <c r="AQ118" i="6" s="1"/>
  <c r="AQ119" i="6" s="1"/>
  <c r="AQ120" i="6" s="1"/>
  <c r="AQ121" i="6" s="1"/>
  <c r="AQ122" i="6" s="1"/>
  <c r="AQ123" i="6" s="1"/>
  <c r="AQ124" i="6" s="1"/>
  <c r="AQ125" i="6" s="1"/>
  <c r="AQ126" i="6" s="1"/>
  <c r="AQ127" i="6" s="1"/>
  <c r="AQ128" i="6" s="1"/>
  <c r="AQ129" i="6" s="1"/>
  <c r="AQ130" i="6" s="1"/>
  <c r="AQ131" i="6" s="1"/>
  <c r="AQ132" i="6" s="1"/>
  <c r="AQ133" i="6" s="1"/>
  <c r="AQ134" i="6" s="1"/>
  <c r="AQ135" i="6" s="1"/>
  <c r="AQ136" i="6" s="1"/>
  <c r="AQ137" i="6" s="1"/>
  <c r="AQ138" i="6" s="1"/>
  <c r="AQ139" i="6" s="1"/>
  <c r="AQ140" i="6" s="1"/>
  <c r="AQ141" i="6" s="1"/>
  <c r="AQ142" i="6" s="1"/>
  <c r="AQ143" i="6" s="1"/>
  <c r="AQ144" i="6" s="1"/>
  <c r="AQ145" i="6" s="1"/>
  <c r="AQ146" i="6" s="1"/>
  <c r="AQ147" i="6" s="1"/>
  <c r="AQ148" i="6" s="1"/>
  <c r="AQ149" i="6" s="1"/>
  <c r="AQ150" i="6" s="1"/>
  <c r="AQ151" i="6" s="1"/>
  <c r="AQ152" i="6" s="1"/>
  <c r="AQ153" i="6" s="1"/>
  <c r="AQ154" i="6" s="1"/>
  <c r="AQ155" i="6" s="1"/>
  <c r="AQ156" i="6" s="1"/>
  <c r="AQ157" i="6" s="1"/>
  <c r="AQ158" i="6" s="1"/>
  <c r="AQ159" i="6" s="1"/>
  <c r="AQ160" i="6" s="1"/>
  <c r="AQ161" i="6" s="1"/>
  <c r="AQ162" i="6" s="1"/>
  <c r="AQ163" i="6" s="1"/>
  <c r="AQ164" i="6" s="1"/>
  <c r="AQ165" i="6" s="1"/>
  <c r="AQ166" i="6" s="1"/>
  <c r="AQ167" i="6" s="1"/>
  <c r="AQ168" i="6" s="1"/>
  <c r="AQ169" i="6" s="1"/>
  <c r="AQ170" i="6" s="1"/>
  <c r="AQ171" i="6" s="1"/>
  <c r="AQ172" i="6" s="1"/>
  <c r="AQ173" i="6" s="1"/>
  <c r="AQ174" i="6" s="1"/>
  <c r="AQ175" i="6" s="1"/>
  <c r="AQ176" i="6" s="1"/>
  <c r="AQ177" i="6" s="1"/>
  <c r="AQ178" i="6" s="1"/>
  <c r="AQ179" i="6" s="1"/>
  <c r="AQ180" i="6" s="1"/>
  <c r="AQ181" i="6" s="1"/>
  <c r="AQ182" i="6" s="1"/>
  <c r="AQ183" i="6" s="1"/>
  <c r="AQ184" i="6" s="1"/>
  <c r="AQ185" i="6" s="1"/>
  <c r="AQ186" i="6" s="1"/>
  <c r="AQ187" i="6" s="1"/>
  <c r="AQ188" i="6" s="1"/>
  <c r="AQ189" i="6" s="1"/>
  <c r="AQ190" i="6" s="1"/>
  <c r="AQ191" i="6" s="1"/>
  <c r="AQ192" i="6" s="1"/>
  <c r="AQ193" i="6" s="1"/>
  <c r="AQ194" i="6" s="1"/>
  <c r="AQ195" i="6" s="1"/>
  <c r="AQ196" i="6" s="1"/>
  <c r="AQ197" i="6" s="1"/>
  <c r="AQ198" i="6" s="1"/>
  <c r="AQ199" i="6" s="1"/>
  <c r="AQ200" i="6" s="1"/>
  <c r="AQ201" i="6" s="1"/>
  <c r="AQ202" i="6" s="1"/>
  <c r="AQ203" i="6" s="1"/>
  <c r="AQ204" i="6" s="1"/>
  <c r="AQ205" i="6" s="1"/>
  <c r="AQ206" i="6" s="1"/>
  <c r="AQ207" i="6" s="1"/>
  <c r="AQ208" i="6" s="1"/>
  <c r="AQ209" i="6" s="1"/>
  <c r="AQ210" i="6" s="1"/>
  <c r="AQ211" i="6" s="1"/>
  <c r="AQ212" i="6" s="1"/>
  <c r="AQ213" i="6" s="1"/>
  <c r="AQ214" i="6" s="1"/>
  <c r="AQ215" i="6" s="1"/>
  <c r="AQ216" i="6" s="1"/>
  <c r="AQ217" i="6" s="1"/>
  <c r="AQ218" i="6" s="1"/>
  <c r="AQ219" i="6" s="1"/>
  <c r="AQ220" i="6" s="1"/>
  <c r="AQ221" i="6" s="1"/>
  <c r="AQ222" i="6" s="1"/>
  <c r="AQ223" i="6" s="1"/>
  <c r="AQ224" i="6" s="1"/>
  <c r="AQ225" i="6" s="1"/>
  <c r="AQ226" i="6" s="1"/>
  <c r="AQ227" i="6" s="1"/>
  <c r="AQ228" i="6" s="1"/>
  <c r="AQ229" i="6" s="1"/>
  <c r="AQ230" i="6" s="1"/>
  <c r="AQ231" i="6" s="1"/>
  <c r="AQ232" i="6" s="1"/>
  <c r="AQ233" i="6" s="1"/>
  <c r="AQ234" i="6" s="1"/>
  <c r="AQ235" i="6" s="1"/>
  <c r="AQ6" i="5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Q122" i="5" s="1"/>
  <c r="AQ123" i="5" s="1"/>
  <c r="AQ124" i="5" s="1"/>
  <c r="AQ125" i="5" s="1"/>
  <c r="AQ126" i="5" s="1"/>
  <c r="AQ127" i="5" s="1"/>
  <c r="AQ128" i="5" s="1"/>
  <c r="AQ129" i="5" s="1"/>
  <c r="AQ130" i="5" s="1"/>
  <c r="AQ131" i="5" s="1"/>
  <c r="AQ132" i="5" s="1"/>
  <c r="AQ133" i="5" s="1"/>
  <c r="AQ134" i="5" s="1"/>
  <c r="AQ135" i="5" s="1"/>
  <c r="AQ136" i="5" s="1"/>
  <c r="AQ137" i="5" s="1"/>
  <c r="AQ138" i="5" s="1"/>
  <c r="AQ139" i="5" s="1"/>
  <c r="AQ140" i="5" s="1"/>
  <c r="AQ141" i="5" s="1"/>
  <c r="AQ142" i="5" s="1"/>
  <c r="AQ143" i="5" s="1"/>
  <c r="AQ144" i="5" s="1"/>
  <c r="AQ145" i="5" s="1"/>
  <c r="AQ146" i="5" s="1"/>
  <c r="AQ147" i="5" s="1"/>
  <c r="AQ148" i="5" s="1"/>
  <c r="AQ149" i="5" s="1"/>
  <c r="AQ150" i="5" s="1"/>
  <c r="AQ151" i="5" s="1"/>
  <c r="AQ152" i="5" s="1"/>
  <c r="AQ153" i="5" s="1"/>
  <c r="AQ154" i="5" s="1"/>
  <c r="AQ155" i="5" s="1"/>
  <c r="AQ156" i="5" s="1"/>
  <c r="AQ157" i="5" s="1"/>
  <c r="AQ158" i="5" s="1"/>
  <c r="AQ159" i="5" s="1"/>
  <c r="AQ160" i="5" s="1"/>
  <c r="AQ161" i="5" s="1"/>
  <c r="AQ162" i="5" s="1"/>
  <c r="AQ163" i="5" s="1"/>
  <c r="AQ164" i="5" s="1"/>
  <c r="AQ165" i="5" s="1"/>
  <c r="AQ166" i="5" s="1"/>
  <c r="AQ167" i="5" s="1"/>
  <c r="AQ168" i="5" s="1"/>
  <c r="AQ169" i="5" s="1"/>
  <c r="AQ170" i="5" s="1"/>
  <c r="AQ171" i="5" s="1"/>
  <c r="AQ172" i="5" s="1"/>
  <c r="AQ173" i="5" s="1"/>
  <c r="AQ174" i="5" s="1"/>
  <c r="AQ175" i="5" s="1"/>
  <c r="AQ176" i="5" s="1"/>
  <c r="AQ177" i="5" s="1"/>
  <c r="AQ178" i="5" s="1"/>
  <c r="AQ179" i="5" s="1"/>
  <c r="AQ180" i="5" s="1"/>
  <c r="AQ181" i="5" s="1"/>
  <c r="AQ182" i="5" s="1"/>
  <c r="AQ183" i="5" s="1"/>
  <c r="AQ184" i="5" s="1"/>
  <c r="AQ185" i="5" s="1"/>
  <c r="AQ186" i="5" s="1"/>
  <c r="AQ187" i="5" s="1"/>
  <c r="AQ188" i="5" s="1"/>
  <c r="AQ189" i="5" s="1"/>
  <c r="AQ190" i="5" s="1"/>
  <c r="AQ191" i="5" s="1"/>
  <c r="AQ192" i="5" s="1"/>
  <c r="AQ193" i="5" s="1"/>
  <c r="AQ194" i="5" s="1"/>
  <c r="AQ195" i="5" s="1"/>
  <c r="AQ196" i="5" s="1"/>
  <c r="AQ197" i="5" s="1"/>
  <c r="AQ198" i="5" s="1"/>
  <c r="AQ199" i="5" s="1"/>
  <c r="AQ200" i="5" s="1"/>
  <c r="AQ201" i="5" s="1"/>
  <c r="AQ202" i="5" s="1"/>
  <c r="AQ203" i="5" s="1"/>
  <c r="AQ204" i="5" s="1"/>
  <c r="AQ205" i="5" s="1"/>
  <c r="AQ206" i="5" s="1"/>
  <c r="AQ207" i="5" s="1"/>
  <c r="AQ208" i="5" s="1"/>
  <c r="AQ209" i="5" s="1"/>
  <c r="AQ210" i="5" s="1"/>
  <c r="AQ211" i="5" s="1"/>
  <c r="AQ212" i="5" s="1"/>
  <c r="AQ213" i="5" s="1"/>
  <c r="AQ214" i="5" s="1"/>
  <c r="AQ215" i="5" s="1"/>
  <c r="AQ216" i="5" s="1"/>
  <c r="AQ217" i="5" s="1"/>
  <c r="AQ218" i="5" s="1"/>
  <c r="AQ219" i="5" s="1"/>
  <c r="AQ220" i="5" s="1"/>
  <c r="AQ221" i="5" s="1"/>
  <c r="AQ222" i="5" s="1"/>
  <c r="AQ223" i="5" s="1"/>
  <c r="AQ224" i="5" s="1"/>
  <c r="AQ225" i="5" s="1"/>
  <c r="AQ226" i="5" s="1"/>
  <c r="AQ227" i="5" s="1"/>
  <c r="AQ228" i="5" s="1"/>
  <c r="AQ229" i="5" s="1"/>
  <c r="AQ230" i="5" s="1"/>
  <c r="AQ231" i="5" s="1"/>
  <c r="AQ232" i="5" s="1"/>
  <c r="AQ233" i="5" s="1"/>
  <c r="AQ234" i="5" s="1"/>
  <c r="D32" i="2"/>
  <c r="D26" i="2"/>
  <c r="C26" i="2"/>
  <c r="C66" i="11" l="1"/>
  <c r="L17" i="13" l="1"/>
  <c r="L15" i="13"/>
  <c r="K15" i="13" s="1"/>
  <c r="L10" i="13"/>
  <c r="C10" i="13" s="1"/>
  <c r="L8" i="13"/>
  <c r="I8" i="13" s="1"/>
  <c r="K17" i="13" l="1"/>
  <c r="E17" i="13"/>
  <c r="E10" i="13"/>
  <c r="C15" i="13"/>
  <c r="E15" i="13"/>
  <c r="G15" i="13"/>
  <c r="G10" i="13"/>
  <c r="I10" i="13"/>
  <c r="G8" i="13"/>
  <c r="K8" i="13"/>
  <c r="G17" i="13"/>
  <c r="K10" i="13"/>
  <c r="I17" i="13"/>
  <c r="I15" i="13"/>
  <c r="C8" i="13"/>
  <c r="E8" i="13"/>
  <c r="C17" i="13"/>
  <c r="E63" i="12" l="1"/>
  <c r="F63" i="12"/>
  <c r="G63" i="12"/>
  <c r="H63" i="12"/>
  <c r="I63" i="12"/>
  <c r="J63" i="12"/>
  <c r="K63" i="12"/>
  <c r="L63" i="12"/>
  <c r="M63" i="12"/>
  <c r="B69" i="12"/>
  <c r="E57" i="12"/>
  <c r="F57" i="12"/>
  <c r="G57" i="12"/>
  <c r="H57" i="12"/>
  <c r="I57" i="12"/>
  <c r="J57" i="12"/>
  <c r="K57" i="12"/>
  <c r="L57" i="12"/>
  <c r="M57" i="12"/>
  <c r="E51" i="12"/>
  <c r="F51" i="12"/>
  <c r="G51" i="12"/>
  <c r="H51" i="12"/>
  <c r="I51" i="12"/>
  <c r="J51" i="12"/>
  <c r="K51" i="12"/>
  <c r="L51" i="12"/>
  <c r="M51" i="12"/>
  <c r="E36" i="12"/>
  <c r="F36" i="12"/>
  <c r="G36" i="12"/>
  <c r="H36" i="12"/>
  <c r="I36" i="12"/>
  <c r="J36" i="12"/>
  <c r="K36" i="12"/>
  <c r="L36" i="12"/>
  <c r="M36" i="12"/>
  <c r="C42" i="12"/>
  <c r="P36" i="12" s="1"/>
  <c r="D42" i="12"/>
  <c r="Q36" i="12" s="1"/>
  <c r="E30" i="12"/>
  <c r="F30" i="12"/>
  <c r="G30" i="12"/>
  <c r="H30" i="12"/>
  <c r="I30" i="12"/>
  <c r="J30" i="12"/>
  <c r="K30" i="12"/>
  <c r="L30" i="12"/>
  <c r="M30" i="12"/>
  <c r="E15" i="12"/>
  <c r="F15" i="12"/>
  <c r="G15" i="12"/>
  <c r="H15" i="12"/>
  <c r="I15" i="12"/>
  <c r="J15" i="12"/>
  <c r="K15" i="12"/>
  <c r="L15" i="12"/>
  <c r="M15" i="12"/>
  <c r="C21" i="12"/>
  <c r="P9" i="12" s="1"/>
  <c r="E9" i="12"/>
  <c r="F9" i="12"/>
  <c r="G9" i="12"/>
  <c r="H9" i="12"/>
  <c r="I9" i="12"/>
  <c r="J9" i="12"/>
  <c r="K9" i="12"/>
  <c r="L9" i="12"/>
  <c r="M9" i="12"/>
  <c r="A1" i="12"/>
  <c r="E63" i="11"/>
  <c r="F63" i="11"/>
  <c r="G63" i="11"/>
  <c r="H63" i="11"/>
  <c r="I63" i="11"/>
  <c r="J63" i="11"/>
  <c r="K63" i="11"/>
  <c r="L63" i="11"/>
  <c r="M63" i="11"/>
  <c r="E57" i="11"/>
  <c r="F57" i="11"/>
  <c r="F69" i="11" s="1"/>
  <c r="S63" i="11" s="1"/>
  <c r="G57" i="11"/>
  <c r="H57" i="11"/>
  <c r="I57" i="11"/>
  <c r="J57" i="11"/>
  <c r="K57" i="11"/>
  <c r="L57" i="11"/>
  <c r="M57" i="11"/>
  <c r="D69" i="11"/>
  <c r="Q57" i="11" s="1"/>
  <c r="E51" i="11"/>
  <c r="F51" i="11"/>
  <c r="G51" i="11"/>
  <c r="H51" i="11"/>
  <c r="I51" i="11"/>
  <c r="J51" i="11"/>
  <c r="K51" i="11"/>
  <c r="L51" i="11"/>
  <c r="M51" i="11"/>
  <c r="E36" i="11"/>
  <c r="F36" i="11"/>
  <c r="G36" i="11"/>
  <c r="H36" i="11"/>
  <c r="I36" i="11"/>
  <c r="J36" i="11"/>
  <c r="K36" i="11"/>
  <c r="L36" i="11"/>
  <c r="M36" i="11"/>
  <c r="C42" i="11"/>
  <c r="P36" i="11" s="1"/>
  <c r="E30" i="11"/>
  <c r="F30" i="11"/>
  <c r="G30" i="11"/>
  <c r="H30" i="11"/>
  <c r="I30" i="11"/>
  <c r="J30" i="11"/>
  <c r="K30" i="11"/>
  <c r="L30" i="11"/>
  <c r="M30" i="11"/>
  <c r="E15" i="11"/>
  <c r="F15" i="11"/>
  <c r="G15" i="11"/>
  <c r="H15" i="11"/>
  <c r="I15" i="11"/>
  <c r="J15" i="11"/>
  <c r="K15" i="11"/>
  <c r="L15" i="11"/>
  <c r="M15" i="11"/>
  <c r="E9" i="11"/>
  <c r="F9" i="11"/>
  <c r="G9" i="11"/>
  <c r="H9" i="11"/>
  <c r="I9" i="11"/>
  <c r="J9" i="11"/>
  <c r="K9" i="11"/>
  <c r="L9" i="11"/>
  <c r="M9" i="11"/>
  <c r="C69" i="12"/>
  <c r="P63" i="12" s="1"/>
  <c r="M68" i="12"/>
  <c r="Z62" i="12" s="1"/>
  <c r="L68" i="12"/>
  <c r="Y62" i="12" s="1"/>
  <c r="K68" i="12"/>
  <c r="X50" i="12" s="1"/>
  <c r="J68" i="12"/>
  <c r="W62" i="12" s="1"/>
  <c r="I68" i="12"/>
  <c r="V62" i="12" s="1"/>
  <c r="H68" i="12"/>
  <c r="U62" i="12" s="1"/>
  <c r="G68" i="12"/>
  <c r="T62" i="12" s="1"/>
  <c r="F68" i="12"/>
  <c r="S62" i="12" s="1"/>
  <c r="E68" i="12"/>
  <c r="R62" i="12" s="1"/>
  <c r="D68" i="12"/>
  <c r="Q62" i="12" s="1"/>
  <c r="C68" i="12"/>
  <c r="P62" i="12" s="1"/>
  <c r="B68" i="12"/>
  <c r="O62" i="12" s="1"/>
  <c r="M67" i="12"/>
  <c r="Z61" i="12" s="1"/>
  <c r="L67" i="12"/>
  <c r="Y61" i="12" s="1"/>
  <c r="K67" i="12"/>
  <c r="X61" i="12" s="1"/>
  <c r="J67" i="12"/>
  <c r="W61" i="12" s="1"/>
  <c r="I67" i="12"/>
  <c r="V55" i="12" s="1"/>
  <c r="H67" i="12"/>
  <c r="U61" i="12" s="1"/>
  <c r="G67" i="12"/>
  <c r="T55" i="12" s="1"/>
  <c r="F67" i="12"/>
  <c r="S55" i="12" s="1"/>
  <c r="E67" i="12"/>
  <c r="R55" i="12" s="1"/>
  <c r="D67" i="12"/>
  <c r="Q55" i="12" s="1"/>
  <c r="C67" i="12"/>
  <c r="P55" i="12" s="1"/>
  <c r="B67" i="12"/>
  <c r="O49" i="12" s="1"/>
  <c r="M66" i="12"/>
  <c r="Z48" i="12" s="1"/>
  <c r="L66" i="12"/>
  <c r="Y60" i="12" s="1"/>
  <c r="K66" i="12"/>
  <c r="X48" i="12" s="1"/>
  <c r="J66" i="12"/>
  <c r="W48" i="12" s="1"/>
  <c r="I66" i="12"/>
  <c r="V60" i="12" s="1"/>
  <c r="H66" i="12"/>
  <c r="U54" i="12" s="1"/>
  <c r="G66" i="12"/>
  <c r="T60" i="12" s="1"/>
  <c r="F66" i="12"/>
  <c r="S60" i="12" s="1"/>
  <c r="E66" i="12"/>
  <c r="R60" i="12" s="1"/>
  <c r="D66" i="12"/>
  <c r="Q60" i="12" s="1"/>
  <c r="C66" i="12"/>
  <c r="P60" i="12" s="1"/>
  <c r="O60" i="12"/>
  <c r="M41" i="12"/>
  <c r="Z29" i="12" s="1"/>
  <c r="L41" i="12"/>
  <c r="Y29" i="12" s="1"/>
  <c r="K41" i="12"/>
  <c r="X35" i="12" s="1"/>
  <c r="J41" i="12"/>
  <c r="W35" i="12" s="1"/>
  <c r="I41" i="12"/>
  <c r="V35" i="12" s="1"/>
  <c r="H41" i="12"/>
  <c r="U35" i="12" s="1"/>
  <c r="G41" i="12"/>
  <c r="T29" i="12" s="1"/>
  <c r="F41" i="12"/>
  <c r="S35" i="12" s="1"/>
  <c r="E41" i="12"/>
  <c r="R35" i="12" s="1"/>
  <c r="D41" i="12"/>
  <c r="Q35" i="12" s="1"/>
  <c r="C41" i="12"/>
  <c r="P35" i="12" s="1"/>
  <c r="B41" i="12"/>
  <c r="O35" i="12" s="1"/>
  <c r="M40" i="12"/>
  <c r="Z34" i="12" s="1"/>
  <c r="L40" i="12"/>
  <c r="Y34" i="12" s="1"/>
  <c r="K40" i="12"/>
  <c r="X34" i="12" s="1"/>
  <c r="J40" i="12"/>
  <c r="W34" i="12" s="1"/>
  <c r="I40" i="12"/>
  <c r="V28" i="12" s="1"/>
  <c r="H40" i="12"/>
  <c r="U28" i="12" s="1"/>
  <c r="G40" i="12"/>
  <c r="T34" i="12" s="1"/>
  <c r="F40" i="12"/>
  <c r="S34" i="12" s="1"/>
  <c r="E40" i="12"/>
  <c r="R34" i="12" s="1"/>
  <c r="D40" i="12"/>
  <c r="Q34" i="12" s="1"/>
  <c r="C40" i="12"/>
  <c r="P34" i="12" s="1"/>
  <c r="B40" i="12"/>
  <c r="O34" i="12" s="1"/>
  <c r="M39" i="12"/>
  <c r="Z33" i="12" s="1"/>
  <c r="L39" i="12"/>
  <c r="Y33" i="12" s="1"/>
  <c r="K39" i="12"/>
  <c r="X33" i="12" s="1"/>
  <c r="J39" i="12"/>
  <c r="W33" i="12" s="1"/>
  <c r="I39" i="12"/>
  <c r="V33" i="12" s="1"/>
  <c r="H39" i="12"/>
  <c r="U33" i="12" s="1"/>
  <c r="G39" i="12"/>
  <c r="T27" i="12" s="1"/>
  <c r="F39" i="12"/>
  <c r="S33" i="12" s="1"/>
  <c r="E39" i="12"/>
  <c r="R27" i="12" s="1"/>
  <c r="D39" i="12"/>
  <c r="Q33" i="12" s="1"/>
  <c r="C39" i="12"/>
  <c r="P27" i="12" s="1"/>
  <c r="B39" i="12"/>
  <c r="O27" i="12" s="1"/>
  <c r="M20" i="12"/>
  <c r="Z8" i="12" s="1"/>
  <c r="L20" i="12"/>
  <c r="Y8" i="12" s="1"/>
  <c r="K20" i="12"/>
  <c r="X8" i="12" s="1"/>
  <c r="J20" i="12"/>
  <c r="W8" i="12" s="1"/>
  <c r="I20" i="12"/>
  <c r="V14" i="12" s="1"/>
  <c r="H20" i="12"/>
  <c r="U14" i="12" s="1"/>
  <c r="G20" i="12"/>
  <c r="T14" i="12" s="1"/>
  <c r="F20" i="12"/>
  <c r="S14" i="12" s="1"/>
  <c r="E20" i="12"/>
  <c r="R14" i="12" s="1"/>
  <c r="D20" i="12"/>
  <c r="Q14" i="12" s="1"/>
  <c r="C20" i="12"/>
  <c r="P14" i="12" s="1"/>
  <c r="B20" i="12"/>
  <c r="O14" i="12" s="1"/>
  <c r="M19" i="12"/>
  <c r="Z13" i="12" s="1"/>
  <c r="L19" i="12"/>
  <c r="Y13" i="12" s="1"/>
  <c r="K19" i="12"/>
  <c r="X7" i="12" s="1"/>
  <c r="J19" i="12"/>
  <c r="W13" i="12" s="1"/>
  <c r="I19" i="12"/>
  <c r="V13" i="12" s="1"/>
  <c r="H19" i="12"/>
  <c r="U7" i="12" s="1"/>
  <c r="G19" i="12"/>
  <c r="T7" i="12" s="1"/>
  <c r="F19" i="12"/>
  <c r="S7" i="12" s="1"/>
  <c r="E19" i="12"/>
  <c r="R7" i="12" s="1"/>
  <c r="D19" i="12"/>
  <c r="Q7" i="12" s="1"/>
  <c r="C19" i="12"/>
  <c r="P7" i="12" s="1"/>
  <c r="B19" i="12"/>
  <c r="O7" i="12" s="1"/>
  <c r="M18" i="12"/>
  <c r="Z6" i="12" s="1"/>
  <c r="L18" i="12"/>
  <c r="Y6" i="12" s="1"/>
  <c r="K18" i="12"/>
  <c r="X6" i="12" s="1"/>
  <c r="J18" i="12"/>
  <c r="W12" i="12" s="1"/>
  <c r="I18" i="12"/>
  <c r="V12" i="12" s="1"/>
  <c r="H18" i="12"/>
  <c r="U12" i="12" s="1"/>
  <c r="G18" i="12"/>
  <c r="T12" i="12" s="1"/>
  <c r="F18" i="12"/>
  <c r="S12" i="12" s="1"/>
  <c r="E18" i="12"/>
  <c r="R12" i="12" s="1"/>
  <c r="D18" i="12"/>
  <c r="Q12" i="12" s="1"/>
  <c r="C18" i="12"/>
  <c r="P12" i="12" s="1"/>
  <c r="B18" i="12"/>
  <c r="O12" i="12" s="1"/>
  <c r="C69" i="11"/>
  <c r="P51" i="11" s="1"/>
  <c r="M68" i="11"/>
  <c r="Z62" i="11" s="1"/>
  <c r="L68" i="11"/>
  <c r="Y56" i="11" s="1"/>
  <c r="K68" i="11"/>
  <c r="X56" i="11" s="1"/>
  <c r="J68" i="11"/>
  <c r="W50" i="11" s="1"/>
  <c r="I68" i="11"/>
  <c r="V62" i="11" s="1"/>
  <c r="H68" i="11"/>
  <c r="U56" i="11" s="1"/>
  <c r="G68" i="11"/>
  <c r="T62" i="11" s="1"/>
  <c r="F68" i="11"/>
  <c r="S62" i="11" s="1"/>
  <c r="E68" i="11"/>
  <c r="R62" i="11" s="1"/>
  <c r="D68" i="11"/>
  <c r="Q62" i="11" s="1"/>
  <c r="C68" i="11"/>
  <c r="P62" i="11" s="1"/>
  <c r="B68" i="11"/>
  <c r="O62" i="11" s="1"/>
  <c r="M67" i="11"/>
  <c r="Z61" i="11" s="1"/>
  <c r="L67" i="11"/>
  <c r="Y61" i="11" s="1"/>
  <c r="K67" i="11"/>
  <c r="X61" i="11" s="1"/>
  <c r="J67" i="11"/>
  <c r="W61" i="11" s="1"/>
  <c r="I67" i="11"/>
  <c r="V55" i="11" s="1"/>
  <c r="H67" i="11"/>
  <c r="U61" i="11" s="1"/>
  <c r="G67" i="11"/>
  <c r="T61" i="11" s="1"/>
  <c r="F67" i="11"/>
  <c r="S61" i="11" s="1"/>
  <c r="E67" i="11"/>
  <c r="R61" i="11" s="1"/>
  <c r="D67" i="11"/>
  <c r="Q55" i="11" s="1"/>
  <c r="C67" i="11"/>
  <c r="P61" i="11" s="1"/>
  <c r="B67" i="11"/>
  <c r="O61" i="11" s="1"/>
  <c r="M66" i="11"/>
  <c r="Z54" i="11" s="1"/>
  <c r="L66" i="11"/>
  <c r="Y60" i="11" s="1"/>
  <c r="K66" i="11"/>
  <c r="X60" i="11" s="1"/>
  <c r="J66" i="11"/>
  <c r="W60" i="11" s="1"/>
  <c r="I66" i="11"/>
  <c r="V48" i="11" s="1"/>
  <c r="H66" i="11"/>
  <c r="U48" i="11" s="1"/>
  <c r="G66" i="11"/>
  <c r="T48" i="11" s="1"/>
  <c r="F66" i="11"/>
  <c r="S48" i="11" s="1"/>
  <c r="E66" i="11"/>
  <c r="R48" i="11" s="1"/>
  <c r="D66" i="11"/>
  <c r="Q60" i="11" s="1"/>
  <c r="P48" i="11"/>
  <c r="B66" i="11"/>
  <c r="O60" i="11" s="1"/>
  <c r="M41" i="11"/>
  <c r="Z29" i="11" s="1"/>
  <c r="L41" i="11"/>
  <c r="Y29" i="11" s="1"/>
  <c r="K41" i="11"/>
  <c r="X35" i="11" s="1"/>
  <c r="J41" i="11"/>
  <c r="W35" i="11" s="1"/>
  <c r="I41" i="11"/>
  <c r="V35" i="11" s="1"/>
  <c r="H41" i="11"/>
  <c r="U29" i="11" s="1"/>
  <c r="G41" i="11"/>
  <c r="T35" i="11" s="1"/>
  <c r="F41" i="11"/>
  <c r="S35" i="11" s="1"/>
  <c r="E41" i="11"/>
  <c r="R35" i="11" s="1"/>
  <c r="D41" i="11"/>
  <c r="Q35" i="11" s="1"/>
  <c r="C41" i="11"/>
  <c r="P35" i="11" s="1"/>
  <c r="O35" i="11"/>
  <c r="M40" i="11"/>
  <c r="Z34" i="11" s="1"/>
  <c r="L40" i="11"/>
  <c r="Y34" i="11" s="1"/>
  <c r="K40" i="11"/>
  <c r="X28" i="11" s="1"/>
  <c r="J40" i="11"/>
  <c r="W34" i="11" s="1"/>
  <c r="I40" i="11"/>
  <c r="V34" i="11" s="1"/>
  <c r="H40" i="11"/>
  <c r="U34" i="11" s="1"/>
  <c r="G40" i="11"/>
  <c r="T34" i="11" s="1"/>
  <c r="F40" i="11"/>
  <c r="S34" i="11" s="1"/>
  <c r="E40" i="11"/>
  <c r="R34" i="11" s="1"/>
  <c r="D40" i="11"/>
  <c r="Q34" i="11" s="1"/>
  <c r="C40" i="11"/>
  <c r="P28" i="11" s="1"/>
  <c r="O34" i="11"/>
  <c r="M39" i="11"/>
  <c r="Z33" i="11" s="1"/>
  <c r="L39" i="11"/>
  <c r="Y33" i="11" s="1"/>
  <c r="K39" i="11"/>
  <c r="X33" i="11" s="1"/>
  <c r="J39" i="11"/>
  <c r="W27" i="11" s="1"/>
  <c r="I39" i="11"/>
  <c r="V33" i="11" s="1"/>
  <c r="H39" i="11"/>
  <c r="U33" i="11" s="1"/>
  <c r="G39" i="11"/>
  <c r="T33" i="11" s="1"/>
  <c r="F39" i="11"/>
  <c r="S33" i="11" s="1"/>
  <c r="E39" i="11"/>
  <c r="R33" i="11" s="1"/>
  <c r="D39" i="11"/>
  <c r="Q33" i="11" s="1"/>
  <c r="C39" i="11"/>
  <c r="P33" i="11" s="1"/>
  <c r="O33" i="11"/>
  <c r="C21" i="11"/>
  <c r="P15" i="11" s="1"/>
  <c r="M20" i="11"/>
  <c r="Z8" i="11" s="1"/>
  <c r="L20" i="11"/>
  <c r="Y8" i="11" s="1"/>
  <c r="K20" i="11"/>
  <c r="X8" i="11" s="1"/>
  <c r="J20" i="11"/>
  <c r="W8" i="11" s="1"/>
  <c r="I20" i="11"/>
  <c r="V14" i="11" s="1"/>
  <c r="H20" i="11"/>
  <c r="U8" i="11" s="1"/>
  <c r="G20" i="11"/>
  <c r="T8" i="11" s="1"/>
  <c r="F20" i="11"/>
  <c r="S14" i="11" s="1"/>
  <c r="E20" i="11"/>
  <c r="R14" i="11" s="1"/>
  <c r="D20" i="11"/>
  <c r="Q14" i="11" s="1"/>
  <c r="C20" i="11"/>
  <c r="P14" i="11" s="1"/>
  <c r="B20" i="11"/>
  <c r="O14" i="11" s="1"/>
  <c r="M19" i="11"/>
  <c r="Z7" i="11" s="1"/>
  <c r="L19" i="11"/>
  <c r="Y7" i="11" s="1"/>
  <c r="K19" i="11"/>
  <c r="X7" i="11" s="1"/>
  <c r="J19" i="11"/>
  <c r="W7" i="11" s="1"/>
  <c r="I19" i="11"/>
  <c r="V13" i="11" s="1"/>
  <c r="H19" i="11"/>
  <c r="U13" i="11" s="1"/>
  <c r="G19" i="11"/>
  <c r="T13" i="11" s="1"/>
  <c r="F19" i="11"/>
  <c r="S13" i="11" s="1"/>
  <c r="E19" i="11"/>
  <c r="R13" i="11" s="1"/>
  <c r="D19" i="11"/>
  <c r="Q7" i="11" s="1"/>
  <c r="C19" i="11"/>
  <c r="P13" i="11" s="1"/>
  <c r="B19" i="11"/>
  <c r="O13" i="11" s="1"/>
  <c r="M18" i="11"/>
  <c r="Z12" i="11" s="1"/>
  <c r="L18" i="11"/>
  <c r="Y12" i="11" s="1"/>
  <c r="K18" i="11"/>
  <c r="X6" i="11" s="1"/>
  <c r="J18" i="11"/>
  <c r="W12" i="11" s="1"/>
  <c r="I18" i="11"/>
  <c r="V6" i="11" s="1"/>
  <c r="H18" i="11"/>
  <c r="U12" i="11" s="1"/>
  <c r="G18" i="11"/>
  <c r="T12" i="11" s="1"/>
  <c r="F18" i="11"/>
  <c r="S6" i="11" s="1"/>
  <c r="E18" i="11"/>
  <c r="R6" i="11" s="1"/>
  <c r="D18" i="11"/>
  <c r="Q12" i="11" s="1"/>
  <c r="C18" i="11"/>
  <c r="P12" i="11" s="1"/>
  <c r="B18" i="11"/>
  <c r="O6" i="11" s="1"/>
  <c r="H42" i="12" l="1"/>
  <c r="U36" i="12" s="1"/>
  <c r="F42" i="11"/>
  <c r="S36" i="11" s="1"/>
  <c r="F69" i="12"/>
  <c r="S63" i="12" s="1"/>
  <c r="F21" i="12"/>
  <c r="S15" i="12" s="1"/>
  <c r="F21" i="11"/>
  <c r="S15" i="11" s="1"/>
  <c r="M42" i="11"/>
  <c r="Z36" i="11" s="1"/>
  <c r="M42" i="12"/>
  <c r="Z36" i="12" s="1"/>
  <c r="Z48" i="11"/>
  <c r="L42" i="12"/>
  <c r="Y36" i="12" s="1"/>
  <c r="L69" i="11"/>
  <c r="Y63" i="11" s="1"/>
  <c r="Y54" i="11"/>
  <c r="Y48" i="11"/>
  <c r="Y14" i="11"/>
  <c r="Y20" i="11" s="1"/>
  <c r="K42" i="12"/>
  <c r="X36" i="12" s="1"/>
  <c r="K21" i="12"/>
  <c r="X15" i="12" s="1"/>
  <c r="X29" i="11"/>
  <c r="X41" i="11" s="1"/>
  <c r="X62" i="12"/>
  <c r="X56" i="12"/>
  <c r="X14" i="12"/>
  <c r="X20" i="12" s="1"/>
  <c r="X12" i="12"/>
  <c r="X18" i="12" s="1"/>
  <c r="K69" i="12"/>
  <c r="X63" i="12" s="1"/>
  <c r="X29" i="12"/>
  <c r="X41" i="12" s="1"/>
  <c r="X28" i="12"/>
  <c r="X40" i="12" s="1"/>
  <c r="X48" i="11"/>
  <c r="X54" i="11"/>
  <c r="K21" i="11"/>
  <c r="X9" i="11" s="1"/>
  <c r="X14" i="11"/>
  <c r="X20" i="11" s="1"/>
  <c r="W14" i="12"/>
  <c r="W20" i="12" s="1"/>
  <c r="W56" i="12"/>
  <c r="W29" i="12"/>
  <c r="W41" i="12" s="1"/>
  <c r="J21" i="12"/>
  <c r="W15" i="12" s="1"/>
  <c r="W56" i="11"/>
  <c r="W62" i="11"/>
  <c r="W48" i="11"/>
  <c r="W54" i="11"/>
  <c r="W29" i="11"/>
  <c r="W41" i="11" s="1"/>
  <c r="I42" i="12"/>
  <c r="V36" i="12" s="1"/>
  <c r="I42" i="11"/>
  <c r="V30" i="11" s="1"/>
  <c r="V29" i="11"/>
  <c r="V41" i="11" s="1"/>
  <c r="I21" i="11"/>
  <c r="V15" i="11" s="1"/>
  <c r="V7" i="11"/>
  <c r="V19" i="11" s="1"/>
  <c r="I69" i="12"/>
  <c r="V57" i="12" s="1"/>
  <c r="V49" i="12"/>
  <c r="I21" i="12"/>
  <c r="V9" i="12" s="1"/>
  <c r="H42" i="11"/>
  <c r="U36" i="11" s="1"/>
  <c r="U14" i="11"/>
  <c r="U20" i="11" s="1"/>
  <c r="H69" i="12"/>
  <c r="U57" i="12" s="1"/>
  <c r="U13" i="12"/>
  <c r="U19" i="12" s="1"/>
  <c r="H21" i="12"/>
  <c r="U15" i="12" s="1"/>
  <c r="U62" i="11"/>
  <c r="U54" i="11"/>
  <c r="U35" i="11"/>
  <c r="U41" i="11" s="1"/>
  <c r="U28" i="11"/>
  <c r="U40" i="11" s="1"/>
  <c r="H21" i="11"/>
  <c r="U15" i="11" s="1"/>
  <c r="G42" i="11"/>
  <c r="T36" i="11" s="1"/>
  <c r="G21" i="11"/>
  <c r="T15" i="11" s="1"/>
  <c r="G69" i="12"/>
  <c r="T63" i="12" s="1"/>
  <c r="T49" i="12"/>
  <c r="T61" i="12"/>
  <c r="G42" i="12"/>
  <c r="T36" i="12" s="1"/>
  <c r="T35" i="12"/>
  <c r="T41" i="12" s="1"/>
  <c r="T56" i="11"/>
  <c r="T14" i="11"/>
  <c r="T20" i="11" s="1"/>
  <c r="S12" i="11"/>
  <c r="S18" i="11" s="1"/>
  <c r="S49" i="12"/>
  <c r="F42" i="12"/>
  <c r="S36" i="12" s="1"/>
  <c r="E21" i="12"/>
  <c r="R9" i="12" s="1"/>
  <c r="E69" i="12"/>
  <c r="R51" i="12" s="1"/>
  <c r="E69" i="11"/>
  <c r="R63" i="11" s="1"/>
  <c r="E42" i="11"/>
  <c r="R30" i="11" s="1"/>
  <c r="R49" i="12"/>
  <c r="E42" i="12"/>
  <c r="R30" i="12" s="1"/>
  <c r="E21" i="11"/>
  <c r="R15" i="11" s="1"/>
  <c r="R12" i="11"/>
  <c r="R18" i="11" s="1"/>
  <c r="Q27" i="11"/>
  <c r="Q39" i="11" s="1"/>
  <c r="D42" i="11"/>
  <c r="Q36" i="11" s="1"/>
  <c r="D21" i="11"/>
  <c r="Q15" i="11" s="1"/>
  <c r="D69" i="12"/>
  <c r="Q63" i="12" s="1"/>
  <c r="D21" i="12"/>
  <c r="Q15" i="12" s="1"/>
  <c r="P49" i="12"/>
  <c r="P27" i="11"/>
  <c r="P39" i="11" s="1"/>
  <c r="O13" i="12"/>
  <c r="O19" i="12" s="1"/>
  <c r="O27" i="11"/>
  <c r="O39" i="11" s="1"/>
  <c r="B42" i="12"/>
  <c r="O36" i="12" s="1"/>
  <c r="B21" i="12"/>
  <c r="O9" i="12" s="1"/>
  <c r="B21" i="11"/>
  <c r="O15" i="11" s="1"/>
  <c r="Z56" i="12"/>
  <c r="P61" i="12"/>
  <c r="R48" i="12"/>
  <c r="Y50" i="12"/>
  <c r="Y56" i="12"/>
  <c r="V61" i="12"/>
  <c r="R54" i="12"/>
  <c r="U55" i="12"/>
  <c r="U49" i="12"/>
  <c r="X60" i="12"/>
  <c r="W60" i="12"/>
  <c r="O63" i="12"/>
  <c r="O57" i="12"/>
  <c r="T54" i="12"/>
  <c r="U48" i="12"/>
  <c r="V54" i="12"/>
  <c r="Y48" i="12"/>
  <c r="S56" i="12"/>
  <c r="X49" i="12"/>
  <c r="T48" i="12"/>
  <c r="U60" i="12"/>
  <c r="V48" i="12"/>
  <c r="W54" i="12"/>
  <c r="X54" i="12"/>
  <c r="Y54" i="12"/>
  <c r="X55" i="12"/>
  <c r="P57" i="12"/>
  <c r="L69" i="12"/>
  <c r="Y63" i="12" s="1"/>
  <c r="M69" i="12"/>
  <c r="Z63" i="12" s="1"/>
  <c r="J69" i="12"/>
  <c r="W63" i="12" s="1"/>
  <c r="O51" i="12"/>
  <c r="Y35" i="12"/>
  <c r="S27" i="12"/>
  <c r="S39" i="12" s="1"/>
  <c r="Z35" i="12"/>
  <c r="U34" i="12"/>
  <c r="U40" i="12" s="1"/>
  <c r="V34" i="12"/>
  <c r="V40" i="12" s="1"/>
  <c r="Q30" i="12"/>
  <c r="Q42" i="12" s="1"/>
  <c r="R33" i="12"/>
  <c r="R39" i="12" s="1"/>
  <c r="V27" i="12"/>
  <c r="V39" i="12" s="1"/>
  <c r="P33" i="12"/>
  <c r="P39" i="12" s="1"/>
  <c r="U27" i="12"/>
  <c r="U39" i="12" s="1"/>
  <c r="Z41" i="12"/>
  <c r="P30" i="12"/>
  <c r="P42" i="12" s="1"/>
  <c r="Q27" i="12"/>
  <c r="Q39" i="12" s="1"/>
  <c r="J42" i="12"/>
  <c r="W36" i="12" s="1"/>
  <c r="G21" i="12"/>
  <c r="T15" i="12" s="1"/>
  <c r="Q6" i="12"/>
  <c r="Q18" i="12" s="1"/>
  <c r="V7" i="12"/>
  <c r="V19" i="12" s="1"/>
  <c r="P13" i="12"/>
  <c r="P19" i="12" s="1"/>
  <c r="T8" i="12"/>
  <c r="T20" i="12" s="1"/>
  <c r="U8" i="12"/>
  <c r="U20" i="12" s="1"/>
  <c r="O6" i="12"/>
  <c r="O18" i="12" s="1"/>
  <c r="Q13" i="12"/>
  <c r="Q19" i="12" s="1"/>
  <c r="P6" i="12"/>
  <c r="P18" i="12" s="1"/>
  <c r="R13" i="12"/>
  <c r="R19" i="12" s="1"/>
  <c r="M21" i="12"/>
  <c r="Z15" i="12" s="1"/>
  <c r="L21" i="12"/>
  <c r="Y15" i="12" s="1"/>
  <c r="S49" i="11"/>
  <c r="Q49" i="11"/>
  <c r="O54" i="11"/>
  <c r="P54" i="11"/>
  <c r="T54" i="11"/>
  <c r="V54" i="11"/>
  <c r="P49" i="11"/>
  <c r="S56" i="11"/>
  <c r="M69" i="11"/>
  <c r="Z63" i="11" s="1"/>
  <c r="Q54" i="11"/>
  <c r="I69" i="11"/>
  <c r="V57" i="11" s="1"/>
  <c r="B69" i="11"/>
  <c r="O51" i="11" s="1"/>
  <c r="V49" i="11"/>
  <c r="T60" i="11"/>
  <c r="X49" i="11"/>
  <c r="R54" i="11"/>
  <c r="Z60" i="11"/>
  <c r="Z66" i="11" s="1"/>
  <c r="S54" i="11"/>
  <c r="G69" i="11"/>
  <c r="T63" i="11" s="1"/>
  <c r="P57" i="11"/>
  <c r="K69" i="11"/>
  <c r="X57" i="11" s="1"/>
  <c r="P63" i="11"/>
  <c r="J69" i="11"/>
  <c r="W63" i="11" s="1"/>
  <c r="S50" i="11"/>
  <c r="T50" i="11"/>
  <c r="U50" i="11"/>
  <c r="V50" i="11"/>
  <c r="R60" i="11"/>
  <c r="X50" i="11"/>
  <c r="P55" i="11"/>
  <c r="Q61" i="11"/>
  <c r="O48" i="11"/>
  <c r="P60" i="11"/>
  <c r="Q48" i="11"/>
  <c r="Y50" i="11"/>
  <c r="O55" i="11"/>
  <c r="S55" i="11"/>
  <c r="V61" i="11"/>
  <c r="H69" i="11"/>
  <c r="U51" i="11" s="1"/>
  <c r="Z50" i="11"/>
  <c r="O49" i="11"/>
  <c r="X55" i="11"/>
  <c r="Q51" i="11"/>
  <c r="Q63" i="11"/>
  <c r="X34" i="11"/>
  <c r="X40" i="11" s="1"/>
  <c r="S27" i="11"/>
  <c r="S39" i="11" s="1"/>
  <c r="V27" i="11"/>
  <c r="V39" i="11" s="1"/>
  <c r="Z35" i="11"/>
  <c r="Z41" i="11" s="1"/>
  <c r="V28" i="11"/>
  <c r="V40" i="11" s="1"/>
  <c r="T29" i="11"/>
  <c r="T41" i="11" s="1"/>
  <c r="X27" i="11"/>
  <c r="X39" i="11" s="1"/>
  <c r="W33" i="11"/>
  <c r="W39" i="11" s="1"/>
  <c r="B42" i="11"/>
  <c r="O36" i="11" s="1"/>
  <c r="Y27" i="11"/>
  <c r="Y39" i="11" s="1"/>
  <c r="S28" i="11"/>
  <c r="S40" i="11" s="1"/>
  <c r="L42" i="11"/>
  <c r="Y36" i="11" s="1"/>
  <c r="K42" i="11"/>
  <c r="X36" i="11" s="1"/>
  <c r="J42" i="11"/>
  <c r="W36" i="11" s="1"/>
  <c r="P30" i="11"/>
  <c r="P42" i="11" s="1"/>
  <c r="R7" i="11"/>
  <c r="R19" i="11" s="1"/>
  <c r="U7" i="11"/>
  <c r="U19" i="11" s="1"/>
  <c r="V12" i="11"/>
  <c r="V18" i="11" s="1"/>
  <c r="U6" i="11"/>
  <c r="U18" i="11" s="1"/>
  <c r="S7" i="11"/>
  <c r="S19" i="11" s="1"/>
  <c r="O7" i="11"/>
  <c r="O19" i="11" s="1"/>
  <c r="P7" i="11"/>
  <c r="P19" i="11" s="1"/>
  <c r="L21" i="11"/>
  <c r="Y15" i="11" s="1"/>
  <c r="J21" i="11"/>
  <c r="W9" i="11" s="1"/>
  <c r="M21" i="11"/>
  <c r="Z15" i="11" s="1"/>
  <c r="Y6" i="11"/>
  <c r="Y18" i="11" s="1"/>
  <c r="X12" i="11"/>
  <c r="X18" i="11" s="1"/>
  <c r="P6" i="11"/>
  <c r="P18" i="11" s="1"/>
  <c r="W6" i="11"/>
  <c r="W18" i="11" s="1"/>
  <c r="S8" i="11"/>
  <c r="S20" i="11" s="1"/>
  <c r="P9" i="11"/>
  <c r="P21" i="11" s="1"/>
  <c r="Q13" i="11"/>
  <c r="Q19" i="11" s="1"/>
  <c r="R27" i="11"/>
  <c r="R39" i="11" s="1"/>
  <c r="S60" i="11"/>
  <c r="Q49" i="12"/>
  <c r="U27" i="11"/>
  <c r="U39" i="11" s="1"/>
  <c r="V60" i="11"/>
  <c r="X62" i="11"/>
  <c r="Y35" i="11"/>
  <c r="Y41" i="11" s="1"/>
  <c r="Y62" i="11"/>
  <c r="S6" i="12"/>
  <c r="S18" i="12" s="1"/>
  <c r="W27" i="12"/>
  <c r="W39" i="12" s="1"/>
  <c r="U30" i="12"/>
  <c r="U42" i="12" s="1"/>
  <c r="Q61" i="12"/>
  <c r="O12" i="11"/>
  <c r="O18" i="11" s="1"/>
  <c r="X13" i="11"/>
  <c r="X19" i="11" s="1"/>
  <c r="T6" i="12"/>
  <c r="T18" i="12" s="1"/>
  <c r="X27" i="12"/>
  <c r="X39" i="12" s="1"/>
  <c r="O33" i="12"/>
  <c r="O39" i="12" s="1"/>
  <c r="R61" i="12"/>
  <c r="T27" i="11"/>
  <c r="T39" i="11" s="1"/>
  <c r="R49" i="11"/>
  <c r="U6" i="12"/>
  <c r="U18" i="12" s="1"/>
  <c r="Y27" i="12"/>
  <c r="Y39" i="12" s="1"/>
  <c r="S61" i="12"/>
  <c r="V6" i="12"/>
  <c r="V18" i="12" s="1"/>
  <c r="Z27" i="12"/>
  <c r="Z39" i="12" s="1"/>
  <c r="S50" i="12"/>
  <c r="T56" i="12"/>
  <c r="Z27" i="11"/>
  <c r="Z39" i="11" s="1"/>
  <c r="T49" i="11"/>
  <c r="W6" i="12"/>
  <c r="W18" i="12" s="1"/>
  <c r="P15" i="12"/>
  <c r="P21" i="12" s="1"/>
  <c r="T50" i="12"/>
  <c r="O55" i="12"/>
  <c r="V56" i="11"/>
  <c r="O61" i="12"/>
  <c r="W14" i="11"/>
  <c r="W20" i="11" s="1"/>
  <c r="O28" i="11"/>
  <c r="O40" i="11" s="1"/>
  <c r="U49" i="11"/>
  <c r="R55" i="11"/>
  <c r="W50" i="12"/>
  <c r="P34" i="11"/>
  <c r="P40" i="11" s="1"/>
  <c r="U60" i="11"/>
  <c r="Q28" i="11"/>
  <c r="Q40" i="11" s="1"/>
  <c r="T55" i="11"/>
  <c r="R28" i="11"/>
  <c r="R40" i="11" s="1"/>
  <c r="U55" i="11"/>
  <c r="Y41" i="12"/>
  <c r="Z56" i="11"/>
  <c r="Z6" i="11"/>
  <c r="Z18" i="11" s="1"/>
  <c r="Z14" i="11"/>
  <c r="Z20" i="11" s="1"/>
  <c r="Y14" i="12"/>
  <c r="Y20" i="12" s="1"/>
  <c r="P51" i="12"/>
  <c r="Y12" i="12"/>
  <c r="Y18" i="12" s="1"/>
  <c r="T33" i="12"/>
  <c r="T39" i="12" s="1"/>
  <c r="O48" i="12"/>
  <c r="O54" i="12"/>
  <c r="P48" i="12"/>
  <c r="P54" i="12"/>
  <c r="S13" i="12"/>
  <c r="S19" i="12" s="1"/>
  <c r="Q48" i="12"/>
  <c r="Q54" i="12"/>
  <c r="T13" i="12"/>
  <c r="T19" i="12" s="1"/>
  <c r="O28" i="12"/>
  <c r="O40" i="12" s="1"/>
  <c r="P28" i="12"/>
  <c r="P40" i="12" s="1"/>
  <c r="S48" i="12"/>
  <c r="S54" i="12"/>
  <c r="Q28" i="12"/>
  <c r="Q40" i="12" s="1"/>
  <c r="X13" i="12"/>
  <c r="X19" i="12" s="1"/>
  <c r="R28" i="12"/>
  <c r="R40" i="12" s="1"/>
  <c r="S28" i="12"/>
  <c r="S40" i="12" s="1"/>
  <c r="T28" i="12"/>
  <c r="T40" i="12" s="1"/>
  <c r="Z14" i="12"/>
  <c r="Z20" i="12" s="1"/>
  <c r="Z12" i="12"/>
  <c r="Z18" i="12" s="1"/>
  <c r="Z60" i="12"/>
  <c r="Z54" i="12"/>
  <c r="Z50" i="12"/>
  <c r="T7" i="11"/>
  <c r="T19" i="11" s="1"/>
  <c r="T28" i="11"/>
  <c r="T40" i="11" s="1"/>
  <c r="W49" i="11"/>
  <c r="W55" i="11"/>
  <c r="W7" i="12"/>
  <c r="W19" i="12" s="1"/>
  <c r="W28" i="12"/>
  <c r="W40" i="12" s="1"/>
  <c r="W49" i="12"/>
  <c r="W55" i="12"/>
  <c r="W13" i="11"/>
  <c r="W19" i="11" s="1"/>
  <c r="Y28" i="11"/>
  <c r="Y40" i="11" s="1"/>
  <c r="Y49" i="11"/>
  <c r="Y55" i="11"/>
  <c r="Y7" i="12"/>
  <c r="Y19" i="12" s="1"/>
  <c r="Y28" i="12"/>
  <c r="Y40" i="12" s="1"/>
  <c r="Y49" i="12"/>
  <c r="Y55" i="12"/>
  <c r="R6" i="12"/>
  <c r="R18" i="12" s="1"/>
  <c r="Z13" i="11"/>
  <c r="Z19" i="11" s="1"/>
  <c r="Z28" i="11"/>
  <c r="Z40" i="11" s="1"/>
  <c r="Z49" i="11"/>
  <c r="Z55" i="11"/>
  <c r="Z7" i="12"/>
  <c r="Z19" i="12" s="1"/>
  <c r="Z28" i="12"/>
  <c r="Z40" i="12" s="1"/>
  <c r="Z49" i="12"/>
  <c r="Z55" i="12"/>
  <c r="Q6" i="11"/>
  <c r="Q18" i="11" s="1"/>
  <c r="W28" i="11"/>
  <c r="W40" i="11" s="1"/>
  <c r="T6" i="11"/>
  <c r="T18" i="11" s="1"/>
  <c r="O8" i="11"/>
  <c r="O20" i="11" s="1"/>
  <c r="S9" i="11"/>
  <c r="S21" i="11" s="1"/>
  <c r="O29" i="11"/>
  <c r="O41" i="11" s="1"/>
  <c r="S30" i="11"/>
  <c r="S42" i="11" s="1"/>
  <c r="O50" i="11"/>
  <c r="S51" i="11"/>
  <c r="O56" i="11"/>
  <c r="S57" i="11"/>
  <c r="O8" i="12"/>
  <c r="O20" i="12" s="1"/>
  <c r="S9" i="12"/>
  <c r="S21" i="12" s="1"/>
  <c r="O29" i="12"/>
  <c r="O41" i="12" s="1"/>
  <c r="O50" i="12"/>
  <c r="S51" i="12"/>
  <c r="O56" i="12"/>
  <c r="Y13" i="11"/>
  <c r="Y19" i="11" s="1"/>
  <c r="P8" i="11"/>
  <c r="P20" i="11" s="1"/>
  <c r="P29" i="11"/>
  <c r="P41" i="11" s="1"/>
  <c r="T30" i="11"/>
  <c r="T42" i="11" s="1"/>
  <c r="P50" i="11"/>
  <c r="P56" i="11"/>
  <c r="P8" i="12"/>
  <c r="P20" i="12" s="1"/>
  <c r="P29" i="12"/>
  <c r="P41" i="12" s="1"/>
  <c r="P50" i="12"/>
  <c r="P56" i="12"/>
  <c r="Q8" i="11"/>
  <c r="Q20" i="11" s="1"/>
  <c r="Q29" i="11"/>
  <c r="Q41" i="11" s="1"/>
  <c r="Q50" i="11"/>
  <c r="Q56" i="11"/>
  <c r="Q8" i="12"/>
  <c r="Q20" i="12" s="1"/>
  <c r="Q29" i="12"/>
  <c r="Q41" i="12" s="1"/>
  <c r="Q50" i="12"/>
  <c r="Q56" i="12"/>
  <c r="R8" i="11"/>
  <c r="R20" i="11" s="1"/>
  <c r="R29" i="11"/>
  <c r="R41" i="11" s="1"/>
  <c r="R50" i="11"/>
  <c r="R56" i="11"/>
  <c r="R8" i="12"/>
  <c r="R20" i="12" s="1"/>
  <c r="R29" i="12"/>
  <c r="R41" i="12" s="1"/>
  <c r="R50" i="12"/>
  <c r="R56" i="12"/>
  <c r="S29" i="11"/>
  <c r="S41" i="11" s="1"/>
  <c r="S8" i="12"/>
  <c r="S20" i="12" s="1"/>
  <c r="S29" i="12"/>
  <c r="S41" i="12" s="1"/>
  <c r="U29" i="12"/>
  <c r="U41" i="12" s="1"/>
  <c r="U50" i="12"/>
  <c r="U56" i="12"/>
  <c r="V8" i="11"/>
  <c r="V20" i="11" s="1"/>
  <c r="V8" i="12"/>
  <c r="V20" i="12" s="1"/>
  <c r="V29" i="12"/>
  <c r="V41" i="12" s="1"/>
  <c r="V50" i="12"/>
  <c r="V56" i="12"/>
  <c r="S57" i="12" l="1"/>
  <c r="S69" i="12" s="1"/>
  <c r="Y68" i="12"/>
  <c r="Y68" i="11"/>
  <c r="T9" i="11"/>
  <c r="T21" i="11" s="1"/>
  <c r="Z9" i="11"/>
  <c r="Z21" i="11" s="1"/>
  <c r="Z30" i="11"/>
  <c r="Z42" i="11" s="1"/>
  <c r="Z30" i="12"/>
  <c r="Z42" i="12" s="1"/>
  <c r="Z51" i="11"/>
  <c r="Y66" i="11"/>
  <c r="Y30" i="12"/>
  <c r="Y42" i="12" s="1"/>
  <c r="W9" i="12"/>
  <c r="W21" i="12" s="1"/>
  <c r="V36" i="11"/>
  <c r="V42" i="11" s="1"/>
  <c r="V51" i="12"/>
  <c r="V63" i="12"/>
  <c r="U67" i="12"/>
  <c r="T51" i="12"/>
  <c r="W68" i="12"/>
  <c r="S67" i="12"/>
  <c r="R63" i="12"/>
  <c r="X30" i="12"/>
  <c r="X42" i="12" s="1"/>
  <c r="V30" i="12"/>
  <c r="V42" i="12" s="1"/>
  <c r="S30" i="12"/>
  <c r="S42" i="12" s="1"/>
  <c r="R15" i="12"/>
  <c r="R21" i="12" s="1"/>
  <c r="Y57" i="11"/>
  <c r="Y51" i="11"/>
  <c r="T68" i="11"/>
  <c r="Z68" i="11"/>
  <c r="R57" i="11"/>
  <c r="U68" i="11"/>
  <c r="Q9" i="11"/>
  <c r="Q21" i="11" s="1"/>
  <c r="W15" i="11"/>
  <c r="W21" i="11" s="1"/>
  <c r="Z68" i="12"/>
  <c r="Z57" i="11"/>
  <c r="Z9" i="12"/>
  <c r="Z21" i="12" s="1"/>
  <c r="Y66" i="12"/>
  <c r="Y9" i="12"/>
  <c r="Y21" i="12" s="1"/>
  <c r="X9" i="12"/>
  <c r="X21" i="12" s="1"/>
  <c r="X66" i="11"/>
  <c r="X68" i="12"/>
  <c r="X57" i="12"/>
  <c r="X51" i="12"/>
  <c r="X63" i="11"/>
  <c r="X30" i="11"/>
  <c r="X42" i="11" s="1"/>
  <c r="X15" i="11"/>
  <c r="X21" i="11" s="1"/>
  <c r="X66" i="12"/>
  <c r="W68" i="11"/>
  <c r="W57" i="12"/>
  <c r="W66" i="11"/>
  <c r="U9" i="12"/>
  <c r="U21" i="12" s="1"/>
  <c r="V67" i="12"/>
  <c r="V15" i="12"/>
  <c r="V21" i="12" s="1"/>
  <c r="V51" i="11"/>
  <c r="V9" i="11"/>
  <c r="V21" i="11" s="1"/>
  <c r="V66" i="11"/>
  <c r="V68" i="11"/>
  <c r="V63" i="11"/>
  <c r="U30" i="11"/>
  <c r="U42" i="11" s="1"/>
  <c r="U9" i="11"/>
  <c r="U21" i="11" s="1"/>
  <c r="U66" i="11"/>
  <c r="U51" i="12"/>
  <c r="U63" i="12"/>
  <c r="T57" i="12"/>
  <c r="T57" i="11"/>
  <c r="T30" i="12"/>
  <c r="T42" i="12" s="1"/>
  <c r="T66" i="11"/>
  <c r="T67" i="12"/>
  <c r="T9" i="12"/>
  <c r="T21" i="12" s="1"/>
  <c r="S68" i="11"/>
  <c r="S67" i="11"/>
  <c r="R51" i="11"/>
  <c r="R57" i="12"/>
  <c r="R69" i="12" s="1"/>
  <c r="R36" i="12"/>
  <c r="R42" i="12" s="1"/>
  <c r="R67" i="12"/>
  <c r="R36" i="11"/>
  <c r="R42" i="11" s="1"/>
  <c r="R66" i="12"/>
  <c r="R9" i="11"/>
  <c r="R21" i="11" s="1"/>
  <c r="Q30" i="11"/>
  <c r="Q42" i="11" s="1"/>
  <c r="Q51" i="12"/>
  <c r="Q9" i="12"/>
  <c r="Q21" i="12" s="1"/>
  <c r="Q67" i="11"/>
  <c r="Q57" i="12"/>
  <c r="Q67" i="12"/>
  <c r="P67" i="11"/>
  <c r="P67" i="12"/>
  <c r="P66" i="11"/>
  <c r="O9" i="11"/>
  <c r="O21" i="11" s="1"/>
  <c r="O30" i="12"/>
  <c r="O42" i="12" s="1"/>
  <c r="O15" i="12"/>
  <c r="O21" i="12" s="1"/>
  <c r="O66" i="11"/>
  <c r="W66" i="12"/>
  <c r="V66" i="12"/>
  <c r="P69" i="12"/>
  <c r="O69" i="12"/>
  <c r="T66" i="12"/>
  <c r="T68" i="12"/>
  <c r="W51" i="12"/>
  <c r="Y57" i="12"/>
  <c r="Z66" i="12"/>
  <c r="Y51" i="12"/>
  <c r="X67" i="12"/>
  <c r="Y67" i="12"/>
  <c r="Z51" i="12"/>
  <c r="S68" i="12"/>
  <c r="O67" i="12"/>
  <c r="Z57" i="12"/>
  <c r="U66" i="12"/>
  <c r="W30" i="12"/>
  <c r="W42" i="12" s="1"/>
  <c r="O63" i="11"/>
  <c r="O67" i="11"/>
  <c r="O57" i="11"/>
  <c r="Q66" i="11"/>
  <c r="X68" i="11"/>
  <c r="S66" i="11"/>
  <c r="P69" i="11"/>
  <c r="T51" i="11"/>
  <c r="W57" i="11"/>
  <c r="W51" i="11"/>
  <c r="X67" i="11"/>
  <c r="R66" i="11"/>
  <c r="V67" i="11"/>
  <c r="X51" i="11"/>
  <c r="Q69" i="11"/>
  <c r="R67" i="11"/>
  <c r="U63" i="11"/>
  <c r="U57" i="11"/>
  <c r="Y30" i="11"/>
  <c r="Y42" i="11" s="1"/>
  <c r="O30" i="11"/>
  <c r="O42" i="11" s="1"/>
  <c r="W30" i="11"/>
  <c r="W42" i="11" s="1"/>
  <c r="Y9" i="11"/>
  <c r="Y21" i="11" s="1"/>
  <c r="T67" i="11"/>
  <c r="U67" i="11"/>
  <c r="S66" i="12"/>
  <c r="O66" i="12"/>
  <c r="P66" i="12"/>
  <c r="Q66" i="12"/>
  <c r="Q68" i="12"/>
  <c r="Z67" i="12"/>
  <c r="O68" i="11"/>
  <c r="P68" i="11"/>
  <c r="R68" i="12"/>
  <c r="V68" i="12"/>
  <c r="S69" i="11"/>
  <c r="Y67" i="11"/>
  <c r="W67" i="11"/>
  <c r="R68" i="11"/>
  <c r="P68" i="12"/>
  <c r="O68" i="12"/>
  <c r="U68" i="12"/>
  <c r="Q68" i="11"/>
  <c r="Z67" i="11"/>
  <c r="W67" i="12"/>
  <c r="Z69" i="11" l="1"/>
  <c r="T69" i="12"/>
  <c r="Z69" i="12"/>
  <c r="Y69" i="11"/>
  <c r="X69" i="12"/>
  <c r="X69" i="11"/>
  <c r="V69" i="12"/>
  <c r="O69" i="11"/>
  <c r="R69" i="11"/>
  <c r="Y69" i="12"/>
  <c r="W69" i="12"/>
  <c r="W69" i="11"/>
  <c r="V69" i="11"/>
  <c r="U69" i="12"/>
  <c r="T69" i="11"/>
  <c r="Q69" i="12"/>
  <c r="U69" i="11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 s="1"/>
  <c r="M7" i="3"/>
  <c r="M10" i="3" s="1"/>
  <c r="L7" i="3"/>
  <c r="L10" i="3" s="1"/>
  <c r="K7" i="3"/>
  <c r="K10" i="3" s="1"/>
  <c r="J7" i="3"/>
  <c r="J10" i="3" s="1"/>
  <c r="I7" i="3"/>
  <c r="I10" i="3" s="1"/>
  <c r="H7" i="3"/>
  <c r="H10" i="3" s="1"/>
  <c r="G7" i="3"/>
  <c r="G10" i="3" s="1"/>
  <c r="F7" i="3"/>
  <c r="F10" i="3" s="1"/>
  <c r="E7" i="3"/>
  <c r="E10" i="3" s="1"/>
  <c r="D7" i="3"/>
  <c r="D10" i="3" s="1"/>
  <c r="C7" i="3"/>
  <c r="N54" i="2"/>
  <c r="M54" i="2"/>
  <c r="L54" i="2"/>
  <c r="K54" i="2"/>
  <c r="J54" i="2"/>
  <c r="I54" i="2"/>
  <c r="H54" i="2"/>
  <c r="G54" i="2"/>
  <c r="F54" i="2"/>
  <c r="E54" i="2"/>
  <c r="D54" i="2"/>
  <c r="C54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7" i="2"/>
  <c r="N55" i="2" s="1"/>
  <c r="M47" i="2"/>
  <c r="M55" i="2" s="1"/>
  <c r="L47" i="2"/>
  <c r="L55" i="2" s="1"/>
  <c r="K47" i="2"/>
  <c r="K55" i="2" s="1"/>
  <c r="J47" i="2"/>
  <c r="J55" i="2" s="1"/>
  <c r="I47" i="2"/>
  <c r="I55" i="2" s="1"/>
  <c r="H47" i="2"/>
  <c r="H55" i="2" s="1"/>
  <c r="G47" i="2"/>
  <c r="G55" i="2" s="1"/>
  <c r="F47" i="2"/>
  <c r="F55" i="2" s="1"/>
  <c r="E47" i="2"/>
  <c r="E55" i="2" s="1"/>
  <c r="D47" i="2"/>
  <c r="D55" i="2" s="1"/>
  <c r="C47" i="2"/>
  <c r="C55" i="2" s="1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D25" i="2"/>
  <c r="C25" i="2"/>
  <c r="N23" i="2"/>
  <c r="M23" i="2"/>
  <c r="L23" i="2"/>
  <c r="K23" i="2"/>
  <c r="J23" i="2"/>
  <c r="I23" i="2"/>
  <c r="H23" i="2"/>
  <c r="G23" i="2"/>
  <c r="F23" i="2"/>
  <c r="E23" i="2"/>
  <c r="D23" i="2"/>
  <c r="C23" i="2"/>
  <c r="N19" i="2"/>
  <c r="M19" i="2"/>
  <c r="L19" i="2"/>
  <c r="K19" i="2"/>
  <c r="J19" i="2"/>
  <c r="I19" i="2"/>
  <c r="H19" i="2"/>
  <c r="G19" i="2"/>
  <c r="F19" i="2"/>
  <c r="E19" i="2"/>
  <c r="D19" i="2"/>
  <c r="C19" i="2"/>
  <c r="N9" i="2"/>
  <c r="M9" i="2"/>
  <c r="L9" i="2"/>
  <c r="K9" i="2"/>
  <c r="J9" i="2"/>
  <c r="I9" i="2"/>
  <c r="H9" i="2"/>
  <c r="G9" i="2"/>
  <c r="F9" i="2"/>
  <c r="N5" i="2"/>
  <c r="N17" i="2" s="1"/>
  <c r="M5" i="2"/>
  <c r="L5" i="2"/>
  <c r="K5" i="2"/>
  <c r="J5" i="2"/>
  <c r="I5" i="2"/>
  <c r="H5" i="2"/>
  <c r="H17" i="2" s="1"/>
  <c r="G5" i="2"/>
  <c r="F5" i="2"/>
  <c r="F17" i="2" s="1"/>
  <c r="E5" i="2"/>
  <c r="E17" i="2" s="1"/>
  <c r="D5" i="2"/>
  <c r="D13" i="2" s="1"/>
  <c r="C5" i="2"/>
  <c r="C17" i="2" s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D17" i="2" l="1"/>
  <c r="D35" i="2"/>
  <c r="C13" i="2"/>
  <c r="C16" i="2" s="1"/>
  <c r="C35" i="2"/>
  <c r="I52" i="2"/>
  <c r="I56" i="2" s="1"/>
  <c r="J52" i="2"/>
  <c r="J56" i="2" s="1"/>
  <c r="K52" i="2"/>
  <c r="K56" i="2" s="1"/>
  <c r="G52" i="2"/>
  <c r="G56" i="2" s="1"/>
  <c r="C52" i="2"/>
  <c r="C56" i="2" s="1"/>
  <c r="I13" i="2"/>
  <c r="I29" i="2" s="1"/>
  <c r="K13" i="2"/>
  <c r="K16" i="2" s="1"/>
  <c r="F13" i="2"/>
  <c r="F29" i="2" s="1"/>
  <c r="F35" i="2"/>
  <c r="G35" i="2"/>
  <c r="E13" i="2"/>
  <c r="E16" i="2" s="1"/>
  <c r="K35" i="2"/>
  <c r="I35" i="2"/>
  <c r="J13" i="2"/>
  <c r="J16" i="2" s="1"/>
  <c r="J17" i="2"/>
  <c r="H13" i="2"/>
  <c r="H29" i="2" s="1"/>
  <c r="N35" i="2"/>
  <c r="N13" i="2"/>
  <c r="N16" i="2" s="1"/>
  <c r="I17" i="2"/>
  <c r="D52" i="2"/>
  <c r="D56" i="2" s="1"/>
  <c r="M52" i="2"/>
  <c r="M56" i="2" s="1"/>
  <c r="L13" i="2"/>
  <c r="L16" i="2" s="1"/>
  <c r="H35" i="2"/>
  <c r="G17" i="2"/>
  <c r="G13" i="2"/>
  <c r="G16" i="2" s="1"/>
  <c r="J35" i="2"/>
  <c r="N52" i="2"/>
  <c r="N56" i="2" s="1"/>
  <c r="M13" i="2"/>
  <c r="M16" i="2" s="1"/>
  <c r="O5" i="3"/>
  <c r="E52" i="2"/>
  <c r="E56" i="2" s="1"/>
  <c r="D16" i="2"/>
  <c r="F52" i="2"/>
  <c r="F56" i="2" s="1"/>
  <c r="E35" i="2"/>
  <c r="H52" i="2"/>
  <c r="H56" i="2" s="1"/>
  <c r="K17" i="2"/>
  <c r="L17" i="2"/>
  <c r="L35" i="2"/>
  <c r="L52" i="2"/>
  <c r="L56" i="2" s="1"/>
  <c r="M17" i="2"/>
  <c r="M35" i="2"/>
  <c r="C10" i="3"/>
  <c r="O6" i="3"/>
  <c r="M29" i="2" l="1"/>
  <c r="K29" i="2"/>
  <c r="J29" i="2"/>
  <c r="I16" i="2"/>
  <c r="F16" i="2"/>
  <c r="E29" i="2"/>
  <c r="D29" i="2"/>
  <c r="C29" i="2"/>
  <c r="O7" i="3"/>
  <c r="L29" i="2"/>
  <c r="G29" i="2"/>
  <c r="N29" i="2"/>
  <c r="O5" i="2"/>
  <c r="O9" i="2"/>
  <c r="H16" i="2"/>
  <c r="O13" i="2" l="1"/>
</calcChain>
</file>

<file path=xl/sharedStrings.xml><?xml version="1.0" encoding="utf-8"?>
<sst xmlns="http://schemas.openxmlformats.org/spreadsheetml/2006/main" count="1664" uniqueCount="473">
  <si>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</si>
  <si>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</si>
  <si>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</si>
  <si>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</si>
  <si>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</si>
  <si>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</si>
  <si>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</si>
  <si>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</si>
  <si>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</si>
  <si>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</si>
  <si>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</si>
  <si>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</si>
  <si>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</si>
  <si>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</si>
  <si>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</si>
  <si>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</si>
  <si>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</si>
  <si>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</si>
  <si>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</si>
  <si>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</si>
  <si>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</si>
  <si>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</si>
  <si>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</si>
  <si>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</si>
  <si>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</si>
  <si>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</si>
  <si>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</si>
  <si>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</si>
  <si>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</si>
  <si>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</si>
  <si>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</si>
  <si>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</si>
  <si>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</si>
  <si>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</si>
  <si>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</si>
  <si>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</si>
  <si>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</si>
  <si>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</si>
  <si>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</si>
  <si>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</si>
  <si>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</si>
  <si>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</si>
  <si>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</si>
  <si>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</si>
  <si>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</si>
  <si>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</si>
  <si>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</si>
  <si>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</si>
  <si>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</si>
  <si>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</si>
  <si>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</si>
  <si>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</si>
  <si>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</si>
  <si>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</si>
  <si>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</si>
  <si>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</si>
  <si>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</si>
  <si>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</si>
  <si>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</si>
  <si>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</si>
  <si>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</si>
  <si>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</si>
  <si>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</si>
  <si>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</si>
  <si>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</si>
  <si>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</si>
  <si>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</si>
  <si>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</si>
  <si>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</si>
  <si>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</si>
  <si>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</si>
  <si>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Importes Crédito Local</t>
  </si>
  <si>
    <t>Importes Crédito IBK</t>
  </si>
  <si>
    <t>Share IBK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</si>
  <si>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</si>
  <si>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</si>
  <si>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</si>
  <si>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</si>
  <si>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</si>
  <si>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</si>
  <si>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</si>
  <si>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</si>
  <si>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</si>
  <si>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</si>
  <si>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</si>
  <si>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</si>
  <si>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</si>
  <si>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</si>
  <si>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</si>
  <si>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</si>
  <si>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</si>
  <si>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</si>
  <si>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</si>
  <si>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</si>
  <si>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</si>
  <si>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</si>
  <si>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</si>
  <si>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</si>
  <si>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</si>
  <si>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</si>
  <si>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</si>
  <si>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</si>
  <si>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</si>
  <si>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</si>
  <si>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</si>
  <si>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</si>
  <si>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</si>
  <si>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</si>
  <si>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</si>
  <si>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</si>
  <si>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</si>
  <si>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</si>
  <si>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</si>
  <si>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</si>
  <si>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</si>
  <si>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</si>
  <si>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</si>
  <si>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</si>
  <si>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</si>
  <si>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</si>
  <si>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</si>
  <si>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</si>
  <si>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</si>
  <si>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</si>
  <si>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</si>
  <si>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</si>
  <si>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</si>
  <si>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</si>
  <si>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</si>
  <si>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</si>
  <si>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</si>
  <si>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</si>
  <si>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</si>
  <si>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</si>
  <si>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</si>
  <si>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</si>
  <si>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</si>
  <si>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</si>
  <si>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</si>
  <si>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</si>
  <si>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</si>
  <si>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</si>
  <si>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</si>
  <si>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</si>
  <si>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</si>
  <si>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</si>
  <si>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</si>
  <si>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</si>
  <si>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</si>
  <si>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</si>
  <si>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</si>
  <si>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</si>
  <si>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</si>
  <si>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</si>
  <si>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</si>
  <si>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</si>
  <si>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</si>
  <si>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</si>
  <si>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</si>
  <si>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</si>
  <si>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</si>
  <si>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</si>
  <si>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</si>
  <si>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</si>
  <si>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</si>
  <si>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</si>
  <si>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</si>
  <si>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</si>
  <si>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</si>
  <si>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</si>
  <si>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</si>
  <si>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</si>
  <si>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</si>
  <si>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</si>
  <si>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</si>
  <si>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</si>
  <si>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</si>
  <si>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</si>
  <si>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</si>
  <si>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</si>
  <si>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</si>
  <si>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</si>
  <si>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</si>
  <si>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</si>
  <si>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</si>
  <si>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</si>
  <si>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</si>
  <si>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</si>
  <si>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</si>
  <si>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</si>
  <si>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</si>
  <si>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</si>
  <si>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</si>
  <si>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</si>
  <si>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</si>
  <si>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</si>
  <si>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</si>
  <si>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</si>
  <si>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</si>
  <si>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</si>
  <si>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</si>
  <si>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</si>
  <si>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</si>
  <si>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</si>
  <si>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</si>
  <si>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</si>
  <si>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</si>
  <si>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</si>
  <si>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</si>
  <si>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</si>
  <si>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</si>
  <si>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</si>
  <si>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</si>
  <si>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</si>
  <si>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</si>
  <si>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</si>
  <si>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</si>
  <si>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</si>
  <si>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</si>
  <si>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</si>
  <si>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</si>
  <si>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</si>
  <si>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</si>
  <si>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</si>
  <si>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</si>
  <si>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</si>
  <si>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</si>
  <si>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</si>
  <si>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</si>
  <si>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</si>
  <si>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</si>
  <si>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</si>
  <si>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</si>
  <si>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</si>
  <si>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</si>
  <si>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</si>
  <si>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</si>
  <si>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</si>
  <si>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</si>
  <si>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</si>
  <si>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</si>
  <si>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</si>
  <si>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</si>
  <si>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</si>
  <si>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</si>
  <si>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</si>
  <si>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</si>
  <si>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</si>
  <si>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</si>
  <si>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</si>
  <si>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</si>
  <si>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</si>
  <si>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</si>
  <si>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</si>
  <si>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</si>
  <si>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</si>
  <si>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</si>
  <si>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</si>
  <si>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</si>
  <si>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</si>
  <si>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</si>
  <si>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</si>
  <si>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</si>
  <si>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</si>
  <si>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</si>
  <si>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</si>
  <si>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</si>
  <si>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</si>
  <si>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</si>
  <si>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</si>
  <si>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</si>
  <si>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</si>
  <si>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</si>
  <si>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</si>
  <si>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</si>
  <si>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</si>
  <si>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</si>
  <si>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</si>
  <si>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</si>
  <si>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</si>
  <si>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</si>
  <si>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</si>
  <si>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</si>
  <si>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</si>
  <si>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</si>
  <si>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Suministros y acces. de autos</t>
  </si>
  <si>
    <t>Total general</t>
  </si>
  <si>
    <t>Importes Débito Local</t>
  </si>
  <si>
    <t>Importes Débito IBK</t>
  </si>
  <si>
    <t>pp. Dic</t>
  </si>
  <si>
    <t>Corredores de bolsa</t>
  </si>
  <si>
    <t>Vta por correo/telefono Venta por Telemarketing</t>
  </si>
  <si>
    <t>ALQUILER DE BIENES INMOBILIARIOS</t>
  </si>
  <si>
    <t>Florists Supplies- Nursery Stock- and Flowers</t>
  </si>
  <si>
    <t>Timeshares</t>
  </si>
  <si>
    <t>Organizaciones religiosas</t>
  </si>
  <si>
    <t>Activ. Comercial no clasific.</t>
  </si>
  <si>
    <t>Escuelas arte y ofic</t>
  </si>
  <si>
    <t>AGENCIAS DE INFORMES CREDITICIOS DEL CONSUMIDOR</t>
  </si>
  <si>
    <t>TALLERES DE REPARACIÓN Y SERVICIOS AFINES</t>
  </si>
  <si>
    <t>Alquiler de equipos y muebles</t>
  </si>
  <si>
    <t>Maquinas afeitar</t>
  </si>
  <si>
    <t>Bienes Digitales</t>
  </si>
  <si>
    <t>Estudios fotografia</t>
  </si>
  <si>
    <t>Transacciones de fondos de PDI (excluyendo MoneySend)</t>
  </si>
  <si>
    <t>SERVICIOS DE ARQUITECTURA- INGENIER-A Y TOPOGRA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</si>
  <si>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</si>
  <si>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</si>
  <si>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</si>
  <si>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</si>
  <si>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</si>
  <si>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</si>
  <si>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</si>
  <si>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</si>
  <si>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</si>
  <si>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</si>
  <si>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</si>
  <si>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</si>
  <si>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</si>
  <si>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</si>
  <si>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</si>
  <si>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</si>
  <si>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</si>
  <si>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</si>
  <si>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</si>
  <si>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</si>
  <si>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</si>
  <si>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</si>
  <si>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LA PLAZA GASTRONOMICA S.A.C.</t>
  </si>
  <si>
    <t>INVERSIONES INDEPENDENCIA S.A.C.</t>
  </si>
  <si>
    <t>ORIENTAL POLO S.A.C.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</si>
  <si>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</si>
  <si>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</si>
  <si>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</si>
  <si>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</si>
  <si>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</si>
  <si>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</si>
  <si>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</si>
  <si>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</si>
  <si>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</si>
  <si>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</si>
  <si>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</si>
  <si>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</si>
  <si>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</si>
  <si>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</si>
  <si>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</si>
  <si>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</si>
  <si>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</si>
  <si>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</si>
  <si>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</si>
  <si>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</si>
  <si>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</si>
  <si>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</si>
  <si>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</si>
  <si>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</si>
  <si>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</si>
  <si>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</si>
  <si>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</si>
  <si>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</si>
  <si>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</si>
  <si>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</si>
  <si>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</si>
  <si>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</si>
  <si>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</si>
  <si>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</si>
  <si>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</si>
  <si>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</si>
  <si>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</si>
  <si>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</si>
  <si>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</si>
  <si>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</si>
  <si>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</si>
  <si>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</si>
  <si>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</si>
  <si>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</si>
  <si>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</si>
  <si>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</si>
  <si>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</si>
  <si>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</si>
  <si>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</si>
  <si>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</si>
  <si>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</si>
  <si>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</si>
  <si>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</si>
  <si>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</si>
  <si>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</si>
  <si>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</si>
  <si>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</si>
  <si>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</si>
  <si>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</si>
  <si>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</si>
  <si>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</si>
  <si>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</si>
  <si>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</si>
  <si>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</si>
  <si>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</si>
  <si>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</si>
  <si>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</si>
  <si>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</si>
  <si>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</si>
  <si>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</si>
  <si>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</si>
  <si>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</si>
  <si>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</si>
  <si>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</si>
  <si>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</si>
  <si>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</si>
  <si>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</si>
  <si>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</si>
  <si>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</si>
  <si>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</si>
  <si>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</si>
  <si>
    <t>INTERBANK</t>
  </si>
  <si>
    <t>POS</t>
  </si>
  <si>
    <t>CREDITO</t>
  </si>
  <si>
    <t>DEBITO</t>
  </si>
  <si>
    <t>PREPAGO</t>
  </si>
  <si>
    <t>E-COM</t>
  </si>
  <si>
    <t>TOTAL</t>
  </si>
  <si>
    <t>LOCALES</t>
  </si>
  <si>
    <t>FORÁNEAS</t>
  </si>
  <si>
    <t>CARGO AUTOMATICO</t>
  </si>
  <si>
    <t>PROCESOS DE MEDIOS DE PAGO S.A.</t>
  </si>
  <si>
    <t>TERMINALIZACIÓN</t>
  </si>
  <si>
    <t xml:space="preserve">Número de transacciones </t>
  </si>
  <si>
    <t>Producto</t>
  </si>
  <si>
    <t>% POS</t>
  </si>
  <si>
    <t>OTROS **</t>
  </si>
  <si>
    <t>% OTROS</t>
  </si>
  <si>
    <t>REC</t>
  </si>
  <si>
    <t>% REC</t>
  </si>
  <si>
    <t>% E-COM</t>
  </si>
  <si>
    <t>MANUAL</t>
  </si>
  <si>
    <t>% MANUAL</t>
  </si>
  <si>
    <t>American Express</t>
  </si>
  <si>
    <t>Amex Interbank</t>
  </si>
  <si>
    <t>Importe en soles</t>
  </si>
  <si>
    <t>** Estan consideradas las transacciones MOTO y UATP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</si>
  <si>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</si>
  <si>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</si>
  <si>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</si>
  <si>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</si>
  <si>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</si>
  <si>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</si>
  <si>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</si>
  <si>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Con efectivo - foráneas</t>
  </si>
  <si>
    <t>CORPORATION INTHERPHARMA SAC</t>
  </si>
  <si>
    <t>C &amp; M SERVICENTROS SAC</t>
  </si>
  <si>
    <t>JE OPERADORES SAC</t>
  </si>
  <si>
    <t>INVERSIONES PABECSA SAC</t>
  </si>
  <si>
    <t>INVERSIONES KAMADO SAC</t>
  </si>
  <si>
    <t xml:space="preserve"> </t>
  </si>
  <si>
    <t>Share Total 2026: considera Amex, Visa y MC.</t>
  </si>
  <si>
    <t>Facturación Mastercard 2026</t>
  </si>
  <si>
    <t>pp: puntos porcentuales</t>
  </si>
  <si>
    <t>Bancos - Disp.efectivo ventanilla</t>
  </si>
  <si>
    <t>Contrat.calef.plomer</t>
  </si>
  <si>
    <t>Direct Marketing-Inbound Telemarketing Merchants</t>
  </si>
  <si>
    <t>MANTENIMIENTO Y REPARACIÓN DE COMPUTADORAS (NO</t>
  </si>
  <si>
    <t>PETROLEOS Y PRODUCTOS DE PETRO LEOS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</si>
  <si>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</si>
  <si>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</si>
  <si>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</si>
  <si>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</si>
  <si>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</si>
  <si>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</si>
  <si>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</si>
  <si>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</si>
  <si>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</si>
  <si>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</si>
  <si>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</si>
  <si>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AL 19 DE ABRIL DEL 2,026</t>
  </si>
  <si>
    <t>Al 30 de Abril del 2,026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</si>
</sst>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"/>
    <numFmt numFmtId="165" formatCode="_-&quot;S/&quot;\ * #,##0_-;\-&quot;S/&quot;\ * #,##0_-;_-&quot;S/&quot;\ * &quot;-&quot;??_-;_-@_-"/>
    <numFmt numFmtId="166" formatCode="_-* #,##0_-;\-* #,##0_-;_-* &quot;-&quot;??_-;_-@_-"/>
    <numFmt numFmtId="167" formatCode="0.0%"/>
    <numFmt numFmtId="168" formatCode="_([$€-2]\ * #,##0.00_);_([$€-2]\ * \(#,##0.00\);_([$€-2]\ * &quot;-&quot;??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 val="singleAccounting"/>
      <sz val="10"/>
      <color theme="1" tint="0.499984740745262"/>
      <name val="Calibri Light"/>
      <family val="2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44" fontId="1" fillId="0" borderId="0"/>
    <xf numFmtId="0" fontId="14" fillId="0" borderId="0"/>
    <xf numFmtId="9" fontId="14" fillId="0" borderId="0"/>
  </cellStyleXfs>
  <cellXfs count="262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165" fontId="19" fillId="2" borderId="31" xfId="3" applyNumberFormat="1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>
      <alignment horizontal="center" vertical="center"/>
    </xf>
    <xf numFmtId="165" fontId="19" fillId="2" borderId="5" xfId="3" applyNumberFormat="1" applyFont="1" applyFill="1" applyBorder="1" applyAlignment="1">
      <alignment horizontal="center" vertical="center"/>
    </xf>
    <xf numFmtId="165" fontId="20" fillId="2" borderId="36" xfId="3" applyNumberFormat="1" applyFont="1" applyFill="1" applyBorder="1" applyAlignment="1">
      <alignment horizontal="center" vertical="center"/>
    </xf>
    <xf numFmtId="165" fontId="20" fillId="2" borderId="13" xfId="3" applyNumberFormat="1" applyFont="1" applyFill="1" applyBorder="1" applyAlignment="1">
      <alignment horizontal="center" vertical="center"/>
    </xf>
    <xf numFmtId="165" fontId="20" fillId="2" borderId="14" xfId="3" applyNumberFormat="1" applyFont="1" applyFill="1" applyBorder="1" applyAlignment="1">
      <alignment horizontal="center" vertical="center"/>
    </xf>
    <xf numFmtId="165" fontId="20" fillId="2" borderId="29" xfId="3" applyNumberFormat="1" applyFont="1" applyFill="1" applyBorder="1" applyAlignment="1">
      <alignment horizontal="center" vertical="center"/>
    </xf>
    <xf numFmtId="165" fontId="20" fillId="2" borderId="24" xfId="3" applyNumberFormat="1" applyFont="1" applyFill="1" applyBorder="1" applyAlignment="1">
      <alignment horizontal="center" vertical="center"/>
    </xf>
    <xf numFmtId="165" fontId="20" fillId="2" borderId="25" xfId="3" applyNumberFormat="1" applyFont="1" applyFill="1" applyBorder="1" applyAlignment="1">
      <alignment horizontal="center" vertical="center"/>
    </xf>
    <xf numFmtId="166" fontId="18" fillId="2" borderId="0" xfId="2" applyNumberFormat="1" applyFont="1" applyFill="1" applyAlignment="1">
      <alignment horizontal="center"/>
    </xf>
    <xf numFmtId="165" fontId="18" fillId="3" borderId="28" xfId="3" applyNumberFormat="1" applyFont="1" applyFill="1" applyBorder="1" applyAlignment="1">
      <alignment horizontal="center" vertical="center"/>
    </xf>
    <xf numFmtId="165" fontId="18" fillId="3" borderId="1" xfId="3" applyNumberFormat="1" applyFont="1" applyFill="1" applyBorder="1" applyAlignment="1">
      <alignment horizontal="center" vertical="center"/>
    </xf>
    <xf numFmtId="165" fontId="18" fillId="3" borderId="30" xfId="3" applyNumberFormat="1" applyFont="1" applyFill="1" applyBorder="1" applyAlignment="1">
      <alignment horizontal="center" vertical="center"/>
    </xf>
    <xf numFmtId="167" fontId="18" fillId="3" borderId="7" xfId="1" applyNumberFormat="1" applyFont="1" applyFill="1" applyBorder="1" applyAlignment="1">
      <alignment horizontal="center" vertical="center"/>
    </xf>
    <xf numFmtId="165" fontId="23" fillId="2" borderId="32" xfId="3" applyNumberFormat="1" applyFont="1" applyFill="1" applyBorder="1" applyAlignment="1">
      <alignment horizontal="left" vertical="center"/>
    </xf>
    <xf numFmtId="165" fontId="23" fillId="2" borderId="13" xfId="3" applyNumberFormat="1" applyFont="1" applyFill="1" applyBorder="1" applyAlignment="1">
      <alignment horizontal="left" vertical="center"/>
    </xf>
    <xf numFmtId="165" fontId="23" fillId="2" borderId="16" xfId="3" applyNumberFormat="1" applyFont="1" applyFill="1" applyBorder="1" applyAlignment="1">
      <alignment horizontal="center" vertical="center"/>
    </xf>
    <xf numFmtId="165" fontId="23" fillId="2" borderId="13" xfId="3" applyNumberFormat="1" applyFont="1" applyFill="1" applyBorder="1" applyAlignment="1">
      <alignment horizontal="center" vertical="center"/>
    </xf>
    <xf numFmtId="167" fontId="23" fillId="2" borderId="12" xfId="1" applyNumberFormat="1" applyFont="1" applyFill="1" applyBorder="1" applyAlignment="1">
      <alignment horizontal="center" vertical="center"/>
    </xf>
    <xf numFmtId="166" fontId="23" fillId="2" borderId="0" xfId="2" applyNumberFormat="1" applyFont="1" applyFill="1" applyAlignment="1">
      <alignment horizontal="center"/>
    </xf>
    <xf numFmtId="165" fontId="18" fillId="4" borderId="35" xfId="3" applyNumberFormat="1" applyFont="1" applyFill="1" applyBorder="1" applyAlignment="1">
      <alignment horizontal="center" vertical="center"/>
    </xf>
    <xf numFmtId="165" fontId="18" fillId="4" borderId="1" xfId="3" applyNumberFormat="1" applyFont="1" applyFill="1" applyBorder="1" applyAlignment="1">
      <alignment horizontal="center" vertical="center"/>
    </xf>
    <xf numFmtId="165" fontId="18" fillId="4" borderId="8" xfId="3" applyNumberFormat="1" applyFont="1" applyFill="1" applyBorder="1" applyAlignment="1">
      <alignment horizontal="center" vertical="center"/>
    </xf>
    <xf numFmtId="165" fontId="18" fillId="4" borderId="39" xfId="3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165" fontId="23" fillId="2" borderId="0" xfId="3" applyNumberFormat="1" applyFont="1" applyFill="1" applyAlignment="1">
      <alignment horizontal="left" vertical="center"/>
    </xf>
    <xf numFmtId="167" fontId="23" fillId="2" borderId="0" xfId="1" applyNumberFormat="1" applyFont="1" applyFill="1"/>
    <xf numFmtId="165" fontId="23" fillId="2" borderId="18" xfId="3" applyNumberFormat="1" applyFont="1" applyFill="1" applyBorder="1" applyAlignment="1">
      <alignment horizontal="center" vertical="center"/>
    </xf>
    <xf numFmtId="165" fontId="23" fillId="2" borderId="20" xfId="3" applyNumberFormat="1" applyFont="1" applyFill="1" applyBorder="1" applyAlignment="1">
      <alignment horizontal="center" vertical="center"/>
    </xf>
    <xf numFmtId="165" fontId="23" fillId="2" borderId="19" xfId="3" applyNumberFormat="1" applyFont="1" applyFill="1" applyBorder="1" applyAlignment="1">
      <alignment horizontal="center" vertical="center"/>
    </xf>
    <xf numFmtId="165" fontId="18" fillId="2" borderId="0" xfId="3" applyNumberFormat="1" applyFont="1" applyFill="1" applyAlignment="1">
      <alignment horizontal="left" indent="1"/>
    </xf>
    <xf numFmtId="165" fontId="18" fillId="2" borderId="0" xfId="3" applyNumberFormat="1" applyFont="1" applyFill="1" applyAlignment="1">
      <alignment horizontal="center"/>
    </xf>
    <xf numFmtId="165" fontId="23" fillId="2" borderId="0" xfId="3" applyNumberFormat="1" applyFont="1" applyFill="1" applyAlignment="1">
      <alignment horizontal="center"/>
    </xf>
    <xf numFmtId="167" fontId="23" fillId="2" borderId="16" xfId="1" applyNumberFormat="1" applyFont="1" applyFill="1" applyBorder="1" applyAlignment="1">
      <alignment horizontal="center"/>
    </xf>
    <xf numFmtId="167" fontId="23" fillId="2" borderId="19" xfId="1" applyNumberFormat="1" applyFont="1" applyFill="1" applyBorder="1" applyAlignment="1">
      <alignment horizontal="center"/>
    </xf>
    <xf numFmtId="167" fontId="23" fillId="2" borderId="0" xfId="1" applyNumberFormat="1" applyFont="1" applyFill="1" applyAlignment="1">
      <alignment horizontal="center"/>
    </xf>
    <xf numFmtId="165" fontId="23" fillId="2" borderId="16" xfId="3" applyNumberFormat="1" applyFont="1" applyFill="1" applyBorder="1" applyAlignment="1">
      <alignment horizontal="left" vertical="center"/>
    </xf>
    <xf numFmtId="165" fontId="23" fillId="2" borderId="34" xfId="3" applyNumberFormat="1" applyFont="1" applyFill="1" applyBorder="1" applyAlignment="1">
      <alignment horizontal="center" vertical="center"/>
    </xf>
    <xf numFmtId="165" fontId="23" fillId="2" borderId="22" xfId="3" applyNumberFormat="1" applyFont="1" applyFill="1" applyBorder="1" applyAlignment="1">
      <alignment horizontal="center" vertical="center"/>
    </xf>
    <xf numFmtId="165" fontId="23" fillId="2" borderId="10" xfId="3" applyNumberFormat="1" applyFont="1" applyFill="1" applyBorder="1" applyAlignment="1">
      <alignment horizontal="center" vertical="center"/>
    </xf>
    <xf numFmtId="166" fontId="23" fillId="2" borderId="0" xfId="2" applyNumberFormat="1" applyFont="1" applyFill="1"/>
    <xf numFmtId="165" fontId="23" fillId="2" borderId="40" xfId="3" applyNumberFormat="1" applyFont="1" applyFill="1" applyBorder="1" applyAlignment="1">
      <alignment horizontal="center" vertical="center"/>
    </xf>
    <xf numFmtId="165" fontId="23" fillId="2" borderId="41" xfId="3" applyNumberFormat="1" applyFont="1" applyFill="1" applyBorder="1" applyAlignment="1">
      <alignment horizontal="center" vertical="center"/>
    </xf>
    <xf numFmtId="165" fontId="23" fillId="2" borderId="11" xfId="3" applyNumberFormat="1" applyFont="1" applyFill="1" applyBorder="1" applyAlignment="1">
      <alignment horizontal="center" vertical="center"/>
    </xf>
    <xf numFmtId="165" fontId="18" fillId="4" borderId="28" xfId="3" applyNumberFormat="1" applyFont="1" applyFill="1" applyBorder="1" applyAlignment="1">
      <alignment horizontal="center" vertical="center"/>
    </xf>
    <xf numFmtId="165" fontId="18" fillId="4" borderId="2" xfId="3" applyNumberFormat="1" applyFont="1" applyFill="1" applyBorder="1" applyAlignment="1">
      <alignment horizontal="center" vertical="center"/>
    </xf>
    <xf numFmtId="165" fontId="28" fillId="0" borderId="21" xfId="3" applyNumberFormat="1" applyFont="1" applyBorder="1"/>
    <xf numFmtId="167" fontId="29" fillId="9" borderId="21" xfId="1" applyNumberFormat="1" applyFont="1" applyFill="1" applyBorder="1" applyAlignment="1">
      <alignment horizontal="center"/>
    </xf>
    <xf numFmtId="167" fontId="29" fillId="0" borderId="21" xfId="1" applyNumberFormat="1" applyFont="1" applyBorder="1" applyAlignment="1">
      <alignment horizontal="center"/>
    </xf>
    <xf numFmtId="165" fontId="27" fillId="0" borderId="21" xfId="3" applyNumberFormat="1" applyFont="1" applyBorder="1"/>
    <xf numFmtId="165" fontId="6" fillId="0" borderId="21" xfId="3" applyNumberFormat="1" applyFont="1" applyBorder="1"/>
    <xf numFmtId="167" fontId="4" fillId="9" borderId="21" xfId="1" applyNumberFormat="1" applyFont="1" applyFill="1" applyBorder="1" applyAlignment="1">
      <alignment horizontal="center"/>
    </xf>
    <xf numFmtId="167" fontId="4" fillId="0" borderId="21" xfId="1" applyNumberFormat="1" applyFont="1" applyBorder="1" applyAlignment="1">
      <alignment horizontal="center"/>
    </xf>
    <xf numFmtId="165" fontId="7" fillId="0" borderId="21" xfId="3" applyNumberFormat="1" applyFont="1" applyBorder="1"/>
    <xf numFmtId="166" fontId="6" fillId="0" borderId="21" xfId="2" applyNumberFormat="1" applyFont="1" applyBorder="1"/>
    <xf numFmtId="166" fontId="7" fillId="0" borderId="21" xfId="2" applyNumberFormat="1" applyFont="1" applyBorder="1"/>
    <xf numFmtId="165" fontId="3" fillId="0" borderId="0" xfId="0" applyNumberFormat="1" applyFont="1"/>
    <xf numFmtId="167" fontId="3" fillId="0" borderId="0" xfId="1" applyNumberFormat="1" applyFont="1"/>
    <xf numFmtId="165" fontId="5" fillId="0" borderId="27" xfId="0" applyNumberFormat="1" applyFont="1" applyBorder="1"/>
    <xf numFmtId="167" fontId="5" fillId="0" borderId="27" xfId="1" applyNumberFormat="1" applyFont="1" applyBorder="1"/>
    <xf numFmtId="165" fontId="5" fillId="0" borderId="0" xfId="0" applyNumberFormat="1" applyFont="1"/>
    <xf numFmtId="167" fontId="5" fillId="0" borderId="0" xfId="1" applyNumberFormat="1" applyFont="1"/>
    <xf numFmtId="165" fontId="3" fillId="11" borderId="0" xfId="0" applyNumberFormat="1" applyFont="1" applyFill="1"/>
    <xf numFmtId="0" fontId="3" fillId="0" borderId="0" xfId="0" applyFont="1"/>
    <xf numFmtId="44" fontId="23" fillId="2" borderId="0" xfId="3" applyFont="1" applyFill="1"/>
    <xf numFmtId="0" fontId="35" fillId="0" borderId="0" xfId="0" applyFont="1"/>
    <xf numFmtId="0" fontId="32" fillId="0" borderId="0" xfId="0" applyFont="1"/>
    <xf numFmtId="4" fontId="16" fillId="0" borderId="0" xfId="0" applyNumberFormat="1" applyFont="1" applyAlignment="1">
      <alignment horizontal="center"/>
    </xf>
    <xf numFmtId="4" fontId="18" fillId="13" borderId="0" xfId="0" applyNumberFormat="1" applyFont="1" applyFill="1"/>
    <xf numFmtId="4" fontId="0" fillId="0" borderId="0" xfId="0" applyNumberFormat="1"/>
    <xf numFmtId="4" fontId="34" fillId="14" borderId="0" xfId="0" applyNumberFormat="1" applyFont="1" applyFill="1"/>
    <xf numFmtId="3" fontId="0" fillId="15" borderId="0" xfId="0" applyNumberFormat="1" applyFill="1"/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4" fontId="34" fillId="16" borderId="0" xfId="0" applyNumberFormat="1" applyFont="1" applyFill="1"/>
    <xf numFmtId="3" fontId="0" fillId="17" borderId="0" xfId="0" applyNumberFormat="1" applyFill="1"/>
    <xf numFmtId="4" fontId="0" fillId="18" borderId="0" xfId="0" applyNumberFormat="1" applyFill="1"/>
    <xf numFmtId="3" fontId="0" fillId="3" borderId="0" xfId="0" applyNumberFormat="1" applyFill="1"/>
    <xf numFmtId="3" fontId="16" fillId="0" borderId="0" xfId="0" applyNumberFormat="1" applyFont="1"/>
    <xf numFmtId="10" fontId="0" fillId="0" borderId="0" xfId="0" applyNumberFormat="1" applyAlignment="1">
      <alignment horizontal="center"/>
    </xf>
    <xf numFmtId="4" fontId="16" fillId="0" borderId="0" xfId="0" applyNumberFormat="1" applyFont="1"/>
    <xf numFmtId="4" fontId="0" fillId="15" borderId="0" xfId="0" applyNumberFormat="1" applyFill="1"/>
    <xf numFmtId="4" fontId="0" fillId="17" borderId="0" xfId="0" applyNumberFormat="1" applyFill="1"/>
    <xf numFmtId="4" fontId="0" fillId="3" borderId="0" xfId="0" applyNumberForma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168" fontId="36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0" fontId="36" fillId="19" borderId="0" xfId="0" applyFont="1" applyFill="1"/>
    <xf numFmtId="0" fontId="36" fillId="2" borderId="35" xfId="0" applyFont="1" applyFill="1" applyBorder="1" applyAlignment="1">
      <alignment horizontal="left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left" vertical="center"/>
    </xf>
    <xf numFmtId="3" fontId="37" fillId="2" borderId="46" xfId="0" applyNumberFormat="1" applyFont="1" applyFill="1" applyBorder="1" applyAlignment="1">
      <alignment horizontal="center" vertical="center"/>
    </xf>
    <xf numFmtId="10" fontId="37" fillId="2" borderId="47" xfId="1" applyNumberFormat="1" applyFont="1" applyFill="1" applyBorder="1" applyAlignment="1">
      <alignment horizontal="center" vertical="center"/>
    </xf>
    <xf numFmtId="3" fontId="37" fillId="2" borderId="47" xfId="0" applyNumberFormat="1" applyFont="1" applyFill="1" applyBorder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0" fontId="37" fillId="2" borderId="41" xfId="1" applyNumberFormat="1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left" vertical="center"/>
    </xf>
    <xf numFmtId="3" fontId="37" fillId="2" borderId="8" xfId="0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2" borderId="30" xfId="1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0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left" indent="1"/>
    </xf>
    <xf numFmtId="3" fontId="0" fillId="2" borderId="49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0" fontId="0" fillId="2" borderId="51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2" xfId="0" applyNumberFormat="1" applyFill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50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5" fontId="0" fillId="0" borderId="0" xfId="0" applyNumberFormat="1"/>
    <xf numFmtId="0" fontId="41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51" xfId="0" applyNumberFormat="1" applyFont="1" applyFill="1" applyBorder="1" applyAlignment="1">
      <alignment horizontal="center"/>
    </xf>
    <xf numFmtId="3" fontId="23" fillId="2" borderId="52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42" fillId="2" borderId="21" xfId="0" applyNumberFormat="1" applyFont="1" applyFill="1" applyBorder="1" applyAlignment="1">
      <alignment horizontal="center" vertical="center"/>
    </xf>
    <xf numFmtId="17" fontId="42" fillId="4" borderId="21" xfId="0" applyNumberFormat="1" applyFont="1" applyFill="1" applyBorder="1" applyAlignment="1">
      <alignment horizontal="center" vertical="center"/>
    </xf>
    <xf numFmtId="17" fontId="42" fillId="6" borderId="21" xfId="0" applyNumberFormat="1" applyFont="1" applyFill="1" applyBorder="1" applyAlignment="1">
      <alignment horizontal="center" vertical="center"/>
    </xf>
    <xf numFmtId="17" fontId="42" fillId="7" borderId="21" xfId="0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7" fontId="5" fillId="0" borderId="27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7" fontId="3" fillId="11" borderId="0" xfId="1" applyNumberFormat="1" applyFont="1" applyFill="1" applyAlignment="1">
      <alignment horizontal="center"/>
    </xf>
    <xf numFmtId="167" fontId="3" fillId="11" borderId="0" xfId="1" applyNumberFormat="1" applyFont="1" applyFill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0" fontId="43" fillId="0" borderId="21" xfId="1" applyNumberFormat="1" applyFont="1" applyBorder="1" applyAlignment="1">
      <alignment horizontal="center"/>
    </xf>
    <xf numFmtId="9" fontId="44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2" borderId="48" xfId="0" applyFont="1" applyFill="1" applyBorder="1" applyAlignment="1">
      <alignment horizontal="center" vertical="center"/>
    </xf>
    <xf numFmtId="0" fontId="0" fillId="2" borderId="46" xfId="0" applyFill="1" applyBorder="1"/>
    <xf numFmtId="0" fontId="16" fillId="2" borderId="49" xfId="0" applyFont="1" applyFill="1" applyBorder="1" applyAlignment="1">
      <alignment horizontal="center" vertical="center"/>
    </xf>
    <xf numFmtId="0" fontId="0" fillId="2" borderId="44" xfId="0" applyFill="1" applyBorder="1"/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45" fillId="0" borderId="21" xfId="3" applyNumberFormat="1" applyFont="1" applyBorder="1"/>
    <xf numFmtId="0" fontId="46" fillId="0" borderId="0" xfId="0" applyFont="1"/>
    <xf numFmtId="167" fontId="1" fillId="0" borderId="0" xfId="1" applyNumberFormat="1"/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2.6328125" customWidth="1"/>
    <col min="2" max="2" width="23" customWidth="1"/>
    <col min="3" max="14" width="20.81640625" customWidth="1"/>
    <col min="15" max="15" width="16.08984375" bestFit="1" customWidth="1"/>
    <col min="16" max="28" width="11.453125" customWidth="1"/>
  </cols>
  <sheetData>
    <row r="2" spans="2:14" ht="18" customHeight="1" x14ac:dyDescent="0.45">
      <c r="B2" s="18" t="s">
        <v>452</v>
      </c>
    </row>
    <row r="3" spans="2:14" ht="11.4" customHeight="1" thickBot="1" x14ac:dyDescent="0.4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4">
      <c r="C4" s="19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</row>
    <row r="5" spans="2:14" x14ac:dyDescent="0.35">
      <c r="B5" s="22" t="s">
        <v>12</v>
      </c>
      <c r="C5" s="91">
        <v>895463131.43000007</v>
      </c>
      <c r="D5" s="92">
        <v>869165941.94999993</v>
      </c>
      <c r="E5" s="92">
        <v>978458628.53000021</v>
      </c>
      <c r="F5" s="92">
        <v>935117855.85000014</v>
      </c>
      <c r="G5" s="92"/>
      <c r="H5" s="92"/>
      <c r="I5" s="92"/>
      <c r="J5" s="92"/>
      <c r="K5" s="92"/>
      <c r="L5" s="92"/>
      <c r="M5" s="92"/>
      <c r="N5" s="93"/>
    </row>
    <row r="6" spans="2:14" x14ac:dyDescent="0.35">
      <c r="B6" s="23" t="s">
        <v>13</v>
      </c>
      <c r="C6" s="94">
        <v>5766552459.2400007</v>
      </c>
      <c r="D6" s="95">
        <v>5570738565.6800032</v>
      </c>
      <c r="E6" s="95">
        <v>6374788324.2600021</v>
      </c>
      <c r="F6" s="95">
        <v>6057279841.3700008</v>
      </c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4">
      <c r="B7" s="24" t="s">
        <v>14</v>
      </c>
      <c r="C7" s="97">
        <v>6102335520.1099987</v>
      </c>
      <c r="D7" s="98">
        <v>5856202548.2399998</v>
      </c>
      <c r="E7" s="98">
        <v>6746101442.5999985</v>
      </c>
      <c r="F7" s="98">
        <v>6436551886.0499992</v>
      </c>
      <c r="G7" s="98"/>
      <c r="H7" s="98"/>
      <c r="I7" s="98"/>
      <c r="J7" s="98"/>
      <c r="K7" s="98"/>
      <c r="L7" s="98"/>
      <c r="M7" s="98"/>
      <c r="N7" s="99"/>
    </row>
    <row r="8" spans="2:14" ht="7.25" customHeight="1" x14ac:dyDescent="0.35"/>
    <row r="9" spans="2:14" x14ac:dyDescent="0.35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5">
      <c r="B10" s="25" t="s">
        <v>15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0.15348880288406777</v>
      </c>
      <c r="F10" s="29">
        <f t="shared" si="1"/>
        <v>0.15437917354640504</v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5">
      <c r="B11" s="26" t="s">
        <v>16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0.14504060409635566</v>
      </c>
      <c r="F11" s="31">
        <f t="shared" si="2"/>
        <v>0.14528242332306682</v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6328125" style="32" customWidth="1"/>
    <col min="2" max="2" width="19.81640625" style="32" customWidth="1"/>
    <col min="3" max="4" width="19" style="32" customWidth="1"/>
    <col min="5" max="14" width="17.1796875" style="32" bestFit="1" customWidth="1"/>
    <col min="15" max="15" width="16.81640625" style="32" customWidth="1"/>
    <col min="16" max="16" width="11.453125" style="32" customWidth="1"/>
    <col min="17" max="17" width="16.453125" style="32" bestFit="1" customWidth="1"/>
    <col min="18" max="21" width="11.453125" style="32" customWidth="1"/>
    <col min="22" max="22" width="22" style="32" bestFit="1" customWidth="1"/>
    <col min="23" max="45" width="11.453125" style="32" customWidth="1"/>
    <col min="46" max="16384" width="11.453125" style="32"/>
  </cols>
  <sheetData>
    <row r="1" spans="2:21" ht="11.4" customHeight="1" x14ac:dyDescent="0.35">
      <c r="E1" s="224"/>
      <c r="F1" s="223"/>
    </row>
    <row r="2" spans="2:21" ht="18.5" x14ac:dyDescent="0.45">
      <c r="B2" s="50" t="s">
        <v>17</v>
      </c>
      <c r="C2" s="33"/>
      <c r="D2" s="33"/>
      <c r="E2" s="224"/>
      <c r="F2" s="223"/>
      <c r="G2" s="33"/>
      <c r="H2" s="33"/>
      <c r="I2" s="33"/>
      <c r="J2" s="33"/>
      <c r="K2" s="33"/>
      <c r="L2" s="33"/>
      <c r="M2" s="33"/>
      <c r="N2" s="33"/>
      <c r="O2" s="33"/>
    </row>
    <row r="3" spans="2:21" ht="15" thickBot="1" x14ac:dyDescent="0.4">
      <c r="B3" s="34"/>
      <c r="C3" s="34"/>
      <c r="D3" s="34"/>
      <c r="E3" s="224"/>
      <c r="F3" s="223"/>
      <c r="G3" s="100"/>
      <c r="O3" s="34"/>
    </row>
    <row r="4" spans="2:21" ht="15" customHeight="1" thickBot="1" x14ac:dyDescent="0.4">
      <c r="B4" s="51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56" t="s">
        <v>30</v>
      </c>
      <c r="O4" s="57" t="s">
        <v>31</v>
      </c>
    </row>
    <row r="5" spans="2:21" ht="15" customHeight="1" thickBot="1" x14ac:dyDescent="0.4">
      <c r="B5" s="40" t="s">
        <v>32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5771921319.6700001</v>
      </c>
      <c r="F5" s="102">
        <f t="shared" si="0"/>
        <v>5472797698.5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0.97173163960973941</v>
      </c>
      <c r="R5" s="36"/>
      <c r="S5" s="36"/>
      <c r="T5" s="36"/>
      <c r="U5" s="36"/>
    </row>
    <row r="6" spans="2:21" x14ac:dyDescent="0.35">
      <c r="B6" s="37" t="s">
        <v>33</v>
      </c>
      <c r="C6" s="105">
        <v>1758281137.8099999</v>
      </c>
      <c r="D6" s="106">
        <v>1728712045.03</v>
      </c>
      <c r="E6" s="106">
        <v>1968321858.45</v>
      </c>
      <c r="F6" s="107">
        <v>1895762423.5799999</v>
      </c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5">
      <c r="B7" s="37" t="s">
        <v>34</v>
      </c>
      <c r="C7" s="105">
        <v>3378387892.0599999</v>
      </c>
      <c r="D7" s="106">
        <v>3246181622.5</v>
      </c>
      <c r="E7" s="106">
        <v>3736055518.6700001</v>
      </c>
      <c r="F7" s="107">
        <v>3517178460.8499999</v>
      </c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4">
      <c r="B8" s="37" t="s">
        <v>35</v>
      </c>
      <c r="C8" s="105">
        <v>71432490.310000002</v>
      </c>
      <c r="D8" s="106">
        <v>60450995.740000002</v>
      </c>
      <c r="E8" s="106">
        <v>67543942.549999997</v>
      </c>
      <c r="F8" s="107">
        <v>59856814.07</v>
      </c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4">
      <c r="B9" s="40" t="s">
        <v>36</v>
      </c>
      <c r="C9" s="101">
        <f>+SUM(C10:C12)</f>
        <v>153103652.16999999</v>
      </c>
      <c r="D9" s="102">
        <f t="shared" ref="D9:M9" si="1">+SUM(D10:D12)</f>
        <v>128054866.93999998</v>
      </c>
      <c r="E9" s="102">
        <f t="shared" si="1"/>
        <v>169111619.43000001</v>
      </c>
      <c r="F9" s="102">
        <f t="shared" si="1"/>
        <v>174835778.86000001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f>+SUM(N10:N12)</f>
        <v>0</v>
      </c>
      <c r="O9" s="104">
        <f>+IFERROR(SUM(C9:N9)/SUM(C13:N13),"")</f>
        <v>2.826836039026066E-2</v>
      </c>
      <c r="R9" s="100"/>
      <c r="S9" s="100"/>
      <c r="T9" s="100"/>
      <c r="U9" s="100"/>
    </row>
    <row r="10" spans="2:21" x14ac:dyDescent="0.35">
      <c r="B10" s="37" t="s">
        <v>33</v>
      </c>
      <c r="C10" s="105">
        <v>101082993.38</v>
      </c>
      <c r="D10" s="106">
        <v>85054048.299999997</v>
      </c>
      <c r="E10" s="106">
        <v>115742278.7</v>
      </c>
      <c r="F10" s="107">
        <v>116157245.87</v>
      </c>
      <c r="G10" s="107"/>
      <c r="H10" s="107"/>
      <c r="I10" s="108"/>
      <c r="J10" s="108"/>
      <c r="K10" s="108"/>
      <c r="L10" s="108"/>
      <c r="M10" s="108"/>
      <c r="N10" s="108"/>
      <c r="O10" s="109"/>
      <c r="Q10" s="217"/>
      <c r="R10" s="110"/>
      <c r="S10" s="110"/>
      <c r="T10" s="110"/>
      <c r="U10" s="110"/>
    </row>
    <row r="11" spans="2:21" x14ac:dyDescent="0.35">
      <c r="B11" s="37" t="s">
        <v>34</v>
      </c>
      <c r="C11" s="105">
        <v>48679459.640000001</v>
      </c>
      <c r="D11" s="106">
        <v>40510806.119999997</v>
      </c>
      <c r="E11" s="106">
        <v>50112154.159999996</v>
      </c>
      <c r="F11" s="107">
        <v>54464958.170000002</v>
      </c>
      <c r="G11" s="107"/>
      <c r="H11" s="107"/>
      <c r="I11" s="108"/>
      <c r="J11" s="108"/>
      <c r="K11" s="108"/>
      <c r="L11" s="108"/>
      <c r="M11" s="108"/>
      <c r="N11" s="108"/>
      <c r="O11" s="109"/>
      <c r="Q11" s="217"/>
    </row>
    <row r="12" spans="2:21" ht="15" customHeight="1" thickBot="1" x14ac:dyDescent="0.4">
      <c r="B12" s="39" t="s">
        <v>35</v>
      </c>
      <c r="C12" s="105">
        <v>3341199.15</v>
      </c>
      <c r="D12" s="106">
        <v>2490012.52</v>
      </c>
      <c r="E12" s="106">
        <v>3257186.57</v>
      </c>
      <c r="F12" s="107">
        <v>4213574.82</v>
      </c>
      <c r="G12" s="107"/>
      <c r="H12" s="107"/>
      <c r="I12" s="108"/>
      <c r="J12" s="108"/>
      <c r="K12" s="108"/>
      <c r="L12" s="108"/>
      <c r="M12" s="108"/>
      <c r="N12" s="108"/>
      <c r="O12" s="109"/>
      <c r="Q12" s="217"/>
    </row>
    <row r="13" spans="2:21" ht="15" customHeight="1" thickBot="1" x14ac:dyDescent="0.4">
      <c r="B13" s="52" t="s">
        <v>37</v>
      </c>
      <c r="C13" s="101">
        <f t="shared" ref="C13:N13" si="2">SUM(C5,C9)</f>
        <v>5361205172.3500004</v>
      </c>
      <c r="D13" s="102">
        <f>SUM(D5,D9)</f>
        <v>5163399530.2099991</v>
      </c>
      <c r="E13" s="102">
        <f t="shared" si="2"/>
        <v>5941032939.1000004</v>
      </c>
      <c r="F13" s="102">
        <f t="shared" si="2"/>
        <v>5647633477.3599997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0</v>
      </c>
      <c r="O13" s="104">
        <f>SUM(O5:O9)</f>
        <v>1</v>
      </c>
    </row>
    <row r="14" spans="2:21" ht="15" customHeight="1" thickBot="1" x14ac:dyDescent="0.4"/>
    <row r="15" spans="2:21" ht="15" customHeight="1" thickBot="1" x14ac:dyDescent="0.4">
      <c r="B15" s="41" t="s">
        <v>38</v>
      </c>
      <c r="C15" s="111">
        <v>702662554.41999996</v>
      </c>
      <c r="D15" s="112">
        <v>684549084.78000009</v>
      </c>
      <c r="E15" s="113">
        <v>772166444.52999997</v>
      </c>
      <c r="F15" s="113">
        <v>727906139.15999997</v>
      </c>
      <c r="G15" s="113"/>
      <c r="H15" s="113"/>
      <c r="I15" s="113"/>
      <c r="J15" s="113"/>
      <c r="K15" s="113"/>
      <c r="L15" s="113"/>
      <c r="M15" s="113"/>
      <c r="N15" s="114"/>
    </row>
    <row r="16" spans="2:21" x14ac:dyDescent="0.35">
      <c r="B16" s="42" t="s">
        <v>39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0.12997174943234274</v>
      </c>
      <c r="F16" s="115">
        <f t="shared" si="3"/>
        <v>0.12888692973402047</v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 t="str">
        <f t="shared" si="3"/>
        <v/>
      </c>
    </row>
    <row r="17" spans="2:20" x14ac:dyDescent="0.35">
      <c r="B17" s="42" t="s">
        <v>40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0.13377979389610725</v>
      </c>
      <c r="F17" s="115">
        <f t="shared" si="4"/>
        <v>0.13300439359552912</v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5">
      <c r="B19" s="62" t="s">
        <v>38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5">
      <c r="B20" s="58" t="s">
        <v>41</v>
      </c>
      <c r="C20" s="116">
        <v>253932768</v>
      </c>
      <c r="D20" s="106">
        <v>250319400</v>
      </c>
      <c r="E20" s="106">
        <v>285241851</v>
      </c>
      <c r="F20" s="107">
        <v>276739052</v>
      </c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5">
      <c r="B21" s="59" t="s">
        <v>42</v>
      </c>
      <c r="C21" s="116">
        <v>424800123</v>
      </c>
      <c r="D21" s="106">
        <v>414006085</v>
      </c>
      <c r="E21" s="106">
        <v>464215336</v>
      </c>
      <c r="F21" s="107">
        <v>430086316</v>
      </c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4">
      <c r="B22" s="60" t="s">
        <v>35</v>
      </c>
      <c r="C22" s="118">
        <v>23929662</v>
      </c>
      <c r="D22" s="119">
        <v>20223598</v>
      </c>
      <c r="E22" s="119">
        <v>22709256</v>
      </c>
      <c r="F22" s="120">
        <v>21080769</v>
      </c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5">
      <c r="B23" s="121" t="s">
        <v>43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772166443</v>
      </c>
      <c r="F23" s="122">
        <f t="shared" si="6"/>
        <v>727906137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5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5">
      <c r="B25" s="61" t="s">
        <v>44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5">
      <c r="B26" s="47" t="s">
        <v>45</v>
      </c>
      <c r="C26" s="124">
        <f>IFERROR(C20/(C6+C10),"")</f>
        <v>0.13656968193609398</v>
      </c>
      <c r="D26" s="124">
        <f>IFERROR(D20/(D6+D10),"")</f>
        <v>0.13801084986676748</v>
      </c>
      <c r="E26" s="124">
        <f t="shared" ref="E26:M26" si="8">IFERROR(E20/(E6+E10),"")</f>
        <v>0.13686807709770105</v>
      </c>
      <c r="F26" s="124">
        <f t="shared" si="8"/>
        <v>0.13754975221036156</v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>IFERROR(N20/(N6+N10),"")</f>
        <v/>
      </c>
    </row>
    <row r="27" spans="2:20" x14ac:dyDescent="0.35">
      <c r="B27" s="47" t="s">
        <v>46</v>
      </c>
      <c r="C27" s="124">
        <f t="shared" ref="C27:M27" si="9">IFERROR(C21/(C7+C11),"")</f>
        <v>0.12395441332347248</v>
      </c>
      <c r="D27" s="124">
        <f t="shared" si="9"/>
        <v>0.12596435291446811</v>
      </c>
      <c r="E27" s="124">
        <f t="shared" si="9"/>
        <v>0.12260823505817393</v>
      </c>
      <c r="F27" s="124">
        <f t="shared" si="9"/>
        <v>0.12041692451986391</v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>IFERROR(N21/(N7+N11),"")</f>
        <v/>
      </c>
    </row>
    <row r="28" spans="2:20" ht="15" customHeight="1" thickBot="1" x14ac:dyDescent="0.4">
      <c r="B28" s="48" t="s">
        <v>47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0.32074708810802088</v>
      </c>
      <c r="F28" s="125">
        <f t="shared" si="10"/>
        <v>0.32902514508211844</v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5">
      <c r="B29" s="121" t="s">
        <v>43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0.12997174917481177</v>
      </c>
      <c r="F29" s="53">
        <f t="shared" si="11"/>
        <v>0.1288869293515594</v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 t="str">
        <f t="shared" si="11"/>
        <v/>
      </c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5">
      <c r="B31" s="61" t="s">
        <v>32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5">
      <c r="B32" s="47" t="s">
        <v>45</v>
      </c>
      <c r="C32" s="124">
        <f t="shared" ref="C32:N32" si="13">+IFERROR(C20/C6,"")</f>
        <v>0.14442102718356067</v>
      </c>
      <c r="D32" s="124">
        <f>+IFERROR(D20/D6,"")</f>
        <v>0.14480109670066885</v>
      </c>
      <c r="E32" s="124">
        <f t="shared" si="13"/>
        <v>0.14491626446937911</v>
      </c>
      <c r="F32" s="124">
        <f t="shared" si="13"/>
        <v>0.14597770720520972</v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5">
      <c r="B33" s="47" t="s">
        <v>46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0.12425279380357179</v>
      </c>
      <c r="F33" s="124">
        <f t="shared" si="14"/>
        <v>0.1222816302292664</v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4">
      <c r="B34" s="48" t="s">
        <v>47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0.33621454630353081</v>
      </c>
      <c r="F34" s="125">
        <f t="shared" si="15"/>
        <v>0.35218661947739044</v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5">
      <c r="B35" s="121" t="s">
        <v>43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0.13377979363103087</v>
      </c>
      <c r="F35" s="53">
        <f t="shared" si="16"/>
        <v>0.13300439320084984</v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5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45">
      <c r="B37" s="50" t="s">
        <v>48</v>
      </c>
    </row>
    <row r="38" spans="2:14" ht="9" customHeight="1" x14ac:dyDescent="0.35"/>
    <row r="39" spans="2:14" x14ac:dyDescent="0.35">
      <c r="B39" s="55" t="s">
        <v>49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5">
      <c r="B40" s="47" t="s">
        <v>12</v>
      </c>
      <c r="C40" s="127">
        <v>702662554.41999996</v>
      </c>
      <c r="D40" s="127">
        <v>684549084.78000009</v>
      </c>
      <c r="E40" s="127">
        <v>772166444.52999997</v>
      </c>
      <c r="F40" s="127">
        <v>727906139.15999997</v>
      </c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4">
      <c r="B41" s="48" t="s">
        <v>50</v>
      </c>
      <c r="C41" s="120">
        <v>4505438965.7599993</v>
      </c>
      <c r="D41" s="120">
        <v>4350795578.4899998</v>
      </c>
      <c r="E41" s="120">
        <v>4999754875.1400013</v>
      </c>
      <c r="F41" s="120">
        <v>4744891559.3400011</v>
      </c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5">
      <c r="B42" s="45" t="s">
        <v>44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5771921319.670001</v>
      </c>
      <c r="F42" s="122">
        <f t="shared" si="18"/>
        <v>5472797698.500001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5">
      <c r="B44" s="55" t="s">
        <v>51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5">
      <c r="B45" s="47" t="s">
        <v>12</v>
      </c>
      <c r="C45" s="127">
        <v>511739091.76999998</v>
      </c>
      <c r="D45" s="127">
        <v>487149145.82999992</v>
      </c>
      <c r="E45" s="127">
        <v>547122299.85000002</v>
      </c>
      <c r="F45" s="127">
        <v>502423910.92000002</v>
      </c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4">
      <c r="B46" s="48" t="s">
        <v>50</v>
      </c>
      <c r="C46" s="120">
        <v>3607816508.1300001</v>
      </c>
      <c r="D46" s="120">
        <v>3481266262.48</v>
      </c>
      <c r="E46" s="120">
        <v>4004316287.9299998</v>
      </c>
      <c r="F46" s="120">
        <v>3682586793.7000008</v>
      </c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5">
      <c r="B47" s="45" t="s">
        <v>44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4551438587.7799997</v>
      </c>
      <c r="F47" s="122">
        <f t="shared" si="20"/>
        <v>4185010704.6200008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5">
      <c r="B49" s="55" t="s">
        <v>52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5">
      <c r="B50" s="47" t="s">
        <v>12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225044144.67999995</v>
      </c>
      <c r="F50" s="127">
        <f t="shared" si="22"/>
        <v>225482228.23999995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4">
      <c r="B51" s="48" t="s">
        <v>50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995438587.21000147</v>
      </c>
      <c r="F51" s="120">
        <f t="shared" si="23"/>
        <v>1062304765.6400003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5">
      <c r="B52" s="45" t="s">
        <v>44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1220482731.8900013</v>
      </c>
      <c r="F52" s="122">
        <f t="shared" si="24"/>
        <v>1287786993.8800004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5">
      <c r="B54" s="43" t="s">
        <v>38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5">
      <c r="B55" s="58" t="s">
        <v>53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0.12020865256074195</v>
      </c>
      <c r="F55" s="124">
        <f t="shared" si="26"/>
        <v>0.12005319612811365</v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4">
      <c r="B56" s="63" t="s">
        <v>54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0.18438945410682184</v>
      </c>
      <c r="F56" s="125">
        <f t="shared" si="27"/>
        <v>0.17509279819688178</v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5"/>
  </sheetData>
  <pageMargins left="0.7" right="0.7" top="0.75" bottom="0.75" header="0.3" footer="0.3"/>
  <pageSetup paperSize="9" orientation="portrait" horizontalDpi="360" verticalDpi="360"/>
  <ignoredErrors>
    <ignoredError sqref="D5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36328125" style="32" customWidth="1"/>
    <col min="2" max="2" width="24.1796875" style="32" customWidth="1"/>
    <col min="3" max="15" width="16.81640625" style="32" customWidth="1"/>
    <col min="16" max="16" width="11.453125" style="32" customWidth="1"/>
    <col min="17" max="17" width="14.453125" style="32" bestFit="1" customWidth="1"/>
    <col min="18" max="40" width="11.453125" style="32" customWidth="1"/>
    <col min="41" max="16384" width="11.453125" style="32"/>
  </cols>
  <sheetData>
    <row r="2" spans="2:17" ht="21" customHeight="1" x14ac:dyDescent="0.45">
      <c r="B2" s="49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4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4">
      <c r="B4" s="35" t="s">
        <v>18</v>
      </c>
      <c r="C4" s="64" t="s">
        <v>19</v>
      </c>
      <c r="D4" s="64" t="s">
        <v>20</v>
      </c>
      <c r="E4" s="64" t="s">
        <v>21</v>
      </c>
      <c r="F4" s="64" t="s">
        <v>22</v>
      </c>
      <c r="G4" s="64" t="s">
        <v>23</v>
      </c>
      <c r="H4" s="64" t="s">
        <v>24</v>
      </c>
      <c r="I4" s="64" t="s">
        <v>25</v>
      </c>
      <c r="J4" s="64" t="s">
        <v>26</v>
      </c>
      <c r="K4" s="64" t="s">
        <v>27</v>
      </c>
      <c r="L4" s="64" t="s">
        <v>28</v>
      </c>
      <c r="M4" s="64" t="s">
        <v>29</v>
      </c>
      <c r="N4" s="73" t="s">
        <v>30</v>
      </c>
      <c r="O4" s="57" t="s">
        <v>31</v>
      </c>
    </row>
    <row r="5" spans="2:17" x14ac:dyDescent="0.35">
      <c r="B5" s="65" t="s">
        <v>32</v>
      </c>
      <c r="C5" s="128">
        <v>267983149.02000001</v>
      </c>
      <c r="D5" s="129">
        <v>254946875.94</v>
      </c>
      <c r="E5" s="129">
        <v>286410053.63999999</v>
      </c>
      <c r="F5" s="129">
        <v>286847806.63999999</v>
      </c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0.79144482799088423</v>
      </c>
      <c r="P5" s="131"/>
      <c r="Q5" s="155"/>
    </row>
    <row r="6" spans="2:17" ht="14.4" customHeight="1" thickBot="1" x14ac:dyDescent="0.4">
      <c r="B6" s="66" t="s">
        <v>36</v>
      </c>
      <c r="C6" s="132">
        <v>71691887.38000001</v>
      </c>
      <c r="D6" s="133">
        <v>61475266.700000003</v>
      </c>
      <c r="E6" s="133">
        <v>79572413.450000003</v>
      </c>
      <c r="F6" s="133">
        <v>76119042.539999992</v>
      </c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0.2085551720091158</v>
      </c>
      <c r="P6" s="131"/>
      <c r="Q6" s="155"/>
    </row>
    <row r="7" spans="2:17" ht="14.4" customHeight="1" thickBot="1" x14ac:dyDescent="0.4">
      <c r="B7" s="67" t="s">
        <v>56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365982467.08999997</v>
      </c>
      <c r="F7" s="102">
        <f t="shared" si="0"/>
        <v>362966849.17999995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</v>
      </c>
      <c r="Q7" s="155"/>
    </row>
    <row r="8" spans="2:17" ht="11.4" customHeight="1" thickBot="1" x14ac:dyDescent="0.4"/>
    <row r="9" spans="2:17" ht="14.4" customHeight="1" thickBot="1" x14ac:dyDescent="0.4">
      <c r="B9" s="68" t="s">
        <v>38</v>
      </c>
      <c r="C9" s="135">
        <v>192800577.00999999</v>
      </c>
      <c r="D9" s="112">
        <v>184616857.16999999</v>
      </c>
      <c r="E9" s="112">
        <v>206292184</v>
      </c>
      <c r="F9" s="112">
        <v>207211716.69</v>
      </c>
      <c r="G9" s="112"/>
      <c r="H9" s="112"/>
      <c r="I9" s="112"/>
      <c r="J9" s="112"/>
      <c r="K9" s="112"/>
      <c r="L9" s="112"/>
      <c r="M9" s="112"/>
      <c r="N9" s="136"/>
    </row>
    <row r="10" spans="2:17" x14ac:dyDescent="0.35">
      <c r="B10" s="69" t="s">
        <v>57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0.56366684896211161</v>
      </c>
      <c r="F10" s="70">
        <f t="shared" si="1"/>
        <v>0.57088331112916879</v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5">
      <c r="B11" s="71" t="s">
        <v>58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0.72026865460280498</v>
      </c>
      <c r="F11" s="72">
        <f t="shared" si="2"/>
        <v>0.72237511284182498</v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0C7C-FFC9-45E6-965D-4A36CDD8D795}">
  <sheetPr codeName="Hoja4"/>
  <dimension ref="B1:K33"/>
  <sheetViews>
    <sheetView zoomScale="70" zoomScaleNormal="70" workbookViewId="0">
      <selection activeCell="D9" sqref="D9"/>
    </sheetView>
  </sheetViews>
  <sheetFormatPr baseColWidth="10" defaultColWidth="13.6328125" defaultRowHeight="14.5" x14ac:dyDescent="0.35"/>
  <cols>
    <col min="1" max="1" width="6" style="200" customWidth="1"/>
    <col min="2" max="4" width="16.81640625" style="200" customWidth="1"/>
    <col min="5" max="5" width="2.1796875" style="200" customWidth="1"/>
    <col min="6" max="7" width="16.81640625" style="200" customWidth="1"/>
    <col min="8" max="8" width="2.1796875" style="200" customWidth="1"/>
    <col min="9" max="10" width="16.81640625" style="200" customWidth="1"/>
    <col min="11" max="11" width="3.81640625" style="200" customWidth="1"/>
    <col min="12" max="16384" width="13.6328125" style="200"/>
  </cols>
  <sheetData>
    <row r="1" spans="2:11" x14ac:dyDescent="0.35">
      <c r="B1" s="200" t="s">
        <v>451</v>
      </c>
    </row>
    <row r="2" spans="2:11" ht="26" x14ac:dyDescent="0.6">
      <c r="B2" s="198" t="s">
        <v>453</v>
      </c>
      <c r="C2" s="199"/>
      <c r="D2" s="199"/>
      <c r="E2" s="199"/>
      <c r="F2" s="199"/>
      <c r="G2" s="199"/>
      <c r="H2" s="199"/>
      <c r="I2" s="199"/>
      <c r="J2" s="199"/>
      <c r="K2" s="199"/>
    </row>
    <row r="3" spans="2:11" ht="15" thickBot="1" x14ac:dyDescent="0.4">
      <c r="B3" s="200" t="s">
        <v>438</v>
      </c>
    </row>
    <row r="4" spans="2:11" x14ac:dyDescent="0.35">
      <c r="B4" s="249" t="s">
        <v>439</v>
      </c>
      <c r="C4" s="251" t="s">
        <v>440</v>
      </c>
      <c r="D4" s="252"/>
      <c r="E4" s="201"/>
      <c r="F4" s="249" t="s">
        <v>441</v>
      </c>
      <c r="G4" s="252"/>
      <c r="I4" s="249" t="s">
        <v>442</v>
      </c>
      <c r="J4" s="252"/>
    </row>
    <row r="5" spans="2:11" ht="15" thickBot="1" x14ac:dyDescent="0.4">
      <c r="B5" s="250"/>
      <c r="C5" s="202" t="s">
        <v>443</v>
      </c>
      <c r="D5" s="203" t="s">
        <v>444</v>
      </c>
      <c r="E5" s="201"/>
      <c r="F5" s="204" t="s">
        <v>443</v>
      </c>
      <c r="G5" s="203" t="s">
        <v>444</v>
      </c>
      <c r="I5" s="204" t="s">
        <v>443</v>
      </c>
      <c r="J5" s="203" t="s">
        <v>444</v>
      </c>
    </row>
    <row r="6" spans="2:11" x14ac:dyDescent="0.35">
      <c r="B6" s="205" t="s">
        <v>59</v>
      </c>
      <c r="C6" s="206">
        <v>1336309</v>
      </c>
      <c r="D6" s="207">
        <v>158466723.06999999</v>
      </c>
      <c r="F6" s="208">
        <v>1643323</v>
      </c>
      <c r="G6" s="207">
        <v>112127174.66</v>
      </c>
      <c r="I6" s="208">
        <v>348559</v>
      </c>
      <c r="J6" s="207">
        <v>19873892.309999999</v>
      </c>
    </row>
    <row r="7" spans="2:11" x14ac:dyDescent="0.35">
      <c r="B7" s="209" t="s">
        <v>60</v>
      </c>
      <c r="C7" s="220">
        <v>1311107</v>
      </c>
      <c r="D7" s="222">
        <v>156986691.19</v>
      </c>
      <c r="E7" s="219"/>
      <c r="F7" s="221">
        <v>1540930</v>
      </c>
      <c r="G7" s="222">
        <v>105989101.66</v>
      </c>
      <c r="H7" s="219"/>
      <c r="I7" s="221">
        <v>293733</v>
      </c>
      <c r="J7" s="222">
        <v>17471233.620000001</v>
      </c>
    </row>
    <row r="8" spans="2:11" x14ac:dyDescent="0.35">
      <c r="B8" s="209" t="s">
        <v>61</v>
      </c>
      <c r="C8" s="210">
        <v>1527394</v>
      </c>
      <c r="D8" s="211">
        <v>177992452.09</v>
      </c>
      <c r="F8" s="212">
        <v>1693260</v>
      </c>
      <c r="G8" s="211">
        <v>118272021.02</v>
      </c>
      <c r="I8" s="212">
        <v>335591</v>
      </c>
      <c r="J8" s="211">
        <v>20192477.84</v>
      </c>
    </row>
    <row r="9" spans="2:11" x14ac:dyDescent="0.35">
      <c r="B9" s="209" t="s">
        <v>62</v>
      </c>
      <c r="C9" s="210">
        <v>1438865</v>
      </c>
      <c r="D9" s="211">
        <v>168986073.53</v>
      </c>
      <c r="F9" s="212">
        <v>1601773</v>
      </c>
      <c r="G9" s="211">
        <v>110600045.67</v>
      </c>
      <c r="I9" s="212">
        <v>302882</v>
      </c>
      <c r="J9" s="211">
        <v>18048217.030000001</v>
      </c>
    </row>
    <row r="10" spans="2:11" x14ac:dyDescent="0.35">
      <c r="B10" s="209" t="s">
        <v>63</v>
      </c>
      <c r="C10" s="210"/>
      <c r="D10" s="211"/>
      <c r="F10" s="212"/>
      <c r="G10" s="211"/>
      <c r="I10" s="212"/>
      <c r="J10" s="211"/>
    </row>
    <row r="11" spans="2:11" x14ac:dyDescent="0.35">
      <c r="B11" s="209" t="s">
        <v>64</v>
      </c>
      <c r="C11" s="210"/>
      <c r="D11" s="211"/>
      <c r="F11" s="212"/>
      <c r="G11" s="211"/>
      <c r="I11" s="212"/>
      <c r="J11" s="211"/>
    </row>
    <row r="12" spans="2:11" x14ac:dyDescent="0.35">
      <c r="B12" s="209" t="s">
        <v>65</v>
      </c>
      <c r="C12" s="210"/>
      <c r="D12" s="211"/>
      <c r="F12" s="212"/>
      <c r="G12" s="211"/>
      <c r="I12" s="212"/>
      <c r="J12" s="211"/>
    </row>
    <row r="13" spans="2:11" x14ac:dyDescent="0.35">
      <c r="B13" s="209" t="s">
        <v>66</v>
      </c>
      <c r="C13" s="210"/>
      <c r="D13" s="211"/>
      <c r="F13" s="212"/>
      <c r="G13" s="211"/>
      <c r="I13" s="212"/>
      <c r="J13" s="211"/>
    </row>
    <row r="14" spans="2:11" x14ac:dyDescent="0.35">
      <c r="B14" s="209" t="s">
        <v>67</v>
      </c>
      <c r="C14" s="210"/>
      <c r="D14" s="211"/>
      <c r="F14" s="212"/>
      <c r="G14" s="211"/>
      <c r="I14" s="212"/>
      <c r="J14" s="211"/>
    </row>
    <row r="15" spans="2:11" x14ac:dyDescent="0.35">
      <c r="B15" s="209" t="s">
        <v>68</v>
      </c>
      <c r="C15" s="210"/>
      <c r="D15" s="211"/>
      <c r="F15" s="212"/>
      <c r="G15" s="211"/>
      <c r="I15" s="212"/>
      <c r="J15" s="211"/>
    </row>
    <row r="16" spans="2:11" x14ac:dyDescent="0.35">
      <c r="B16" s="209" t="s">
        <v>69</v>
      </c>
      <c r="C16" s="210"/>
      <c r="D16" s="211"/>
      <c r="F16" s="212"/>
      <c r="G16" s="211"/>
      <c r="I16" s="212"/>
      <c r="J16" s="211"/>
    </row>
    <row r="17" spans="2:10" ht="15" thickBot="1" x14ac:dyDescent="0.4">
      <c r="B17" s="213" t="s">
        <v>70</v>
      </c>
      <c r="C17" s="214"/>
      <c r="D17" s="215"/>
      <c r="F17" s="216"/>
      <c r="G17" s="215"/>
      <c r="I17" s="216"/>
      <c r="J17" s="215"/>
    </row>
    <row r="19" spans="2:10" ht="15" thickBot="1" x14ac:dyDescent="0.4">
      <c r="B19" s="200" t="s">
        <v>445</v>
      </c>
    </row>
    <row r="20" spans="2:10" x14ac:dyDescent="0.35">
      <c r="B20" s="249" t="s">
        <v>439</v>
      </c>
      <c r="C20" s="251" t="s">
        <v>440</v>
      </c>
      <c r="D20" s="252"/>
      <c r="E20" s="201"/>
      <c r="F20" s="249" t="s">
        <v>441</v>
      </c>
      <c r="G20" s="252"/>
      <c r="I20" s="249" t="s">
        <v>442</v>
      </c>
      <c r="J20" s="252"/>
    </row>
    <row r="21" spans="2:10" ht="15" thickBot="1" x14ac:dyDescent="0.4">
      <c r="B21" s="250"/>
      <c r="C21" s="202" t="s">
        <v>443</v>
      </c>
      <c r="D21" s="203" t="s">
        <v>444</v>
      </c>
      <c r="E21" s="201"/>
      <c r="F21" s="204" t="s">
        <v>443</v>
      </c>
      <c r="G21" s="203" t="s">
        <v>444</v>
      </c>
      <c r="I21" s="204" t="s">
        <v>443</v>
      </c>
      <c r="J21" s="203" t="s">
        <v>444</v>
      </c>
    </row>
    <row r="22" spans="2:10" x14ac:dyDescent="0.35">
      <c r="B22" s="205" t="s">
        <v>59</v>
      </c>
      <c r="C22" s="206">
        <v>1683590</v>
      </c>
      <c r="D22" s="207">
        <v>243315953.77000001</v>
      </c>
      <c r="F22" s="208">
        <v>1841561</v>
      </c>
      <c r="G22" s="207">
        <v>135384511.24000001</v>
      </c>
      <c r="I22" s="208">
        <v>389433</v>
      </c>
      <c r="J22" s="207">
        <v>22753302.710000001</v>
      </c>
    </row>
    <row r="23" spans="2:10" x14ac:dyDescent="0.35">
      <c r="B23" s="209" t="s">
        <v>60</v>
      </c>
      <c r="C23" s="220">
        <v>1604311</v>
      </c>
      <c r="D23" s="222">
        <v>229407668.71000001</v>
      </c>
      <c r="E23" s="219"/>
      <c r="F23" s="221">
        <v>1701036</v>
      </c>
      <c r="G23" s="222">
        <v>125904042.7</v>
      </c>
      <c r="H23" s="219"/>
      <c r="I23" s="221">
        <v>335491</v>
      </c>
      <c r="J23" s="222">
        <v>21069163.98</v>
      </c>
    </row>
    <row r="24" spans="2:10" x14ac:dyDescent="0.35">
      <c r="B24" s="209" t="s">
        <v>61</v>
      </c>
      <c r="C24" s="210">
        <v>1896896</v>
      </c>
      <c r="D24" s="211">
        <v>268431566.52000001</v>
      </c>
      <c r="F24" s="212">
        <v>1908754</v>
      </c>
      <c r="G24" s="211">
        <v>143630739.24000001</v>
      </c>
      <c r="I24" s="212">
        <v>411946</v>
      </c>
      <c r="J24" s="211">
        <v>27023730.649999999</v>
      </c>
    </row>
    <row r="25" spans="2:10" x14ac:dyDescent="0.35">
      <c r="B25" s="209" t="s">
        <v>62</v>
      </c>
      <c r="C25" s="210">
        <v>1818328</v>
      </c>
      <c r="D25" s="211">
        <v>262416782.72</v>
      </c>
      <c r="F25" s="212">
        <v>1848587</v>
      </c>
      <c r="G25" s="211">
        <v>138634392.30000001</v>
      </c>
      <c r="I25" s="212">
        <v>394315</v>
      </c>
      <c r="J25" s="211">
        <v>24900384.489999998</v>
      </c>
    </row>
    <row r="26" spans="2:10" x14ac:dyDescent="0.35">
      <c r="B26" s="209" t="s">
        <v>63</v>
      </c>
      <c r="C26" s="210"/>
      <c r="D26" s="211"/>
      <c r="F26" s="212"/>
      <c r="G26" s="211"/>
      <c r="I26" s="212"/>
      <c r="J26" s="211"/>
    </row>
    <row r="27" spans="2:10" x14ac:dyDescent="0.35">
      <c r="B27" s="209" t="s">
        <v>64</v>
      </c>
      <c r="C27" s="210"/>
      <c r="D27" s="211"/>
      <c r="F27" s="212"/>
      <c r="G27" s="211"/>
      <c r="I27" s="212"/>
      <c r="J27" s="211"/>
    </row>
    <row r="28" spans="2:10" x14ac:dyDescent="0.35">
      <c r="B28" s="209" t="s">
        <v>65</v>
      </c>
      <c r="C28" s="210"/>
      <c r="D28" s="211"/>
      <c r="F28" s="212"/>
      <c r="G28" s="211"/>
      <c r="I28" s="212"/>
      <c r="J28" s="211"/>
    </row>
    <row r="29" spans="2:10" x14ac:dyDescent="0.35">
      <c r="B29" s="209" t="s">
        <v>66</v>
      </c>
      <c r="C29" s="210"/>
      <c r="D29" s="211"/>
      <c r="F29" s="212"/>
      <c r="G29" s="211"/>
      <c r="I29" s="212"/>
      <c r="J29" s="211"/>
    </row>
    <row r="30" spans="2:10" x14ac:dyDescent="0.35">
      <c r="B30" s="209" t="s">
        <v>67</v>
      </c>
      <c r="C30" s="210"/>
      <c r="D30" s="211"/>
      <c r="F30" s="212"/>
      <c r="G30" s="211"/>
      <c r="I30" s="212"/>
      <c r="J30" s="211"/>
    </row>
    <row r="31" spans="2:10" x14ac:dyDescent="0.35">
      <c r="B31" s="209" t="s">
        <v>68</v>
      </c>
      <c r="C31" s="210"/>
      <c r="D31" s="211"/>
      <c r="F31" s="212"/>
      <c r="G31" s="211"/>
      <c r="I31" s="212"/>
      <c r="J31" s="211"/>
    </row>
    <row r="32" spans="2:10" x14ac:dyDescent="0.35">
      <c r="B32" s="209" t="s">
        <v>69</v>
      </c>
      <c r="C32" s="210"/>
      <c r="D32" s="211"/>
      <c r="F32" s="212"/>
      <c r="G32" s="211"/>
      <c r="I32" s="212"/>
      <c r="J32" s="211"/>
    </row>
    <row r="33" spans="2:10" ht="15" thickBot="1" x14ac:dyDescent="0.4">
      <c r="B33" s="213" t="s">
        <v>70</v>
      </c>
      <c r="C33" s="214"/>
      <c r="D33" s="215"/>
      <c r="F33" s="216"/>
      <c r="G33" s="215"/>
      <c r="I33" s="216"/>
      <c r="J33" s="215"/>
    </row>
  </sheetData>
  <mergeCells count="8">
    <mergeCell ref="B4:B5"/>
    <mergeCell ref="C4:D4"/>
    <mergeCell ref="F4:G4"/>
    <mergeCell ref="I4:J4"/>
    <mergeCell ref="B20:B21"/>
    <mergeCell ref="C20:D20"/>
    <mergeCell ref="F20:G20"/>
    <mergeCell ref="I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AC0-C2E1-4E56-AC50-6E94C2278D5B}">
  <sheetPr codeName="Hoja5"/>
  <dimension ref="A1:L19"/>
  <sheetViews>
    <sheetView zoomScale="72" zoomScaleNormal="72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32" sqref="C32"/>
    </sheetView>
  </sheetViews>
  <sheetFormatPr baseColWidth="10" defaultRowHeight="15.5" x14ac:dyDescent="0.35"/>
  <cols>
    <col min="1" max="1" width="29.6328125" style="176" bestFit="1" customWidth="1"/>
    <col min="2" max="4" width="14.6328125" style="176" customWidth="1"/>
    <col min="5" max="5" width="18.36328125" style="176" bestFit="1" customWidth="1"/>
    <col min="6" max="11" width="14.6328125" style="176" customWidth="1"/>
    <col min="12" max="12" width="16.36328125" style="176" customWidth="1"/>
    <col min="13" max="256" width="11.54296875" style="176"/>
    <col min="257" max="257" width="29.6328125" style="176" bestFit="1" customWidth="1"/>
    <col min="258" max="264" width="15.6328125" style="176" customWidth="1"/>
    <col min="265" max="512" width="11.54296875" style="176"/>
    <col min="513" max="513" width="29.6328125" style="176" bestFit="1" customWidth="1"/>
    <col min="514" max="520" width="15.6328125" style="176" customWidth="1"/>
    <col min="521" max="768" width="11.54296875" style="176"/>
    <col min="769" max="769" width="29.6328125" style="176" bestFit="1" customWidth="1"/>
    <col min="770" max="776" width="15.6328125" style="176" customWidth="1"/>
    <col min="777" max="1024" width="11.54296875" style="176"/>
    <col min="1025" max="1025" width="29.6328125" style="176" bestFit="1" customWidth="1"/>
    <col min="1026" max="1032" width="15.6328125" style="176" customWidth="1"/>
    <col min="1033" max="1280" width="11.54296875" style="176"/>
    <col min="1281" max="1281" width="29.6328125" style="176" bestFit="1" customWidth="1"/>
    <col min="1282" max="1288" width="15.6328125" style="176" customWidth="1"/>
    <col min="1289" max="1536" width="11.54296875" style="176"/>
    <col min="1537" max="1537" width="29.6328125" style="176" bestFit="1" customWidth="1"/>
    <col min="1538" max="1544" width="15.6328125" style="176" customWidth="1"/>
    <col min="1545" max="1792" width="11.54296875" style="176"/>
    <col min="1793" max="1793" width="29.6328125" style="176" bestFit="1" customWidth="1"/>
    <col min="1794" max="1800" width="15.6328125" style="176" customWidth="1"/>
    <col min="1801" max="2048" width="11.54296875" style="176"/>
    <col min="2049" max="2049" width="29.6328125" style="176" bestFit="1" customWidth="1"/>
    <col min="2050" max="2056" width="15.6328125" style="176" customWidth="1"/>
    <col min="2057" max="2304" width="11.54296875" style="176"/>
    <col min="2305" max="2305" width="29.6328125" style="176" bestFit="1" customWidth="1"/>
    <col min="2306" max="2312" width="15.6328125" style="176" customWidth="1"/>
    <col min="2313" max="2560" width="11.54296875" style="176"/>
    <col min="2561" max="2561" width="29.6328125" style="176" bestFit="1" customWidth="1"/>
    <col min="2562" max="2568" width="15.6328125" style="176" customWidth="1"/>
    <col min="2569" max="2816" width="11.54296875" style="176"/>
    <col min="2817" max="2817" width="29.6328125" style="176" bestFit="1" customWidth="1"/>
    <col min="2818" max="2824" width="15.6328125" style="176" customWidth="1"/>
    <col min="2825" max="3072" width="11.54296875" style="176"/>
    <col min="3073" max="3073" width="29.6328125" style="176" bestFit="1" customWidth="1"/>
    <col min="3074" max="3080" width="15.6328125" style="176" customWidth="1"/>
    <col min="3081" max="3328" width="11.54296875" style="176"/>
    <col min="3329" max="3329" width="29.6328125" style="176" bestFit="1" customWidth="1"/>
    <col min="3330" max="3336" width="15.6328125" style="176" customWidth="1"/>
    <col min="3337" max="3584" width="11.54296875" style="176"/>
    <col min="3585" max="3585" width="29.6328125" style="176" bestFit="1" customWidth="1"/>
    <col min="3586" max="3592" width="15.6328125" style="176" customWidth="1"/>
    <col min="3593" max="3840" width="11.54296875" style="176"/>
    <col min="3841" max="3841" width="29.6328125" style="176" bestFit="1" customWidth="1"/>
    <col min="3842" max="3848" width="15.6328125" style="176" customWidth="1"/>
    <col min="3849" max="4096" width="11.54296875" style="176"/>
    <col min="4097" max="4097" width="29.6328125" style="176" bestFit="1" customWidth="1"/>
    <col min="4098" max="4104" width="15.6328125" style="176" customWidth="1"/>
    <col min="4105" max="4352" width="11.54296875" style="176"/>
    <col min="4353" max="4353" width="29.6328125" style="176" bestFit="1" customWidth="1"/>
    <col min="4354" max="4360" width="15.6328125" style="176" customWidth="1"/>
    <col min="4361" max="4608" width="11.54296875" style="176"/>
    <col min="4609" max="4609" width="29.6328125" style="176" bestFit="1" customWidth="1"/>
    <col min="4610" max="4616" width="15.6328125" style="176" customWidth="1"/>
    <col min="4617" max="4864" width="11.54296875" style="176"/>
    <col min="4865" max="4865" width="29.6328125" style="176" bestFit="1" customWidth="1"/>
    <col min="4866" max="4872" width="15.6328125" style="176" customWidth="1"/>
    <col min="4873" max="5120" width="11.54296875" style="176"/>
    <col min="5121" max="5121" width="29.6328125" style="176" bestFit="1" customWidth="1"/>
    <col min="5122" max="5128" width="15.6328125" style="176" customWidth="1"/>
    <col min="5129" max="5376" width="11.54296875" style="176"/>
    <col min="5377" max="5377" width="29.6328125" style="176" bestFit="1" customWidth="1"/>
    <col min="5378" max="5384" width="15.6328125" style="176" customWidth="1"/>
    <col min="5385" max="5632" width="11.54296875" style="176"/>
    <col min="5633" max="5633" width="29.6328125" style="176" bestFit="1" customWidth="1"/>
    <col min="5634" max="5640" width="15.6328125" style="176" customWidth="1"/>
    <col min="5641" max="5888" width="11.54296875" style="176"/>
    <col min="5889" max="5889" width="29.6328125" style="176" bestFit="1" customWidth="1"/>
    <col min="5890" max="5896" width="15.6328125" style="176" customWidth="1"/>
    <col min="5897" max="6144" width="11.54296875" style="176"/>
    <col min="6145" max="6145" width="29.6328125" style="176" bestFit="1" customWidth="1"/>
    <col min="6146" max="6152" width="15.6328125" style="176" customWidth="1"/>
    <col min="6153" max="6400" width="11.54296875" style="176"/>
    <col min="6401" max="6401" width="29.6328125" style="176" bestFit="1" customWidth="1"/>
    <col min="6402" max="6408" width="15.6328125" style="176" customWidth="1"/>
    <col min="6409" max="6656" width="11.54296875" style="176"/>
    <col min="6657" max="6657" width="29.6328125" style="176" bestFit="1" customWidth="1"/>
    <col min="6658" max="6664" width="15.6328125" style="176" customWidth="1"/>
    <col min="6665" max="6912" width="11.54296875" style="176"/>
    <col min="6913" max="6913" width="29.6328125" style="176" bestFit="1" customWidth="1"/>
    <col min="6914" max="6920" width="15.6328125" style="176" customWidth="1"/>
    <col min="6921" max="7168" width="11.54296875" style="176"/>
    <col min="7169" max="7169" width="29.6328125" style="176" bestFit="1" customWidth="1"/>
    <col min="7170" max="7176" width="15.6328125" style="176" customWidth="1"/>
    <col min="7177" max="7424" width="11.54296875" style="176"/>
    <col min="7425" max="7425" width="29.6328125" style="176" bestFit="1" customWidth="1"/>
    <col min="7426" max="7432" width="15.6328125" style="176" customWidth="1"/>
    <col min="7433" max="7680" width="11.54296875" style="176"/>
    <col min="7681" max="7681" width="29.6328125" style="176" bestFit="1" customWidth="1"/>
    <col min="7682" max="7688" width="15.6328125" style="176" customWidth="1"/>
    <col min="7689" max="7936" width="11.54296875" style="176"/>
    <col min="7937" max="7937" width="29.6328125" style="176" bestFit="1" customWidth="1"/>
    <col min="7938" max="7944" width="15.6328125" style="176" customWidth="1"/>
    <col min="7945" max="8192" width="11.54296875" style="176"/>
    <col min="8193" max="8193" width="29.6328125" style="176" bestFit="1" customWidth="1"/>
    <col min="8194" max="8200" width="15.6328125" style="176" customWidth="1"/>
    <col min="8201" max="8448" width="11.54296875" style="176"/>
    <col min="8449" max="8449" width="29.6328125" style="176" bestFit="1" customWidth="1"/>
    <col min="8450" max="8456" width="15.6328125" style="176" customWidth="1"/>
    <col min="8457" max="8704" width="11.54296875" style="176"/>
    <col min="8705" max="8705" width="29.6328125" style="176" bestFit="1" customWidth="1"/>
    <col min="8706" max="8712" width="15.6328125" style="176" customWidth="1"/>
    <col min="8713" max="8960" width="11.54296875" style="176"/>
    <col min="8961" max="8961" width="29.6328125" style="176" bestFit="1" customWidth="1"/>
    <col min="8962" max="8968" width="15.6328125" style="176" customWidth="1"/>
    <col min="8969" max="9216" width="11.54296875" style="176"/>
    <col min="9217" max="9217" width="29.6328125" style="176" bestFit="1" customWidth="1"/>
    <col min="9218" max="9224" width="15.6328125" style="176" customWidth="1"/>
    <col min="9225" max="9472" width="11.54296875" style="176"/>
    <col min="9473" max="9473" width="29.6328125" style="176" bestFit="1" customWidth="1"/>
    <col min="9474" max="9480" width="15.6328125" style="176" customWidth="1"/>
    <col min="9481" max="9728" width="11.54296875" style="176"/>
    <col min="9729" max="9729" width="29.6328125" style="176" bestFit="1" customWidth="1"/>
    <col min="9730" max="9736" width="15.6328125" style="176" customWidth="1"/>
    <col min="9737" max="9984" width="11.54296875" style="176"/>
    <col min="9985" max="9985" width="29.6328125" style="176" bestFit="1" customWidth="1"/>
    <col min="9986" max="9992" width="15.6328125" style="176" customWidth="1"/>
    <col min="9993" max="10240" width="11.54296875" style="176"/>
    <col min="10241" max="10241" width="29.6328125" style="176" bestFit="1" customWidth="1"/>
    <col min="10242" max="10248" width="15.6328125" style="176" customWidth="1"/>
    <col min="10249" max="10496" width="11.54296875" style="176"/>
    <col min="10497" max="10497" width="29.6328125" style="176" bestFit="1" customWidth="1"/>
    <col min="10498" max="10504" width="15.6328125" style="176" customWidth="1"/>
    <col min="10505" max="10752" width="11.54296875" style="176"/>
    <col min="10753" max="10753" width="29.6328125" style="176" bestFit="1" customWidth="1"/>
    <col min="10754" max="10760" width="15.6328125" style="176" customWidth="1"/>
    <col min="10761" max="11008" width="11.54296875" style="176"/>
    <col min="11009" max="11009" width="29.6328125" style="176" bestFit="1" customWidth="1"/>
    <col min="11010" max="11016" width="15.6328125" style="176" customWidth="1"/>
    <col min="11017" max="11264" width="11.54296875" style="176"/>
    <col min="11265" max="11265" width="29.6328125" style="176" bestFit="1" customWidth="1"/>
    <col min="11266" max="11272" width="15.6328125" style="176" customWidth="1"/>
    <col min="11273" max="11520" width="11.54296875" style="176"/>
    <col min="11521" max="11521" width="29.6328125" style="176" bestFit="1" customWidth="1"/>
    <col min="11522" max="11528" width="15.6328125" style="176" customWidth="1"/>
    <col min="11529" max="11776" width="11.54296875" style="176"/>
    <col min="11777" max="11777" width="29.6328125" style="176" bestFit="1" customWidth="1"/>
    <col min="11778" max="11784" width="15.6328125" style="176" customWidth="1"/>
    <col min="11785" max="12032" width="11.54296875" style="176"/>
    <col min="12033" max="12033" width="29.6328125" style="176" bestFit="1" customWidth="1"/>
    <col min="12034" max="12040" width="15.6328125" style="176" customWidth="1"/>
    <col min="12041" max="12288" width="11.54296875" style="176"/>
    <col min="12289" max="12289" width="29.6328125" style="176" bestFit="1" customWidth="1"/>
    <col min="12290" max="12296" width="15.6328125" style="176" customWidth="1"/>
    <col min="12297" max="12544" width="11.54296875" style="176"/>
    <col min="12545" max="12545" width="29.6328125" style="176" bestFit="1" customWidth="1"/>
    <col min="12546" max="12552" width="15.6328125" style="176" customWidth="1"/>
    <col min="12553" max="12800" width="11.54296875" style="176"/>
    <col min="12801" max="12801" width="29.6328125" style="176" bestFit="1" customWidth="1"/>
    <col min="12802" max="12808" width="15.6328125" style="176" customWidth="1"/>
    <col min="12809" max="13056" width="11.54296875" style="176"/>
    <col min="13057" max="13057" width="29.6328125" style="176" bestFit="1" customWidth="1"/>
    <col min="13058" max="13064" width="15.6328125" style="176" customWidth="1"/>
    <col min="13065" max="13312" width="11.54296875" style="176"/>
    <col min="13313" max="13313" width="29.6328125" style="176" bestFit="1" customWidth="1"/>
    <col min="13314" max="13320" width="15.6328125" style="176" customWidth="1"/>
    <col min="13321" max="13568" width="11.54296875" style="176"/>
    <col min="13569" max="13569" width="29.6328125" style="176" bestFit="1" customWidth="1"/>
    <col min="13570" max="13576" width="15.6328125" style="176" customWidth="1"/>
    <col min="13577" max="13824" width="11.54296875" style="176"/>
    <col min="13825" max="13825" width="29.6328125" style="176" bestFit="1" customWidth="1"/>
    <col min="13826" max="13832" width="15.6328125" style="176" customWidth="1"/>
    <col min="13833" max="14080" width="11.54296875" style="176"/>
    <col min="14081" max="14081" width="29.6328125" style="176" bestFit="1" customWidth="1"/>
    <col min="14082" max="14088" width="15.6328125" style="176" customWidth="1"/>
    <col min="14089" max="14336" width="11.54296875" style="176"/>
    <col min="14337" max="14337" width="29.6328125" style="176" bestFit="1" customWidth="1"/>
    <col min="14338" max="14344" width="15.6328125" style="176" customWidth="1"/>
    <col min="14345" max="14592" width="11.54296875" style="176"/>
    <col min="14593" max="14593" width="29.6328125" style="176" bestFit="1" customWidth="1"/>
    <col min="14594" max="14600" width="15.6328125" style="176" customWidth="1"/>
    <col min="14601" max="14848" width="11.54296875" style="176"/>
    <col min="14849" max="14849" width="29.6328125" style="176" bestFit="1" customWidth="1"/>
    <col min="14850" max="14856" width="15.6328125" style="176" customWidth="1"/>
    <col min="14857" max="15104" width="11.54296875" style="176"/>
    <col min="15105" max="15105" width="29.6328125" style="176" bestFit="1" customWidth="1"/>
    <col min="15106" max="15112" width="15.6328125" style="176" customWidth="1"/>
    <col min="15113" max="15360" width="11.54296875" style="176"/>
    <col min="15361" max="15361" width="29.6328125" style="176" bestFit="1" customWidth="1"/>
    <col min="15362" max="15368" width="15.6328125" style="176" customWidth="1"/>
    <col min="15369" max="15616" width="11.54296875" style="176"/>
    <col min="15617" max="15617" width="29.6328125" style="176" bestFit="1" customWidth="1"/>
    <col min="15618" max="15624" width="15.6328125" style="176" customWidth="1"/>
    <col min="15625" max="15872" width="11.54296875" style="176"/>
    <col min="15873" max="15873" width="29.6328125" style="176" bestFit="1" customWidth="1"/>
    <col min="15874" max="15880" width="15.6328125" style="176" customWidth="1"/>
    <col min="15881" max="16128" width="11.54296875" style="176"/>
    <col min="16129" max="16129" width="29.6328125" style="176" bestFit="1" customWidth="1"/>
    <col min="16130" max="16136" width="15.6328125" style="176" customWidth="1"/>
    <col min="16137" max="16384" width="11.54296875" style="176"/>
  </cols>
  <sheetData>
    <row r="1" spans="1:12" x14ac:dyDescent="0.35">
      <c r="A1" s="175" t="s">
        <v>422</v>
      </c>
    </row>
    <row r="2" spans="1:12" x14ac:dyDescent="0.35">
      <c r="A2" s="175" t="s">
        <v>423</v>
      </c>
      <c r="C2" s="177"/>
    </row>
    <row r="3" spans="1:12" x14ac:dyDescent="0.35">
      <c r="A3" s="178" t="s">
        <v>472</v>
      </c>
    </row>
    <row r="4" spans="1:12" x14ac:dyDescent="0.35">
      <c r="B4" s="179"/>
    </row>
    <row r="5" spans="1:12" x14ac:dyDescent="0.35">
      <c r="A5" s="180" t="s">
        <v>424</v>
      </c>
      <c r="H5" s="179"/>
    </row>
    <row r="6" spans="1:12" ht="16" thickBot="1" x14ac:dyDescent="0.4">
      <c r="B6" s="179"/>
    </row>
    <row r="7" spans="1:12" ht="16" thickBot="1" x14ac:dyDescent="0.4">
      <c r="A7" s="181" t="s">
        <v>425</v>
      </c>
      <c r="B7" s="182" t="s">
        <v>413</v>
      </c>
      <c r="C7" s="183" t="s">
        <v>426</v>
      </c>
      <c r="D7" s="183" t="s">
        <v>427</v>
      </c>
      <c r="E7" s="183" t="s">
        <v>428</v>
      </c>
      <c r="F7" s="183" t="s">
        <v>429</v>
      </c>
      <c r="G7" s="183" t="s">
        <v>430</v>
      </c>
      <c r="H7" s="183" t="s">
        <v>417</v>
      </c>
      <c r="I7" s="183" t="s">
        <v>431</v>
      </c>
      <c r="J7" s="183" t="s">
        <v>432</v>
      </c>
      <c r="K7" s="184" t="s">
        <v>433</v>
      </c>
      <c r="L7" s="185" t="s">
        <v>44</v>
      </c>
    </row>
    <row r="8" spans="1:12" ht="16" thickBot="1" x14ac:dyDescent="0.4">
      <c r="A8" s="186" t="s">
        <v>434</v>
      </c>
      <c r="B8" s="187"/>
      <c r="C8" s="188" t="e">
        <f>B8/L8</f>
        <v>#DIV/0!</v>
      </c>
      <c r="D8" s="189"/>
      <c r="E8" s="188" t="e">
        <f>D8/L8</f>
        <v>#DIV/0!</v>
      </c>
      <c r="F8" s="189"/>
      <c r="G8" s="188" t="e">
        <f>F8/L8</f>
        <v>#DIV/0!</v>
      </c>
      <c r="H8" s="189"/>
      <c r="I8" s="188" t="e">
        <f>H8/L8</f>
        <v>#DIV/0!</v>
      </c>
      <c r="J8" s="189"/>
      <c r="K8" s="191" t="e">
        <f>J8/L8</f>
        <v>#DIV/0!</v>
      </c>
      <c r="L8" s="192">
        <f>B8+D8+F8+H8+J8</f>
        <v>0</v>
      </c>
    </row>
    <row r="9" spans="1:12" ht="16" thickBot="1" x14ac:dyDescent="0.4"/>
    <row r="10" spans="1:12" ht="16" thickBot="1" x14ac:dyDescent="0.4">
      <c r="A10" s="193" t="s">
        <v>435</v>
      </c>
      <c r="B10" s="194"/>
      <c r="C10" s="195" t="e">
        <f>B10/L10</f>
        <v>#DIV/0!</v>
      </c>
      <c r="D10" s="190"/>
      <c r="E10" s="195" t="e">
        <f>D10/L10</f>
        <v>#DIV/0!</v>
      </c>
      <c r="F10" s="190"/>
      <c r="G10" s="195" t="e">
        <f>F10/L10</f>
        <v>#DIV/0!</v>
      </c>
      <c r="H10" s="190"/>
      <c r="I10" s="195" t="e">
        <f>H10/L10</f>
        <v>#DIV/0!</v>
      </c>
      <c r="J10" s="190"/>
      <c r="K10" s="196" t="e">
        <f>J10/L10</f>
        <v>#DIV/0!</v>
      </c>
      <c r="L10" s="197">
        <f>B10+D10+F10+H10+J10</f>
        <v>0</v>
      </c>
    </row>
    <row r="12" spans="1:12" ht="16" thickBot="1" x14ac:dyDescent="0.4">
      <c r="A12" s="180" t="s">
        <v>436</v>
      </c>
      <c r="E12" s="175"/>
      <c r="H12" s="179"/>
    </row>
    <row r="13" spans="1:12" ht="16" hidden="1" thickBot="1" x14ac:dyDescent="0.4">
      <c r="B13" s="179"/>
    </row>
    <row r="14" spans="1:12" ht="16" thickBot="1" x14ac:dyDescent="0.4">
      <c r="A14" s="181" t="s">
        <v>425</v>
      </c>
      <c r="B14" s="182" t="s">
        <v>413</v>
      </c>
      <c r="C14" s="183" t="s">
        <v>426</v>
      </c>
      <c r="D14" s="183" t="s">
        <v>427</v>
      </c>
      <c r="E14" s="183" t="s">
        <v>428</v>
      </c>
      <c r="F14" s="183" t="s">
        <v>429</v>
      </c>
      <c r="G14" s="183" t="s">
        <v>430</v>
      </c>
      <c r="H14" s="183" t="s">
        <v>417</v>
      </c>
      <c r="I14" s="183" t="s">
        <v>431</v>
      </c>
      <c r="J14" s="183" t="s">
        <v>432</v>
      </c>
      <c r="K14" s="184" t="s">
        <v>433</v>
      </c>
      <c r="L14" s="185" t="s">
        <v>44</v>
      </c>
    </row>
    <row r="15" spans="1:12" ht="16" thickBot="1" x14ac:dyDescent="0.4">
      <c r="A15" s="186" t="s">
        <v>434</v>
      </c>
      <c r="B15" s="187"/>
      <c r="C15" s="188" t="e">
        <f>B15/L15</f>
        <v>#DIV/0!</v>
      </c>
      <c r="D15" s="189"/>
      <c r="E15" s="188" t="e">
        <f>D15/L15</f>
        <v>#DIV/0!</v>
      </c>
      <c r="F15" s="189"/>
      <c r="G15" s="188" t="e">
        <f>F15/L15</f>
        <v>#DIV/0!</v>
      </c>
      <c r="H15" s="189"/>
      <c r="I15" s="195" t="e">
        <f>H15/L15</f>
        <v>#DIV/0!</v>
      </c>
      <c r="J15" s="189"/>
      <c r="K15" s="191" t="e">
        <f>J15/L15</f>
        <v>#DIV/0!</v>
      </c>
      <c r="L15" s="192">
        <f>B15+D15+F15+H15+J15</f>
        <v>0</v>
      </c>
    </row>
    <row r="16" spans="1:12" ht="16" thickBot="1" x14ac:dyDescent="0.4"/>
    <row r="17" spans="1:12" ht="16" thickBot="1" x14ac:dyDescent="0.4">
      <c r="A17" s="193" t="s">
        <v>435</v>
      </c>
      <c r="B17" s="194"/>
      <c r="C17" s="195" t="e">
        <f>B17/L17</f>
        <v>#DIV/0!</v>
      </c>
      <c r="D17" s="190"/>
      <c r="E17" s="195" t="e">
        <f>D17/L17</f>
        <v>#DIV/0!</v>
      </c>
      <c r="F17" s="190"/>
      <c r="G17" s="195" t="e">
        <f>F17/L17</f>
        <v>#DIV/0!</v>
      </c>
      <c r="H17" s="190"/>
      <c r="I17" s="195" t="e">
        <f>H17/L17</f>
        <v>#DIV/0!</v>
      </c>
      <c r="J17" s="190"/>
      <c r="K17" s="196" t="e">
        <f>J17/L17</f>
        <v>#DIV/0!</v>
      </c>
      <c r="L17" s="197">
        <f>B17+D17+F17+H17+J17</f>
        <v>0</v>
      </c>
    </row>
    <row r="19" spans="1:12" x14ac:dyDescent="0.35">
      <c r="A19" s="176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6D2B-9CE7-4B47-ADBA-24F6D8828105}">
  <sheetPr codeName="Hoja6"/>
  <dimension ref="A1:AD69"/>
  <sheetViews>
    <sheetView zoomScale="68" zoomScaleNormal="68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RowHeight="14.5" x14ac:dyDescent="0.35"/>
  <cols>
    <col min="1" max="1" width="19.453125" bestFit="1" customWidth="1"/>
    <col min="2" max="5" width="11.1796875" customWidth="1"/>
    <col min="6" max="13" width="11.1796875" hidden="1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1.54296875" hidden="1" customWidth="1"/>
  </cols>
  <sheetData>
    <row r="1" spans="1:30" x14ac:dyDescent="0.35">
      <c r="A1" s="156" t="s">
        <v>471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30" x14ac:dyDescent="0.35">
      <c r="G2" s="241"/>
      <c r="H2" s="241"/>
      <c r="I2" s="241"/>
      <c r="J2" s="241"/>
      <c r="L2" s="241"/>
      <c r="M2" s="163"/>
      <c r="N2" s="163"/>
    </row>
    <row r="3" spans="1:30" ht="15.65" customHeight="1" x14ac:dyDescent="0.35">
      <c r="A3" s="157" t="s">
        <v>412</v>
      </c>
      <c r="B3" s="163"/>
      <c r="N3" s="163"/>
    </row>
    <row r="4" spans="1:30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30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30" x14ac:dyDescent="0.35">
      <c r="A6" s="161" t="s">
        <v>414</v>
      </c>
      <c r="B6" s="162">
        <v>1841038</v>
      </c>
      <c r="C6" s="162">
        <v>1771633</v>
      </c>
      <c r="D6" s="162">
        <v>1987804</v>
      </c>
      <c r="E6" s="162">
        <v>1203033</v>
      </c>
      <c r="F6" s="162"/>
      <c r="G6" s="162"/>
      <c r="H6" s="162"/>
      <c r="I6" s="162"/>
      <c r="J6" s="162"/>
      <c r="K6" s="162"/>
      <c r="L6" s="162"/>
      <c r="M6" s="162"/>
      <c r="N6" s="163"/>
      <c r="O6" s="164">
        <f t="shared" ref="O6:Z9" si="0">B6/B18</f>
        <v>0.78406435923971607</v>
      </c>
      <c r="P6" s="164">
        <f t="shared" si="0"/>
        <v>0.79946652081954173</v>
      </c>
      <c r="Q6" s="164">
        <f t="shared" si="0"/>
        <v>0.801555202678781</v>
      </c>
      <c r="R6" s="164">
        <f t="shared" si="0"/>
        <v>0.82245788522686025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30" x14ac:dyDescent="0.35">
      <c r="A7" s="165" t="s">
        <v>415</v>
      </c>
      <c r="B7" s="166">
        <v>5273960</v>
      </c>
      <c r="C7" s="166">
        <v>4955210</v>
      </c>
      <c r="D7" s="166">
        <v>5399428</v>
      </c>
      <c r="E7" s="166">
        <v>3313892</v>
      </c>
      <c r="F7" s="166"/>
      <c r="G7" s="166"/>
      <c r="H7" s="166"/>
      <c r="I7" s="166"/>
      <c r="J7" s="166"/>
      <c r="K7" s="166"/>
      <c r="L7" s="166"/>
      <c r="M7" s="166"/>
      <c r="N7" s="163"/>
      <c r="O7" s="164">
        <f t="shared" si="0"/>
        <v>0.77633928374282568</v>
      </c>
      <c r="P7" s="164">
        <f t="shared" si="0"/>
        <v>0.75770505986380843</v>
      </c>
      <c r="Q7" s="164">
        <f t="shared" si="0"/>
        <v>0.75559348850109775</v>
      </c>
      <c r="R7" s="164">
        <f t="shared" si="0"/>
        <v>0.78853526585497713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30" x14ac:dyDescent="0.35">
      <c r="A8" s="167" t="s">
        <v>416</v>
      </c>
      <c r="B8" s="168">
        <v>351358</v>
      </c>
      <c r="C8" s="168">
        <v>292253</v>
      </c>
      <c r="D8" s="168">
        <v>322117</v>
      </c>
      <c r="E8" s="168">
        <v>192801</v>
      </c>
      <c r="F8" s="168"/>
      <c r="G8" s="168"/>
      <c r="H8" s="168"/>
      <c r="I8" s="168"/>
      <c r="J8" s="168"/>
      <c r="K8" s="168"/>
      <c r="L8" s="168"/>
      <c r="M8" s="168"/>
      <c r="N8" s="163"/>
      <c r="O8" s="164">
        <f t="shared" si="0"/>
        <v>0.96920195408291332</v>
      </c>
      <c r="P8" s="164">
        <f t="shared" si="0"/>
        <v>0.96050547211358328</v>
      </c>
      <c r="Q8" s="164">
        <f t="shared" si="0"/>
        <v>0.94559518567444589</v>
      </c>
      <c r="R8" s="164">
        <f t="shared" si="0"/>
        <v>0.9458772622686219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30" x14ac:dyDescent="0.35">
      <c r="B9" s="169">
        <f t="shared" ref="B9:D9" si="1">SUM(B6:B8)</f>
        <v>7466356</v>
      </c>
      <c r="C9" s="169">
        <f t="shared" si="1"/>
        <v>7019096</v>
      </c>
      <c r="D9" s="169">
        <f t="shared" si="1"/>
        <v>7709349</v>
      </c>
      <c r="E9" s="169">
        <f t="shared" ref="E9:M9" si="2">SUM(E6:E8)</f>
        <v>4709726</v>
      </c>
      <c r="F9" s="169">
        <f t="shared" si="2"/>
        <v>0</v>
      </c>
      <c r="G9" s="169">
        <f t="shared" si="2"/>
        <v>0</v>
      </c>
      <c r="H9" s="169">
        <f t="shared" si="2"/>
        <v>0</v>
      </c>
      <c r="I9" s="169">
        <f t="shared" si="2"/>
        <v>0</v>
      </c>
      <c r="J9" s="169">
        <f t="shared" si="2"/>
        <v>0</v>
      </c>
      <c r="K9" s="169">
        <f t="shared" si="2"/>
        <v>0</v>
      </c>
      <c r="L9" s="169">
        <f t="shared" si="2"/>
        <v>0</v>
      </c>
      <c r="M9" s="169">
        <f t="shared" si="2"/>
        <v>0</v>
      </c>
      <c r="N9" s="163"/>
      <c r="O9" s="164">
        <f t="shared" si="0"/>
        <v>0.78560448941141714</v>
      </c>
      <c r="P9" s="164">
        <f t="shared" si="0"/>
        <v>0.77473038228265845</v>
      </c>
      <c r="Q9" s="164">
        <f t="shared" si="0"/>
        <v>0.77352411727776382</v>
      </c>
      <c r="R9" s="164">
        <f t="shared" si="0"/>
        <v>0.80245398229455212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0" spans="1:30" x14ac:dyDescent="0.35"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</row>
    <row r="11" spans="1:30" x14ac:dyDescent="0.35">
      <c r="A11" s="159" t="s">
        <v>417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</row>
    <row r="12" spans="1:30" x14ac:dyDescent="0.35">
      <c r="A12" s="161" t="s">
        <v>414</v>
      </c>
      <c r="B12" s="162">
        <v>507032</v>
      </c>
      <c r="C12" s="162">
        <v>444386</v>
      </c>
      <c r="D12" s="162">
        <v>492130</v>
      </c>
      <c r="E12" s="162">
        <v>259696</v>
      </c>
      <c r="F12" s="162"/>
      <c r="G12" s="162"/>
      <c r="H12" s="162"/>
      <c r="I12" s="162"/>
      <c r="J12" s="162"/>
      <c r="K12" s="162"/>
      <c r="L12" s="162"/>
      <c r="M12" s="162"/>
      <c r="N12" s="163"/>
      <c r="O12" s="164">
        <f t="shared" ref="O12:Z15" si="3">B12/B18</f>
        <v>0.21593564076028399</v>
      </c>
      <c r="P12" s="164">
        <f t="shared" si="3"/>
        <v>0.2005334791804583</v>
      </c>
      <c r="Q12" s="164">
        <f t="shared" si="3"/>
        <v>0.19844479732121903</v>
      </c>
      <c r="R12" s="164">
        <f t="shared" si="3"/>
        <v>0.1775421147731398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30" x14ac:dyDescent="0.35">
      <c r="A13" s="165" t="s">
        <v>415</v>
      </c>
      <c r="B13" s="166">
        <v>1519410</v>
      </c>
      <c r="C13" s="166">
        <v>1584551</v>
      </c>
      <c r="D13" s="166">
        <v>1746515</v>
      </c>
      <c r="E13" s="166">
        <v>888700</v>
      </c>
      <c r="F13" s="166"/>
      <c r="G13" s="166"/>
      <c r="H13" s="166"/>
      <c r="I13" s="166"/>
      <c r="J13" s="166"/>
      <c r="K13" s="166"/>
      <c r="L13" s="166"/>
      <c r="M13" s="166"/>
      <c r="N13" s="163"/>
      <c r="O13" s="164">
        <f t="shared" si="3"/>
        <v>0.22366071625717426</v>
      </c>
      <c r="P13" s="164">
        <f t="shared" si="3"/>
        <v>0.24229494013619152</v>
      </c>
      <c r="Q13" s="164">
        <f t="shared" si="3"/>
        <v>0.24440651149890225</v>
      </c>
      <c r="R13" s="164">
        <f t="shared" si="3"/>
        <v>0.21146473414502287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D13" s="163"/>
    </row>
    <row r="14" spans="1:30" x14ac:dyDescent="0.35">
      <c r="A14" s="167" t="s">
        <v>416</v>
      </c>
      <c r="B14" s="168">
        <v>11165</v>
      </c>
      <c r="C14" s="168">
        <v>12017</v>
      </c>
      <c r="D14" s="168">
        <v>18533</v>
      </c>
      <c r="E14" s="168">
        <v>11032</v>
      </c>
      <c r="F14" s="168"/>
      <c r="G14" s="168"/>
      <c r="H14" s="168"/>
      <c r="I14" s="168"/>
      <c r="J14" s="168"/>
      <c r="K14" s="168"/>
      <c r="L14" s="168"/>
      <c r="M14" s="168"/>
      <c r="N14" s="163"/>
      <c r="O14" s="164">
        <f t="shared" si="3"/>
        <v>3.0798045917086639E-2</v>
      </c>
      <c r="P14" s="164">
        <f t="shared" si="3"/>
        <v>3.9494527886416671E-2</v>
      </c>
      <c r="Q14" s="164">
        <f t="shared" si="3"/>
        <v>5.4404814325554086E-2</v>
      </c>
      <c r="R14" s="164">
        <f t="shared" si="3"/>
        <v>5.4122737731378136E-2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30" x14ac:dyDescent="0.35">
      <c r="B15" s="169">
        <f t="shared" ref="B15:D15" si="4">SUM(B12:B14)</f>
        <v>2037607</v>
      </c>
      <c r="C15" s="169">
        <f t="shared" si="4"/>
        <v>2040954</v>
      </c>
      <c r="D15" s="169">
        <f t="shared" si="4"/>
        <v>2257178</v>
      </c>
      <c r="E15" s="169">
        <f t="shared" ref="E15:M15" si="5">SUM(E12:E14)</f>
        <v>1159428</v>
      </c>
      <c r="F15" s="169">
        <f t="shared" si="5"/>
        <v>0</v>
      </c>
      <c r="G15" s="169">
        <f t="shared" si="5"/>
        <v>0</v>
      </c>
      <c r="H15" s="169">
        <f t="shared" si="5"/>
        <v>0</v>
      </c>
      <c r="I15" s="169">
        <f t="shared" si="5"/>
        <v>0</v>
      </c>
      <c r="J15" s="169">
        <f t="shared" si="5"/>
        <v>0</v>
      </c>
      <c r="K15" s="169">
        <f t="shared" si="5"/>
        <v>0</v>
      </c>
      <c r="L15" s="169">
        <f t="shared" si="5"/>
        <v>0</v>
      </c>
      <c r="M15" s="169">
        <f t="shared" si="5"/>
        <v>0</v>
      </c>
      <c r="N15" s="163"/>
      <c r="O15" s="164">
        <f t="shared" si="3"/>
        <v>0.21439551058858289</v>
      </c>
      <c r="P15" s="164">
        <f t="shared" si="3"/>
        <v>0.22526961771734152</v>
      </c>
      <c r="Q15" s="164">
        <f t="shared" si="3"/>
        <v>0.22647588272223615</v>
      </c>
      <c r="R15" s="164">
        <f t="shared" si="3"/>
        <v>0.19754601770544783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6" spans="1:30" x14ac:dyDescent="0.35"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</row>
    <row r="17" spans="1:26" x14ac:dyDescent="0.35">
      <c r="A17" s="159" t="s">
        <v>418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</row>
    <row r="18" spans="1:26" x14ac:dyDescent="0.35">
      <c r="A18" s="161" t="s">
        <v>414</v>
      </c>
      <c r="B18" s="162">
        <f>B6+B12</f>
        <v>2348070</v>
      </c>
      <c r="C18" s="162">
        <f t="shared" ref="C18:M21" si="6">C6+C12</f>
        <v>2216019</v>
      </c>
      <c r="D18" s="162">
        <f t="shared" si="6"/>
        <v>2479934</v>
      </c>
      <c r="E18" s="162">
        <f t="shared" si="6"/>
        <v>1462729</v>
      </c>
      <c r="F18" s="162">
        <f t="shared" si="6"/>
        <v>0</v>
      </c>
      <c r="G18" s="162">
        <f t="shared" si="6"/>
        <v>0</v>
      </c>
      <c r="H18" s="162">
        <f t="shared" si="6"/>
        <v>0</v>
      </c>
      <c r="I18" s="162">
        <f t="shared" si="6"/>
        <v>0</v>
      </c>
      <c r="J18" s="162">
        <f t="shared" si="6"/>
        <v>0</v>
      </c>
      <c r="K18" s="162">
        <f t="shared" si="6"/>
        <v>0</v>
      </c>
      <c r="L18" s="162">
        <f t="shared" si="6"/>
        <v>0</v>
      </c>
      <c r="M18" s="162">
        <f t="shared" si="6"/>
        <v>0</v>
      </c>
      <c r="N18" s="163"/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1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66">
        <f t="shared" ref="B19:B21" si="8">B7+B13</f>
        <v>6793370</v>
      </c>
      <c r="C19" s="166">
        <f t="shared" si="6"/>
        <v>6539761</v>
      </c>
      <c r="D19" s="166">
        <f t="shared" si="6"/>
        <v>7145943</v>
      </c>
      <c r="E19" s="166">
        <f t="shared" si="6"/>
        <v>4202592</v>
      </c>
      <c r="F19" s="166">
        <f t="shared" si="6"/>
        <v>0</v>
      </c>
      <c r="G19" s="166">
        <f t="shared" si="6"/>
        <v>0</v>
      </c>
      <c r="H19" s="166">
        <f t="shared" si="6"/>
        <v>0</v>
      </c>
      <c r="I19" s="166">
        <f t="shared" si="6"/>
        <v>0</v>
      </c>
      <c r="J19" s="166">
        <f t="shared" si="6"/>
        <v>0</v>
      </c>
      <c r="K19" s="166">
        <f t="shared" si="6"/>
        <v>0</v>
      </c>
      <c r="L19" s="166">
        <f t="shared" si="6"/>
        <v>0</v>
      </c>
      <c r="M19" s="166">
        <f t="shared" si="6"/>
        <v>0</v>
      </c>
      <c r="N19" s="163"/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68">
        <f t="shared" si="8"/>
        <v>362523</v>
      </c>
      <c r="C20" s="168">
        <f t="shared" si="6"/>
        <v>304270</v>
      </c>
      <c r="D20" s="168">
        <f t="shared" si="6"/>
        <v>340650</v>
      </c>
      <c r="E20" s="168">
        <f t="shared" si="6"/>
        <v>203833</v>
      </c>
      <c r="F20" s="168">
        <f t="shared" si="6"/>
        <v>0</v>
      </c>
      <c r="G20" s="168">
        <f t="shared" si="6"/>
        <v>0</v>
      </c>
      <c r="H20" s="168">
        <f t="shared" si="6"/>
        <v>0</v>
      </c>
      <c r="I20" s="168">
        <f t="shared" si="6"/>
        <v>0</v>
      </c>
      <c r="J20" s="168">
        <f t="shared" si="6"/>
        <v>0</v>
      </c>
      <c r="K20" s="168">
        <f t="shared" si="6"/>
        <v>0</v>
      </c>
      <c r="L20" s="168">
        <f t="shared" si="6"/>
        <v>0</v>
      </c>
      <c r="M20" s="168">
        <f t="shared" si="6"/>
        <v>0</v>
      </c>
      <c r="N20" s="163"/>
      <c r="O20" s="170">
        <f t="shared" si="7"/>
        <v>1</v>
      </c>
      <c r="P20" s="170">
        <f t="shared" si="7"/>
        <v>1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69">
        <f t="shared" si="8"/>
        <v>9503963</v>
      </c>
      <c r="C21" s="169">
        <f t="shared" si="6"/>
        <v>9060050</v>
      </c>
      <c r="D21" s="169">
        <f t="shared" si="6"/>
        <v>9966527</v>
      </c>
      <c r="E21" s="169">
        <f t="shared" si="6"/>
        <v>5869154</v>
      </c>
      <c r="F21" s="169">
        <f t="shared" si="6"/>
        <v>0</v>
      </c>
      <c r="G21" s="169">
        <f t="shared" si="6"/>
        <v>0</v>
      </c>
      <c r="H21" s="169">
        <f t="shared" si="6"/>
        <v>0</v>
      </c>
      <c r="I21" s="169">
        <f t="shared" si="6"/>
        <v>0</v>
      </c>
      <c r="J21" s="169">
        <f t="shared" si="6"/>
        <v>0</v>
      </c>
      <c r="K21" s="169">
        <f t="shared" si="6"/>
        <v>0</v>
      </c>
      <c r="L21" s="169">
        <f t="shared" si="6"/>
        <v>0</v>
      </c>
      <c r="M21" s="169">
        <f t="shared" si="6"/>
        <v>0</v>
      </c>
      <c r="N21" s="163"/>
      <c r="O21" s="170">
        <f t="shared" si="7"/>
        <v>1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3"/>
      <c r="H23" s="163"/>
      <c r="I23" s="241"/>
      <c r="J23" s="241"/>
      <c r="L23" s="241"/>
    </row>
    <row r="24" spans="1:26" ht="15.65" customHeight="1" x14ac:dyDescent="0.35">
      <c r="A24" s="157" t="s">
        <v>419</v>
      </c>
      <c r="G24" s="241"/>
      <c r="H24" s="241"/>
      <c r="I24" s="241"/>
      <c r="J24" s="241"/>
      <c r="K24" s="241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62">
        <v>12807655</v>
      </c>
      <c r="C27" s="162">
        <v>12384546</v>
      </c>
      <c r="D27" s="162">
        <v>14054158</v>
      </c>
      <c r="E27" s="162">
        <v>8561869</v>
      </c>
      <c r="F27" s="162"/>
      <c r="G27" s="162"/>
      <c r="H27" s="162"/>
      <c r="I27" s="162"/>
      <c r="J27" s="162"/>
      <c r="K27" s="162"/>
      <c r="L27" s="162"/>
      <c r="M27" s="162"/>
      <c r="N27" s="163"/>
      <c r="O27" s="164">
        <f t="shared" ref="O27:Z30" si="9">B27/B39</f>
        <v>0.80952221733147289</v>
      </c>
      <c r="P27" s="164">
        <f t="shared" si="9"/>
        <v>0.82669120286210518</v>
      </c>
      <c r="Q27" s="164">
        <f t="shared" si="9"/>
        <v>0.83168547564104423</v>
      </c>
      <c r="R27" s="164">
        <f t="shared" si="9"/>
        <v>0.84473507994175367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66">
        <v>46471141</v>
      </c>
      <c r="C28" s="166">
        <v>44042821</v>
      </c>
      <c r="D28" s="166">
        <v>48778563</v>
      </c>
      <c r="E28" s="166">
        <v>29764908</v>
      </c>
      <c r="F28" s="166"/>
      <c r="G28" s="166"/>
      <c r="H28" s="166"/>
      <c r="I28" s="166"/>
      <c r="J28" s="166"/>
      <c r="K28" s="166"/>
      <c r="L28" s="166"/>
      <c r="M28" s="166"/>
      <c r="N28" s="163"/>
      <c r="O28" s="164">
        <f t="shared" si="9"/>
        <v>0.7707738649953475</v>
      </c>
      <c r="P28" s="164">
        <f t="shared" si="9"/>
        <v>0.76185199893596645</v>
      </c>
      <c r="Q28" s="164">
        <f t="shared" si="9"/>
        <v>0.75686379546163463</v>
      </c>
      <c r="R28" s="164">
        <f t="shared" si="9"/>
        <v>0.76747607602206003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68">
        <v>1282601</v>
      </c>
      <c r="C29" s="168">
        <v>1103389</v>
      </c>
      <c r="D29" s="168">
        <v>1227116</v>
      </c>
      <c r="E29" s="168">
        <v>732720</v>
      </c>
      <c r="F29" s="168"/>
      <c r="G29" s="168"/>
      <c r="H29" s="168"/>
      <c r="I29" s="168"/>
      <c r="J29" s="168"/>
      <c r="K29" s="168"/>
      <c r="L29" s="168"/>
      <c r="M29" s="168"/>
      <c r="N29" s="163"/>
      <c r="O29" s="164">
        <f t="shared" si="9"/>
        <v>0.94815392519599184</v>
      </c>
      <c r="P29" s="164">
        <f t="shared" si="9"/>
        <v>0.946494316173771</v>
      </c>
      <c r="Q29" s="164">
        <f t="shared" si="9"/>
        <v>0.93788817027443061</v>
      </c>
      <c r="R29" s="164">
        <f t="shared" si="9"/>
        <v>0.94328109189498155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69">
        <f t="shared" ref="B30:D30" si="10">SUM(B27:B29)</f>
        <v>60561397</v>
      </c>
      <c r="C30" s="169">
        <f t="shared" si="10"/>
        <v>57530756</v>
      </c>
      <c r="D30" s="169">
        <f t="shared" si="10"/>
        <v>64059837</v>
      </c>
      <c r="E30" s="169">
        <f t="shared" ref="E30:M30" si="11">SUM(E27:E29)</f>
        <v>39059497</v>
      </c>
      <c r="F30" s="169">
        <f t="shared" si="11"/>
        <v>0</v>
      </c>
      <c r="G30" s="169">
        <f t="shared" si="11"/>
        <v>0</v>
      </c>
      <c r="H30" s="169">
        <f t="shared" si="11"/>
        <v>0</v>
      </c>
      <c r="I30" s="169">
        <f t="shared" si="11"/>
        <v>0</v>
      </c>
      <c r="J30" s="169">
        <f t="shared" si="11"/>
        <v>0</v>
      </c>
      <c r="K30" s="169">
        <f t="shared" si="11"/>
        <v>0</v>
      </c>
      <c r="L30" s="169">
        <f t="shared" si="11"/>
        <v>0</v>
      </c>
      <c r="M30" s="169">
        <f t="shared" si="11"/>
        <v>0</v>
      </c>
      <c r="N30" s="163"/>
      <c r="O30" s="164">
        <f t="shared" si="9"/>
        <v>0.7817851590341014</v>
      </c>
      <c r="P30" s="164">
        <f t="shared" si="9"/>
        <v>0.77789644610380881</v>
      </c>
      <c r="Q30" s="164">
        <f t="shared" si="9"/>
        <v>0.77502621799624172</v>
      </c>
      <c r="R30" s="164">
        <f t="shared" si="9"/>
        <v>0.78598139260672562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1" spans="1:26" x14ac:dyDescent="0.35"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</row>
    <row r="32" spans="1:26" x14ac:dyDescent="0.35">
      <c r="A32" s="159" t="s">
        <v>417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</row>
    <row r="33" spans="1:30" x14ac:dyDescent="0.35">
      <c r="A33" s="161" t="s">
        <v>414</v>
      </c>
      <c r="B33" s="162">
        <v>3013597</v>
      </c>
      <c r="C33" s="162">
        <v>2596315</v>
      </c>
      <c r="D33" s="162">
        <v>2844247</v>
      </c>
      <c r="E33" s="162">
        <v>1573698</v>
      </c>
      <c r="F33" s="162"/>
      <c r="G33" s="162"/>
      <c r="H33" s="162"/>
      <c r="I33" s="162"/>
      <c r="J33" s="162"/>
      <c r="K33" s="162"/>
      <c r="L33" s="162"/>
      <c r="M33" s="162"/>
      <c r="N33" s="163"/>
      <c r="O33" s="164">
        <f t="shared" ref="O33:Z36" si="12">B33/B39</f>
        <v>0.19047778266852711</v>
      </c>
      <c r="P33" s="164">
        <f t="shared" si="12"/>
        <v>0.17330879713789482</v>
      </c>
      <c r="Q33" s="164">
        <f t="shared" si="12"/>
        <v>0.16831452435895577</v>
      </c>
      <c r="R33" s="164">
        <f t="shared" si="12"/>
        <v>0.15526492005824638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30" x14ac:dyDescent="0.35">
      <c r="A34" s="165" t="s">
        <v>415</v>
      </c>
      <c r="B34" s="166">
        <v>13820396</v>
      </c>
      <c r="C34" s="166">
        <v>13767385</v>
      </c>
      <c r="D34" s="166">
        <v>15669708</v>
      </c>
      <c r="E34" s="166">
        <v>9017940</v>
      </c>
      <c r="F34" s="166"/>
      <c r="G34" s="166"/>
      <c r="H34" s="166"/>
      <c r="I34" s="166"/>
      <c r="J34" s="166"/>
      <c r="K34" s="166"/>
      <c r="L34" s="166"/>
      <c r="M34" s="166"/>
      <c r="N34" s="163"/>
      <c r="O34" s="164">
        <f t="shared" si="12"/>
        <v>0.22922613500465247</v>
      </c>
      <c r="P34" s="164">
        <f t="shared" si="12"/>
        <v>0.23814800106403358</v>
      </c>
      <c r="Q34" s="164">
        <f t="shared" si="12"/>
        <v>0.24313620453836535</v>
      </c>
      <c r="R34" s="164">
        <f t="shared" si="12"/>
        <v>0.23252392397793994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D34" s="163"/>
    </row>
    <row r="35" spans="1:30" x14ac:dyDescent="0.35">
      <c r="A35" s="167" t="s">
        <v>416</v>
      </c>
      <c r="B35" s="168">
        <v>70134</v>
      </c>
      <c r="C35" s="168">
        <v>62375</v>
      </c>
      <c r="D35" s="168">
        <v>81266</v>
      </c>
      <c r="E35" s="168">
        <v>44058</v>
      </c>
      <c r="F35" s="168"/>
      <c r="G35" s="168"/>
      <c r="H35" s="168"/>
      <c r="I35" s="168"/>
      <c r="J35" s="168"/>
      <c r="K35" s="168"/>
      <c r="L35" s="168"/>
      <c r="M35" s="168"/>
      <c r="N35" s="163"/>
      <c r="O35" s="164">
        <f t="shared" si="12"/>
        <v>5.1846074804008178E-2</v>
      </c>
      <c r="P35" s="164">
        <f t="shared" si="12"/>
        <v>5.3505683826228979E-2</v>
      </c>
      <c r="Q35" s="164">
        <f t="shared" si="12"/>
        <v>6.2111829725569445E-2</v>
      </c>
      <c r="R35" s="164">
        <f t="shared" si="12"/>
        <v>5.6718908105018423E-2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30" x14ac:dyDescent="0.35">
      <c r="B36" s="169">
        <f t="shared" ref="B36:D36" si="13">SUM(B33:B35)</f>
        <v>16904127</v>
      </c>
      <c r="C36" s="169">
        <f t="shared" si="13"/>
        <v>16426075</v>
      </c>
      <c r="D36" s="169">
        <f t="shared" si="13"/>
        <v>18595221</v>
      </c>
      <c r="E36" s="169">
        <f t="shared" ref="E36:M36" si="14">SUM(E33:E35)</f>
        <v>10635696</v>
      </c>
      <c r="F36" s="169">
        <f t="shared" si="14"/>
        <v>0</v>
      </c>
      <c r="G36" s="169">
        <f t="shared" si="14"/>
        <v>0</v>
      </c>
      <c r="H36" s="169">
        <f t="shared" si="14"/>
        <v>0</v>
      </c>
      <c r="I36" s="169">
        <f t="shared" si="14"/>
        <v>0</v>
      </c>
      <c r="J36" s="169">
        <f t="shared" si="14"/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3"/>
      <c r="O36" s="164">
        <f t="shared" si="12"/>
        <v>0.21821484096589858</v>
      </c>
      <c r="P36" s="164">
        <f t="shared" si="12"/>
        <v>0.22210355389619113</v>
      </c>
      <c r="Q36" s="164">
        <f t="shared" si="12"/>
        <v>0.22497378200375831</v>
      </c>
      <c r="R36" s="164">
        <f t="shared" si="12"/>
        <v>0.21401860739327444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7" spans="1:30" x14ac:dyDescent="0.35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</row>
    <row r="38" spans="1:30" x14ac:dyDescent="0.35">
      <c r="A38" s="159" t="s">
        <v>418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spans="1:30" x14ac:dyDescent="0.35">
      <c r="A39" s="161" t="s">
        <v>414</v>
      </c>
      <c r="B39" s="162">
        <f>B27+B33</f>
        <v>15821252</v>
      </c>
      <c r="C39" s="162">
        <f t="shared" ref="C39:M42" si="15">C27+C33</f>
        <v>14980861</v>
      </c>
      <c r="D39" s="162">
        <f t="shared" si="15"/>
        <v>16898405</v>
      </c>
      <c r="E39" s="162">
        <f t="shared" si="15"/>
        <v>10135567</v>
      </c>
      <c r="F39" s="162">
        <f t="shared" si="15"/>
        <v>0</v>
      </c>
      <c r="G39" s="162">
        <f t="shared" si="15"/>
        <v>0</v>
      </c>
      <c r="H39" s="162">
        <f t="shared" si="15"/>
        <v>0</v>
      </c>
      <c r="I39" s="162">
        <f t="shared" si="15"/>
        <v>0</v>
      </c>
      <c r="J39" s="162">
        <f t="shared" si="15"/>
        <v>0</v>
      </c>
      <c r="K39" s="162">
        <f t="shared" si="15"/>
        <v>0</v>
      </c>
      <c r="L39" s="162">
        <f t="shared" si="15"/>
        <v>0</v>
      </c>
      <c r="M39" s="162">
        <f t="shared" si="15"/>
        <v>0</v>
      </c>
      <c r="N39" s="163"/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30" x14ac:dyDescent="0.35">
      <c r="A40" s="165" t="s">
        <v>415</v>
      </c>
      <c r="B40" s="166">
        <f t="shared" ref="B40:B42" si="17">B28+B34</f>
        <v>60291537</v>
      </c>
      <c r="C40" s="166">
        <f t="shared" si="15"/>
        <v>57810206</v>
      </c>
      <c r="D40" s="166">
        <f t="shared" si="15"/>
        <v>64448271</v>
      </c>
      <c r="E40" s="166">
        <f t="shared" si="15"/>
        <v>38782848</v>
      </c>
      <c r="F40" s="166">
        <f t="shared" si="15"/>
        <v>0</v>
      </c>
      <c r="G40" s="166">
        <f t="shared" si="15"/>
        <v>0</v>
      </c>
      <c r="H40" s="166">
        <f t="shared" si="15"/>
        <v>0</v>
      </c>
      <c r="I40" s="166">
        <f t="shared" si="15"/>
        <v>0</v>
      </c>
      <c r="J40" s="166">
        <f t="shared" si="15"/>
        <v>0</v>
      </c>
      <c r="K40" s="166">
        <f t="shared" si="15"/>
        <v>0</v>
      </c>
      <c r="L40" s="166">
        <f t="shared" si="15"/>
        <v>0</v>
      </c>
      <c r="M40" s="166">
        <f t="shared" si="15"/>
        <v>0</v>
      </c>
      <c r="N40" s="163"/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1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30" x14ac:dyDescent="0.35">
      <c r="A41" s="167" t="s">
        <v>416</v>
      </c>
      <c r="B41" s="168">
        <f t="shared" si="17"/>
        <v>1352735</v>
      </c>
      <c r="C41" s="168">
        <f t="shared" si="15"/>
        <v>1165764</v>
      </c>
      <c r="D41" s="168">
        <f t="shared" si="15"/>
        <v>1308382</v>
      </c>
      <c r="E41" s="168">
        <f t="shared" si="15"/>
        <v>776778</v>
      </c>
      <c r="F41" s="168">
        <f t="shared" si="15"/>
        <v>0</v>
      </c>
      <c r="G41" s="168">
        <f t="shared" si="15"/>
        <v>0</v>
      </c>
      <c r="H41" s="168">
        <f t="shared" si="15"/>
        <v>0</v>
      </c>
      <c r="I41" s="168">
        <f t="shared" si="15"/>
        <v>0</v>
      </c>
      <c r="J41" s="168">
        <f t="shared" si="15"/>
        <v>0</v>
      </c>
      <c r="K41" s="168">
        <f t="shared" si="15"/>
        <v>0</v>
      </c>
      <c r="L41" s="168">
        <f t="shared" si="15"/>
        <v>0</v>
      </c>
      <c r="M41" s="168">
        <f t="shared" si="15"/>
        <v>0</v>
      </c>
      <c r="N41" s="163"/>
      <c r="O41" s="170">
        <f t="shared" si="16"/>
        <v>1</v>
      </c>
      <c r="P41" s="170">
        <f t="shared" si="16"/>
        <v>1</v>
      </c>
      <c r="Q41" s="170">
        <f t="shared" si="16"/>
        <v>1</v>
      </c>
      <c r="R41" s="170">
        <f t="shared" si="16"/>
        <v>1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30" x14ac:dyDescent="0.35">
      <c r="B42" s="169">
        <f t="shared" si="17"/>
        <v>77465524</v>
      </c>
      <c r="C42" s="169">
        <f t="shared" si="15"/>
        <v>73956831</v>
      </c>
      <c r="D42" s="169">
        <f t="shared" si="15"/>
        <v>82655058</v>
      </c>
      <c r="E42" s="169">
        <f t="shared" si="15"/>
        <v>49695193</v>
      </c>
      <c r="F42" s="169">
        <f t="shared" si="15"/>
        <v>0</v>
      </c>
      <c r="G42" s="169">
        <f t="shared" si="15"/>
        <v>0</v>
      </c>
      <c r="H42" s="169">
        <f t="shared" si="15"/>
        <v>0</v>
      </c>
      <c r="I42" s="169">
        <f t="shared" si="15"/>
        <v>0</v>
      </c>
      <c r="J42" s="169">
        <f t="shared" si="15"/>
        <v>0</v>
      </c>
      <c r="K42" s="169">
        <f t="shared" si="15"/>
        <v>0</v>
      </c>
      <c r="L42" s="169">
        <f t="shared" si="15"/>
        <v>0</v>
      </c>
      <c r="M42" s="169">
        <f t="shared" si="15"/>
        <v>0</v>
      </c>
      <c r="N42" s="163"/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1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30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30" ht="15.65" customHeight="1" x14ac:dyDescent="0.35">
      <c r="A45" s="157" t="s">
        <v>420</v>
      </c>
    </row>
    <row r="46" spans="1:30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30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30" x14ac:dyDescent="0.35">
      <c r="A48" s="161" t="s">
        <v>414</v>
      </c>
      <c r="B48" s="162">
        <v>413715</v>
      </c>
      <c r="C48" s="162">
        <v>333744</v>
      </c>
      <c r="D48" s="162">
        <v>441834</v>
      </c>
      <c r="E48" s="162">
        <v>289122</v>
      </c>
      <c r="F48" s="162"/>
      <c r="G48" s="162"/>
      <c r="H48" s="162"/>
      <c r="I48" s="162"/>
      <c r="J48" s="162"/>
      <c r="K48" s="162"/>
      <c r="L48" s="162"/>
      <c r="M48" s="162"/>
      <c r="N48" s="163"/>
      <c r="O48" s="164">
        <f t="shared" ref="O48:Z51" si="18">B48/B66</f>
        <v>0.88817018243646495</v>
      </c>
      <c r="P48" s="164">
        <f t="shared" si="18"/>
        <v>0.88437587776711946</v>
      </c>
      <c r="Q48" s="164">
        <f t="shared" si="18"/>
        <v>0.86783350978054419</v>
      </c>
      <c r="R48" s="164">
        <f t="shared" si="18"/>
        <v>0.90509865795133315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66">
        <v>749435</v>
      </c>
      <c r="C49" s="166">
        <v>713853</v>
      </c>
      <c r="D49" s="166">
        <v>1025355</v>
      </c>
      <c r="E49" s="166">
        <v>846400</v>
      </c>
      <c r="F49" s="166"/>
      <c r="G49" s="166"/>
      <c r="H49" s="166"/>
      <c r="I49" s="166"/>
      <c r="J49" s="166"/>
      <c r="K49" s="166"/>
      <c r="L49" s="166"/>
      <c r="M49" s="166"/>
      <c r="N49" s="163"/>
      <c r="O49" s="164">
        <f t="shared" si="18"/>
        <v>0.96059488988410335</v>
      </c>
      <c r="P49" s="164">
        <f t="shared" si="18"/>
        <v>0.96436257232520028</v>
      </c>
      <c r="Q49" s="164">
        <f t="shared" si="18"/>
        <v>0.97012207006303142</v>
      </c>
      <c r="R49" s="164">
        <f t="shared" si="18"/>
        <v>0.97692724985283763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68">
        <v>27624</v>
      </c>
      <c r="C50" s="168">
        <v>21047</v>
      </c>
      <c r="D50" s="168">
        <v>26003</v>
      </c>
      <c r="E50" s="168">
        <v>21319</v>
      </c>
      <c r="F50" s="168"/>
      <c r="G50" s="168"/>
      <c r="H50" s="168"/>
      <c r="I50" s="168"/>
      <c r="J50" s="168"/>
      <c r="K50" s="168"/>
      <c r="L50" s="168"/>
      <c r="M50" s="168"/>
      <c r="N50" s="163"/>
      <c r="O50" s="164">
        <f t="shared" si="18"/>
        <v>0.91168316831683172</v>
      </c>
      <c r="P50" s="164">
        <f t="shared" si="18"/>
        <v>0.90672927795967606</v>
      </c>
      <c r="Q50" s="164">
        <f t="shared" si="18"/>
        <v>0.91997169644436583</v>
      </c>
      <c r="R50" s="164">
        <f t="shared" si="18"/>
        <v>0.93978399823672032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69">
        <f t="shared" ref="B51:D51" si="19">SUM(B48:B50)</f>
        <v>1190774</v>
      </c>
      <c r="C51" s="169">
        <f t="shared" si="19"/>
        <v>1068644</v>
      </c>
      <c r="D51" s="169">
        <f t="shared" si="19"/>
        <v>1493192</v>
      </c>
      <c r="E51" s="169">
        <f t="shared" ref="E51:M51" si="20">SUM(E48:E50)</f>
        <v>1156841</v>
      </c>
      <c r="F51" s="169">
        <f t="shared" si="20"/>
        <v>0</v>
      </c>
      <c r="G51" s="169">
        <f t="shared" si="20"/>
        <v>0</v>
      </c>
      <c r="H51" s="169">
        <f t="shared" si="20"/>
        <v>0</v>
      </c>
      <c r="I51" s="169">
        <f t="shared" si="20"/>
        <v>0</v>
      </c>
      <c r="J51" s="169">
        <f t="shared" si="20"/>
        <v>0</v>
      </c>
      <c r="K51" s="169">
        <f t="shared" si="20"/>
        <v>0</v>
      </c>
      <c r="L51" s="169">
        <f t="shared" si="20"/>
        <v>0</v>
      </c>
      <c r="M51" s="169">
        <f t="shared" si="20"/>
        <v>0</v>
      </c>
      <c r="N51" s="163"/>
      <c r="O51" s="164">
        <f t="shared" si="18"/>
        <v>0.93300080546336084</v>
      </c>
      <c r="P51" s="164">
        <f t="shared" si="18"/>
        <v>0.93673076366798358</v>
      </c>
      <c r="Q51" s="164">
        <f t="shared" si="18"/>
        <v>0.93656864798955297</v>
      </c>
      <c r="R51" s="164">
        <f t="shared" si="18"/>
        <v>0.95724411507705343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2" spans="1:26" x14ac:dyDescent="0.35"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  <row r="53" spans="1:26" x14ac:dyDescent="0.35">
      <c r="A53" s="159" t="s">
        <v>421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1:26" x14ac:dyDescent="0.35">
      <c r="A54" s="161" t="s">
        <v>414</v>
      </c>
      <c r="B54" s="162">
        <v>9628</v>
      </c>
      <c r="C54" s="162">
        <v>9702</v>
      </c>
      <c r="D54" s="162">
        <v>9927</v>
      </c>
      <c r="E54" s="162">
        <v>6225</v>
      </c>
      <c r="F54" s="162"/>
      <c r="G54" s="162"/>
      <c r="H54" s="162"/>
      <c r="I54" s="162"/>
      <c r="J54" s="162"/>
      <c r="K54" s="162"/>
      <c r="L54" s="162"/>
      <c r="M54" s="162"/>
      <c r="N54" s="163"/>
      <c r="O54" s="164">
        <f t="shared" ref="O54:Z57" si="21">B54/B66</f>
        <v>2.0669549125601646E-2</v>
      </c>
      <c r="P54" s="164">
        <f t="shared" si="21"/>
        <v>2.5708970846207251E-2</v>
      </c>
      <c r="Q54" s="164">
        <f t="shared" si="21"/>
        <v>1.9498235200531108E-2</v>
      </c>
      <c r="R54" s="164">
        <f t="shared" si="21"/>
        <v>1.9487410663135453E-2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66">
        <v>6039</v>
      </c>
      <c r="C55" s="166">
        <v>6196</v>
      </c>
      <c r="D55" s="166">
        <v>6194</v>
      </c>
      <c r="E55" s="166">
        <v>4640</v>
      </c>
      <c r="F55" s="166"/>
      <c r="G55" s="166"/>
      <c r="H55" s="166"/>
      <c r="I55" s="166"/>
      <c r="J55" s="166"/>
      <c r="K55" s="166"/>
      <c r="L55" s="166"/>
      <c r="M55" s="166"/>
      <c r="N55" s="163"/>
      <c r="O55" s="164">
        <f t="shared" si="21"/>
        <v>7.7405412610968265E-3</v>
      </c>
      <c r="P55" s="164">
        <f t="shared" si="21"/>
        <v>8.3703374478035966E-3</v>
      </c>
      <c r="Q55" s="164">
        <f t="shared" si="21"/>
        <v>5.8603470036918109E-3</v>
      </c>
      <c r="R55" s="164">
        <f t="shared" si="21"/>
        <v>5.3555558120476918E-3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68">
        <v>7</v>
      </c>
      <c r="C56" s="168">
        <v>8</v>
      </c>
      <c r="D56" s="168">
        <v>4</v>
      </c>
      <c r="E56" s="168">
        <v>7</v>
      </c>
      <c r="F56" s="168"/>
      <c r="G56" s="168"/>
      <c r="H56" s="168"/>
      <c r="I56" s="168"/>
      <c r="J56" s="168"/>
      <c r="K56" s="168"/>
      <c r="L56" s="168"/>
      <c r="M56" s="168"/>
      <c r="N56" s="163"/>
      <c r="O56" s="164">
        <f t="shared" si="21"/>
        <v>2.3102310231023102E-4</v>
      </c>
      <c r="P56" s="164">
        <f t="shared" si="21"/>
        <v>3.4464931931759432E-4</v>
      </c>
      <c r="Q56" s="164">
        <f t="shared" si="21"/>
        <v>1.4151777817088271E-4</v>
      </c>
      <c r="R56" s="164">
        <f t="shared" si="21"/>
        <v>3.0857394754242893E-4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69">
        <f t="shared" ref="B57:D57" si="22">SUM(B54:B56)</f>
        <v>15674</v>
      </c>
      <c r="C57" s="169">
        <f t="shared" si="22"/>
        <v>15906</v>
      </c>
      <c r="D57" s="169">
        <f t="shared" si="22"/>
        <v>16125</v>
      </c>
      <c r="E57" s="169">
        <f t="shared" ref="E57:M57" si="23">SUM(E54:E56)</f>
        <v>10872</v>
      </c>
      <c r="F57" s="169">
        <f t="shared" si="23"/>
        <v>0</v>
      </c>
      <c r="G57" s="169">
        <f t="shared" si="23"/>
        <v>0</v>
      </c>
      <c r="H57" s="169">
        <f t="shared" si="23"/>
        <v>0</v>
      </c>
      <c r="I57" s="169">
        <f t="shared" si="23"/>
        <v>0</v>
      </c>
      <c r="J57" s="169">
        <f t="shared" si="23"/>
        <v>0</v>
      </c>
      <c r="K57" s="169">
        <f t="shared" si="23"/>
        <v>0</v>
      </c>
      <c r="L57" s="169">
        <f t="shared" si="23"/>
        <v>0</v>
      </c>
      <c r="M57" s="169">
        <f t="shared" si="23"/>
        <v>0</v>
      </c>
      <c r="N57" s="163"/>
      <c r="O57" s="164">
        <f t="shared" si="21"/>
        <v>1.2280965678485353E-2</v>
      </c>
      <c r="P57" s="164">
        <f t="shared" si="21"/>
        <v>1.3942566024703219E-2</v>
      </c>
      <c r="Q57" s="164">
        <f t="shared" si="21"/>
        <v>1.0114017118248384E-2</v>
      </c>
      <c r="R57" s="164">
        <f t="shared" si="21"/>
        <v>8.9961870465498067E-3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3"/>
    </row>
    <row r="59" spans="1:26" x14ac:dyDescent="0.35">
      <c r="A59" s="159" t="s">
        <v>417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</row>
    <row r="60" spans="1:26" x14ac:dyDescent="0.35">
      <c r="A60" s="161" t="s">
        <v>414</v>
      </c>
      <c r="B60" s="162">
        <v>42463</v>
      </c>
      <c r="C60" s="162">
        <v>33932</v>
      </c>
      <c r="D60" s="162">
        <v>57362</v>
      </c>
      <c r="E60" s="162">
        <v>24090</v>
      </c>
      <c r="F60" s="162"/>
      <c r="G60" s="162"/>
      <c r="H60" s="162"/>
      <c r="I60" s="162"/>
      <c r="J60" s="162"/>
      <c r="K60" s="162"/>
      <c r="L60" s="162"/>
      <c r="M60" s="162"/>
      <c r="N60" s="163"/>
      <c r="O60" s="164">
        <f t="shared" ref="O60:Z63" si="24">B60/B66</f>
        <v>9.1160268437933387E-2</v>
      </c>
      <c r="P60" s="164">
        <f t="shared" si="24"/>
        <v>8.9915151386673303E-2</v>
      </c>
      <c r="Q60" s="164">
        <f t="shared" si="24"/>
        <v>0.1126682550189247</v>
      </c>
      <c r="R60" s="164">
        <f t="shared" si="24"/>
        <v>7.5413931385531416E-2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66">
        <v>24704</v>
      </c>
      <c r="C61" s="166">
        <v>20184</v>
      </c>
      <c r="D61" s="166">
        <v>25385</v>
      </c>
      <c r="E61" s="166">
        <v>15350</v>
      </c>
      <c r="F61" s="166"/>
      <c r="G61" s="166"/>
      <c r="H61" s="166"/>
      <c r="I61" s="166"/>
      <c r="J61" s="166"/>
      <c r="K61" s="166"/>
      <c r="L61" s="166"/>
      <c r="M61" s="166"/>
      <c r="N61" s="163"/>
      <c r="O61" s="164">
        <f t="shared" si="24"/>
        <v>3.1664568854799804E-2</v>
      </c>
      <c r="P61" s="164">
        <f t="shared" si="24"/>
        <v>2.7267090226996093E-2</v>
      </c>
      <c r="Q61" s="164">
        <f t="shared" si="24"/>
        <v>2.4017582933276816E-2</v>
      </c>
      <c r="R61" s="164">
        <f t="shared" si="24"/>
        <v>1.7717194335114671E-2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68">
        <v>2669</v>
      </c>
      <c r="C62" s="168">
        <v>2157</v>
      </c>
      <c r="D62" s="168">
        <v>2258</v>
      </c>
      <c r="E62" s="168">
        <v>1359</v>
      </c>
      <c r="F62" s="168"/>
      <c r="G62" s="168"/>
      <c r="H62" s="168"/>
      <c r="I62" s="168"/>
      <c r="J62" s="168"/>
      <c r="K62" s="168"/>
      <c r="L62" s="168"/>
      <c r="M62" s="168"/>
      <c r="N62" s="163"/>
      <c r="O62" s="164">
        <f t="shared" si="24"/>
        <v>8.8085808580858085E-2</v>
      </c>
      <c r="P62" s="164">
        <f t="shared" si="24"/>
        <v>9.2926072721006378E-2</v>
      </c>
      <c r="Q62" s="164">
        <f t="shared" si="24"/>
        <v>7.988678577746329E-2</v>
      </c>
      <c r="R62" s="164">
        <f t="shared" si="24"/>
        <v>5.9907427815737269E-2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69">
        <f t="shared" ref="B63:D63" si="25">SUM(B60:B62)</f>
        <v>69836</v>
      </c>
      <c r="C63" s="169">
        <f t="shared" si="25"/>
        <v>56273</v>
      </c>
      <c r="D63" s="169">
        <f t="shared" si="25"/>
        <v>85005</v>
      </c>
      <c r="E63" s="169">
        <f t="shared" ref="E63:M63" si="26">SUM(E60:E62)</f>
        <v>40799</v>
      </c>
      <c r="F63" s="169">
        <f t="shared" si="26"/>
        <v>0</v>
      </c>
      <c r="G63" s="169">
        <f t="shared" si="26"/>
        <v>0</v>
      </c>
      <c r="H63" s="169">
        <f t="shared" si="26"/>
        <v>0</v>
      </c>
      <c r="I63" s="169">
        <f t="shared" si="26"/>
        <v>0</v>
      </c>
      <c r="J63" s="169">
        <f t="shared" si="26"/>
        <v>0</v>
      </c>
      <c r="K63" s="169">
        <f t="shared" si="26"/>
        <v>0</v>
      </c>
      <c r="L63" s="169">
        <f t="shared" si="26"/>
        <v>0</v>
      </c>
      <c r="M63" s="169">
        <f t="shared" si="26"/>
        <v>0</v>
      </c>
      <c r="N63" s="163"/>
      <c r="O63" s="164">
        <f t="shared" si="24"/>
        <v>5.4718228858153826E-2</v>
      </c>
      <c r="P63" s="164">
        <f t="shared" si="24"/>
        <v>4.9326670307313226E-2</v>
      </c>
      <c r="Q63" s="164">
        <f t="shared" si="24"/>
        <v>5.3317334892198691E-2</v>
      </c>
      <c r="R63" s="164">
        <f t="shared" si="24"/>
        <v>3.3759697876396759E-2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4" spans="1:26" x14ac:dyDescent="0.35"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</row>
    <row r="65" spans="1:26" x14ac:dyDescent="0.35">
      <c r="A65" s="159" t="s">
        <v>418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</row>
    <row r="66" spans="1:26" x14ac:dyDescent="0.35">
      <c r="A66" s="161" t="s">
        <v>414</v>
      </c>
      <c r="B66" s="162">
        <f>B48+B54+B60</f>
        <v>465806</v>
      </c>
      <c r="C66" s="162">
        <f t="shared" ref="C66:M69" si="27">C48+C54+C60</f>
        <v>377378</v>
      </c>
      <c r="D66" s="162">
        <f t="shared" si="27"/>
        <v>509123</v>
      </c>
      <c r="E66" s="162">
        <f t="shared" si="27"/>
        <v>319437</v>
      </c>
      <c r="F66" s="162">
        <f t="shared" si="27"/>
        <v>0</v>
      </c>
      <c r="G66" s="162">
        <f t="shared" si="27"/>
        <v>0</v>
      </c>
      <c r="H66" s="162">
        <f t="shared" si="27"/>
        <v>0</v>
      </c>
      <c r="I66" s="162">
        <f t="shared" si="27"/>
        <v>0</v>
      </c>
      <c r="J66" s="162">
        <f t="shared" si="27"/>
        <v>0</v>
      </c>
      <c r="K66" s="162">
        <f t="shared" si="27"/>
        <v>0</v>
      </c>
      <c r="L66" s="162">
        <f t="shared" si="27"/>
        <v>0</v>
      </c>
      <c r="M66" s="162">
        <f t="shared" si="27"/>
        <v>0</v>
      </c>
      <c r="N66" s="163"/>
      <c r="O66" s="170">
        <f t="shared" ref="O66:Z69" si="28">O48+O54+O60</f>
        <v>0.99999999999999989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66">
        <f t="shared" ref="B67:B69" si="29">B49+B55+B61</f>
        <v>780178</v>
      </c>
      <c r="C67" s="166">
        <f t="shared" si="27"/>
        <v>740233</v>
      </c>
      <c r="D67" s="166">
        <f t="shared" si="27"/>
        <v>1056934</v>
      </c>
      <c r="E67" s="166">
        <f t="shared" si="27"/>
        <v>866390</v>
      </c>
      <c r="F67" s="166">
        <f t="shared" si="27"/>
        <v>0</v>
      </c>
      <c r="G67" s="166">
        <f t="shared" si="27"/>
        <v>0</v>
      </c>
      <c r="H67" s="166">
        <f t="shared" si="27"/>
        <v>0</v>
      </c>
      <c r="I67" s="166">
        <f t="shared" si="27"/>
        <v>0</v>
      </c>
      <c r="J67" s="166">
        <f t="shared" si="27"/>
        <v>0</v>
      </c>
      <c r="K67" s="166">
        <f t="shared" si="27"/>
        <v>0</v>
      </c>
      <c r="L67" s="166">
        <f t="shared" si="27"/>
        <v>0</v>
      </c>
      <c r="M67" s="166">
        <f t="shared" si="27"/>
        <v>0</v>
      </c>
      <c r="N67" s="163"/>
      <c r="O67" s="170">
        <f t="shared" si="28"/>
        <v>1</v>
      </c>
      <c r="P67" s="170">
        <f t="shared" si="28"/>
        <v>1</v>
      </c>
      <c r="Q67" s="170">
        <f t="shared" si="28"/>
        <v>1</v>
      </c>
      <c r="R67" s="170">
        <f t="shared" si="28"/>
        <v>1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68">
        <f t="shared" si="29"/>
        <v>30300</v>
      </c>
      <c r="C68" s="168">
        <f t="shared" si="27"/>
        <v>23212</v>
      </c>
      <c r="D68" s="168">
        <f t="shared" si="27"/>
        <v>28265</v>
      </c>
      <c r="E68" s="168">
        <f t="shared" si="27"/>
        <v>22685</v>
      </c>
      <c r="F68" s="168">
        <f t="shared" si="27"/>
        <v>0</v>
      </c>
      <c r="G68" s="168">
        <f t="shared" si="27"/>
        <v>0</v>
      </c>
      <c r="H68" s="168">
        <f t="shared" si="27"/>
        <v>0</v>
      </c>
      <c r="I68" s="168">
        <f t="shared" si="27"/>
        <v>0</v>
      </c>
      <c r="J68" s="168">
        <f t="shared" si="27"/>
        <v>0</v>
      </c>
      <c r="K68" s="168">
        <f t="shared" si="27"/>
        <v>0</v>
      </c>
      <c r="L68" s="168">
        <f t="shared" si="27"/>
        <v>0</v>
      </c>
      <c r="M68" s="168">
        <f t="shared" si="27"/>
        <v>0</v>
      </c>
      <c r="N68" s="163"/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69">
        <f t="shared" si="29"/>
        <v>1276284</v>
      </c>
      <c r="C69" s="169">
        <f t="shared" si="27"/>
        <v>1140823</v>
      </c>
      <c r="D69" s="169">
        <f t="shared" si="27"/>
        <v>1594322</v>
      </c>
      <c r="E69" s="169">
        <f t="shared" si="27"/>
        <v>1208512</v>
      </c>
      <c r="F69" s="169">
        <f t="shared" si="27"/>
        <v>0</v>
      </c>
      <c r="G69" s="169">
        <f t="shared" si="27"/>
        <v>0</v>
      </c>
      <c r="H69" s="169">
        <f t="shared" si="27"/>
        <v>0</v>
      </c>
      <c r="I69" s="169">
        <f t="shared" si="27"/>
        <v>0</v>
      </c>
      <c r="J69" s="169">
        <f t="shared" si="27"/>
        <v>0</v>
      </c>
      <c r="K69" s="169">
        <f t="shared" si="27"/>
        <v>0</v>
      </c>
      <c r="L69" s="169">
        <f t="shared" si="27"/>
        <v>0</v>
      </c>
      <c r="M69" s="169">
        <f t="shared" si="27"/>
        <v>0</v>
      </c>
      <c r="N69" s="163"/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858-C609-4482-B826-0EA5CE99ADAD}">
  <sheetPr codeName="Hoja7"/>
  <dimension ref="A1:AC69"/>
  <sheetViews>
    <sheetView zoomScale="68" zoomScaleNormal="68" workbookViewId="0">
      <pane xSplit="1" ySplit="4" topLeftCell="B5" activePane="bottomRight" state="frozen"/>
      <selection activeCell="N42" sqref="N42"/>
      <selection pane="topRight" activeCell="N42" sqref="N42"/>
      <selection pane="bottomLeft" activeCell="N42" sqref="N42"/>
      <selection pane="bottomRight"/>
    </sheetView>
  </sheetViews>
  <sheetFormatPr baseColWidth="10" defaultRowHeight="14.5" x14ac:dyDescent="0.35"/>
  <cols>
    <col min="1" max="1" width="19.453125" bestFit="1" customWidth="1"/>
    <col min="2" max="2" width="21.54296875" bestFit="1" customWidth="1"/>
    <col min="3" max="4" width="21.90625" bestFit="1" customWidth="1"/>
    <col min="5" max="5" width="21.54296875" bestFit="1" customWidth="1"/>
    <col min="6" max="12" width="16.81640625" hidden="1" customWidth="1"/>
    <col min="13" max="13" width="16.54296875" hidden="1" customWidth="1"/>
    <col min="14" max="14" width="8.90625" customWidth="1"/>
    <col min="15" max="15" width="9.36328125" bestFit="1" customWidth="1"/>
    <col min="16" max="16" width="10.36328125" bestFit="1" customWidth="1"/>
    <col min="17" max="18" width="9.36328125" bestFit="1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0.1796875" hidden="1" customWidth="1"/>
    <col min="29" max="29" width="15.08984375" bestFit="1" customWidth="1"/>
  </cols>
  <sheetData>
    <row r="1" spans="1:29" x14ac:dyDescent="0.35">
      <c r="A1" s="156" t="str">
        <f>'Visa - txs x medio de tx'!A1</f>
        <v>AL 19 DE ABRIL DEL 2,026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29" x14ac:dyDescent="0.35">
      <c r="B2" s="160"/>
      <c r="G2" s="240"/>
      <c r="H2" s="240"/>
      <c r="I2" s="240"/>
      <c r="J2" s="240"/>
      <c r="K2" s="240"/>
      <c r="M2" s="160"/>
    </row>
    <row r="3" spans="1:29" ht="15.65" customHeight="1" x14ac:dyDescent="0.35">
      <c r="A3" s="157" t="s">
        <v>412</v>
      </c>
    </row>
    <row r="4" spans="1:29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29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29" x14ac:dyDescent="0.35">
      <c r="A6" s="161" t="s">
        <v>414</v>
      </c>
      <c r="B6" s="172">
        <v>202971179.11999997</v>
      </c>
      <c r="C6" s="172">
        <v>197340118.75</v>
      </c>
      <c r="D6" s="172">
        <v>225928956.23000002</v>
      </c>
      <c r="E6" s="172">
        <v>132126522.67999999</v>
      </c>
      <c r="F6" s="172"/>
      <c r="G6" s="172"/>
      <c r="H6" s="172"/>
      <c r="I6" s="172"/>
      <c r="J6" s="172"/>
      <c r="K6" s="172"/>
      <c r="L6" s="172"/>
      <c r="M6" s="172"/>
      <c r="O6" s="164">
        <f t="shared" ref="O6:Z9" si="0">B6/B18</f>
        <v>0.79930944478922028</v>
      </c>
      <c r="P6" s="164">
        <f t="shared" si="0"/>
        <v>0.78835519422461686</v>
      </c>
      <c r="Q6" s="164">
        <f t="shared" si="0"/>
        <v>0.79228188681786427</v>
      </c>
      <c r="R6" s="164">
        <f t="shared" si="0"/>
        <v>0.80840630623185739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29" x14ac:dyDescent="0.35">
      <c r="A7" s="165" t="s">
        <v>415</v>
      </c>
      <c r="B7" s="173">
        <v>269154269.31</v>
      </c>
      <c r="C7" s="173">
        <v>254317183.54999998</v>
      </c>
      <c r="D7" s="173">
        <v>281337873.63999999</v>
      </c>
      <c r="E7" s="173">
        <v>161628646.10000002</v>
      </c>
      <c r="F7" s="173"/>
      <c r="G7" s="173"/>
      <c r="H7" s="173"/>
      <c r="I7" s="173"/>
      <c r="J7" s="173"/>
      <c r="K7" s="173"/>
      <c r="L7" s="173"/>
      <c r="M7" s="173"/>
      <c r="O7" s="164">
        <f t="shared" si="0"/>
        <v>0.63360211992076976</v>
      </c>
      <c r="P7" s="164">
        <f t="shared" si="0"/>
        <v>0.6142827785771573</v>
      </c>
      <c r="Q7" s="164">
        <f t="shared" si="0"/>
        <v>0.60594657555105913</v>
      </c>
      <c r="R7" s="164">
        <f t="shared" si="0"/>
        <v>0.79117043796871467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29" x14ac:dyDescent="0.35">
      <c r="A8" s="167" t="s">
        <v>416</v>
      </c>
      <c r="B8" s="174">
        <v>22678223.699999999</v>
      </c>
      <c r="C8" s="174">
        <v>19207951.669999998</v>
      </c>
      <c r="D8" s="174">
        <v>21538911.869999997</v>
      </c>
      <c r="E8" s="174">
        <v>13009829.550000001</v>
      </c>
      <c r="F8" s="174"/>
      <c r="G8" s="174"/>
      <c r="H8" s="174"/>
      <c r="I8" s="174"/>
      <c r="J8" s="174"/>
      <c r="K8" s="174"/>
      <c r="L8" s="174"/>
      <c r="M8" s="174"/>
      <c r="O8" s="164">
        <f t="shared" si="0"/>
        <v>0.94770345439365955</v>
      </c>
      <c r="P8" s="164">
        <f t="shared" si="0"/>
        <v>0.94977913586668472</v>
      </c>
      <c r="Q8" s="164">
        <f t="shared" si="0"/>
        <v>0.94846398337544158</v>
      </c>
      <c r="R8" s="164">
        <f t="shared" si="0"/>
        <v>0.9532667667441358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29" x14ac:dyDescent="0.35">
      <c r="B9" s="171">
        <f t="shared" ref="B9:D9" si="1">SUM(B6:B8)</f>
        <v>494803672.12999994</v>
      </c>
      <c r="C9" s="171">
        <f t="shared" si="1"/>
        <v>470865253.96999997</v>
      </c>
      <c r="D9" s="171">
        <f t="shared" si="1"/>
        <v>528805741.74000001</v>
      </c>
      <c r="E9" s="171">
        <f t="shared" ref="E9:M9" si="2">SUM(E6:E8)</f>
        <v>306764998.33000004</v>
      </c>
      <c r="F9" s="171">
        <f t="shared" si="2"/>
        <v>0</v>
      </c>
      <c r="G9" s="171">
        <f t="shared" si="2"/>
        <v>0</v>
      </c>
      <c r="H9" s="171">
        <f t="shared" si="2"/>
        <v>0</v>
      </c>
      <c r="I9" s="171">
        <f t="shared" si="2"/>
        <v>0</v>
      </c>
      <c r="J9" s="171">
        <f t="shared" si="2"/>
        <v>0</v>
      </c>
      <c r="K9" s="171">
        <f t="shared" si="2"/>
        <v>0</v>
      </c>
      <c r="L9" s="171">
        <f t="shared" si="2"/>
        <v>0</v>
      </c>
      <c r="M9" s="171">
        <f t="shared" si="2"/>
        <v>0</v>
      </c>
      <c r="O9" s="164">
        <f t="shared" si="0"/>
        <v>0.70418350372316529</v>
      </c>
      <c r="P9" s="164">
        <f t="shared" si="0"/>
        <v>0.68784732087009715</v>
      </c>
      <c r="Q9" s="164">
        <f t="shared" si="0"/>
        <v>0.68483387938706919</v>
      </c>
      <c r="R9" s="164">
        <f t="shared" si="0"/>
        <v>0.80435751535969868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1" spans="1:29" x14ac:dyDescent="0.35">
      <c r="A11" s="159" t="s">
        <v>417</v>
      </c>
    </row>
    <row r="12" spans="1:29" x14ac:dyDescent="0.35">
      <c r="A12" s="161" t="s">
        <v>414</v>
      </c>
      <c r="B12" s="172">
        <v>50961988.369999997</v>
      </c>
      <c r="C12" s="172">
        <v>52978671.810000002</v>
      </c>
      <c r="D12" s="172">
        <v>59233383.069999993</v>
      </c>
      <c r="E12" s="172">
        <v>31314214.560000002</v>
      </c>
      <c r="F12" s="172"/>
      <c r="G12" s="172"/>
      <c r="H12" s="172"/>
      <c r="I12" s="172"/>
      <c r="J12" s="172"/>
      <c r="K12" s="172"/>
      <c r="L12" s="172"/>
      <c r="M12" s="172"/>
      <c r="O12" s="164">
        <f t="shared" ref="O12:Z15" si="3">B12/B18</f>
        <v>0.20069055521077966</v>
      </c>
      <c r="P12" s="164">
        <f t="shared" si="3"/>
        <v>0.21164480577538311</v>
      </c>
      <c r="Q12" s="164">
        <f t="shared" si="3"/>
        <v>0.20771811318213573</v>
      </c>
      <c r="R12" s="164">
        <f t="shared" si="3"/>
        <v>0.19159369376814248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29" x14ac:dyDescent="0.35">
      <c r="A13" s="165" t="s">
        <v>415</v>
      </c>
      <c r="B13" s="173">
        <v>155645870.79000002</v>
      </c>
      <c r="C13" s="173">
        <v>159689512.41999999</v>
      </c>
      <c r="D13" s="173">
        <v>182956975.10000002</v>
      </c>
      <c r="E13" s="173">
        <v>42661906.659999996</v>
      </c>
      <c r="F13" s="173"/>
      <c r="G13" s="173"/>
      <c r="H13" s="173"/>
      <c r="I13" s="173"/>
      <c r="J13" s="173"/>
      <c r="K13" s="173"/>
      <c r="L13" s="173"/>
      <c r="M13" s="173"/>
      <c r="O13" s="164">
        <f t="shared" si="3"/>
        <v>0.36639788007923024</v>
      </c>
      <c r="P13" s="164">
        <f t="shared" si="3"/>
        <v>0.3857172214228427</v>
      </c>
      <c r="Q13" s="164">
        <f t="shared" si="3"/>
        <v>0.39405342444894087</v>
      </c>
      <c r="R13" s="164">
        <f t="shared" si="3"/>
        <v>0.20882956203128536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C13" s="160"/>
    </row>
    <row r="14" spans="1:29" x14ac:dyDescent="0.35">
      <c r="A14" s="167" t="s">
        <v>416</v>
      </c>
      <c r="B14" s="174">
        <v>1251438.6800000002</v>
      </c>
      <c r="C14" s="174">
        <v>1015646.5800000001</v>
      </c>
      <c r="D14" s="174">
        <v>1170344.6199999999</v>
      </c>
      <c r="E14" s="174">
        <v>637797.75</v>
      </c>
      <c r="F14" s="174"/>
      <c r="G14" s="174"/>
      <c r="H14" s="174"/>
      <c r="I14" s="174"/>
      <c r="J14" s="174"/>
      <c r="K14" s="174"/>
      <c r="L14" s="174"/>
      <c r="M14" s="174"/>
      <c r="O14" s="164">
        <f t="shared" si="3"/>
        <v>5.2296545606340485E-2</v>
      </c>
      <c r="P14" s="164">
        <f t="shared" si="3"/>
        <v>5.0220864133315155E-2</v>
      </c>
      <c r="Q14" s="164">
        <f t="shared" si="3"/>
        <v>5.1536016624558367E-2</v>
      </c>
      <c r="R14" s="164">
        <f t="shared" si="3"/>
        <v>4.673323325586419E-2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29" x14ac:dyDescent="0.35">
      <c r="B15" s="171">
        <f t="shared" ref="B15:D15" si="4">SUM(B12:B14)</f>
        <v>207859297.84000003</v>
      </c>
      <c r="C15" s="171">
        <f t="shared" si="4"/>
        <v>213683830.81</v>
      </c>
      <c r="D15" s="171">
        <f t="shared" si="4"/>
        <v>243360702.79000002</v>
      </c>
      <c r="E15" s="171">
        <f t="shared" ref="E15:M15" si="5">SUM(E12:E14)</f>
        <v>74613918.969999999</v>
      </c>
      <c r="F15" s="171">
        <f t="shared" si="5"/>
        <v>0</v>
      </c>
      <c r="G15" s="171">
        <f t="shared" si="5"/>
        <v>0</v>
      </c>
      <c r="H15" s="171">
        <f t="shared" si="5"/>
        <v>0</v>
      </c>
      <c r="I15" s="171">
        <f t="shared" si="5"/>
        <v>0</v>
      </c>
      <c r="J15" s="171">
        <f t="shared" si="5"/>
        <v>0</v>
      </c>
      <c r="K15" s="171">
        <f t="shared" si="5"/>
        <v>0</v>
      </c>
      <c r="L15" s="171">
        <f t="shared" si="5"/>
        <v>0</v>
      </c>
      <c r="M15" s="171">
        <f t="shared" si="5"/>
        <v>0</v>
      </c>
      <c r="O15" s="164">
        <f t="shared" si="3"/>
        <v>0.2958164962768346</v>
      </c>
      <c r="P15" s="164">
        <f t="shared" si="3"/>
        <v>0.31215267912990285</v>
      </c>
      <c r="Q15" s="164">
        <f t="shared" si="3"/>
        <v>0.31516612061293092</v>
      </c>
      <c r="R15" s="164">
        <f t="shared" si="3"/>
        <v>0.19564248464030129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7" spans="1:26" x14ac:dyDescent="0.35">
      <c r="A17" s="159" t="s">
        <v>418</v>
      </c>
    </row>
    <row r="18" spans="1:26" x14ac:dyDescent="0.35">
      <c r="A18" s="161" t="s">
        <v>414</v>
      </c>
      <c r="B18" s="172">
        <f>B6+B12</f>
        <v>253933167.48999998</v>
      </c>
      <c r="C18" s="172">
        <f t="shared" ref="C18:M21" si="6">C6+C12</f>
        <v>250318790.56</v>
      </c>
      <c r="D18" s="172">
        <f t="shared" si="6"/>
        <v>285162339.30000001</v>
      </c>
      <c r="E18" s="172">
        <f t="shared" si="6"/>
        <v>163440737.24000001</v>
      </c>
      <c r="F18" s="172">
        <f t="shared" si="6"/>
        <v>0</v>
      </c>
      <c r="G18" s="172">
        <f t="shared" si="6"/>
        <v>0</v>
      </c>
      <c r="H18" s="172">
        <f t="shared" si="6"/>
        <v>0</v>
      </c>
      <c r="I18" s="172">
        <f t="shared" si="6"/>
        <v>0</v>
      </c>
      <c r="J18" s="172">
        <f t="shared" si="6"/>
        <v>0</v>
      </c>
      <c r="K18" s="172">
        <f t="shared" si="6"/>
        <v>0</v>
      </c>
      <c r="L18" s="172">
        <f t="shared" si="6"/>
        <v>0</v>
      </c>
      <c r="M18" s="172">
        <f t="shared" si="6"/>
        <v>0</v>
      </c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0.99999999999999989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73">
        <f t="shared" ref="B19:B21" si="8">B7+B13</f>
        <v>424800140.10000002</v>
      </c>
      <c r="C19" s="173">
        <f t="shared" si="6"/>
        <v>414006695.96999997</v>
      </c>
      <c r="D19" s="173">
        <f t="shared" si="6"/>
        <v>464294848.74000001</v>
      </c>
      <c r="E19" s="173">
        <f t="shared" si="6"/>
        <v>204290552.76000002</v>
      </c>
      <c r="F19" s="173">
        <f t="shared" si="6"/>
        <v>0</v>
      </c>
      <c r="G19" s="173">
        <f t="shared" si="6"/>
        <v>0</v>
      </c>
      <c r="H19" s="173">
        <f t="shared" si="6"/>
        <v>0</v>
      </c>
      <c r="I19" s="173">
        <f t="shared" si="6"/>
        <v>0</v>
      </c>
      <c r="J19" s="173">
        <f t="shared" si="6"/>
        <v>0</v>
      </c>
      <c r="K19" s="173">
        <f t="shared" si="6"/>
        <v>0</v>
      </c>
      <c r="L19" s="173">
        <f t="shared" si="6"/>
        <v>0</v>
      </c>
      <c r="M19" s="173">
        <f t="shared" si="6"/>
        <v>0</v>
      </c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74">
        <f t="shared" si="8"/>
        <v>23929662.379999999</v>
      </c>
      <c r="C20" s="174">
        <f t="shared" si="6"/>
        <v>20223598.25</v>
      </c>
      <c r="D20" s="174">
        <f t="shared" si="6"/>
        <v>22709256.489999998</v>
      </c>
      <c r="E20" s="174">
        <f t="shared" si="6"/>
        <v>13647627.300000001</v>
      </c>
      <c r="F20" s="174">
        <f t="shared" si="6"/>
        <v>0</v>
      </c>
      <c r="G20" s="174">
        <f t="shared" si="6"/>
        <v>0</v>
      </c>
      <c r="H20" s="174">
        <f t="shared" si="6"/>
        <v>0</v>
      </c>
      <c r="I20" s="174">
        <f t="shared" si="6"/>
        <v>0</v>
      </c>
      <c r="J20" s="174">
        <f t="shared" si="6"/>
        <v>0</v>
      </c>
      <c r="K20" s="174">
        <f t="shared" si="6"/>
        <v>0</v>
      </c>
      <c r="L20" s="174">
        <f t="shared" si="6"/>
        <v>0</v>
      </c>
      <c r="M20" s="174">
        <f t="shared" si="6"/>
        <v>0</v>
      </c>
      <c r="O20" s="170">
        <f t="shared" si="7"/>
        <v>1</v>
      </c>
      <c r="P20" s="170">
        <f t="shared" si="7"/>
        <v>0.99999999999999989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71">
        <f t="shared" si="8"/>
        <v>702662969.97000003</v>
      </c>
      <c r="C21" s="171">
        <f t="shared" si="6"/>
        <v>684549084.77999997</v>
      </c>
      <c r="D21" s="171">
        <f t="shared" si="6"/>
        <v>772166444.52999997</v>
      </c>
      <c r="E21" s="171">
        <f t="shared" si="6"/>
        <v>381378917.30000007</v>
      </c>
      <c r="F21" s="171">
        <f t="shared" si="6"/>
        <v>0</v>
      </c>
      <c r="G21" s="171">
        <f t="shared" si="6"/>
        <v>0</v>
      </c>
      <c r="H21" s="171">
        <f t="shared" si="6"/>
        <v>0</v>
      </c>
      <c r="I21" s="171">
        <f t="shared" si="6"/>
        <v>0</v>
      </c>
      <c r="J21" s="171">
        <f t="shared" si="6"/>
        <v>0</v>
      </c>
      <c r="K21" s="171">
        <f t="shared" si="6"/>
        <v>0</v>
      </c>
      <c r="L21" s="171">
        <f t="shared" si="6"/>
        <v>0</v>
      </c>
      <c r="M21" s="171">
        <f t="shared" si="6"/>
        <v>0</v>
      </c>
      <c r="O21" s="170">
        <f t="shared" si="7"/>
        <v>0.99999999999999989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0"/>
      <c r="H23" s="160"/>
      <c r="I23" s="160"/>
      <c r="J23" s="240"/>
      <c r="K23" s="240"/>
      <c r="L23" s="160"/>
    </row>
    <row r="24" spans="1:26" ht="15.65" customHeight="1" x14ac:dyDescent="0.35">
      <c r="A24" s="157" t="s">
        <v>419</v>
      </c>
      <c r="G24" s="240"/>
      <c r="H24" s="240"/>
      <c r="I24" s="240"/>
      <c r="J24" s="240"/>
      <c r="K24" s="240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72">
        <v>1398443632.5700002</v>
      </c>
      <c r="C27" s="172">
        <v>1376767619.4499998</v>
      </c>
      <c r="D27" s="172">
        <v>1612029736.8799999</v>
      </c>
      <c r="E27" s="172">
        <v>937407081.6400001</v>
      </c>
      <c r="F27" s="172"/>
      <c r="G27" s="172"/>
      <c r="H27" s="172"/>
      <c r="I27" s="172"/>
      <c r="J27" s="172"/>
      <c r="K27" s="172"/>
      <c r="L27" s="172"/>
      <c r="M27" s="172"/>
      <c r="O27" s="164">
        <f t="shared" ref="O27:Z30" si="9">B27/B39</f>
        <v>0.7946202738111946</v>
      </c>
      <c r="P27" s="164">
        <f t="shared" si="9"/>
        <v>0.7965271772653707</v>
      </c>
      <c r="Q27" s="164">
        <f t="shared" si="9"/>
        <v>0.82090942399115807</v>
      </c>
      <c r="R27" s="164">
        <f t="shared" si="9"/>
        <v>0.83785268286285508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73">
        <v>2352041711.6500001</v>
      </c>
      <c r="C28" s="173">
        <v>2238702328.4700003</v>
      </c>
      <c r="D28" s="173">
        <v>2525769297.7600002</v>
      </c>
      <c r="E28" s="173">
        <v>1449199219.0599999</v>
      </c>
      <c r="F28" s="173"/>
      <c r="G28" s="173"/>
      <c r="H28" s="173"/>
      <c r="I28" s="173"/>
      <c r="J28" s="173"/>
      <c r="K28" s="173"/>
      <c r="L28" s="173"/>
      <c r="M28" s="173"/>
      <c r="O28" s="164">
        <f t="shared" si="9"/>
        <v>0.71027087978931069</v>
      </c>
      <c r="P28" s="164">
        <f t="shared" si="9"/>
        <v>0.70433280542695698</v>
      </c>
      <c r="Q28" s="164">
        <f t="shared" si="9"/>
        <v>0.69076174079832942</v>
      </c>
      <c r="R28" s="164">
        <f t="shared" si="9"/>
        <v>0.80054885195064796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74">
        <v>66514700.550000004</v>
      </c>
      <c r="C29" s="174">
        <v>56503442.230000004</v>
      </c>
      <c r="D29" s="174">
        <v>62810953.340000004</v>
      </c>
      <c r="E29" s="174">
        <v>35385811.189999998</v>
      </c>
      <c r="F29" s="174"/>
      <c r="G29" s="174"/>
      <c r="H29" s="174"/>
      <c r="I29" s="174"/>
      <c r="J29" s="174"/>
      <c r="K29" s="174"/>
      <c r="L29" s="174"/>
      <c r="M29" s="174"/>
      <c r="O29" s="164">
        <f t="shared" si="9"/>
        <v>0.93203659824373897</v>
      </c>
      <c r="P29" s="164">
        <f t="shared" si="9"/>
        <v>0.9359335826867613</v>
      </c>
      <c r="Q29" s="164">
        <f t="shared" si="9"/>
        <v>0.93169314856975782</v>
      </c>
      <c r="R29" s="164">
        <f t="shared" si="9"/>
        <v>0.92968215622971417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71">
        <f t="shared" ref="B30:D30" si="10">SUM(B27:B29)</f>
        <v>3817000044.7700005</v>
      </c>
      <c r="C30" s="171">
        <f t="shared" si="10"/>
        <v>3671973390.1500001</v>
      </c>
      <c r="D30" s="171">
        <f t="shared" si="10"/>
        <v>4200609987.9800005</v>
      </c>
      <c r="E30" s="171">
        <f t="shared" ref="E30:M30" si="11">SUM(E27:E29)</f>
        <v>2421992111.8899999</v>
      </c>
      <c r="F30" s="171">
        <f t="shared" si="11"/>
        <v>0</v>
      </c>
      <c r="G30" s="171">
        <f t="shared" si="11"/>
        <v>0</v>
      </c>
      <c r="H30" s="171">
        <f t="shared" si="11"/>
        <v>0</v>
      </c>
      <c r="I30" s="171">
        <f t="shared" si="11"/>
        <v>0</v>
      </c>
      <c r="J30" s="171">
        <f t="shared" si="11"/>
        <v>0</v>
      </c>
      <c r="K30" s="171">
        <f t="shared" si="11"/>
        <v>0</v>
      </c>
      <c r="L30" s="171">
        <f t="shared" si="11"/>
        <v>0</v>
      </c>
      <c r="M30" s="171">
        <f t="shared" si="11"/>
        <v>0</v>
      </c>
      <c r="O30" s="164">
        <f t="shared" si="9"/>
        <v>0.74221345102066572</v>
      </c>
      <c r="P30" s="164">
        <f t="shared" si="9"/>
        <v>0.73922829027096704</v>
      </c>
      <c r="Q30" s="164">
        <f t="shared" si="9"/>
        <v>0.73855235911091943</v>
      </c>
      <c r="R30" s="164">
        <f t="shared" si="9"/>
        <v>0.81627153711555223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2" spans="1:26" x14ac:dyDescent="0.35">
      <c r="A32" s="159" t="s">
        <v>417</v>
      </c>
    </row>
    <row r="33" spans="1:29" x14ac:dyDescent="0.35">
      <c r="A33" s="161" t="s">
        <v>414</v>
      </c>
      <c r="B33" s="172">
        <v>361445560.61999995</v>
      </c>
      <c r="C33" s="172">
        <v>351695211.12999994</v>
      </c>
      <c r="D33" s="172">
        <v>351682324.12</v>
      </c>
      <c r="E33" s="172">
        <v>181413805.14999998</v>
      </c>
      <c r="F33" s="172"/>
      <c r="G33" s="172"/>
      <c r="H33" s="172"/>
      <c r="I33" s="172"/>
      <c r="J33" s="172"/>
      <c r="K33" s="172"/>
      <c r="L33" s="172"/>
      <c r="M33" s="172"/>
      <c r="O33" s="164">
        <f t="shared" ref="O33:Z36" si="12">B33/B39</f>
        <v>0.20537972618880546</v>
      </c>
      <c r="P33" s="164">
        <f t="shared" si="12"/>
        <v>0.20347282273462933</v>
      </c>
      <c r="Q33" s="164">
        <f t="shared" si="12"/>
        <v>0.17909057600884187</v>
      </c>
      <c r="R33" s="164">
        <f t="shared" si="12"/>
        <v>0.16214731713714503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29" x14ac:dyDescent="0.35">
      <c r="A34" s="165" t="s">
        <v>415</v>
      </c>
      <c r="B34" s="173">
        <v>959429698.16999984</v>
      </c>
      <c r="C34" s="173">
        <v>939769994.87</v>
      </c>
      <c r="D34" s="173">
        <v>1130729243.7499998</v>
      </c>
      <c r="E34" s="173">
        <v>361057850.86000001</v>
      </c>
      <c r="F34" s="173"/>
      <c r="G34" s="173"/>
      <c r="H34" s="173"/>
      <c r="I34" s="173"/>
      <c r="J34" s="173"/>
      <c r="K34" s="173"/>
      <c r="L34" s="173"/>
      <c r="M34" s="173"/>
      <c r="O34" s="164">
        <f t="shared" si="12"/>
        <v>0.28972912021068942</v>
      </c>
      <c r="P34" s="164">
        <f t="shared" si="12"/>
        <v>0.29566719457304302</v>
      </c>
      <c r="Q34" s="164">
        <f t="shared" si="12"/>
        <v>0.30923825920167053</v>
      </c>
      <c r="R34" s="164">
        <f t="shared" si="12"/>
        <v>0.19945114804935196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C34" s="160"/>
    </row>
    <row r="35" spans="1:29" x14ac:dyDescent="0.35">
      <c r="A35" s="167" t="s">
        <v>416</v>
      </c>
      <c r="B35" s="174">
        <v>4850201.51</v>
      </c>
      <c r="C35" s="174">
        <v>3867767.09</v>
      </c>
      <c r="D35" s="174">
        <v>4604969.42</v>
      </c>
      <c r="E35" s="174">
        <v>2676456.5999999996</v>
      </c>
      <c r="F35" s="174"/>
      <c r="G35" s="174"/>
      <c r="H35" s="174"/>
      <c r="I35" s="174"/>
      <c r="J35" s="174"/>
      <c r="K35" s="174"/>
      <c r="L35" s="174"/>
      <c r="M35" s="174"/>
      <c r="O35" s="164">
        <f t="shared" si="12"/>
        <v>6.7963401756261019E-2</v>
      </c>
      <c r="P35" s="164">
        <f t="shared" si="12"/>
        <v>6.4066417313238602E-2</v>
      </c>
      <c r="Q35" s="164">
        <f t="shared" si="12"/>
        <v>6.8306851430242135E-2</v>
      </c>
      <c r="R35" s="164">
        <f t="shared" si="12"/>
        <v>7.0317843770285757E-2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29" x14ac:dyDescent="0.35">
      <c r="B36" s="171">
        <f t="shared" ref="B36:D36" si="13">SUM(B33:B35)</f>
        <v>1325725460.2999997</v>
      </c>
      <c r="C36" s="171">
        <f t="shared" si="13"/>
        <v>1295332973.0899999</v>
      </c>
      <c r="D36" s="171">
        <f t="shared" si="13"/>
        <v>1487016537.29</v>
      </c>
      <c r="E36" s="171">
        <f t="shared" ref="E36:M36" si="14">SUM(E33:E35)</f>
        <v>545148112.61000001</v>
      </c>
      <c r="F36" s="171">
        <f t="shared" si="14"/>
        <v>0</v>
      </c>
      <c r="G36" s="171">
        <f t="shared" si="14"/>
        <v>0</v>
      </c>
      <c r="H36" s="171">
        <f t="shared" si="14"/>
        <v>0</v>
      </c>
      <c r="I36" s="171">
        <f t="shared" si="14"/>
        <v>0</v>
      </c>
      <c r="J36" s="171">
        <f t="shared" si="14"/>
        <v>0</v>
      </c>
      <c r="K36" s="171">
        <f t="shared" si="14"/>
        <v>0</v>
      </c>
      <c r="L36" s="171">
        <f t="shared" si="14"/>
        <v>0</v>
      </c>
      <c r="M36" s="171">
        <f t="shared" si="14"/>
        <v>0</v>
      </c>
      <c r="O36" s="164">
        <f t="shared" si="12"/>
        <v>0.2577865489793344</v>
      </c>
      <c r="P36" s="164">
        <f t="shared" si="12"/>
        <v>0.26077170972903302</v>
      </c>
      <c r="Q36" s="164">
        <f t="shared" si="12"/>
        <v>0.26144764088908051</v>
      </c>
      <c r="R36" s="164">
        <f t="shared" si="12"/>
        <v>0.18372846288444769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8" spans="1:29" x14ac:dyDescent="0.35">
      <c r="A38" s="159" t="s">
        <v>418</v>
      </c>
    </row>
    <row r="39" spans="1:29" x14ac:dyDescent="0.35">
      <c r="A39" s="161" t="s">
        <v>414</v>
      </c>
      <c r="B39" s="172">
        <f>B27+B33</f>
        <v>1759889193.1900001</v>
      </c>
      <c r="C39" s="172">
        <f t="shared" ref="C39:M42" si="15">C27+C33</f>
        <v>1728462830.5799997</v>
      </c>
      <c r="D39" s="172">
        <f t="shared" si="15"/>
        <v>1963712061</v>
      </c>
      <c r="E39" s="172">
        <f t="shared" si="15"/>
        <v>1118820886.79</v>
      </c>
      <c r="F39" s="172">
        <f t="shared" si="15"/>
        <v>0</v>
      </c>
      <c r="G39" s="172">
        <f t="shared" si="15"/>
        <v>0</v>
      </c>
      <c r="H39" s="172">
        <f t="shared" si="15"/>
        <v>0</v>
      </c>
      <c r="I39" s="172">
        <f t="shared" si="15"/>
        <v>0</v>
      </c>
      <c r="J39" s="172">
        <f t="shared" si="15"/>
        <v>0</v>
      </c>
      <c r="K39" s="172">
        <f t="shared" si="15"/>
        <v>0</v>
      </c>
      <c r="L39" s="172">
        <f t="shared" si="15"/>
        <v>0</v>
      </c>
      <c r="M39" s="172">
        <f t="shared" si="15"/>
        <v>0</v>
      </c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29" x14ac:dyDescent="0.35">
      <c r="A40" s="165" t="s">
        <v>415</v>
      </c>
      <c r="B40" s="173">
        <f t="shared" ref="B40:B42" si="17">B28+B34</f>
        <v>3311471409.8199997</v>
      </c>
      <c r="C40" s="173">
        <f t="shared" si="15"/>
        <v>3178472323.3400002</v>
      </c>
      <c r="D40" s="173">
        <f t="shared" si="15"/>
        <v>3656498541.5100002</v>
      </c>
      <c r="E40" s="173">
        <f t="shared" si="15"/>
        <v>1810257069.9200001</v>
      </c>
      <c r="F40" s="173">
        <f t="shared" si="15"/>
        <v>0</v>
      </c>
      <c r="G40" s="173">
        <f t="shared" si="15"/>
        <v>0</v>
      </c>
      <c r="H40" s="173">
        <f t="shared" si="15"/>
        <v>0</v>
      </c>
      <c r="I40" s="173">
        <f t="shared" si="15"/>
        <v>0</v>
      </c>
      <c r="J40" s="173">
        <f t="shared" si="15"/>
        <v>0</v>
      </c>
      <c r="K40" s="173">
        <f t="shared" si="15"/>
        <v>0</v>
      </c>
      <c r="L40" s="173">
        <f t="shared" si="15"/>
        <v>0</v>
      </c>
      <c r="M40" s="173">
        <f t="shared" si="15"/>
        <v>0</v>
      </c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0.99999999999999989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29" x14ac:dyDescent="0.35">
      <c r="A41" s="167" t="s">
        <v>416</v>
      </c>
      <c r="B41" s="174">
        <f t="shared" si="17"/>
        <v>71364902.060000002</v>
      </c>
      <c r="C41" s="174">
        <f t="shared" si="15"/>
        <v>60371209.320000008</v>
      </c>
      <c r="D41" s="174">
        <f t="shared" si="15"/>
        <v>67415922.760000005</v>
      </c>
      <c r="E41" s="174">
        <f t="shared" si="15"/>
        <v>38062267.789999999</v>
      </c>
      <c r="F41" s="174">
        <f t="shared" si="15"/>
        <v>0</v>
      </c>
      <c r="G41" s="174">
        <f t="shared" si="15"/>
        <v>0</v>
      </c>
      <c r="H41" s="174">
        <f t="shared" si="15"/>
        <v>0</v>
      </c>
      <c r="I41" s="174">
        <f t="shared" si="15"/>
        <v>0</v>
      </c>
      <c r="J41" s="174">
        <f t="shared" si="15"/>
        <v>0</v>
      </c>
      <c r="K41" s="174">
        <f t="shared" si="15"/>
        <v>0</v>
      </c>
      <c r="L41" s="174">
        <f t="shared" si="15"/>
        <v>0</v>
      </c>
      <c r="M41" s="174">
        <f t="shared" si="15"/>
        <v>0</v>
      </c>
      <c r="O41" s="170">
        <f t="shared" si="16"/>
        <v>1</v>
      </c>
      <c r="P41" s="170">
        <f t="shared" si="16"/>
        <v>0.99999999999999989</v>
      </c>
      <c r="Q41" s="170">
        <f t="shared" si="16"/>
        <v>1</v>
      </c>
      <c r="R41" s="170">
        <f t="shared" si="16"/>
        <v>0.99999999999999989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29" x14ac:dyDescent="0.35">
      <c r="B42" s="171">
        <f t="shared" si="17"/>
        <v>5142725505.0699997</v>
      </c>
      <c r="C42" s="171">
        <f t="shared" si="15"/>
        <v>4967306363.2399998</v>
      </c>
      <c r="D42" s="171">
        <f t="shared" si="15"/>
        <v>5687626525.2700005</v>
      </c>
      <c r="E42" s="171">
        <f t="shared" si="15"/>
        <v>2967140224.5</v>
      </c>
      <c r="F42" s="171">
        <f t="shared" si="15"/>
        <v>0</v>
      </c>
      <c r="G42" s="171">
        <f t="shared" si="15"/>
        <v>0</v>
      </c>
      <c r="H42" s="171">
        <f t="shared" si="15"/>
        <v>0</v>
      </c>
      <c r="I42" s="171">
        <f t="shared" si="15"/>
        <v>0</v>
      </c>
      <c r="J42" s="171">
        <f t="shared" si="15"/>
        <v>0</v>
      </c>
      <c r="K42" s="171">
        <f t="shared" si="15"/>
        <v>0</v>
      </c>
      <c r="L42" s="171">
        <f t="shared" si="15"/>
        <v>0</v>
      </c>
      <c r="M42" s="171">
        <f t="shared" si="15"/>
        <v>0</v>
      </c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0.99999999999999989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29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29" ht="15.65" customHeight="1" x14ac:dyDescent="0.35">
      <c r="A45" s="157" t="s">
        <v>420</v>
      </c>
    </row>
    <row r="46" spans="1:29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29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29" x14ac:dyDescent="0.35">
      <c r="A48" s="161" t="s">
        <v>414</v>
      </c>
      <c r="B48" s="172">
        <v>78411410.37000002</v>
      </c>
      <c r="C48" s="172">
        <v>64645383.260000005</v>
      </c>
      <c r="D48" s="172">
        <v>92159069.789999992</v>
      </c>
      <c r="E48" s="172">
        <v>59285330.210000001</v>
      </c>
      <c r="F48" s="172"/>
      <c r="G48" s="172"/>
      <c r="H48" s="172"/>
      <c r="I48" s="172"/>
      <c r="J48" s="172"/>
      <c r="K48" s="172"/>
      <c r="L48" s="172"/>
      <c r="M48" s="172"/>
      <c r="O48" s="164">
        <f t="shared" ref="O48:Z51" si="18">B48/B66</f>
        <v>0.75456609909856565</v>
      </c>
      <c r="P48" s="164">
        <f t="shared" si="18"/>
        <v>0.73457298459532527</v>
      </c>
      <c r="Q48" s="164">
        <f t="shared" si="18"/>
        <v>0.77565693548193682</v>
      </c>
      <c r="R48" s="164">
        <f t="shared" si="18"/>
        <v>0.81537110021139814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73">
        <v>50654060.109999999</v>
      </c>
      <c r="C49" s="173">
        <v>43744176.610000014</v>
      </c>
      <c r="D49" s="173">
        <v>58744931.140000015</v>
      </c>
      <c r="E49" s="173">
        <v>44216587.759999998</v>
      </c>
      <c r="F49" s="173"/>
      <c r="G49" s="173"/>
      <c r="H49" s="173"/>
      <c r="I49" s="173"/>
      <c r="J49" s="173"/>
      <c r="K49" s="173"/>
      <c r="L49" s="173"/>
      <c r="M49" s="173"/>
      <c r="O49" s="164">
        <f t="shared" si="18"/>
        <v>0.83182990148447067</v>
      </c>
      <c r="P49" s="164">
        <f t="shared" si="18"/>
        <v>0.81339565486524357</v>
      </c>
      <c r="Q49" s="164">
        <f t="shared" si="18"/>
        <v>0.83691022596560416</v>
      </c>
      <c r="R49" s="164">
        <f t="shared" si="18"/>
        <v>0.87208217760009166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74">
        <v>2700367.05</v>
      </c>
      <c r="C50" s="174">
        <v>2040492.1</v>
      </c>
      <c r="D50" s="174">
        <v>2760036.87</v>
      </c>
      <c r="E50" s="174">
        <v>2228078.77</v>
      </c>
      <c r="F50" s="174"/>
      <c r="G50" s="174"/>
      <c r="H50" s="174"/>
      <c r="I50" s="174"/>
      <c r="J50" s="174"/>
      <c r="K50" s="174"/>
      <c r="L50" s="174"/>
      <c r="M50" s="174"/>
      <c r="O50" s="164">
        <f t="shared" si="18"/>
        <v>0.79628436807066894</v>
      </c>
      <c r="P50" s="164">
        <f t="shared" si="18"/>
        <v>0.80516842553078893</v>
      </c>
      <c r="Q50" s="164">
        <f t="shared" si="18"/>
        <v>0.82947396026159359</v>
      </c>
      <c r="R50" s="164">
        <f t="shared" si="18"/>
        <v>0.8878814991400108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71">
        <f t="shared" ref="B51:D51" si="19">SUM(B48:B50)</f>
        <v>131765837.53000002</v>
      </c>
      <c r="C51" s="171">
        <f t="shared" si="19"/>
        <v>110430051.97000001</v>
      </c>
      <c r="D51" s="171">
        <f t="shared" si="19"/>
        <v>153664037.80000001</v>
      </c>
      <c r="E51" s="171">
        <f t="shared" ref="E51:M51" si="20">SUM(E48:E50)</f>
        <v>105729996.73999999</v>
      </c>
      <c r="F51" s="171">
        <f t="shared" si="20"/>
        <v>0</v>
      </c>
      <c r="G51" s="171">
        <f t="shared" si="20"/>
        <v>0</v>
      </c>
      <c r="H51" s="171">
        <f t="shared" si="20"/>
        <v>0</v>
      </c>
      <c r="I51" s="171">
        <f t="shared" si="20"/>
        <v>0</v>
      </c>
      <c r="J51" s="171">
        <f t="shared" si="20"/>
        <v>0</v>
      </c>
      <c r="K51" s="171">
        <f t="shared" si="20"/>
        <v>0</v>
      </c>
      <c r="L51" s="171">
        <f t="shared" si="20"/>
        <v>0</v>
      </c>
      <c r="M51" s="171">
        <f t="shared" si="20"/>
        <v>0</v>
      </c>
      <c r="O51" s="164">
        <f t="shared" si="18"/>
        <v>0.78337930436929726</v>
      </c>
      <c r="P51" s="164">
        <f t="shared" si="18"/>
        <v>0.76518570439927136</v>
      </c>
      <c r="Q51" s="164">
        <f t="shared" si="18"/>
        <v>0.79894245101879136</v>
      </c>
      <c r="R51" s="164">
        <f t="shared" si="18"/>
        <v>0.83965087734435151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3" spans="1:26" x14ac:dyDescent="0.35">
      <c r="A53" s="159" t="s">
        <v>421</v>
      </c>
    </row>
    <row r="54" spans="1:26" x14ac:dyDescent="0.35">
      <c r="A54" s="161" t="s">
        <v>414</v>
      </c>
      <c r="B54" s="172">
        <v>2800375.21</v>
      </c>
      <c r="C54" s="172">
        <v>2821627.1</v>
      </c>
      <c r="D54" s="172">
        <v>2864880.02</v>
      </c>
      <c r="E54" s="172">
        <v>1659739.16</v>
      </c>
      <c r="F54" s="172"/>
      <c r="G54" s="172"/>
      <c r="H54" s="172"/>
      <c r="I54" s="172"/>
      <c r="J54" s="172"/>
      <c r="K54" s="172"/>
      <c r="L54" s="172"/>
      <c r="M54" s="172"/>
      <c r="O54" s="164">
        <f t="shared" ref="O54:Z57" si="21">B54/B66</f>
        <v>2.6948478394293495E-2</v>
      </c>
      <c r="P54" s="164">
        <f t="shared" si="21"/>
        <v>3.2062475860430872E-2</v>
      </c>
      <c r="Q54" s="164">
        <f t="shared" si="21"/>
        <v>2.411226656150291E-2</v>
      </c>
      <c r="R54" s="164">
        <f t="shared" si="21"/>
        <v>2.2826951290639386E-2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73">
        <v>1273856.67</v>
      </c>
      <c r="C55" s="173">
        <v>1283539.18</v>
      </c>
      <c r="D55" s="173">
        <v>1296951.5199999998</v>
      </c>
      <c r="E55" s="173">
        <v>901981.70000000019</v>
      </c>
      <c r="F55" s="173"/>
      <c r="G55" s="173"/>
      <c r="H55" s="173"/>
      <c r="I55" s="173"/>
      <c r="J55" s="173"/>
      <c r="K55" s="173"/>
      <c r="L55" s="173"/>
      <c r="M55" s="173"/>
      <c r="O55" s="164">
        <f t="shared" si="21"/>
        <v>2.091899575296326E-2</v>
      </c>
      <c r="P55" s="164">
        <f t="shared" si="21"/>
        <v>2.3866609747150463E-2</v>
      </c>
      <c r="Q55" s="164">
        <f t="shared" si="21"/>
        <v>1.8477032292077231E-2</v>
      </c>
      <c r="R55" s="164">
        <f t="shared" si="21"/>
        <v>1.7789752781489459E-2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74">
        <v>473.70000000000005</v>
      </c>
      <c r="C56" s="174">
        <v>519.9</v>
      </c>
      <c r="D56" s="174">
        <v>164</v>
      </c>
      <c r="E56" s="174">
        <v>805.8</v>
      </c>
      <c r="F56" s="174"/>
      <c r="G56" s="174"/>
      <c r="H56" s="174"/>
      <c r="I56" s="174"/>
      <c r="J56" s="174"/>
      <c r="K56" s="174"/>
      <c r="L56" s="174"/>
      <c r="M56" s="174"/>
      <c r="O56" s="164">
        <f t="shared" si="21"/>
        <v>1.3968467921984012E-4</v>
      </c>
      <c r="P56" s="164">
        <f t="shared" si="21"/>
        <v>2.0515005396661774E-4</v>
      </c>
      <c r="Q56" s="164">
        <f t="shared" si="21"/>
        <v>4.9286924736951552E-5</v>
      </c>
      <c r="R56" s="164">
        <f t="shared" si="21"/>
        <v>3.2110844627231052E-4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71">
        <f t="shared" ref="B57:D57" si="22">SUM(B54:B56)</f>
        <v>4074705.58</v>
      </c>
      <c r="C57" s="171">
        <f t="shared" si="22"/>
        <v>4105686.18</v>
      </c>
      <c r="D57" s="171">
        <f t="shared" si="22"/>
        <v>4161995.54</v>
      </c>
      <c r="E57" s="171">
        <f t="shared" ref="E57:M57" si="23">SUM(E54:E56)</f>
        <v>2562526.66</v>
      </c>
      <c r="F57" s="171">
        <f t="shared" si="23"/>
        <v>0</v>
      </c>
      <c r="G57" s="171">
        <f t="shared" si="23"/>
        <v>0</v>
      </c>
      <c r="H57" s="171">
        <f t="shared" si="23"/>
        <v>0</v>
      </c>
      <c r="I57" s="171">
        <f t="shared" si="23"/>
        <v>0</v>
      </c>
      <c r="J57" s="171">
        <f t="shared" si="23"/>
        <v>0</v>
      </c>
      <c r="K57" s="171">
        <f t="shared" si="23"/>
        <v>0</v>
      </c>
      <c r="L57" s="171">
        <f t="shared" si="23"/>
        <v>0</v>
      </c>
      <c r="M57" s="171">
        <f t="shared" si="23"/>
        <v>0</v>
      </c>
      <c r="O57" s="164">
        <f t="shared" si="21"/>
        <v>2.4225095689490387E-2</v>
      </c>
      <c r="P57" s="164">
        <f t="shared" si="21"/>
        <v>2.8448889732833958E-2</v>
      </c>
      <c r="Q57" s="164">
        <f t="shared" si="21"/>
        <v>2.1639382678364565E-2</v>
      </c>
      <c r="R57" s="164">
        <f t="shared" si="21"/>
        <v>2.035021114753598E-2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</row>
    <row r="59" spans="1:26" x14ac:dyDescent="0.35">
      <c r="A59" s="159" t="s">
        <v>417</v>
      </c>
    </row>
    <row r="60" spans="1:26" x14ac:dyDescent="0.35">
      <c r="A60" s="161" t="s">
        <v>414</v>
      </c>
      <c r="B60" s="172">
        <v>22704107.890000001</v>
      </c>
      <c r="C60" s="172">
        <v>20537020.030000001</v>
      </c>
      <c r="D60" s="172">
        <v>23790265.050000001</v>
      </c>
      <c r="E60" s="172">
        <v>11764559.650000002</v>
      </c>
      <c r="F60" s="172"/>
      <c r="G60" s="172"/>
      <c r="H60" s="172"/>
      <c r="I60" s="172"/>
      <c r="J60" s="172"/>
      <c r="K60" s="172"/>
      <c r="L60" s="172"/>
      <c r="M60" s="172"/>
      <c r="O60" s="164">
        <f t="shared" ref="O60:Z63" si="24">B60/B66</f>
        <v>0.21848542250714093</v>
      </c>
      <c r="P60" s="164">
        <f t="shared" si="24"/>
        <v>0.23336453954424394</v>
      </c>
      <c r="Q60" s="164">
        <f t="shared" si="24"/>
        <v>0.20023079795656029</v>
      </c>
      <c r="R60" s="164">
        <f t="shared" si="24"/>
        <v>0.16180194849796253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73">
        <v>8966816.6500000004</v>
      </c>
      <c r="C61" s="173">
        <v>8751987.0500000007</v>
      </c>
      <c r="D61" s="173">
        <v>10150748.900000002</v>
      </c>
      <c r="E61" s="173">
        <v>5583748.3899999987</v>
      </c>
      <c r="F61" s="173"/>
      <c r="G61" s="173"/>
      <c r="H61" s="173"/>
      <c r="I61" s="173"/>
      <c r="J61" s="173"/>
      <c r="K61" s="173"/>
      <c r="L61" s="173"/>
      <c r="M61" s="173"/>
      <c r="O61" s="164">
        <f t="shared" si="24"/>
        <v>0.14725110276256612</v>
      </c>
      <c r="P61" s="164">
        <f t="shared" si="24"/>
        <v>0.16273773538760591</v>
      </c>
      <c r="Q61" s="164">
        <f t="shared" si="24"/>
        <v>0.14461274174231856</v>
      </c>
      <c r="R61" s="164">
        <f t="shared" si="24"/>
        <v>0.11012806961841881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74">
        <v>690368.66999999993</v>
      </c>
      <c r="C62" s="174">
        <v>493230.56999999995</v>
      </c>
      <c r="D62" s="174">
        <v>567253.6399999999</v>
      </c>
      <c r="E62" s="174">
        <v>280548.02</v>
      </c>
      <c r="F62" s="174"/>
      <c r="G62" s="174"/>
      <c r="H62" s="174"/>
      <c r="I62" s="174"/>
      <c r="J62" s="174"/>
      <c r="K62" s="174"/>
      <c r="L62" s="174"/>
      <c r="M62" s="174"/>
      <c r="O62" s="164">
        <f t="shared" si="24"/>
        <v>0.20357594725011113</v>
      </c>
      <c r="P62" s="164">
        <f t="shared" si="24"/>
        <v>0.1946264244152445</v>
      </c>
      <c r="Q62" s="164">
        <f t="shared" si="24"/>
        <v>0.17047675281366956</v>
      </c>
      <c r="R62" s="164">
        <f t="shared" si="24"/>
        <v>0.11179739241371693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71">
        <f t="shared" ref="B63:D63" si="25">SUM(B60:B62)</f>
        <v>32361293.210000001</v>
      </c>
      <c r="C63" s="171">
        <f t="shared" si="25"/>
        <v>29782237.650000002</v>
      </c>
      <c r="D63" s="171">
        <f t="shared" si="25"/>
        <v>34508267.590000004</v>
      </c>
      <c r="E63" s="171">
        <f t="shared" ref="E63:M63" si="26">SUM(E60:E62)</f>
        <v>17628856.059999999</v>
      </c>
      <c r="F63" s="171">
        <f t="shared" si="26"/>
        <v>0</v>
      </c>
      <c r="G63" s="171">
        <f t="shared" si="26"/>
        <v>0</v>
      </c>
      <c r="H63" s="171">
        <f t="shared" si="26"/>
        <v>0</v>
      </c>
      <c r="I63" s="171">
        <f t="shared" si="26"/>
        <v>0</v>
      </c>
      <c r="J63" s="171">
        <f t="shared" si="26"/>
        <v>0</v>
      </c>
      <c r="K63" s="171">
        <f t="shared" si="26"/>
        <v>0</v>
      </c>
      <c r="L63" s="171">
        <f t="shared" si="26"/>
        <v>0</v>
      </c>
      <c r="M63" s="171">
        <f t="shared" si="26"/>
        <v>0</v>
      </c>
      <c r="O63" s="164">
        <f t="shared" si="24"/>
        <v>0.19239559994121233</v>
      </c>
      <c r="P63" s="164">
        <f t="shared" si="24"/>
        <v>0.20636540586789467</v>
      </c>
      <c r="Q63" s="164">
        <f t="shared" si="24"/>
        <v>0.1794181663028441</v>
      </c>
      <c r="R63" s="164">
        <f t="shared" si="24"/>
        <v>0.13999891150811253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5" spans="1:26" x14ac:dyDescent="0.35">
      <c r="A65" s="159" t="s">
        <v>418</v>
      </c>
    </row>
    <row r="66" spans="1:26" x14ac:dyDescent="0.35">
      <c r="A66" s="161" t="s">
        <v>414</v>
      </c>
      <c r="B66" s="172">
        <f>B48+B54+B60</f>
        <v>103915893.47000001</v>
      </c>
      <c r="C66" s="172">
        <f t="shared" ref="C66:M69" si="27">C48+C54+C60</f>
        <v>88004030.390000001</v>
      </c>
      <c r="D66" s="172">
        <f t="shared" si="27"/>
        <v>118814214.85999998</v>
      </c>
      <c r="E66" s="172">
        <f t="shared" si="27"/>
        <v>72709629.019999996</v>
      </c>
      <c r="F66" s="172">
        <f t="shared" si="27"/>
        <v>0</v>
      </c>
      <c r="G66" s="172">
        <f t="shared" si="27"/>
        <v>0</v>
      </c>
      <c r="H66" s="172">
        <f t="shared" si="27"/>
        <v>0</v>
      </c>
      <c r="I66" s="172">
        <f t="shared" si="27"/>
        <v>0</v>
      </c>
      <c r="J66" s="172">
        <f t="shared" si="27"/>
        <v>0</v>
      </c>
      <c r="K66" s="172">
        <f t="shared" si="27"/>
        <v>0</v>
      </c>
      <c r="L66" s="172">
        <f t="shared" si="27"/>
        <v>0</v>
      </c>
      <c r="M66" s="172">
        <f t="shared" si="27"/>
        <v>0</v>
      </c>
      <c r="O66" s="170">
        <f t="shared" ref="O66:Z69" si="28">O48+O54+O60</f>
        <v>1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73">
        <f t="shared" ref="B67:B69" si="29">B49+B55+B61</f>
        <v>60894733.43</v>
      </c>
      <c r="C67" s="173">
        <f t="shared" si="27"/>
        <v>53779702.840000018</v>
      </c>
      <c r="D67" s="173">
        <f t="shared" si="27"/>
        <v>70192631.560000017</v>
      </c>
      <c r="E67" s="173">
        <f t="shared" si="27"/>
        <v>50702317.850000001</v>
      </c>
      <c r="F67" s="173">
        <f t="shared" si="27"/>
        <v>0</v>
      </c>
      <c r="G67" s="173">
        <f t="shared" si="27"/>
        <v>0</v>
      </c>
      <c r="H67" s="173">
        <f t="shared" si="27"/>
        <v>0</v>
      </c>
      <c r="I67" s="173">
        <f t="shared" si="27"/>
        <v>0</v>
      </c>
      <c r="J67" s="173">
        <f t="shared" si="27"/>
        <v>0</v>
      </c>
      <c r="K67" s="173">
        <f t="shared" si="27"/>
        <v>0</v>
      </c>
      <c r="L67" s="173">
        <f t="shared" si="27"/>
        <v>0</v>
      </c>
      <c r="M67" s="173">
        <f t="shared" si="27"/>
        <v>0</v>
      </c>
      <c r="O67" s="170">
        <f t="shared" si="28"/>
        <v>1</v>
      </c>
      <c r="P67" s="170">
        <f t="shared" si="28"/>
        <v>1</v>
      </c>
      <c r="Q67" s="170">
        <f t="shared" si="28"/>
        <v>0.99999999999999989</v>
      </c>
      <c r="R67" s="170">
        <f t="shared" si="28"/>
        <v>0.99999999999999989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74">
        <f t="shared" si="29"/>
        <v>3391209.42</v>
      </c>
      <c r="C68" s="174">
        <f t="shared" si="27"/>
        <v>2534242.5699999998</v>
      </c>
      <c r="D68" s="174">
        <f t="shared" si="27"/>
        <v>3327454.51</v>
      </c>
      <c r="E68" s="174">
        <f t="shared" si="27"/>
        <v>2509432.59</v>
      </c>
      <c r="F68" s="174">
        <f t="shared" si="27"/>
        <v>0</v>
      </c>
      <c r="G68" s="174">
        <f t="shared" si="27"/>
        <v>0</v>
      </c>
      <c r="H68" s="174">
        <f t="shared" si="27"/>
        <v>0</v>
      </c>
      <c r="I68" s="174">
        <f t="shared" si="27"/>
        <v>0</v>
      </c>
      <c r="J68" s="174">
        <f t="shared" si="27"/>
        <v>0</v>
      </c>
      <c r="K68" s="174">
        <f t="shared" si="27"/>
        <v>0</v>
      </c>
      <c r="L68" s="174">
        <f t="shared" si="27"/>
        <v>0</v>
      </c>
      <c r="M68" s="174">
        <f t="shared" si="27"/>
        <v>0</v>
      </c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71">
        <f t="shared" si="29"/>
        <v>168201836.32000002</v>
      </c>
      <c r="C69" s="171">
        <f t="shared" si="27"/>
        <v>144317975.80000001</v>
      </c>
      <c r="D69" s="171">
        <f t="shared" si="27"/>
        <v>192334300.93000001</v>
      </c>
      <c r="E69" s="171">
        <f t="shared" si="27"/>
        <v>125921379.45999999</v>
      </c>
      <c r="F69" s="171">
        <f t="shared" si="27"/>
        <v>0</v>
      </c>
      <c r="G69" s="171">
        <f t="shared" si="27"/>
        <v>0</v>
      </c>
      <c r="H69" s="171">
        <f t="shared" si="27"/>
        <v>0</v>
      </c>
      <c r="I69" s="171">
        <f t="shared" si="27"/>
        <v>0</v>
      </c>
      <c r="J69" s="171">
        <f t="shared" si="27"/>
        <v>0</v>
      </c>
      <c r="K69" s="171">
        <f t="shared" si="27"/>
        <v>0</v>
      </c>
      <c r="L69" s="171">
        <f t="shared" si="27"/>
        <v>0</v>
      </c>
      <c r="M69" s="171">
        <f t="shared" si="27"/>
        <v>0</v>
      </c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AQ243"/>
  <sheetViews>
    <sheetView showGridLines="0" zoomScale="70" zoomScaleNormal="70" workbookViewId="0">
      <pane xSplit="2" ySplit="4" topLeftCell="E212" activePane="bottomRight" state="frozen"/>
      <selection activeCell="B212" sqref="B212"/>
      <selection pane="topRight" activeCell="B212" sqref="B212"/>
      <selection pane="bottomLeft" activeCell="B212" sqref="B212"/>
      <selection pane="bottomRight" activeCell="G237" sqref="G237"/>
    </sheetView>
  </sheetViews>
  <sheetFormatPr baseColWidth="10" defaultColWidth="11.54296875" defaultRowHeight="14.5" outlineLevelCol="1" x14ac:dyDescent="0.35"/>
  <cols>
    <col min="1" max="1" width="1.36328125" customWidth="1"/>
    <col min="2" max="2" width="60.1796875" bestFit="1" customWidth="1"/>
    <col min="3" max="3" width="1.453125" customWidth="1"/>
    <col min="4" max="8" width="15.54296875" customWidth="1" outlineLevel="1"/>
    <col min="9" max="9" width="1.54296875" customWidth="1"/>
    <col min="10" max="14" width="14.08984375" customWidth="1" outlineLevel="1"/>
    <col min="15" max="15" width="1.6328125" customWidth="1"/>
    <col min="16" max="17" width="8.54296875" hidden="1" customWidth="1"/>
    <col min="18" max="18" width="8.54296875" customWidth="1"/>
    <col min="19" max="19" width="8.54296875" bestFit="1" customWidth="1"/>
    <col min="20" max="22" width="7.81640625" hidden="1" customWidth="1"/>
    <col min="23" max="23" width="8.54296875" hidden="1" customWidth="1"/>
    <col min="24" max="24" width="7.81640625" hidden="1" customWidth="1"/>
    <col min="25" max="25" width="8.54296875" hidden="1" customWidth="1"/>
    <col min="26" max="27" width="7.81640625" hidden="1" customWidth="1"/>
    <col min="28" max="28" width="8.54296875" bestFit="1" customWidth="1"/>
    <col min="29" max="29" width="2.6328125" customWidth="1"/>
    <col min="30" max="30" width="8.54296875" hidden="1" customWidth="1"/>
    <col min="31" max="31" width="9.08984375" customWidth="1"/>
    <col min="32" max="32" width="8.54296875" customWidth="1"/>
    <col min="33" max="33" width="9.36328125" hidden="1" customWidth="1"/>
    <col min="34" max="34" width="8.36328125" hidden="1" customWidth="1"/>
    <col min="35" max="35" width="7.54296875" hidden="1" customWidth="1"/>
    <col min="36" max="36" width="8.81640625" hidden="1" customWidth="1"/>
    <col min="37" max="37" width="8.54296875" hidden="1" customWidth="1"/>
    <col min="38" max="38" width="8.453125" hidden="1" customWidth="1"/>
    <col min="39" max="39" width="8.90625" hidden="1" customWidth="1"/>
    <col min="40" max="40" width="8" hidden="1" customWidth="1"/>
    <col min="41" max="41" width="3.6328125" customWidth="1"/>
    <col min="42" max="42" width="6" bestFit="1" customWidth="1"/>
    <col min="43" max="43" width="9.08984375" bestFit="1" customWidth="1"/>
    <col min="44" max="55" width="11.54296875" customWidth="1"/>
  </cols>
  <sheetData>
    <row r="1" spans="2:43" ht="23" customHeight="1" x14ac:dyDescent="0.35"/>
    <row r="2" spans="2:43" x14ac:dyDescent="0.35">
      <c r="D2" s="245" t="s">
        <v>71</v>
      </c>
      <c r="E2" s="246"/>
      <c r="F2" s="246"/>
      <c r="G2" s="246"/>
      <c r="H2" s="246"/>
      <c r="J2" s="247" t="s">
        <v>72</v>
      </c>
      <c r="K2" s="246"/>
      <c r="L2" s="246"/>
      <c r="M2" s="246"/>
      <c r="N2" s="246"/>
      <c r="P2" s="245" t="s">
        <v>73</v>
      </c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D2" s="248" t="s">
        <v>454</v>
      </c>
      <c r="AE2" s="246"/>
      <c r="AF2" s="246"/>
      <c r="AG2" s="246"/>
      <c r="AH2" s="246"/>
      <c r="AI2" s="246"/>
      <c r="AJ2" s="246"/>
      <c r="AK2" s="246"/>
      <c r="AL2" s="246"/>
      <c r="AM2" s="246"/>
      <c r="AN2" s="246"/>
    </row>
    <row r="3" spans="2:43" ht="5" customHeight="1" x14ac:dyDescent="0.35"/>
    <row r="4" spans="2:43" ht="17.399999999999999" customHeight="1" x14ac:dyDescent="0.35">
      <c r="B4" s="76" t="s">
        <v>74</v>
      </c>
      <c r="D4" s="77" t="s">
        <v>19</v>
      </c>
      <c r="E4" s="77" t="s">
        <v>20</v>
      </c>
      <c r="F4" s="77" t="s">
        <v>21</v>
      </c>
      <c r="G4" s="77" t="s">
        <v>22</v>
      </c>
      <c r="H4" s="77" t="s">
        <v>44</v>
      </c>
      <c r="J4" s="78" t="s">
        <v>19</v>
      </c>
      <c r="K4" s="78" t="s">
        <v>20</v>
      </c>
      <c r="L4" s="78" t="s">
        <v>21</v>
      </c>
      <c r="M4" s="78" t="s">
        <v>22</v>
      </c>
      <c r="N4" s="78" t="s">
        <v>44</v>
      </c>
      <c r="P4" s="79" t="s">
        <v>19</v>
      </c>
      <c r="Q4" s="79" t="s">
        <v>20</v>
      </c>
      <c r="R4" s="79" t="s">
        <v>21</v>
      </c>
      <c r="S4" s="79" t="s">
        <v>22</v>
      </c>
      <c r="T4" s="79" t="s">
        <v>23</v>
      </c>
      <c r="U4" s="79" t="s">
        <v>24</v>
      </c>
      <c r="V4" s="79" t="s">
        <v>25</v>
      </c>
      <c r="W4" s="79" t="s">
        <v>26</v>
      </c>
      <c r="X4" s="79" t="s">
        <v>27</v>
      </c>
      <c r="Y4" s="79" t="s">
        <v>28</v>
      </c>
      <c r="Z4" s="79" t="s">
        <v>29</v>
      </c>
      <c r="AA4" s="79" t="s">
        <v>30</v>
      </c>
      <c r="AB4" s="79" t="s">
        <v>44</v>
      </c>
      <c r="AD4" s="76" t="s">
        <v>75</v>
      </c>
      <c r="AE4" s="76" t="s">
        <v>76</v>
      </c>
      <c r="AF4" s="76" t="s">
        <v>77</v>
      </c>
      <c r="AG4" s="76" t="s">
        <v>78</v>
      </c>
      <c r="AH4" s="76" t="s">
        <v>79</v>
      </c>
      <c r="AI4" s="76" t="s">
        <v>80</v>
      </c>
      <c r="AJ4" s="76" t="s">
        <v>81</v>
      </c>
      <c r="AK4" s="76" t="s">
        <v>82</v>
      </c>
      <c r="AL4" s="76" t="s">
        <v>83</v>
      </c>
      <c r="AM4" s="76" t="s">
        <v>84</v>
      </c>
      <c r="AN4" s="76" t="s">
        <v>289</v>
      </c>
      <c r="AP4" s="76" t="s">
        <v>85</v>
      </c>
      <c r="AQ4" s="76" t="s">
        <v>86</v>
      </c>
    </row>
    <row r="5" spans="2:43" x14ac:dyDescent="0.35">
      <c r="B5" s="80" t="s">
        <v>87</v>
      </c>
      <c r="D5" s="137">
        <v>112747135</v>
      </c>
      <c r="E5" s="137">
        <v>105746923</v>
      </c>
      <c r="F5" s="137">
        <v>112493875</v>
      </c>
      <c r="G5" s="137">
        <v>106349659</v>
      </c>
      <c r="H5" s="137">
        <f t="shared" ref="H5:H68" si="0">+SUM(D5:G5)</f>
        <v>437337592</v>
      </c>
      <c r="J5" s="137">
        <v>16444200</v>
      </c>
      <c r="K5" s="137">
        <v>15425572</v>
      </c>
      <c r="L5" s="137">
        <v>16357079</v>
      </c>
      <c r="M5" s="137">
        <v>15326909</v>
      </c>
      <c r="N5" s="137">
        <f t="shared" ref="N5:N68" si="1">+SUM(J5:M5)</f>
        <v>63553760</v>
      </c>
      <c r="P5" s="81">
        <f t="shared" ref="P5:P68" si="2">+IFERROR(J5/D5,"")</f>
        <v>0.14585026927735237</v>
      </c>
      <c r="Q5" s="81">
        <f t="shared" ref="Q5:Q68" si="3">+IFERROR(K5/E5,"")</f>
        <v>0.14587253758674379</v>
      </c>
      <c r="R5" s="81">
        <f t="shared" ref="R5:R68" si="4">+IFERROR(L5/F5,"")</f>
        <v>0.14540417422726348</v>
      </c>
      <c r="S5" s="81">
        <f t="shared" ref="S5:S68" si="5">+IFERROR(M5/G5,"")</f>
        <v>0.14411808316188396</v>
      </c>
      <c r="T5" s="81" t="str">
        <f>+IFERROR(#REF!/#REF!,"")</f>
        <v/>
      </c>
      <c r="U5" s="81" t="str">
        <f>+IFERROR(#REF!/#REF!,"")</f>
        <v/>
      </c>
      <c r="V5" s="81" t="str">
        <f>+IFERROR(#REF!/#REF!,"")</f>
        <v/>
      </c>
      <c r="W5" s="81" t="str">
        <f>+IFERROR(#REF!/#REF!,"")</f>
        <v/>
      </c>
      <c r="X5" s="81" t="str">
        <f>+IFERROR(#REF!/#REF!,"")</f>
        <v/>
      </c>
      <c r="Y5" s="81" t="str">
        <f>+IFERROR(#REF!/#REF!,"")</f>
        <v/>
      </c>
      <c r="Z5" s="81" t="str">
        <f>+IFERROR(#REF!/#REF!,"")</f>
        <v/>
      </c>
      <c r="AA5" s="81" t="str">
        <f>+IFERROR(#REF!/#REF!,"")</f>
        <v/>
      </c>
      <c r="AB5" s="81">
        <f t="shared" ref="AB5:AB68" si="6">+IFERROR(N5/H5,"")</f>
        <v>0.14531968246626281</v>
      </c>
      <c r="AD5" s="138">
        <f t="shared" ref="AD5:AN28" si="7">+IFERROR(Q5-P5,"")</f>
        <v>2.2268309391421104E-5</v>
      </c>
      <c r="AE5" s="138">
        <f t="shared" si="7"/>
        <v>-4.6836335948030605E-4</v>
      </c>
      <c r="AF5" s="138">
        <f t="shared" si="7"/>
        <v>-1.2860910653795243E-3</v>
      </c>
      <c r="AG5" s="138" t="str">
        <f t="shared" si="7"/>
        <v/>
      </c>
      <c r="AH5" s="138" t="str">
        <f t="shared" si="7"/>
        <v/>
      </c>
      <c r="AI5" s="138" t="str">
        <f t="shared" si="7"/>
        <v/>
      </c>
      <c r="AJ5" s="138" t="str">
        <f t="shared" si="7"/>
        <v/>
      </c>
      <c r="AK5" s="138" t="str">
        <f t="shared" si="7"/>
        <v/>
      </c>
      <c r="AL5" s="138" t="str">
        <f t="shared" si="7"/>
        <v/>
      </c>
      <c r="AM5" s="138" t="str">
        <f t="shared" si="7"/>
        <v/>
      </c>
      <c r="AN5" s="138" t="str">
        <f t="shared" si="7"/>
        <v/>
      </c>
      <c r="AP5" s="82">
        <f t="shared" ref="AP5:AP36" si="8">+N5/$N$235</f>
        <v>5.9490955202202683E-2</v>
      </c>
      <c r="AQ5" s="82">
        <f>+AP5</f>
        <v>5.9490955202202683E-2</v>
      </c>
    </row>
    <row r="6" spans="2:43" x14ac:dyDescent="0.35">
      <c r="B6" s="80" t="s">
        <v>88</v>
      </c>
      <c r="D6" s="137">
        <v>218028733</v>
      </c>
      <c r="E6" s="137">
        <v>221668455</v>
      </c>
      <c r="F6" s="137">
        <v>279100660</v>
      </c>
      <c r="G6" s="137">
        <v>263266944</v>
      </c>
      <c r="H6" s="137">
        <f t="shared" si="0"/>
        <v>982064792</v>
      </c>
      <c r="J6" s="137">
        <v>23632419</v>
      </c>
      <c r="K6" s="137">
        <v>23060673</v>
      </c>
      <c r="L6" s="137">
        <v>27604143</v>
      </c>
      <c r="M6" s="137">
        <v>24763961</v>
      </c>
      <c r="N6" s="137">
        <f t="shared" si="1"/>
        <v>99061196</v>
      </c>
      <c r="P6" s="81">
        <f t="shared" si="2"/>
        <v>0.10839130547073353</v>
      </c>
      <c r="Q6" s="81">
        <f t="shared" si="3"/>
        <v>0.10403227198024184</v>
      </c>
      <c r="R6" s="81">
        <f t="shared" si="4"/>
        <v>9.8903897253413878E-2</v>
      </c>
      <c r="S6" s="81">
        <f t="shared" si="5"/>
        <v>9.4064072852230174E-2</v>
      </c>
      <c r="T6" s="81" t="str">
        <f>+IFERROR(#REF!/#REF!,"")</f>
        <v/>
      </c>
      <c r="U6" s="81" t="str">
        <f>+IFERROR(#REF!/#REF!,"")</f>
        <v/>
      </c>
      <c r="V6" s="81" t="str">
        <f>+IFERROR(#REF!/#REF!,"")</f>
        <v/>
      </c>
      <c r="W6" s="81" t="str">
        <f>+IFERROR(#REF!/#REF!,"")</f>
        <v/>
      </c>
      <c r="X6" s="81" t="str">
        <f>+IFERROR(#REF!/#REF!,"")</f>
        <v/>
      </c>
      <c r="Y6" s="81" t="str">
        <f>+IFERROR(#REF!/#REF!,"")</f>
        <v/>
      </c>
      <c r="Z6" s="81" t="str">
        <f>+IFERROR(#REF!/#REF!,"")</f>
        <v/>
      </c>
      <c r="AA6" s="81" t="str">
        <f>+IFERROR(#REF!/#REF!,"")</f>
        <v/>
      </c>
      <c r="AB6" s="81">
        <f t="shared" si="6"/>
        <v>0.1008703262829119</v>
      </c>
      <c r="AD6" s="138">
        <f t="shared" si="7"/>
        <v>-4.3590334904916872E-3</v>
      </c>
      <c r="AE6" s="138">
        <f t="shared" si="7"/>
        <v>-5.1283747268279639E-3</v>
      </c>
      <c r="AF6" s="138">
        <f t="shared" si="7"/>
        <v>-4.8398244011837038E-3</v>
      </c>
      <c r="AG6" s="138" t="str">
        <f t="shared" si="7"/>
        <v/>
      </c>
      <c r="AH6" s="138" t="str">
        <f t="shared" si="7"/>
        <v/>
      </c>
      <c r="AI6" s="138" t="str">
        <f t="shared" si="7"/>
        <v/>
      </c>
      <c r="AJ6" s="138" t="str">
        <f t="shared" si="7"/>
        <v/>
      </c>
      <c r="AK6" s="138" t="str">
        <f t="shared" si="7"/>
        <v/>
      </c>
      <c r="AL6" s="138" t="str">
        <f t="shared" si="7"/>
        <v/>
      </c>
      <c r="AM6" s="138" t="str">
        <f t="shared" si="7"/>
        <v/>
      </c>
      <c r="AN6" s="138" t="str">
        <f t="shared" si="7"/>
        <v/>
      </c>
      <c r="AP6" s="82">
        <f t="shared" si="8"/>
        <v>9.2728505339615144E-2</v>
      </c>
      <c r="AQ6" s="82">
        <f t="shared" ref="AQ6:AQ69" si="9">+AP6+AQ5</f>
        <v>0.15221946054181784</v>
      </c>
    </row>
    <row r="7" spans="2:43" x14ac:dyDescent="0.35">
      <c r="B7" s="80" t="s">
        <v>89</v>
      </c>
      <c r="D7" s="137">
        <v>117317466</v>
      </c>
      <c r="E7" s="137">
        <v>113475422</v>
      </c>
      <c r="F7" s="137">
        <v>161999821</v>
      </c>
      <c r="G7" s="137">
        <v>165054412</v>
      </c>
      <c r="H7" s="137">
        <f t="shared" si="0"/>
        <v>557847121</v>
      </c>
      <c r="J7" s="137">
        <v>17639568</v>
      </c>
      <c r="K7" s="137">
        <v>16883400</v>
      </c>
      <c r="L7" s="137">
        <v>23696855</v>
      </c>
      <c r="M7" s="137">
        <v>24705802</v>
      </c>
      <c r="N7" s="137">
        <f t="shared" si="1"/>
        <v>82925625</v>
      </c>
      <c r="P7" s="81">
        <f t="shared" si="2"/>
        <v>0.15035756056988139</v>
      </c>
      <c r="Q7" s="81">
        <f t="shared" si="3"/>
        <v>0.14878464166451832</v>
      </c>
      <c r="R7" s="81">
        <f t="shared" si="4"/>
        <v>0.14627704434315394</v>
      </c>
      <c r="S7" s="81">
        <f t="shared" si="5"/>
        <v>0.14968277249080744</v>
      </c>
      <c r="T7" s="81" t="str">
        <f>+IFERROR(#REF!/#REF!,"")</f>
        <v/>
      </c>
      <c r="U7" s="81" t="str">
        <f>+IFERROR(#REF!/#REF!,"")</f>
        <v/>
      </c>
      <c r="V7" s="81" t="str">
        <f>+IFERROR(#REF!/#REF!,"")</f>
        <v/>
      </c>
      <c r="W7" s="81" t="str">
        <f>+IFERROR(#REF!/#REF!,"")</f>
        <v/>
      </c>
      <c r="X7" s="81" t="str">
        <f>+IFERROR(#REF!/#REF!,"")</f>
        <v/>
      </c>
      <c r="Y7" s="81" t="str">
        <f>+IFERROR(#REF!/#REF!,"")</f>
        <v/>
      </c>
      <c r="Z7" s="81" t="str">
        <f>+IFERROR(#REF!/#REF!,"")</f>
        <v/>
      </c>
      <c r="AA7" s="81" t="str">
        <f>+IFERROR(#REF!/#REF!,"")</f>
        <v/>
      </c>
      <c r="AB7" s="81">
        <f t="shared" si="6"/>
        <v>0.14865295863021941</v>
      </c>
      <c r="AD7" s="138">
        <f t="shared" si="7"/>
        <v>-1.5729189053630688E-3</v>
      </c>
      <c r="AE7" s="138">
        <f t="shared" si="7"/>
        <v>-2.5075973213643798E-3</v>
      </c>
      <c r="AF7" s="138">
        <f t="shared" si="7"/>
        <v>3.4057281476534973E-3</v>
      </c>
      <c r="AG7" s="138" t="str">
        <f t="shared" si="7"/>
        <v/>
      </c>
      <c r="AH7" s="138" t="str">
        <f t="shared" si="7"/>
        <v/>
      </c>
      <c r="AI7" s="138" t="str">
        <f t="shared" si="7"/>
        <v/>
      </c>
      <c r="AJ7" s="138" t="str">
        <f t="shared" si="7"/>
        <v/>
      </c>
      <c r="AK7" s="138" t="str">
        <f t="shared" si="7"/>
        <v/>
      </c>
      <c r="AL7" s="138" t="str">
        <f t="shared" si="7"/>
        <v/>
      </c>
      <c r="AM7" s="138" t="str">
        <f t="shared" si="7"/>
        <v/>
      </c>
      <c r="AN7" s="138" t="str">
        <f t="shared" si="7"/>
        <v/>
      </c>
      <c r="AP7" s="82">
        <f t="shared" si="8"/>
        <v>7.7624433896431283E-2</v>
      </c>
      <c r="AQ7" s="82">
        <f t="shared" si="9"/>
        <v>0.22984389443824912</v>
      </c>
    </row>
    <row r="8" spans="2:43" x14ac:dyDescent="0.35">
      <c r="B8" s="80" t="s">
        <v>90</v>
      </c>
      <c r="D8" s="137">
        <v>124428472</v>
      </c>
      <c r="E8" s="137">
        <v>113953819</v>
      </c>
      <c r="F8" s="137">
        <v>133352894</v>
      </c>
      <c r="G8" s="137">
        <v>124907410</v>
      </c>
      <c r="H8" s="137">
        <f t="shared" si="0"/>
        <v>496642595</v>
      </c>
      <c r="J8" s="137">
        <v>16268628</v>
      </c>
      <c r="K8" s="137">
        <v>14763094</v>
      </c>
      <c r="L8" s="137">
        <v>17030464</v>
      </c>
      <c r="M8" s="137">
        <v>16196496</v>
      </c>
      <c r="N8" s="137">
        <f t="shared" si="1"/>
        <v>64258682</v>
      </c>
      <c r="P8" s="81">
        <f t="shared" si="2"/>
        <v>0.1307468277839175</v>
      </c>
      <c r="Q8" s="81">
        <f t="shared" si="3"/>
        <v>0.12955330615115235</v>
      </c>
      <c r="R8" s="81">
        <f t="shared" si="4"/>
        <v>0.12770974434195631</v>
      </c>
      <c r="S8" s="81">
        <f t="shared" si="5"/>
        <v>0.12966801569258382</v>
      </c>
      <c r="T8" s="81" t="str">
        <f>+IFERROR(#REF!/#REF!,"")</f>
        <v/>
      </c>
      <c r="U8" s="81" t="str">
        <f>+IFERROR(#REF!/#REF!,"")</f>
        <v/>
      </c>
      <c r="V8" s="81" t="str">
        <f>+IFERROR(#REF!/#REF!,"")</f>
        <v/>
      </c>
      <c r="W8" s="81" t="str">
        <f>+IFERROR(#REF!/#REF!,"")</f>
        <v/>
      </c>
      <c r="X8" s="81" t="str">
        <f>+IFERROR(#REF!/#REF!,"")</f>
        <v/>
      </c>
      <c r="Y8" s="81" t="str">
        <f>+IFERROR(#REF!/#REF!,"")</f>
        <v/>
      </c>
      <c r="Z8" s="81" t="str">
        <f>+IFERROR(#REF!/#REF!,"")</f>
        <v/>
      </c>
      <c r="AA8" s="81" t="str">
        <f>+IFERROR(#REF!/#REF!,"")</f>
        <v/>
      </c>
      <c r="AB8" s="81">
        <f t="shared" si="6"/>
        <v>0.12938616753160287</v>
      </c>
      <c r="AD8" s="138">
        <f t="shared" si="7"/>
        <v>-1.1935216327651488E-3</v>
      </c>
      <c r="AE8" s="138">
        <f t="shared" si="7"/>
        <v>-1.8435618091960371E-3</v>
      </c>
      <c r="AF8" s="138">
        <f t="shared" si="7"/>
        <v>1.9582713506275107E-3</v>
      </c>
      <c r="AG8" s="138" t="str">
        <f t="shared" si="7"/>
        <v/>
      </c>
      <c r="AH8" s="138" t="str">
        <f t="shared" si="7"/>
        <v/>
      </c>
      <c r="AI8" s="138" t="str">
        <f t="shared" si="7"/>
        <v/>
      </c>
      <c r="AJ8" s="138" t="str">
        <f t="shared" si="7"/>
        <v/>
      </c>
      <c r="AK8" s="138" t="str">
        <f t="shared" si="7"/>
        <v/>
      </c>
      <c r="AL8" s="138" t="str">
        <f t="shared" si="7"/>
        <v/>
      </c>
      <c r="AM8" s="138" t="str">
        <f t="shared" si="7"/>
        <v/>
      </c>
      <c r="AN8" s="138" t="str">
        <f t="shared" si="7"/>
        <v/>
      </c>
      <c r="AP8" s="82">
        <f t="shared" si="8"/>
        <v>6.0150813613774987E-2</v>
      </c>
      <c r="AQ8" s="82">
        <f t="shared" si="9"/>
        <v>0.2899947080520241</v>
      </c>
    </row>
    <row r="9" spans="2:43" x14ac:dyDescent="0.35">
      <c r="B9" s="80" t="s">
        <v>91</v>
      </c>
      <c r="D9" s="137">
        <v>199865960</v>
      </c>
      <c r="E9" s="137">
        <v>192640480</v>
      </c>
      <c r="F9" s="137">
        <v>237284601</v>
      </c>
      <c r="G9" s="137">
        <v>219390316</v>
      </c>
      <c r="H9" s="137">
        <f t="shared" si="0"/>
        <v>849181357</v>
      </c>
      <c r="J9" s="137">
        <v>25658586</v>
      </c>
      <c r="K9" s="137">
        <v>24176350</v>
      </c>
      <c r="L9" s="137">
        <v>29590805</v>
      </c>
      <c r="M9" s="137">
        <v>27629263</v>
      </c>
      <c r="N9" s="137">
        <f t="shared" si="1"/>
        <v>107055004</v>
      </c>
      <c r="P9" s="81">
        <f t="shared" si="2"/>
        <v>0.12837896958541614</v>
      </c>
      <c r="Q9" s="81">
        <f t="shared" si="3"/>
        <v>0.12549984302364695</v>
      </c>
      <c r="R9" s="81">
        <f t="shared" si="4"/>
        <v>0.12470596437903697</v>
      </c>
      <c r="S9" s="81">
        <f t="shared" si="5"/>
        <v>0.12593656595125191</v>
      </c>
      <c r="T9" s="81" t="str">
        <f>+IFERROR(#REF!/#REF!,"")</f>
        <v/>
      </c>
      <c r="U9" s="81" t="str">
        <f>+IFERROR(#REF!/#REF!,"")</f>
        <v/>
      </c>
      <c r="V9" s="81" t="str">
        <f>+IFERROR(#REF!/#REF!,"")</f>
        <v/>
      </c>
      <c r="W9" s="81" t="str">
        <f>+IFERROR(#REF!/#REF!,"")</f>
        <v/>
      </c>
      <c r="X9" s="81" t="str">
        <f>+IFERROR(#REF!/#REF!,"")</f>
        <v/>
      </c>
      <c r="Y9" s="81" t="str">
        <f>+IFERROR(#REF!/#REF!,"")</f>
        <v/>
      </c>
      <c r="Z9" s="81" t="str">
        <f>+IFERROR(#REF!/#REF!,"")</f>
        <v/>
      </c>
      <c r="AA9" s="81" t="str">
        <f>+IFERROR(#REF!/#REF!,"")</f>
        <v/>
      </c>
      <c r="AB9" s="81">
        <f t="shared" si="6"/>
        <v>0.12606848127025003</v>
      </c>
      <c r="AD9" s="138">
        <f t="shared" si="7"/>
        <v>-2.8791265617691963E-3</v>
      </c>
      <c r="AE9" s="138">
        <f t="shared" si="7"/>
        <v>-7.9387864460997437E-4</v>
      </c>
      <c r="AF9" s="138">
        <f t="shared" si="7"/>
        <v>1.2306015722149399E-3</v>
      </c>
      <c r="AG9" s="138" t="str">
        <f t="shared" si="7"/>
        <v/>
      </c>
      <c r="AH9" s="138" t="str">
        <f t="shared" si="7"/>
        <v/>
      </c>
      <c r="AI9" s="138" t="str">
        <f t="shared" si="7"/>
        <v/>
      </c>
      <c r="AJ9" s="138" t="str">
        <f t="shared" si="7"/>
        <v/>
      </c>
      <c r="AK9" s="138" t="str">
        <f t="shared" si="7"/>
        <v/>
      </c>
      <c r="AL9" s="138" t="str">
        <f t="shared" si="7"/>
        <v/>
      </c>
      <c r="AM9" s="138" t="str">
        <f t="shared" si="7"/>
        <v/>
      </c>
      <c r="AN9" s="138" t="str">
        <f t="shared" si="7"/>
        <v/>
      </c>
      <c r="AP9" s="82">
        <f t="shared" si="8"/>
        <v>0.1002112927250194</v>
      </c>
      <c r="AQ9" s="82">
        <f t="shared" si="9"/>
        <v>0.39020600077704348</v>
      </c>
    </row>
    <row r="10" spans="2:43" x14ac:dyDescent="0.35">
      <c r="B10" s="83" t="s">
        <v>92</v>
      </c>
      <c r="D10" s="137">
        <v>61180609</v>
      </c>
      <c r="E10" s="137">
        <v>57980926</v>
      </c>
      <c r="F10" s="137">
        <v>64349617</v>
      </c>
      <c r="G10" s="137">
        <v>60859248</v>
      </c>
      <c r="H10" s="137">
        <f t="shared" si="0"/>
        <v>244370400</v>
      </c>
      <c r="J10" s="137">
        <v>5752791</v>
      </c>
      <c r="K10" s="137">
        <v>5810603</v>
      </c>
      <c r="L10" s="137">
        <v>6165874</v>
      </c>
      <c r="M10" s="137">
        <v>5869237</v>
      </c>
      <c r="N10" s="137">
        <f t="shared" si="1"/>
        <v>23598505</v>
      </c>
      <c r="P10" s="84">
        <f t="shared" si="2"/>
        <v>9.4029645896463704E-2</v>
      </c>
      <c r="Q10" s="84">
        <f t="shared" si="3"/>
        <v>0.10021576750947372</v>
      </c>
      <c r="R10" s="84">
        <f t="shared" si="4"/>
        <v>9.5818348071908491E-2</v>
      </c>
      <c r="S10" s="84">
        <f t="shared" si="5"/>
        <v>9.6439525509746687E-2</v>
      </c>
      <c r="T10" s="84" t="str">
        <f>+IFERROR(#REF!/#REF!,"")</f>
        <v/>
      </c>
      <c r="U10" s="84" t="str">
        <f>+IFERROR(#REF!/#REF!,"")</f>
        <v/>
      </c>
      <c r="V10" s="84" t="str">
        <f>+IFERROR(#REF!/#REF!,"")</f>
        <v/>
      </c>
      <c r="W10" s="84" t="str">
        <f>+IFERROR(#REF!/#REF!,"")</f>
        <v/>
      </c>
      <c r="X10" s="84" t="str">
        <f>+IFERROR(#REF!/#REF!,"")</f>
        <v/>
      </c>
      <c r="Y10" s="84" t="str">
        <f>+IFERROR(#REF!/#REF!,"")</f>
        <v/>
      </c>
      <c r="Z10" s="84" t="str">
        <f>+IFERROR(#REF!/#REF!,"")</f>
        <v/>
      </c>
      <c r="AA10" s="84" t="str">
        <f>+IFERROR(#REF!/#REF!,"")</f>
        <v/>
      </c>
      <c r="AB10" s="84">
        <f t="shared" si="6"/>
        <v>9.6568590140213378E-2</v>
      </c>
      <c r="AD10" s="139">
        <f t="shared" si="7"/>
        <v>6.1861216130100205E-3</v>
      </c>
      <c r="AE10" s="139">
        <f t="shared" si="7"/>
        <v>-4.3974194375652337E-3</v>
      </c>
      <c r="AF10" s="139">
        <f t="shared" si="7"/>
        <v>6.2117743783819679E-4</v>
      </c>
      <c r="AG10" s="139" t="str">
        <f t="shared" si="7"/>
        <v/>
      </c>
      <c r="AH10" s="139" t="str">
        <f t="shared" si="7"/>
        <v/>
      </c>
      <c r="AI10" s="139" t="str">
        <f t="shared" si="7"/>
        <v/>
      </c>
      <c r="AJ10" s="139" t="str">
        <f t="shared" si="7"/>
        <v/>
      </c>
      <c r="AK10" s="139" t="str">
        <f t="shared" si="7"/>
        <v/>
      </c>
      <c r="AL10" s="139" t="str">
        <f t="shared" si="7"/>
        <v/>
      </c>
      <c r="AM10" s="139" t="str">
        <f t="shared" si="7"/>
        <v/>
      </c>
      <c r="AN10" s="139" t="str">
        <f t="shared" si="7"/>
        <v/>
      </c>
      <c r="AP10" s="82">
        <f t="shared" si="8"/>
        <v>2.2089922040709409E-2</v>
      </c>
      <c r="AQ10" s="82">
        <f t="shared" si="9"/>
        <v>0.4122959228177529</v>
      </c>
    </row>
    <row r="11" spans="2:43" x14ac:dyDescent="0.35">
      <c r="B11" s="83" t="s">
        <v>93</v>
      </c>
      <c r="D11" s="137">
        <v>44302578</v>
      </c>
      <c r="E11" s="137">
        <v>42971012</v>
      </c>
      <c r="F11" s="137">
        <v>47042979</v>
      </c>
      <c r="G11" s="137">
        <v>44686847</v>
      </c>
      <c r="H11" s="137">
        <f t="shared" si="0"/>
        <v>179003416</v>
      </c>
      <c r="J11" s="137">
        <v>8260175</v>
      </c>
      <c r="K11" s="137">
        <v>8227434</v>
      </c>
      <c r="L11" s="137">
        <v>8952779</v>
      </c>
      <c r="M11" s="137">
        <v>8421668</v>
      </c>
      <c r="N11" s="137">
        <f t="shared" si="1"/>
        <v>33862056</v>
      </c>
      <c r="P11" s="84">
        <f t="shared" si="2"/>
        <v>0.18644908203761867</v>
      </c>
      <c r="Q11" s="84">
        <f t="shared" si="3"/>
        <v>0.19146474837502081</v>
      </c>
      <c r="R11" s="84">
        <f t="shared" si="4"/>
        <v>0.1903106306256668</v>
      </c>
      <c r="S11" s="84">
        <f t="shared" si="5"/>
        <v>0.18845966017696439</v>
      </c>
      <c r="T11" s="84" t="str">
        <f>+IFERROR(#REF!/#REF!,"")</f>
        <v/>
      </c>
      <c r="U11" s="84" t="str">
        <f>+IFERROR(#REF!/#REF!,"")</f>
        <v/>
      </c>
      <c r="V11" s="84" t="str">
        <f>+IFERROR(#REF!/#REF!,"")</f>
        <v/>
      </c>
      <c r="W11" s="84" t="str">
        <f>+IFERROR(#REF!/#REF!,"")</f>
        <v/>
      </c>
      <c r="X11" s="84" t="str">
        <f>+IFERROR(#REF!/#REF!,"")</f>
        <v/>
      </c>
      <c r="Y11" s="84" t="str">
        <f>+IFERROR(#REF!/#REF!,"")</f>
        <v/>
      </c>
      <c r="Z11" s="84" t="str">
        <f>+IFERROR(#REF!/#REF!,"")</f>
        <v/>
      </c>
      <c r="AA11" s="84" t="str">
        <f>+IFERROR(#REF!/#REF!,"")</f>
        <v/>
      </c>
      <c r="AB11" s="84">
        <f t="shared" si="6"/>
        <v>0.18916988712662333</v>
      </c>
      <c r="AD11" s="139">
        <f t="shared" si="7"/>
        <v>5.015666337402136E-3</v>
      </c>
      <c r="AE11" s="139">
        <f t="shared" si="7"/>
        <v>-1.1541177493540056E-3</v>
      </c>
      <c r="AF11" s="139">
        <f t="shared" si="7"/>
        <v>-1.8509704487024159E-3</v>
      </c>
      <c r="AG11" s="139" t="str">
        <f t="shared" si="7"/>
        <v/>
      </c>
      <c r="AH11" s="139" t="str">
        <f t="shared" si="7"/>
        <v/>
      </c>
      <c r="AI11" s="139" t="str">
        <f t="shared" si="7"/>
        <v/>
      </c>
      <c r="AJ11" s="139" t="str">
        <f t="shared" si="7"/>
        <v/>
      </c>
      <c r="AK11" s="139" t="str">
        <f t="shared" si="7"/>
        <v/>
      </c>
      <c r="AL11" s="139" t="str">
        <f t="shared" si="7"/>
        <v/>
      </c>
      <c r="AM11" s="139" t="str">
        <f t="shared" si="7"/>
        <v/>
      </c>
      <c r="AN11" s="139" t="str">
        <f t="shared" si="7"/>
        <v/>
      </c>
      <c r="AP11" s="82">
        <f t="shared" si="8"/>
        <v>3.1697354437416114E-2</v>
      </c>
      <c r="AQ11" s="82">
        <f t="shared" si="9"/>
        <v>0.44399327725516902</v>
      </c>
    </row>
    <row r="12" spans="2:43" x14ac:dyDescent="0.35">
      <c r="B12" s="83" t="s">
        <v>94</v>
      </c>
      <c r="D12" s="137">
        <v>40835754</v>
      </c>
      <c r="E12" s="137">
        <v>38364263</v>
      </c>
      <c r="F12" s="137">
        <v>43961313</v>
      </c>
      <c r="G12" s="137">
        <v>40594334</v>
      </c>
      <c r="H12" s="137">
        <f t="shared" si="0"/>
        <v>163755664</v>
      </c>
      <c r="J12" s="137">
        <v>5989752</v>
      </c>
      <c r="K12" s="137">
        <v>5651230</v>
      </c>
      <c r="L12" s="137">
        <v>6402144</v>
      </c>
      <c r="M12" s="137">
        <v>5690779</v>
      </c>
      <c r="N12" s="137">
        <f t="shared" si="1"/>
        <v>23733905</v>
      </c>
      <c r="P12" s="84">
        <f t="shared" si="2"/>
        <v>0.14667910870459255</v>
      </c>
      <c r="Q12" s="84">
        <f t="shared" si="3"/>
        <v>0.14730453703750285</v>
      </c>
      <c r="R12" s="84">
        <f t="shared" si="4"/>
        <v>0.14563131906456026</v>
      </c>
      <c r="S12" s="84">
        <f t="shared" si="5"/>
        <v>0.14018653440650117</v>
      </c>
      <c r="T12" s="84" t="str">
        <f>+IFERROR(#REF!/#REF!,"")</f>
        <v/>
      </c>
      <c r="U12" s="84" t="str">
        <f>+IFERROR(#REF!/#REF!,"")</f>
        <v/>
      </c>
      <c r="V12" s="84" t="str">
        <f>+IFERROR(#REF!/#REF!,"")</f>
        <v/>
      </c>
      <c r="W12" s="84" t="str">
        <f>+IFERROR(#REF!/#REF!,"")</f>
        <v/>
      </c>
      <c r="X12" s="84" t="str">
        <f>+IFERROR(#REF!/#REF!,"")</f>
        <v/>
      </c>
      <c r="Y12" s="84" t="str">
        <f>+IFERROR(#REF!/#REF!,"")</f>
        <v/>
      </c>
      <c r="Z12" s="84" t="str">
        <f>+IFERROR(#REF!/#REF!,"")</f>
        <v/>
      </c>
      <c r="AA12" s="84" t="str">
        <f>+IFERROR(#REF!/#REF!,"")</f>
        <v/>
      </c>
      <c r="AB12" s="84">
        <f t="shared" si="6"/>
        <v>0.14493486466520022</v>
      </c>
      <c r="AD12" s="139">
        <f t="shared" si="7"/>
        <v>6.2542833291029387E-4</v>
      </c>
      <c r="AE12" s="139">
        <f t="shared" si="7"/>
        <v>-1.6732179729425922E-3</v>
      </c>
      <c r="AF12" s="139">
        <f t="shared" si="7"/>
        <v>-5.4447846580590875E-3</v>
      </c>
      <c r="AG12" s="139" t="str">
        <f t="shared" si="7"/>
        <v/>
      </c>
      <c r="AH12" s="139" t="str">
        <f t="shared" si="7"/>
        <v/>
      </c>
      <c r="AI12" s="139" t="str">
        <f t="shared" si="7"/>
        <v/>
      </c>
      <c r="AJ12" s="139" t="str">
        <f t="shared" si="7"/>
        <v/>
      </c>
      <c r="AK12" s="139" t="str">
        <f t="shared" si="7"/>
        <v/>
      </c>
      <c r="AL12" s="139" t="str">
        <f t="shared" si="7"/>
        <v/>
      </c>
      <c r="AM12" s="139" t="str">
        <f t="shared" si="7"/>
        <v/>
      </c>
      <c r="AN12" s="139" t="str">
        <f t="shared" si="7"/>
        <v/>
      </c>
      <c r="AP12" s="82">
        <f t="shared" si="8"/>
        <v>2.221666631727744E-2</v>
      </c>
      <c r="AQ12" s="82">
        <f t="shared" si="9"/>
        <v>0.46620994357244644</v>
      </c>
    </row>
    <row r="13" spans="2:43" x14ac:dyDescent="0.35">
      <c r="B13" s="83" t="s">
        <v>95</v>
      </c>
      <c r="D13" s="137">
        <v>29810171</v>
      </c>
      <c r="E13" s="137">
        <v>23451798</v>
      </c>
      <c r="F13" s="137">
        <v>29807710</v>
      </c>
      <c r="G13" s="137">
        <v>31626590</v>
      </c>
      <c r="H13" s="137">
        <f t="shared" si="0"/>
        <v>114696269</v>
      </c>
      <c r="J13" s="137">
        <v>5090481</v>
      </c>
      <c r="K13" s="137">
        <v>3914784</v>
      </c>
      <c r="L13" s="137">
        <v>5073293</v>
      </c>
      <c r="M13" s="137">
        <v>5451339</v>
      </c>
      <c r="N13" s="137">
        <f t="shared" si="1"/>
        <v>19529897</v>
      </c>
      <c r="P13" s="84">
        <f t="shared" si="2"/>
        <v>0.17076322708782851</v>
      </c>
      <c r="Q13" s="84">
        <f t="shared" si="3"/>
        <v>0.16692894932832017</v>
      </c>
      <c r="R13" s="84">
        <f t="shared" si="4"/>
        <v>0.170200696397006</v>
      </c>
      <c r="S13" s="84">
        <f t="shared" si="5"/>
        <v>0.17236568975662567</v>
      </c>
      <c r="T13" s="84" t="str">
        <f>+IFERROR(#REF!/#REF!,"")</f>
        <v/>
      </c>
      <c r="U13" s="84" t="str">
        <f>+IFERROR(#REF!/#REF!,"")</f>
        <v/>
      </c>
      <c r="V13" s="84" t="str">
        <f>+IFERROR(#REF!/#REF!,"")</f>
        <v/>
      </c>
      <c r="W13" s="84" t="str">
        <f>+IFERROR(#REF!/#REF!,"")</f>
        <v/>
      </c>
      <c r="X13" s="84" t="str">
        <f>+IFERROR(#REF!/#REF!,"")</f>
        <v/>
      </c>
      <c r="Y13" s="84" t="str">
        <f>+IFERROR(#REF!/#REF!,"")</f>
        <v/>
      </c>
      <c r="Z13" s="84" t="str">
        <f>+IFERROR(#REF!/#REF!,"")</f>
        <v/>
      </c>
      <c r="AA13" s="84" t="str">
        <f>+IFERROR(#REF!/#REF!,"")</f>
        <v/>
      </c>
      <c r="AB13" s="84">
        <f t="shared" si="6"/>
        <v>0.17027491103481318</v>
      </c>
      <c r="AD13" s="139">
        <f t="shared" si="7"/>
        <v>-3.8342777595083422E-3</v>
      </c>
      <c r="AE13" s="139">
        <f t="shared" si="7"/>
        <v>3.2717470686858263E-3</v>
      </c>
      <c r="AF13" s="139">
        <f t="shared" si="7"/>
        <v>2.1649933596196713E-3</v>
      </c>
      <c r="AG13" s="139" t="str">
        <f t="shared" si="7"/>
        <v/>
      </c>
      <c r="AH13" s="139" t="str">
        <f t="shared" si="7"/>
        <v/>
      </c>
      <c r="AI13" s="139" t="str">
        <f t="shared" si="7"/>
        <v/>
      </c>
      <c r="AJ13" s="139" t="str">
        <f t="shared" si="7"/>
        <v/>
      </c>
      <c r="AK13" s="139" t="str">
        <f t="shared" si="7"/>
        <v/>
      </c>
      <c r="AL13" s="139" t="str">
        <f t="shared" si="7"/>
        <v/>
      </c>
      <c r="AM13" s="139" t="str">
        <f t="shared" si="7"/>
        <v/>
      </c>
      <c r="AN13" s="139" t="str">
        <f t="shared" si="7"/>
        <v/>
      </c>
      <c r="AP13" s="82">
        <f t="shared" si="8"/>
        <v>1.8281408173656956E-2</v>
      </c>
      <c r="AQ13" s="82">
        <f t="shared" si="9"/>
        <v>0.48449135174610342</v>
      </c>
    </row>
    <row r="14" spans="2:43" x14ac:dyDescent="0.35">
      <c r="B14" s="83" t="s">
        <v>96</v>
      </c>
      <c r="D14" s="137">
        <v>41265349</v>
      </c>
      <c r="E14" s="137">
        <v>40481871</v>
      </c>
      <c r="F14" s="137">
        <v>44454149</v>
      </c>
      <c r="G14" s="137">
        <v>41832140</v>
      </c>
      <c r="H14" s="137">
        <f t="shared" si="0"/>
        <v>168033509</v>
      </c>
      <c r="J14" s="137">
        <v>6347059</v>
      </c>
      <c r="K14" s="137">
        <v>5762253</v>
      </c>
      <c r="L14" s="137">
        <v>6052361</v>
      </c>
      <c r="M14" s="137">
        <v>6091688</v>
      </c>
      <c r="N14" s="137">
        <f t="shared" si="1"/>
        <v>24253361</v>
      </c>
      <c r="P14" s="84">
        <f t="shared" si="2"/>
        <v>0.15381086441314237</v>
      </c>
      <c r="Q14" s="84">
        <f t="shared" si="3"/>
        <v>0.14234156815528609</v>
      </c>
      <c r="R14" s="84">
        <f t="shared" si="4"/>
        <v>0.13614839415776467</v>
      </c>
      <c r="S14" s="84">
        <f t="shared" si="5"/>
        <v>0.14562219384425468</v>
      </c>
      <c r="T14" s="84" t="str">
        <f>+IFERROR(#REF!/#REF!,"")</f>
        <v/>
      </c>
      <c r="U14" s="84" t="str">
        <f>+IFERROR(#REF!/#REF!,"")</f>
        <v/>
      </c>
      <c r="V14" s="84" t="str">
        <f>+IFERROR(#REF!/#REF!,"")</f>
        <v/>
      </c>
      <c r="W14" s="84" t="str">
        <f>+IFERROR(#REF!/#REF!,"")</f>
        <v/>
      </c>
      <c r="X14" s="84" t="str">
        <f>+IFERROR(#REF!/#REF!,"")</f>
        <v/>
      </c>
      <c r="Y14" s="84" t="str">
        <f>+IFERROR(#REF!/#REF!,"")</f>
        <v/>
      </c>
      <c r="Z14" s="84" t="str">
        <f>+IFERROR(#REF!/#REF!,"")</f>
        <v/>
      </c>
      <c r="AA14" s="84" t="str">
        <f>+IFERROR(#REF!/#REF!,"")</f>
        <v/>
      </c>
      <c r="AB14" s="84">
        <f t="shared" si="6"/>
        <v>0.1443364549388777</v>
      </c>
      <c r="AD14" s="139">
        <f t="shared" si="7"/>
        <v>-1.1469296257856282E-2</v>
      </c>
      <c r="AE14" s="139">
        <f t="shared" si="7"/>
        <v>-6.1931739975214228E-3</v>
      </c>
      <c r="AF14" s="139">
        <f t="shared" si="7"/>
        <v>9.4737996864900087E-3</v>
      </c>
      <c r="AG14" s="139" t="str">
        <f t="shared" si="7"/>
        <v/>
      </c>
      <c r="AH14" s="139" t="str">
        <f t="shared" si="7"/>
        <v/>
      </c>
      <c r="AI14" s="139" t="str">
        <f t="shared" si="7"/>
        <v/>
      </c>
      <c r="AJ14" s="139" t="str">
        <f t="shared" si="7"/>
        <v/>
      </c>
      <c r="AK14" s="139" t="str">
        <f t="shared" si="7"/>
        <v/>
      </c>
      <c r="AL14" s="139" t="str">
        <f t="shared" si="7"/>
        <v/>
      </c>
      <c r="AM14" s="139" t="str">
        <f t="shared" si="7"/>
        <v/>
      </c>
      <c r="AN14" s="139" t="str">
        <f t="shared" si="7"/>
        <v/>
      </c>
      <c r="AP14" s="82">
        <f t="shared" si="8"/>
        <v>2.2702915024285734E-2</v>
      </c>
      <c r="AQ14" s="82">
        <f t="shared" si="9"/>
        <v>0.50719426677038915</v>
      </c>
    </row>
    <row r="15" spans="2:43" x14ac:dyDescent="0.35">
      <c r="B15" s="83" t="s">
        <v>97</v>
      </c>
      <c r="D15" s="137">
        <v>28889629</v>
      </c>
      <c r="E15" s="137">
        <v>28686154</v>
      </c>
      <c r="F15" s="137">
        <v>24141681</v>
      </c>
      <c r="G15" s="137">
        <v>23593410</v>
      </c>
      <c r="H15" s="137">
        <f t="shared" si="0"/>
        <v>105310874</v>
      </c>
      <c r="J15" s="137">
        <v>3655956</v>
      </c>
      <c r="K15" s="137">
        <v>3959817</v>
      </c>
      <c r="L15" s="137">
        <v>3062413</v>
      </c>
      <c r="M15" s="137">
        <v>2861833</v>
      </c>
      <c r="N15" s="137">
        <f t="shared" si="1"/>
        <v>13540019</v>
      </c>
      <c r="P15" s="84">
        <f t="shared" si="2"/>
        <v>0.12654908098681364</v>
      </c>
      <c r="Q15" s="84">
        <f t="shared" si="3"/>
        <v>0.13803931332168126</v>
      </c>
      <c r="R15" s="84">
        <f t="shared" si="4"/>
        <v>0.12685168857959808</v>
      </c>
      <c r="S15" s="84">
        <f t="shared" si="5"/>
        <v>0.12129798108878707</v>
      </c>
      <c r="T15" s="84" t="str">
        <f>+IFERROR(#REF!/#REF!,"")</f>
        <v/>
      </c>
      <c r="U15" s="84" t="str">
        <f>+IFERROR(#REF!/#REF!,"")</f>
        <v/>
      </c>
      <c r="V15" s="84" t="str">
        <f>+IFERROR(#REF!/#REF!,"")</f>
        <v/>
      </c>
      <c r="W15" s="84" t="str">
        <f>+IFERROR(#REF!/#REF!,"")</f>
        <v/>
      </c>
      <c r="X15" s="84" t="str">
        <f>+IFERROR(#REF!/#REF!,"")</f>
        <v/>
      </c>
      <c r="Y15" s="84" t="str">
        <f>+IFERROR(#REF!/#REF!,"")</f>
        <v/>
      </c>
      <c r="Z15" s="84" t="str">
        <f>+IFERROR(#REF!/#REF!,"")</f>
        <v/>
      </c>
      <c r="AA15" s="84" t="str">
        <f>+IFERROR(#REF!/#REF!,"")</f>
        <v/>
      </c>
      <c r="AB15" s="84">
        <f t="shared" si="6"/>
        <v>0.12857189847270661</v>
      </c>
      <c r="AD15" s="139">
        <f t="shared" si="7"/>
        <v>1.1490232334867623E-2</v>
      </c>
      <c r="AE15" s="139">
        <f t="shared" si="7"/>
        <v>-1.118762474208318E-2</v>
      </c>
      <c r="AF15" s="139">
        <f t="shared" si="7"/>
        <v>-5.5537074908110079E-3</v>
      </c>
      <c r="AG15" s="139" t="str">
        <f t="shared" si="7"/>
        <v/>
      </c>
      <c r="AH15" s="139" t="str">
        <f t="shared" si="7"/>
        <v/>
      </c>
      <c r="AI15" s="139" t="str">
        <f t="shared" si="7"/>
        <v/>
      </c>
      <c r="AJ15" s="139" t="str">
        <f t="shared" si="7"/>
        <v/>
      </c>
      <c r="AK15" s="139" t="str">
        <f t="shared" si="7"/>
        <v/>
      </c>
      <c r="AL15" s="139" t="str">
        <f t="shared" si="7"/>
        <v/>
      </c>
      <c r="AM15" s="139" t="str">
        <f t="shared" si="7"/>
        <v/>
      </c>
      <c r="AN15" s="139" t="str">
        <f t="shared" si="7"/>
        <v/>
      </c>
      <c r="AP15" s="82">
        <f t="shared" si="8"/>
        <v>1.2674445442188993E-2</v>
      </c>
      <c r="AQ15" s="82">
        <f t="shared" si="9"/>
        <v>0.51986871221257813</v>
      </c>
    </row>
    <row r="16" spans="2:43" x14ac:dyDescent="0.35">
      <c r="B16" s="83" t="s">
        <v>98</v>
      </c>
      <c r="D16" s="137">
        <v>58123330</v>
      </c>
      <c r="E16" s="137">
        <v>61140886</v>
      </c>
      <c r="F16" s="137">
        <v>73496361</v>
      </c>
      <c r="G16" s="137">
        <v>87305414</v>
      </c>
      <c r="H16" s="137">
        <f t="shared" si="0"/>
        <v>280065991</v>
      </c>
      <c r="J16" s="137">
        <v>4327858</v>
      </c>
      <c r="K16" s="137">
        <v>4549660</v>
      </c>
      <c r="L16" s="137">
        <v>4900475</v>
      </c>
      <c r="M16" s="137">
        <v>5088189</v>
      </c>
      <c r="N16" s="137">
        <f t="shared" si="1"/>
        <v>18866182</v>
      </c>
      <c r="P16" s="84">
        <f t="shared" si="2"/>
        <v>7.4459911364335107E-2</v>
      </c>
      <c r="Q16" s="84">
        <f t="shared" si="3"/>
        <v>7.4412726043911109E-2</v>
      </c>
      <c r="R16" s="84">
        <f t="shared" si="4"/>
        <v>6.6676430415377977E-2</v>
      </c>
      <c r="S16" s="84">
        <f t="shared" si="5"/>
        <v>5.8280337574483067E-2</v>
      </c>
      <c r="T16" s="84" t="str">
        <f>+IFERROR(#REF!/#REF!,"")</f>
        <v/>
      </c>
      <c r="U16" s="84" t="str">
        <f>+IFERROR(#REF!/#REF!,"")</f>
        <v/>
      </c>
      <c r="V16" s="84" t="str">
        <f>+IFERROR(#REF!/#REF!,"")</f>
        <v/>
      </c>
      <c r="W16" s="84" t="str">
        <f>+IFERROR(#REF!/#REF!,"")</f>
        <v/>
      </c>
      <c r="X16" s="84" t="str">
        <f>+IFERROR(#REF!/#REF!,"")</f>
        <v/>
      </c>
      <c r="Y16" s="84" t="str">
        <f>+IFERROR(#REF!/#REF!,"")</f>
        <v/>
      </c>
      <c r="Z16" s="84" t="str">
        <f>+IFERROR(#REF!/#REF!,"")</f>
        <v/>
      </c>
      <c r="AA16" s="84" t="str">
        <f>+IFERROR(#REF!/#REF!,"")</f>
        <v/>
      </c>
      <c r="AB16" s="84">
        <f t="shared" si="6"/>
        <v>6.7363345091050339E-2</v>
      </c>
      <c r="AD16" s="139">
        <f t="shared" si="7"/>
        <v>-4.7185320423998034E-5</v>
      </c>
      <c r="AE16" s="139">
        <f t="shared" si="7"/>
        <v>-7.7362956285331325E-3</v>
      </c>
      <c r="AF16" s="139">
        <f t="shared" si="7"/>
        <v>-8.3960928408949101E-3</v>
      </c>
      <c r="AG16" s="139" t="str">
        <f t="shared" si="7"/>
        <v/>
      </c>
      <c r="AH16" s="139" t="str">
        <f t="shared" si="7"/>
        <v/>
      </c>
      <c r="AI16" s="139" t="str">
        <f t="shared" si="7"/>
        <v/>
      </c>
      <c r="AJ16" s="139" t="str">
        <f t="shared" si="7"/>
        <v/>
      </c>
      <c r="AK16" s="139" t="str">
        <f t="shared" si="7"/>
        <v/>
      </c>
      <c r="AL16" s="139" t="str">
        <f t="shared" si="7"/>
        <v/>
      </c>
      <c r="AM16" s="139" t="str">
        <f t="shared" si="7"/>
        <v/>
      </c>
      <c r="AN16" s="139" t="str">
        <f t="shared" si="7"/>
        <v/>
      </c>
      <c r="AP16" s="82">
        <f t="shared" si="8"/>
        <v>1.7660122519872982E-2</v>
      </c>
      <c r="AQ16" s="82">
        <f t="shared" si="9"/>
        <v>0.53752883473245117</v>
      </c>
    </row>
    <row r="17" spans="2:43" x14ac:dyDescent="0.35">
      <c r="B17" s="83" t="s">
        <v>99</v>
      </c>
      <c r="D17" s="137">
        <v>27328000</v>
      </c>
      <c r="E17" s="137">
        <v>29527339</v>
      </c>
      <c r="F17" s="137">
        <v>35273494</v>
      </c>
      <c r="G17" s="137">
        <v>28705923</v>
      </c>
      <c r="H17" s="137">
        <f t="shared" si="0"/>
        <v>120834756</v>
      </c>
      <c r="J17" s="137">
        <v>3851373</v>
      </c>
      <c r="K17" s="137">
        <v>4136697</v>
      </c>
      <c r="L17" s="137">
        <v>4763525</v>
      </c>
      <c r="M17" s="137">
        <v>3914395</v>
      </c>
      <c r="N17" s="137">
        <f t="shared" si="1"/>
        <v>16665990</v>
      </c>
      <c r="P17" s="84">
        <f t="shared" si="2"/>
        <v>0.14093138905152225</v>
      </c>
      <c r="Q17" s="84">
        <f t="shared" si="3"/>
        <v>0.14009718247892233</v>
      </c>
      <c r="R17" s="84">
        <f t="shared" si="4"/>
        <v>0.13504545367691673</v>
      </c>
      <c r="S17" s="84">
        <f t="shared" si="5"/>
        <v>0.136361927815385</v>
      </c>
      <c r="T17" s="84" t="str">
        <f>+IFERROR(#REF!/#REF!,"")</f>
        <v/>
      </c>
      <c r="U17" s="84" t="str">
        <f>+IFERROR(#REF!/#REF!,"")</f>
        <v/>
      </c>
      <c r="V17" s="84" t="str">
        <f>+IFERROR(#REF!/#REF!,"")</f>
        <v/>
      </c>
      <c r="W17" s="84" t="str">
        <f>+IFERROR(#REF!/#REF!,"")</f>
        <v/>
      </c>
      <c r="X17" s="84" t="str">
        <f>+IFERROR(#REF!/#REF!,"")</f>
        <v/>
      </c>
      <c r="Y17" s="84" t="str">
        <f>+IFERROR(#REF!/#REF!,"")</f>
        <v/>
      </c>
      <c r="Z17" s="84" t="str">
        <f>+IFERROR(#REF!/#REF!,"")</f>
        <v/>
      </c>
      <c r="AA17" s="84" t="str">
        <f>+IFERROR(#REF!/#REF!,"")</f>
        <v/>
      </c>
      <c r="AB17" s="84">
        <f t="shared" si="6"/>
        <v>0.13792381059634862</v>
      </c>
      <c r="AD17" s="139">
        <f t="shared" si="7"/>
        <v>-8.3420657259991593E-4</v>
      </c>
      <c r="AE17" s="139">
        <f t="shared" si="7"/>
        <v>-5.0517288020056061E-3</v>
      </c>
      <c r="AF17" s="139">
        <f t="shared" si="7"/>
        <v>1.3164741384682765E-3</v>
      </c>
      <c r="AG17" s="139" t="str">
        <f t="shared" si="7"/>
        <v/>
      </c>
      <c r="AH17" s="139" t="str">
        <f t="shared" si="7"/>
        <v/>
      </c>
      <c r="AI17" s="139" t="str">
        <f t="shared" si="7"/>
        <v/>
      </c>
      <c r="AJ17" s="139" t="str">
        <f t="shared" si="7"/>
        <v/>
      </c>
      <c r="AK17" s="139" t="str">
        <f t="shared" si="7"/>
        <v/>
      </c>
      <c r="AL17" s="139" t="str">
        <f t="shared" si="7"/>
        <v/>
      </c>
      <c r="AM17" s="139" t="str">
        <f t="shared" si="7"/>
        <v/>
      </c>
      <c r="AN17" s="139" t="str">
        <f t="shared" si="7"/>
        <v/>
      </c>
      <c r="AP17" s="82">
        <f t="shared" si="8"/>
        <v>1.5600582317873214E-2</v>
      </c>
      <c r="AQ17" s="82">
        <f t="shared" si="9"/>
        <v>0.55312941705032437</v>
      </c>
    </row>
    <row r="18" spans="2:43" x14ac:dyDescent="0.35">
      <c r="B18" s="83" t="s">
        <v>100</v>
      </c>
      <c r="D18" s="137">
        <v>47853968</v>
      </c>
      <c r="E18" s="137">
        <v>44632788</v>
      </c>
      <c r="F18" s="137">
        <v>7770791</v>
      </c>
      <c r="G18" s="137">
        <v>4517540</v>
      </c>
      <c r="H18" s="137">
        <f t="shared" si="0"/>
        <v>104775087</v>
      </c>
      <c r="J18" s="137">
        <v>904900</v>
      </c>
      <c r="K18" s="137">
        <v>866821</v>
      </c>
      <c r="L18" s="137">
        <v>171959</v>
      </c>
      <c r="M18" s="137">
        <v>133712</v>
      </c>
      <c r="N18" s="137">
        <f t="shared" si="1"/>
        <v>2077392</v>
      </c>
      <c r="P18" s="84">
        <f t="shared" si="2"/>
        <v>1.8909612678304964E-2</v>
      </c>
      <c r="Q18" s="84">
        <f t="shared" si="3"/>
        <v>1.9421170821773446E-2</v>
      </c>
      <c r="R18" s="84">
        <f t="shared" si="4"/>
        <v>2.2128892669999747E-2</v>
      </c>
      <c r="S18" s="84">
        <f t="shared" si="5"/>
        <v>2.9598409753981147E-2</v>
      </c>
      <c r="T18" s="84" t="str">
        <f>+IFERROR(#REF!/#REF!,"")</f>
        <v/>
      </c>
      <c r="U18" s="84" t="str">
        <f>+IFERROR(#REF!/#REF!,"")</f>
        <v/>
      </c>
      <c r="V18" s="84" t="str">
        <f>+IFERROR(#REF!/#REF!,"")</f>
        <v/>
      </c>
      <c r="W18" s="84" t="str">
        <f>+IFERROR(#REF!/#REF!,"")</f>
        <v/>
      </c>
      <c r="X18" s="84" t="str">
        <f>+IFERROR(#REF!/#REF!,"")</f>
        <v/>
      </c>
      <c r="Y18" s="84" t="str">
        <f>+IFERROR(#REF!/#REF!,"")</f>
        <v/>
      </c>
      <c r="Z18" s="84" t="str">
        <f>+IFERROR(#REF!/#REF!,"")</f>
        <v/>
      </c>
      <c r="AA18" s="84" t="str">
        <f>+IFERROR(#REF!/#REF!,"")</f>
        <v/>
      </c>
      <c r="AB18" s="84">
        <f t="shared" si="6"/>
        <v>1.9827156049032915E-2</v>
      </c>
      <c r="AD18" s="139">
        <f t="shared" si="7"/>
        <v>5.1155814346848238E-4</v>
      </c>
      <c r="AE18" s="139">
        <f t="shared" si="7"/>
        <v>2.7077218482263014E-3</v>
      </c>
      <c r="AF18" s="139">
        <f t="shared" si="7"/>
        <v>7.4695170839814001E-3</v>
      </c>
      <c r="AG18" s="139" t="str">
        <f t="shared" si="7"/>
        <v/>
      </c>
      <c r="AH18" s="139" t="str">
        <f t="shared" si="7"/>
        <v/>
      </c>
      <c r="AI18" s="139" t="str">
        <f t="shared" si="7"/>
        <v/>
      </c>
      <c r="AJ18" s="139" t="str">
        <f t="shared" si="7"/>
        <v/>
      </c>
      <c r="AK18" s="139" t="str">
        <f t="shared" si="7"/>
        <v/>
      </c>
      <c r="AL18" s="139" t="str">
        <f t="shared" si="7"/>
        <v/>
      </c>
      <c r="AM18" s="139" t="str">
        <f t="shared" si="7"/>
        <v/>
      </c>
      <c r="AN18" s="139" t="str">
        <f t="shared" si="7"/>
        <v/>
      </c>
      <c r="AP18" s="82">
        <f t="shared" si="8"/>
        <v>1.9445904445215237E-3</v>
      </c>
      <c r="AQ18" s="82">
        <f t="shared" si="9"/>
        <v>0.55507400749484592</v>
      </c>
    </row>
    <row r="19" spans="2:43" x14ac:dyDescent="0.35">
      <c r="B19" s="83" t="s">
        <v>101</v>
      </c>
      <c r="D19" s="137">
        <v>28943825</v>
      </c>
      <c r="E19" s="137">
        <v>25649339</v>
      </c>
      <c r="F19" s="137">
        <v>31541641</v>
      </c>
      <c r="G19" s="137">
        <v>31735478</v>
      </c>
      <c r="H19" s="137">
        <f t="shared" si="0"/>
        <v>117870283</v>
      </c>
      <c r="J19" s="137">
        <v>7228038</v>
      </c>
      <c r="K19" s="137">
        <v>6798897</v>
      </c>
      <c r="L19" s="137">
        <v>8151056</v>
      </c>
      <c r="M19" s="137">
        <v>8752799</v>
      </c>
      <c r="N19" s="137">
        <f t="shared" si="1"/>
        <v>30930790</v>
      </c>
      <c r="P19" s="84">
        <f t="shared" si="2"/>
        <v>0.24972642696671915</v>
      </c>
      <c r="Q19" s="84">
        <f t="shared" si="3"/>
        <v>0.26507104140188564</v>
      </c>
      <c r="R19" s="84">
        <f t="shared" si="4"/>
        <v>0.2584220649775324</v>
      </c>
      <c r="S19" s="84">
        <f t="shared" si="5"/>
        <v>0.27580485789437298</v>
      </c>
      <c r="T19" s="84" t="str">
        <f>+IFERROR(#REF!/#REF!,"")</f>
        <v/>
      </c>
      <c r="U19" s="84" t="str">
        <f>+IFERROR(#REF!/#REF!,"")</f>
        <v/>
      </c>
      <c r="V19" s="84" t="str">
        <f>+IFERROR(#REF!/#REF!,"")</f>
        <v/>
      </c>
      <c r="W19" s="84" t="str">
        <f>+IFERROR(#REF!/#REF!,"")</f>
        <v/>
      </c>
      <c r="X19" s="84" t="str">
        <f>+IFERROR(#REF!/#REF!,"")</f>
        <v/>
      </c>
      <c r="Y19" s="84" t="str">
        <f>+IFERROR(#REF!/#REF!,"")</f>
        <v/>
      </c>
      <c r="Z19" s="84" t="str">
        <f>+IFERROR(#REF!/#REF!,"")</f>
        <v/>
      </c>
      <c r="AA19" s="84" t="str">
        <f>+IFERROR(#REF!/#REF!,"")</f>
        <v/>
      </c>
      <c r="AB19" s="84">
        <f t="shared" si="6"/>
        <v>0.26241380959439964</v>
      </c>
      <c r="AD19" s="139">
        <f t="shared" si="7"/>
        <v>1.5344614435166493E-2</v>
      </c>
      <c r="AE19" s="139">
        <f t="shared" si="7"/>
        <v>-6.6489764243532479E-3</v>
      </c>
      <c r="AF19" s="139">
        <f t="shared" si="7"/>
        <v>1.7382792916840584E-2</v>
      </c>
      <c r="AG19" s="139" t="str">
        <f t="shared" si="7"/>
        <v/>
      </c>
      <c r="AH19" s="139" t="str">
        <f t="shared" si="7"/>
        <v/>
      </c>
      <c r="AI19" s="139" t="str">
        <f t="shared" si="7"/>
        <v/>
      </c>
      <c r="AJ19" s="139" t="str">
        <f t="shared" si="7"/>
        <v/>
      </c>
      <c r="AK19" s="139" t="str">
        <f t="shared" si="7"/>
        <v/>
      </c>
      <c r="AL19" s="139" t="str">
        <f t="shared" si="7"/>
        <v/>
      </c>
      <c r="AM19" s="139" t="str">
        <f t="shared" si="7"/>
        <v/>
      </c>
      <c r="AN19" s="139" t="str">
        <f t="shared" si="7"/>
        <v/>
      </c>
      <c r="AP19" s="82">
        <f t="shared" si="8"/>
        <v>2.8953475644222133E-2</v>
      </c>
      <c r="AQ19" s="82">
        <f t="shared" si="9"/>
        <v>0.58402748313906805</v>
      </c>
    </row>
    <row r="20" spans="2:43" x14ac:dyDescent="0.35">
      <c r="B20" s="83" t="s">
        <v>102</v>
      </c>
      <c r="D20" s="137">
        <v>4953857</v>
      </c>
      <c r="E20" s="137">
        <v>4801619</v>
      </c>
      <c r="F20" s="137">
        <v>4707941</v>
      </c>
      <c r="G20" s="137">
        <v>4473922</v>
      </c>
      <c r="H20" s="137">
        <f t="shared" si="0"/>
        <v>18937339</v>
      </c>
      <c r="J20" s="137">
        <v>1017759</v>
      </c>
      <c r="K20" s="137">
        <v>1006154</v>
      </c>
      <c r="L20" s="137">
        <v>1047983</v>
      </c>
      <c r="M20" s="137">
        <v>1046952</v>
      </c>
      <c r="N20" s="137">
        <f t="shared" si="1"/>
        <v>4118848</v>
      </c>
      <c r="P20" s="84">
        <f t="shared" si="2"/>
        <v>0.20544779552578929</v>
      </c>
      <c r="Q20" s="84">
        <f t="shared" si="3"/>
        <v>0.20954473897241743</v>
      </c>
      <c r="R20" s="84">
        <f t="shared" si="4"/>
        <v>0.2225990087811211</v>
      </c>
      <c r="S20" s="84">
        <f t="shared" si="5"/>
        <v>0.23401212627309997</v>
      </c>
      <c r="T20" s="84" t="str">
        <f>+IFERROR(#REF!/#REF!,"")</f>
        <v/>
      </c>
      <c r="U20" s="84" t="str">
        <f>+IFERROR(#REF!/#REF!,"")</f>
        <v/>
      </c>
      <c r="V20" s="84" t="str">
        <f>+IFERROR(#REF!/#REF!,"")</f>
        <v/>
      </c>
      <c r="W20" s="84" t="str">
        <f>+IFERROR(#REF!/#REF!,"")</f>
        <v/>
      </c>
      <c r="X20" s="84" t="str">
        <f>+IFERROR(#REF!/#REF!,"")</f>
        <v/>
      </c>
      <c r="Y20" s="84" t="str">
        <f>+IFERROR(#REF!/#REF!,"")</f>
        <v/>
      </c>
      <c r="Z20" s="84" t="str">
        <f>+IFERROR(#REF!/#REF!,"")</f>
        <v/>
      </c>
      <c r="AA20" s="84" t="str">
        <f>+IFERROR(#REF!/#REF!,"")</f>
        <v/>
      </c>
      <c r="AB20" s="84">
        <f t="shared" si="6"/>
        <v>0.21749877319089023</v>
      </c>
      <c r="AD20" s="139">
        <f t="shared" si="7"/>
        <v>4.0969434466281429E-3</v>
      </c>
      <c r="AE20" s="139">
        <f t="shared" si="7"/>
        <v>1.3054269808703667E-2</v>
      </c>
      <c r="AF20" s="139">
        <f t="shared" si="7"/>
        <v>1.1413117491978875E-2</v>
      </c>
      <c r="AG20" s="139" t="str">
        <f t="shared" si="7"/>
        <v/>
      </c>
      <c r="AH20" s="139" t="str">
        <f t="shared" si="7"/>
        <v/>
      </c>
      <c r="AI20" s="139" t="str">
        <f t="shared" si="7"/>
        <v/>
      </c>
      <c r="AJ20" s="139" t="str">
        <f t="shared" si="7"/>
        <v/>
      </c>
      <c r="AK20" s="139" t="str">
        <f t="shared" si="7"/>
        <v/>
      </c>
      <c r="AL20" s="139" t="str">
        <f t="shared" si="7"/>
        <v/>
      </c>
      <c r="AM20" s="139" t="str">
        <f t="shared" si="7"/>
        <v/>
      </c>
      <c r="AN20" s="139" t="str">
        <f t="shared" si="7"/>
        <v/>
      </c>
      <c r="AP20" s="82">
        <f t="shared" si="8"/>
        <v>3.8555421717406196E-3</v>
      </c>
      <c r="AQ20" s="82">
        <f t="shared" si="9"/>
        <v>0.58788302531080872</v>
      </c>
    </row>
    <row r="21" spans="2:43" x14ac:dyDescent="0.35">
      <c r="B21" s="83" t="s">
        <v>103</v>
      </c>
      <c r="D21" s="137">
        <v>21554835</v>
      </c>
      <c r="E21" s="137">
        <v>20602941</v>
      </c>
      <c r="F21" s="137">
        <v>22343319</v>
      </c>
      <c r="G21" s="137">
        <v>21575791</v>
      </c>
      <c r="H21" s="137">
        <f t="shared" si="0"/>
        <v>86076886</v>
      </c>
      <c r="J21" s="137">
        <v>3420639</v>
      </c>
      <c r="K21" s="137">
        <v>3241459</v>
      </c>
      <c r="L21" s="137">
        <v>3523702</v>
      </c>
      <c r="M21" s="137">
        <v>3328856</v>
      </c>
      <c r="N21" s="137">
        <f t="shared" si="1"/>
        <v>13514656</v>
      </c>
      <c r="P21" s="84">
        <f t="shared" si="2"/>
        <v>0.15869474296602132</v>
      </c>
      <c r="Q21" s="84">
        <f t="shared" si="3"/>
        <v>0.1573299171220264</v>
      </c>
      <c r="R21" s="84">
        <f t="shared" si="4"/>
        <v>0.15770718754899396</v>
      </c>
      <c r="S21" s="84">
        <f t="shared" si="5"/>
        <v>0.15428662615428559</v>
      </c>
      <c r="T21" s="84" t="str">
        <f>+IFERROR(#REF!/#REF!,"")</f>
        <v/>
      </c>
      <c r="U21" s="84" t="str">
        <f>+IFERROR(#REF!/#REF!,"")</f>
        <v/>
      </c>
      <c r="V21" s="84" t="str">
        <f>+IFERROR(#REF!/#REF!,"")</f>
        <v/>
      </c>
      <c r="W21" s="84" t="str">
        <f>+IFERROR(#REF!/#REF!,"")</f>
        <v/>
      </c>
      <c r="X21" s="84" t="str">
        <f>+IFERROR(#REF!/#REF!,"")</f>
        <v/>
      </c>
      <c r="Y21" s="84" t="str">
        <f>+IFERROR(#REF!/#REF!,"")</f>
        <v/>
      </c>
      <c r="Z21" s="84" t="str">
        <f>+IFERROR(#REF!/#REF!,"")</f>
        <v/>
      </c>
      <c r="AA21" s="84" t="str">
        <f>+IFERROR(#REF!/#REF!,"")</f>
        <v/>
      </c>
      <c r="AB21" s="84">
        <f t="shared" si="6"/>
        <v>0.15700679506458912</v>
      </c>
      <c r="AD21" s="139">
        <f t="shared" si="7"/>
        <v>-1.3648258439949157E-3</v>
      </c>
      <c r="AE21" s="139">
        <f t="shared" si="7"/>
        <v>3.7727042696755753E-4</v>
      </c>
      <c r="AF21" s="139">
        <f t="shared" si="7"/>
        <v>-3.4205613947083657E-3</v>
      </c>
      <c r="AG21" s="139" t="str">
        <f t="shared" si="7"/>
        <v/>
      </c>
      <c r="AH21" s="139" t="str">
        <f t="shared" si="7"/>
        <v/>
      </c>
      <c r="AI21" s="139" t="str">
        <f t="shared" si="7"/>
        <v/>
      </c>
      <c r="AJ21" s="139" t="str">
        <f t="shared" si="7"/>
        <v/>
      </c>
      <c r="AK21" s="139" t="str">
        <f t="shared" si="7"/>
        <v/>
      </c>
      <c r="AL21" s="139" t="str">
        <f t="shared" si="7"/>
        <v/>
      </c>
      <c r="AM21" s="139" t="str">
        <f t="shared" si="7"/>
        <v/>
      </c>
      <c r="AN21" s="139" t="str">
        <f t="shared" si="7"/>
        <v/>
      </c>
      <c r="AP21" s="82">
        <f t="shared" si="8"/>
        <v>1.2650703824119607E-2</v>
      </c>
      <c r="AQ21" s="82">
        <f t="shared" si="9"/>
        <v>0.60053372913492831</v>
      </c>
    </row>
    <row r="22" spans="2:43" x14ac:dyDescent="0.35">
      <c r="B22" s="83" t="s">
        <v>104</v>
      </c>
      <c r="D22" s="137">
        <v>23065050</v>
      </c>
      <c r="E22" s="137">
        <v>20902165</v>
      </c>
      <c r="F22" s="137">
        <v>24445187</v>
      </c>
      <c r="G22" s="137">
        <v>22314520</v>
      </c>
      <c r="H22" s="137">
        <f t="shared" si="0"/>
        <v>90726922</v>
      </c>
      <c r="J22" s="137">
        <v>3084711</v>
      </c>
      <c r="K22" s="137">
        <v>2837093</v>
      </c>
      <c r="L22" s="137">
        <v>2974049</v>
      </c>
      <c r="M22" s="137">
        <v>3082991</v>
      </c>
      <c r="N22" s="137">
        <f t="shared" si="1"/>
        <v>11978844</v>
      </c>
      <c r="P22" s="84">
        <f t="shared" si="2"/>
        <v>0.13373961903399298</v>
      </c>
      <c r="Q22" s="84">
        <f t="shared" si="3"/>
        <v>0.1357320162767828</v>
      </c>
      <c r="R22" s="84">
        <f t="shared" si="4"/>
        <v>0.12166194515100252</v>
      </c>
      <c r="S22" s="84">
        <f t="shared" si="5"/>
        <v>0.13816075810727724</v>
      </c>
      <c r="T22" s="84" t="str">
        <f>+IFERROR(#REF!/#REF!,"")</f>
        <v/>
      </c>
      <c r="U22" s="84" t="str">
        <f>+IFERROR(#REF!/#REF!,"")</f>
        <v/>
      </c>
      <c r="V22" s="84" t="str">
        <f>+IFERROR(#REF!/#REF!,"")</f>
        <v/>
      </c>
      <c r="W22" s="84" t="str">
        <f>+IFERROR(#REF!/#REF!,"")</f>
        <v/>
      </c>
      <c r="X22" s="84" t="str">
        <f>+IFERROR(#REF!/#REF!,"")</f>
        <v/>
      </c>
      <c r="Y22" s="84" t="str">
        <f>+IFERROR(#REF!/#REF!,"")</f>
        <v/>
      </c>
      <c r="Z22" s="84" t="str">
        <f>+IFERROR(#REF!/#REF!,"")</f>
        <v/>
      </c>
      <c r="AA22" s="84" t="str">
        <f>+IFERROR(#REF!/#REF!,"")</f>
        <v/>
      </c>
      <c r="AB22" s="84">
        <f t="shared" si="6"/>
        <v>0.13203185709309084</v>
      </c>
      <c r="AD22" s="139">
        <f t="shared" si="7"/>
        <v>1.9923972427898229E-3</v>
      </c>
      <c r="AE22" s="139">
        <f t="shared" si="7"/>
        <v>-1.4070071125780279E-2</v>
      </c>
      <c r="AF22" s="139">
        <f t="shared" si="7"/>
        <v>1.6498812956274714E-2</v>
      </c>
      <c r="AG22" s="139" t="str">
        <f t="shared" si="7"/>
        <v/>
      </c>
      <c r="AH22" s="139" t="str">
        <f t="shared" si="7"/>
        <v/>
      </c>
      <c r="AI22" s="139" t="str">
        <f t="shared" si="7"/>
        <v/>
      </c>
      <c r="AJ22" s="139" t="str">
        <f t="shared" si="7"/>
        <v/>
      </c>
      <c r="AK22" s="139" t="str">
        <f t="shared" si="7"/>
        <v/>
      </c>
      <c r="AL22" s="139" t="str">
        <f t="shared" si="7"/>
        <v/>
      </c>
      <c r="AM22" s="139" t="str">
        <f t="shared" si="7"/>
        <v/>
      </c>
      <c r="AN22" s="139" t="str">
        <f t="shared" si="7"/>
        <v/>
      </c>
      <c r="AP22" s="82">
        <f t="shared" si="8"/>
        <v>1.1213071764411333E-2</v>
      </c>
      <c r="AQ22" s="82">
        <f t="shared" si="9"/>
        <v>0.61174680089933964</v>
      </c>
    </row>
    <row r="23" spans="2:43" x14ac:dyDescent="0.35">
      <c r="B23" s="83" t="s">
        <v>105</v>
      </c>
      <c r="D23" s="137">
        <v>8717272</v>
      </c>
      <c r="E23" s="137">
        <v>8893096</v>
      </c>
      <c r="F23" s="137">
        <v>9489626</v>
      </c>
      <c r="G23" s="137">
        <v>8789971</v>
      </c>
      <c r="H23" s="137">
        <f t="shared" si="0"/>
        <v>35889965</v>
      </c>
      <c r="J23" s="137">
        <v>1827236</v>
      </c>
      <c r="K23" s="137">
        <v>2212261</v>
      </c>
      <c r="L23" s="137">
        <v>2232796</v>
      </c>
      <c r="M23" s="137">
        <v>2130671</v>
      </c>
      <c r="N23" s="137">
        <f t="shared" si="1"/>
        <v>8402964</v>
      </c>
      <c r="P23" s="84">
        <f t="shared" si="2"/>
        <v>0.20961098839178127</v>
      </c>
      <c r="Q23" s="84">
        <f t="shared" si="3"/>
        <v>0.24876162362353899</v>
      </c>
      <c r="R23" s="84">
        <f t="shared" si="4"/>
        <v>0.23528809249173782</v>
      </c>
      <c r="S23" s="84">
        <f t="shared" si="5"/>
        <v>0.24239795557914809</v>
      </c>
      <c r="T23" s="84" t="str">
        <f>+IFERROR(#REF!/#REF!,"")</f>
        <v/>
      </c>
      <c r="U23" s="84" t="str">
        <f>+IFERROR(#REF!/#REF!,"")</f>
        <v/>
      </c>
      <c r="V23" s="84" t="str">
        <f>+IFERROR(#REF!/#REF!,"")</f>
        <v/>
      </c>
      <c r="W23" s="84" t="str">
        <f>+IFERROR(#REF!/#REF!,"")</f>
        <v/>
      </c>
      <c r="X23" s="84" t="str">
        <f>+IFERROR(#REF!/#REF!,"")</f>
        <v/>
      </c>
      <c r="Y23" s="84" t="str">
        <f>+IFERROR(#REF!/#REF!,"")</f>
        <v/>
      </c>
      <c r="Z23" s="84" t="str">
        <f>+IFERROR(#REF!/#REF!,"")</f>
        <v/>
      </c>
      <c r="AA23" s="84" t="str">
        <f>+IFERROR(#REF!/#REF!,"")</f>
        <v/>
      </c>
      <c r="AB23" s="84">
        <f t="shared" si="6"/>
        <v>0.23413129547493289</v>
      </c>
      <c r="AD23" s="139">
        <f t="shared" si="7"/>
        <v>3.9150635231757713E-2</v>
      </c>
      <c r="AE23" s="139">
        <f t="shared" si="7"/>
        <v>-1.3473531131801164E-2</v>
      </c>
      <c r="AF23" s="139">
        <f t="shared" si="7"/>
        <v>7.1098630874102675E-3</v>
      </c>
      <c r="AG23" s="139" t="str">
        <f t="shared" si="7"/>
        <v/>
      </c>
      <c r="AH23" s="139" t="str">
        <f t="shared" si="7"/>
        <v/>
      </c>
      <c r="AI23" s="139" t="str">
        <f t="shared" si="7"/>
        <v/>
      </c>
      <c r="AJ23" s="139" t="str">
        <f t="shared" si="7"/>
        <v/>
      </c>
      <c r="AK23" s="139" t="str">
        <f t="shared" si="7"/>
        <v/>
      </c>
      <c r="AL23" s="139" t="str">
        <f t="shared" si="7"/>
        <v/>
      </c>
      <c r="AM23" s="139" t="str">
        <f t="shared" si="7"/>
        <v/>
      </c>
      <c r="AN23" s="139" t="str">
        <f t="shared" si="7"/>
        <v/>
      </c>
      <c r="AP23" s="82">
        <f t="shared" si="8"/>
        <v>7.8657872467297277E-3</v>
      </c>
      <c r="AQ23" s="82">
        <f t="shared" si="9"/>
        <v>0.61961258814606934</v>
      </c>
    </row>
    <row r="24" spans="2:43" x14ac:dyDescent="0.35">
      <c r="B24" s="83" t="s">
        <v>106</v>
      </c>
      <c r="D24" s="137">
        <v>18601849</v>
      </c>
      <c r="E24" s="137">
        <v>17928684</v>
      </c>
      <c r="F24" s="137">
        <v>19133468</v>
      </c>
      <c r="G24" s="137">
        <v>20523121</v>
      </c>
      <c r="H24" s="137">
        <f t="shared" si="0"/>
        <v>76187122</v>
      </c>
      <c r="J24" s="137">
        <v>2246074</v>
      </c>
      <c r="K24" s="137">
        <v>1930031</v>
      </c>
      <c r="L24" s="137">
        <v>2502149</v>
      </c>
      <c r="M24" s="137">
        <v>2389815</v>
      </c>
      <c r="N24" s="137">
        <f t="shared" si="1"/>
        <v>9068069</v>
      </c>
      <c r="P24" s="84">
        <f t="shared" si="2"/>
        <v>0.12074466360844022</v>
      </c>
      <c r="Q24" s="84">
        <f t="shared" si="3"/>
        <v>0.10765045554933089</v>
      </c>
      <c r="R24" s="84">
        <f t="shared" si="4"/>
        <v>0.13077341755294963</v>
      </c>
      <c r="S24" s="84">
        <f t="shared" si="5"/>
        <v>0.11644500853452065</v>
      </c>
      <c r="T24" s="84" t="str">
        <f>+IFERROR(#REF!/#REF!,"")</f>
        <v/>
      </c>
      <c r="U24" s="84" t="str">
        <f>+IFERROR(#REF!/#REF!,"")</f>
        <v/>
      </c>
      <c r="V24" s="84" t="str">
        <f>+IFERROR(#REF!/#REF!,"")</f>
        <v/>
      </c>
      <c r="W24" s="84" t="str">
        <f>+IFERROR(#REF!/#REF!,"")</f>
        <v/>
      </c>
      <c r="X24" s="84" t="str">
        <f>+IFERROR(#REF!/#REF!,"")</f>
        <v/>
      </c>
      <c r="Y24" s="84" t="str">
        <f>+IFERROR(#REF!/#REF!,"")</f>
        <v/>
      </c>
      <c r="Z24" s="84" t="str">
        <f>+IFERROR(#REF!/#REF!,"")</f>
        <v/>
      </c>
      <c r="AA24" s="84" t="str">
        <f>+IFERROR(#REF!/#REF!,"")</f>
        <v/>
      </c>
      <c r="AB24" s="84">
        <f t="shared" si="6"/>
        <v>0.11902364549221324</v>
      </c>
      <c r="AD24" s="139">
        <f t="shared" si="7"/>
        <v>-1.3094208059109325E-2</v>
      </c>
      <c r="AE24" s="139">
        <f t="shared" si="7"/>
        <v>2.3122962003618741E-2</v>
      </c>
      <c r="AF24" s="139">
        <f t="shared" si="7"/>
        <v>-1.4328409018428981E-2</v>
      </c>
      <c r="AG24" s="139" t="str">
        <f t="shared" si="7"/>
        <v/>
      </c>
      <c r="AH24" s="139" t="str">
        <f t="shared" si="7"/>
        <v/>
      </c>
      <c r="AI24" s="139" t="str">
        <f t="shared" si="7"/>
        <v/>
      </c>
      <c r="AJ24" s="139" t="str">
        <f t="shared" si="7"/>
        <v/>
      </c>
      <c r="AK24" s="139" t="str">
        <f t="shared" si="7"/>
        <v/>
      </c>
      <c r="AL24" s="139" t="str">
        <f t="shared" si="7"/>
        <v/>
      </c>
      <c r="AM24" s="139" t="str">
        <f t="shared" si="7"/>
        <v/>
      </c>
      <c r="AN24" s="139" t="str">
        <f t="shared" si="7"/>
        <v/>
      </c>
      <c r="AP24" s="82">
        <f t="shared" si="8"/>
        <v>8.4883740419053558E-3</v>
      </c>
      <c r="AQ24" s="82">
        <f t="shared" si="9"/>
        <v>0.62810096218797473</v>
      </c>
    </row>
    <row r="25" spans="2:43" x14ac:dyDescent="0.35">
      <c r="B25" s="83" t="s">
        <v>107</v>
      </c>
      <c r="D25" s="137">
        <v>4235724</v>
      </c>
      <c r="E25" s="137">
        <v>3952499</v>
      </c>
      <c r="F25" s="137">
        <v>4257135</v>
      </c>
      <c r="G25" s="137">
        <v>3986231</v>
      </c>
      <c r="H25" s="137">
        <f t="shared" si="0"/>
        <v>16431589</v>
      </c>
      <c r="J25" s="137">
        <v>958464</v>
      </c>
      <c r="K25" s="137">
        <v>944994</v>
      </c>
      <c r="L25" s="137">
        <v>1096648</v>
      </c>
      <c r="M25" s="137">
        <v>917486</v>
      </c>
      <c r="N25" s="137">
        <f t="shared" si="1"/>
        <v>3917592</v>
      </c>
      <c r="P25" s="84">
        <f t="shared" si="2"/>
        <v>0.22628103247520376</v>
      </c>
      <c r="Q25" s="84">
        <f t="shared" si="3"/>
        <v>0.23908772652440899</v>
      </c>
      <c r="R25" s="84">
        <f t="shared" si="4"/>
        <v>0.2576023546352183</v>
      </c>
      <c r="S25" s="84">
        <f t="shared" si="5"/>
        <v>0.23016378127609766</v>
      </c>
      <c r="T25" s="84" t="str">
        <f>+IFERROR(#REF!/#REF!,"")</f>
        <v/>
      </c>
      <c r="U25" s="84" t="str">
        <f>+IFERROR(#REF!/#REF!,"")</f>
        <v/>
      </c>
      <c r="V25" s="84" t="str">
        <f>+IFERROR(#REF!/#REF!,"")</f>
        <v/>
      </c>
      <c r="W25" s="84" t="str">
        <f>+IFERROR(#REF!/#REF!,"")</f>
        <v/>
      </c>
      <c r="X25" s="84" t="str">
        <f>+IFERROR(#REF!/#REF!,"")</f>
        <v/>
      </c>
      <c r="Y25" s="84" t="str">
        <f>+IFERROR(#REF!/#REF!,"")</f>
        <v/>
      </c>
      <c r="Z25" s="84" t="str">
        <f>+IFERROR(#REF!/#REF!,"")</f>
        <v/>
      </c>
      <c r="AA25" s="84" t="str">
        <f>+IFERROR(#REF!/#REF!,"")</f>
        <v/>
      </c>
      <c r="AB25" s="84">
        <f t="shared" si="6"/>
        <v>0.23841832947501304</v>
      </c>
      <c r="AD25" s="139">
        <f t="shared" si="7"/>
        <v>1.2806694049205231E-2</v>
      </c>
      <c r="AE25" s="139">
        <f t="shared" si="7"/>
        <v>1.8514628110809311E-2</v>
      </c>
      <c r="AF25" s="139">
        <f t="shared" si="7"/>
        <v>-2.7438573359120644E-2</v>
      </c>
      <c r="AG25" s="139" t="str">
        <f t="shared" si="7"/>
        <v/>
      </c>
      <c r="AH25" s="139" t="str">
        <f t="shared" si="7"/>
        <v/>
      </c>
      <c r="AI25" s="139" t="str">
        <f t="shared" si="7"/>
        <v/>
      </c>
      <c r="AJ25" s="139" t="str">
        <f t="shared" si="7"/>
        <v/>
      </c>
      <c r="AK25" s="139" t="str">
        <f t="shared" si="7"/>
        <v/>
      </c>
      <c r="AL25" s="139" t="str">
        <f t="shared" si="7"/>
        <v/>
      </c>
      <c r="AM25" s="139" t="str">
        <f t="shared" si="7"/>
        <v/>
      </c>
      <c r="AN25" s="139" t="str">
        <f t="shared" si="7"/>
        <v/>
      </c>
      <c r="AP25" s="82">
        <f t="shared" si="8"/>
        <v>3.6671518753966345E-3</v>
      </c>
      <c r="AQ25" s="82">
        <f t="shared" si="9"/>
        <v>0.63176811406337141</v>
      </c>
    </row>
    <row r="26" spans="2:43" x14ac:dyDescent="0.35">
      <c r="B26" s="83" t="s">
        <v>108</v>
      </c>
      <c r="D26" s="137">
        <v>9351755</v>
      </c>
      <c r="E26" s="137">
        <v>8609082</v>
      </c>
      <c r="F26" s="137">
        <v>9825731</v>
      </c>
      <c r="G26" s="137">
        <v>8658869</v>
      </c>
      <c r="H26" s="137">
        <f t="shared" si="0"/>
        <v>36445437</v>
      </c>
      <c r="J26" s="137">
        <v>2286774</v>
      </c>
      <c r="K26" s="137">
        <v>2091300</v>
      </c>
      <c r="L26" s="137">
        <v>2328485</v>
      </c>
      <c r="M26" s="137">
        <v>2223796</v>
      </c>
      <c r="N26" s="137">
        <f t="shared" si="1"/>
        <v>8930355</v>
      </c>
      <c r="P26" s="84">
        <f t="shared" si="2"/>
        <v>0.24452886116028488</v>
      </c>
      <c r="Q26" s="84">
        <f t="shared" si="3"/>
        <v>0.24291788601850928</v>
      </c>
      <c r="R26" s="84">
        <f t="shared" si="4"/>
        <v>0.23697829708547893</v>
      </c>
      <c r="S26" s="84">
        <f t="shared" si="5"/>
        <v>0.25682291763508608</v>
      </c>
      <c r="T26" s="84" t="str">
        <f>+IFERROR(#REF!/#REF!,"")</f>
        <v/>
      </c>
      <c r="U26" s="84" t="str">
        <f>+IFERROR(#REF!/#REF!,"")</f>
        <v/>
      </c>
      <c r="V26" s="84" t="str">
        <f>+IFERROR(#REF!/#REF!,"")</f>
        <v/>
      </c>
      <c r="W26" s="84" t="str">
        <f>+IFERROR(#REF!/#REF!,"")</f>
        <v/>
      </c>
      <c r="X26" s="84" t="str">
        <f>+IFERROR(#REF!/#REF!,"")</f>
        <v/>
      </c>
      <c r="Y26" s="84" t="str">
        <f>+IFERROR(#REF!/#REF!,"")</f>
        <v/>
      </c>
      <c r="Z26" s="84" t="str">
        <f>+IFERROR(#REF!/#REF!,"")</f>
        <v/>
      </c>
      <c r="AA26" s="84" t="str">
        <f>+IFERROR(#REF!/#REF!,"")</f>
        <v/>
      </c>
      <c r="AB26" s="84">
        <f t="shared" si="6"/>
        <v>0.24503355522942419</v>
      </c>
      <c r="AD26" s="139">
        <f t="shared" si="7"/>
        <v>-1.6109751417756057E-3</v>
      </c>
      <c r="AE26" s="139">
        <f t="shared" si="7"/>
        <v>-5.9395889330303431E-3</v>
      </c>
      <c r="AF26" s="139">
        <f t="shared" si="7"/>
        <v>1.9844620549607145E-2</v>
      </c>
      <c r="AG26" s="139" t="str">
        <f t="shared" si="7"/>
        <v/>
      </c>
      <c r="AH26" s="139" t="str">
        <f t="shared" si="7"/>
        <v/>
      </c>
      <c r="AI26" s="139" t="str">
        <f t="shared" si="7"/>
        <v/>
      </c>
      <c r="AJ26" s="139" t="str">
        <f t="shared" si="7"/>
        <v/>
      </c>
      <c r="AK26" s="139" t="str">
        <f t="shared" si="7"/>
        <v/>
      </c>
      <c r="AL26" s="139" t="str">
        <f t="shared" si="7"/>
        <v/>
      </c>
      <c r="AM26" s="139" t="str">
        <f t="shared" si="7"/>
        <v/>
      </c>
      <c r="AN26" s="139" t="str">
        <f t="shared" si="7"/>
        <v/>
      </c>
      <c r="AP26" s="82">
        <f t="shared" si="8"/>
        <v>8.3594636925457561E-3</v>
      </c>
      <c r="AQ26" s="82">
        <f t="shared" si="9"/>
        <v>0.64012757775591722</v>
      </c>
    </row>
    <row r="27" spans="2:43" x14ac:dyDescent="0.35">
      <c r="B27" s="83" t="s">
        <v>109</v>
      </c>
      <c r="D27" s="137">
        <v>12478342</v>
      </c>
      <c r="E27" s="137">
        <v>11014210</v>
      </c>
      <c r="F27" s="137">
        <v>12379224</v>
      </c>
      <c r="G27" s="137">
        <v>11279519</v>
      </c>
      <c r="H27" s="137">
        <f t="shared" si="0"/>
        <v>47151295</v>
      </c>
      <c r="J27" s="137">
        <v>2114629</v>
      </c>
      <c r="K27" s="137">
        <v>1819657</v>
      </c>
      <c r="L27" s="137">
        <v>2105813</v>
      </c>
      <c r="M27" s="137">
        <v>1940374</v>
      </c>
      <c r="N27" s="137">
        <f t="shared" si="1"/>
        <v>7980473</v>
      </c>
      <c r="P27" s="84">
        <f t="shared" si="2"/>
        <v>0.16946394000100334</v>
      </c>
      <c r="Q27" s="84">
        <f t="shared" si="3"/>
        <v>0.16520994242891682</v>
      </c>
      <c r="R27" s="84">
        <f t="shared" si="4"/>
        <v>0.1701086433204537</v>
      </c>
      <c r="S27" s="84">
        <f t="shared" si="5"/>
        <v>0.17202630715015418</v>
      </c>
      <c r="T27" s="84" t="str">
        <f>+IFERROR(#REF!/#REF!,"")</f>
        <v/>
      </c>
      <c r="U27" s="84" t="str">
        <f>+IFERROR(#REF!/#REF!,"")</f>
        <v/>
      </c>
      <c r="V27" s="84" t="str">
        <f>+IFERROR(#REF!/#REF!,"")</f>
        <v/>
      </c>
      <c r="W27" s="84" t="str">
        <f>+IFERROR(#REF!/#REF!,"")</f>
        <v/>
      </c>
      <c r="X27" s="84" t="str">
        <f>+IFERROR(#REF!/#REF!,"")</f>
        <v/>
      </c>
      <c r="Y27" s="84" t="str">
        <f>+IFERROR(#REF!/#REF!,"")</f>
        <v/>
      </c>
      <c r="Z27" s="84" t="str">
        <f>+IFERROR(#REF!/#REF!,"")</f>
        <v/>
      </c>
      <c r="AA27" s="84" t="str">
        <f>+IFERROR(#REF!/#REF!,"")</f>
        <v/>
      </c>
      <c r="AB27" s="84">
        <f t="shared" si="6"/>
        <v>0.1692524669789027</v>
      </c>
      <c r="AD27" s="139">
        <f t="shared" si="7"/>
        <v>-4.2539975720865264E-3</v>
      </c>
      <c r="AE27" s="139">
        <f t="shared" si="7"/>
        <v>4.8987008915368779E-3</v>
      </c>
      <c r="AF27" s="139">
        <f t="shared" si="7"/>
        <v>1.9176638297004889E-3</v>
      </c>
      <c r="AG27" s="139" t="str">
        <f t="shared" si="7"/>
        <v/>
      </c>
      <c r="AH27" s="139" t="str">
        <f t="shared" si="7"/>
        <v/>
      </c>
      <c r="AI27" s="139" t="str">
        <f t="shared" si="7"/>
        <v/>
      </c>
      <c r="AJ27" s="139" t="str">
        <f t="shared" si="7"/>
        <v/>
      </c>
      <c r="AK27" s="139" t="str">
        <f t="shared" si="7"/>
        <v/>
      </c>
      <c r="AL27" s="139" t="str">
        <f t="shared" si="7"/>
        <v/>
      </c>
      <c r="AM27" s="139" t="str">
        <f t="shared" si="7"/>
        <v/>
      </c>
      <c r="AN27" s="139" t="str">
        <f t="shared" si="7"/>
        <v/>
      </c>
      <c r="AP27" s="82">
        <f t="shared" si="8"/>
        <v>7.4703048527008957E-3</v>
      </c>
      <c r="AQ27" s="82">
        <f t="shared" si="9"/>
        <v>0.64759788260861817</v>
      </c>
    </row>
    <row r="28" spans="2:43" x14ac:dyDescent="0.35">
      <c r="B28" s="83" t="s">
        <v>110</v>
      </c>
      <c r="D28" s="137">
        <v>9647288</v>
      </c>
      <c r="E28" s="137"/>
      <c r="F28" s="137"/>
      <c r="G28" s="137"/>
      <c r="H28" s="137">
        <f t="shared" si="0"/>
        <v>9647288</v>
      </c>
      <c r="J28" s="137">
        <v>1691122</v>
      </c>
      <c r="K28" s="137"/>
      <c r="L28" s="137"/>
      <c r="M28" s="137"/>
      <c r="N28" s="137">
        <f t="shared" si="1"/>
        <v>1691122</v>
      </c>
      <c r="P28" s="84">
        <f t="shared" si="2"/>
        <v>0.17529506738059442</v>
      </c>
      <c r="Q28" s="84" t="str">
        <f t="shared" si="3"/>
        <v/>
      </c>
      <c r="R28" s="84" t="str">
        <f t="shared" si="4"/>
        <v/>
      </c>
      <c r="S28" s="84" t="str">
        <f t="shared" si="5"/>
        <v/>
      </c>
      <c r="T28" s="84" t="str">
        <f>+IFERROR(#REF!/#REF!,"")</f>
        <v/>
      </c>
      <c r="U28" s="84" t="str">
        <f>+IFERROR(#REF!/#REF!,"")</f>
        <v/>
      </c>
      <c r="V28" s="84" t="str">
        <f>+IFERROR(#REF!/#REF!,"")</f>
        <v/>
      </c>
      <c r="W28" s="84" t="str">
        <f>+IFERROR(#REF!/#REF!,"")</f>
        <v/>
      </c>
      <c r="X28" s="84" t="str">
        <f>+IFERROR(#REF!/#REF!,"")</f>
        <v/>
      </c>
      <c r="Y28" s="84" t="str">
        <f>+IFERROR(#REF!/#REF!,"")</f>
        <v/>
      </c>
      <c r="Z28" s="84" t="str">
        <f>+IFERROR(#REF!/#REF!,"")</f>
        <v/>
      </c>
      <c r="AA28" s="84" t="str">
        <f>+IFERROR(#REF!/#REF!,"")</f>
        <v/>
      </c>
      <c r="AB28" s="84">
        <f t="shared" si="6"/>
        <v>0.17529506738059442</v>
      </c>
      <c r="AD28" s="139" t="str">
        <f t="shared" si="7"/>
        <v/>
      </c>
      <c r="AE28" s="139" t="str">
        <f t="shared" si="7"/>
        <v/>
      </c>
      <c r="AF28" s="139" t="str">
        <f t="shared" ref="AF28:AN56" si="10">+IFERROR(S28-R28,"")</f>
        <v/>
      </c>
      <c r="AG28" s="139" t="str">
        <f t="shared" si="10"/>
        <v/>
      </c>
      <c r="AH28" s="139" t="str">
        <f t="shared" si="10"/>
        <v/>
      </c>
      <c r="AI28" s="139" t="str">
        <f t="shared" si="10"/>
        <v/>
      </c>
      <c r="AJ28" s="139" t="str">
        <f t="shared" si="10"/>
        <v/>
      </c>
      <c r="AK28" s="139" t="str">
        <f t="shared" si="10"/>
        <v/>
      </c>
      <c r="AL28" s="139" t="str">
        <f t="shared" si="10"/>
        <v/>
      </c>
      <c r="AM28" s="139" t="str">
        <f t="shared" si="10"/>
        <v/>
      </c>
      <c r="AN28" s="139" t="str">
        <f t="shared" si="10"/>
        <v/>
      </c>
      <c r="AP28" s="82">
        <f t="shared" si="8"/>
        <v>1.5830135485840557E-3</v>
      </c>
      <c r="AQ28" s="82">
        <f t="shared" si="9"/>
        <v>0.6491808961572022</v>
      </c>
    </row>
    <row r="29" spans="2:43" x14ac:dyDescent="0.35">
      <c r="B29" s="83" t="s">
        <v>111</v>
      </c>
      <c r="D29" s="137">
        <v>1159782</v>
      </c>
      <c r="E29" s="137">
        <v>1138481</v>
      </c>
      <c r="F29" s="137">
        <v>1483011</v>
      </c>
      <c r="G29" s="137">
        <v>1376114</v>
      </c>
      <c r="H29" s="137">
        <f t="shared" si="0"/>
        <v>5157388</v>
      </c>
      <c r="J29" s="137">
        <v>265052</v>
      </c>
      <c r="K29" s="137">
        <v>245988</v>
      </c>
      <c r="L29" s="137">
        <v>524609</v>
      </c>
      <c r="M29" s="137">
        <v>459690</v>
      </c>
      <c r="N29" s="137">
        <f t="shared" si="1"/>
        <v>1495339</v>
      </c>
      <c r="P29" s="84">
        <f t="shared" si="2"/>
        <v>0.22853605246503222</v>
      </c>
      <c r="Q29" s="84">
        <f t="shared" si="3"/>
        <v>0.21606684696538633</v>
      </c>
      <c r="R29" s="84">
        <f t="shared" si="4"/>
        <v>0.35374585893159255</v>
      </c>
      <c r="S29" s="84">
        <f t="shared" si="5"/>
        <v>0.33404935928273383</v>
      </c>
      <c r="T29" s="84" t="str">
        <f>+IFERROR(#REF!/#REF!,"")</f>
        <v/>
      </c>
      <c r="U29" s="84" t="str">
        <f>+IFERROR(#REF!/#REF!,"")</f>
        <v/>
      </c>
      <c r="V29" s="84" t="str">
        <f>+IFERROR(#REF!/#REF!,"")</f>
        <v/>
      </c>
      <c r="W29" s="84" t="str">
        <f>+IFERROR(#REF!/#REF!,"")</f>
        <v/>
      </c>
      <c r="X29" s="84" t="str">
        <f>+IFERROR(#REF!/#REF!,"")</f>
        <v/>
      </c>
      <c r="Y29" s="84" t="str">
        <f>+IFERROR(#REF!/#REF!,"")</f>
        <v/>
      </c>
      <c r="Z29" s="84" t="str">
        <f>+IFERROR(#REF!/#REF!,"")</f>
        <v/>
      </c>
      <c r="AA29" s="84" t="str">
        <f>+IFERROR(#REF!/#REF!,"")</f>
        <v/>
      </c>
      <c r="AB29" s="84">
        <f t="shared" si="6"/>
        <v>0.28994114850385505</v>
      </c>
      <c r="AD29" s="139">
        <f t="shared" ref="AD29:AH60" si="11">+IFERROR(Q29-P29,"")</f>
        <v>-1.2469205499645891E-2</v>
      </c>
      <c r="AE29" s="139">
        <f t="shared" si="11"/>
        <v>0.13767901196620622</v>
      </c>
      <c r="AF29" s="139">
        <f t="shared" si="10"/>
        <v>-1.9696499648858723E-2</v>
      </c>
      <c r="AG29" s="139" t="str">
        <f t="shared" si="10"/>
        <v/>
      </c>
      <c r="AH29" s="139" t="str">
        <f t="shared" si="10"/>
        <v/>
      </c>
      <c r="AI29" s="139" t="str">
        <f t="shared" si="10"/>
        <v/>
      </c>
      <c r="AJ29" s="139" t="str">
        <f t="shared" si="10"/>
        <v/>
      </c>
      <c r="AK29" s="139" t="str">
        <f t="shared" si="10"/>
        <v/>
      </c>
      <c r="AL29" s="139" t="str">
        <f t="shared" si="10"/>
        <v/>
      </c>
      <c r="AM29" s="139" t="str">
        <f t="shared" si="10"/>
        <v/>
      </c>
      <c r="AN29" s="139" t="str">
        <f t="shared" si="10"/>
        <v/>
      </c>
      <c r="AP29" s="82">
        <f t="shared" si="8"/>
        <v>1.399746379460579E-3</v>
      </c>
      <c r="AQ29" s="82">
        <f t="shared" si="9"/>
        <v>0.65058064253666281</v>
      </c>
    </row>
    <row r="30" spans="2:43" x14ac:dyDescent="0.35">
      <c r="B30" s="83" t="s">
        <v>112</v>
      </c>
      <c r="D30" s="137">
        <v>9016427</v>
      </c>
      <c r="E30" s="137">
        <v>8774382</v>
      </c>
      <c r="F30" s="137">
        <v>9834394</v>
      </c>
      <c r="G30" s="137">
        <v>9333034</v>
      </c>
      <c r="H30" s="137">
        <f t="shared" si="0"/>
        <v>36958237</v>
      </c>
      <c r="J30" s="137">
        <v>1468391</v>
      </c>
      <c r="K30" s="137">
        <v>1448560</v>
      </c>
      <c r="L30" s="137">
        <v>1592636</v>
      </c>
      <c r="M30" s="137">
        <v>1518417</v>
      </c>
      <c r="N30" s="137">
        <f t="shared" si="1"/>
        <v>6028004</v>
      </c>
      <c r="P30" s="84">
        <f t="shared" si="2"/>
        <v>0.16285730478381291</v>
      </c>
      <c r="Q30" s="84">
        <f t="shared" si="3"/>
        <v>0.16508968950747757</v>
      </c>
      <c r="R30" s="84">
        <f t="shared" si="4"/>
        <v>0.16194551489395279</v>
      </c>
      <c r="S30" s="84">
        <f t="shared" si="5"/>
        <v>0.16269275350330878</v>
      </c>
      <c r="T30" s="84" t="str">
        <f>+IFERROR(#REF!/#REF!,"")</f>
        <v/>
      </c>
      <c r="U30" s="84" t="str">
        <f>+IFERROR(#REF!/#REF!,"")</f>
        <v/>
      </c>
      <c r="V30" s="84" t="str">
        <f>+IFERROR(#REF!/#REF!,"")</f>
        <v/>
      </c>
      <c r="W30" s="84" t="str">
        <f>+IFERROR(#REF!/#REF!,"")</f>
        <v/>
      </c>
      <c r="X30" s="84" t="str">
        <f>+IFERROR(#REF!/#REF!,"")</f>
        <v/>
      </c>
      <c r="Y30" s="84" t="str">
        <f>+IFERROR(#REF!/#REF!,"")</f>
        <v/>
      </c>
      <c r="Z30" s="84" t="str">
        <f>+IFERROR(#REF!/#REF!,"")</f>
        <v/>
      </c>
      <c r="AA30" s="84" t="str">
        <f>+IFERROR(#REF!/#REF!,"")</f>
        <v/>
      </c>
      <c r="AB30" s="84">
        <f t="shared" si="6"/>
        <v>0.16310312637477811</v>
      </c>
      <c r="AD30" s="139">
        <f t="shared" si="11"/>
        <v>2.2323847236646599E-3</v>
      </c>
      <c r="AE30" s="139">
        <f t="shared" si="11"/>
        <v>-3.1441746135247861E-3</v>
      </c>
      <c r="AF30" s="139">
        <f t="shared" si="10"/>
        <v>7.4723860935599351E-4</v>
      </c>
      <c r="AG30" s="139" t="str">
        <f t="shared" si="10"/>
        <v/>
      </c>
      <c r="AH30" s="139" t="str">
        <f t="shared" si="10"/>
        <v/>
      </c>
      <c r="AI30" s="139" t="str">
        <f t="shared" si="10"/>
        <v/>
      </c>
      <c r="AJ30" s="139" t="str">
        <f t="shared" si="10"/>
        <v/>
      </c>
      <c r="AK30" s="139" t="str">
        <f t="shared" si="10"/>
        <v/>
      </c>
      <c r="AL30" s="139" t="str">
        <f t="shared" si="10"/>
        <v/>
      </c>
      <c r="AM30" s="139" t="str">
        <f t="shared" si="10"/>
        <v/>
      </c>
      <c r="AN30" s="139" t="str">
        <f t="shared" si="10"/>
        <v/>
      </c>
      <c r="AP30" s="82">
        <f t="shared" si="8"/>
        <v>5.6426514485169495E-3</v>
      </c>
      <c r="AQ30" s="82">
        <f t="shared" si="9"/>
        <v>0.65622329398517976</v>
      </c>
    </row>
    <row r="31" spans="2:43" x14ac:dyDescent="0.35">
      <c r="B31" s="83" t="s">
        <v>113</v>
      </c>
      <c r="D31" s="137">
        <v>22215252</v>
      </c>
      <c r="E31" s="137">
        <v>25929673</v>
      </c>
      <c r="F31" s="137">
        <v>29102748</v>
      </c>
      <c r="G31" s="137">
        <v>29967137</v>
      </c>
      <c r="H31" s="137">
        <f t="shared" si="0"/>
        <v>107214810</v>
      </c>
      <c r="J31" s="137">
        <v>3033338</v>
      </c>
      <c r="K31" s="137">
        <v>2883407</v>
      </c>
      <c r="L31" s="137">
        <v>2679303</v>
      </c>
      <c r="M31" s="137">
        <v>3286324</v>
      </c>
      <c r="N31" s="137">
        <f t="shared" si="1"/>
        <v>11882372</v>
      </c>
      <c r="P31" s="84">
        <f t="shared" si="2"/>
        <v>0.13654303808932711</v>
      </c>
      <c r="Q31" s="84">
        <f t="shared" si="3"/>
        <v>0.11120105525434124</v>
      </c>
      <c r="R31" s="84">
        <f t="shared" si="4"/>
        <v>9.2063574202683546E-2</v>
      </c>
      <c r="S31" s="84">
        <f t="shared" si="5"/>
        <v>0.10966426322274296</v>
      </c>
      <c r="T31" s="84" t="str">
        <f>+IFERROR(#REF!/#REF!,"")</f>
        <v/>
      </c>
      <c r="U31" s="84" t="str">
        <f>+IFERROR(#REF!/#REF!,"")</f>
        <v/>
      </c>
      <c r="V31" s="84" t="str">
        <f>+IFERROR(#REF!/#REF!,"")</f>
        <v/>
      </c>
      <c r="W31" s="84" t="str">
        <f>+IFERROR(#REF!/#REF!,"")</f>
        <v/>
      </c>
      <c r="X31" s="84" t="str">
        <f>+IFERROR(#REF!/#REF!,"")</f>
        <v/>
      </c>
      <c r="Y31" s="84" t="str">
        <f>+IFERROR(#REF!/#REF!,"")</f>
        <v/>
      </c>
      <c r="Z31" s="84" t="str">
        <f>+IFERROR(#REF!/#REF!,"")</f>
        <v/>
      </c>
      <c r="AA31" s="84" t="str">
        <f>+IFERROR(#REF!/#REF!,"")</f>
        <v/>
      </c>
      <c r="AB31" s="84">
        <f t="shared" si="6"/>
        <v>0.1108277112089272</v>
      </c>
      <c r="AD31" s="139">
        <f t="shared" si="11"/>
        <v>-2.5341982834985871E-2</v>
      </c>
      <c r="AE31" s="139">
        <f t="shared" si="11"/>
        <v>-1.913748105165769E-2</v>
      </c>
      <c r="AF31" s="139">
        <f t="shared" si="10"/>
        <v>1.7600689020059415E-2</v>
      </c>
      <c r="AG31" s="139" t="str">
        <f t="shared" si="10"/>
        <v/>
      </c>
      <c r="AH31" s="139" t="str">
        <f t="shared" si="10"/>
        <v/>
      </c>
      <c r="AI31" s="139" t="str">
        <f t="shared" si="10"/>
        <v/>
      </c>
      <c r="AJ31" s="139" t="str">
        <f t="shared" si="10"/>
        <v/>
      </c>
      <c r="AK31" s="139" t="str">
        <f t="shared" si="10"/>
        <v/>
      </c>
      <c r="AL31" s="139" t="str">
        <f t="shared" si="10"/>
        <v/>
      </c>
      <c r="AM31" s="139" t="str">
        <f t="shared" si="10"/>
        <v/>
      </c>
      <c r="AN31" s="139" t="str">
        <f t="shared" si="10"/>
        <v/>
      </c>
      <c r="AP31" s="82">
        <f t="shared" si="8"/>
        <v>1.1122766935393083E-2</v>
      </c>
      <c r="AQ31" s="82">
        <f t="shared" si="9"/>
        <v>0.6673460609205728</v>
      </c>
    </row>
    <row r="32" spans="2:43" x14ac:dyDescent="0.35">
      <c r="B32" s="83" t="s">
        <v>114</v>
      </c>
      <c r="D32" s="137">
        <v>1113153</v>
      </c>
      <c r="E32" s="137">
        <v>1099169</v>
      </c>
      <c r="F32" s="137">
        <v>1385540</v>
      </c>
      <c r="G32" s="137">
        <v>1269444</v>
      </c>
      <c r="H32" s="137">
        <f t="shared" si="0"/>
        <v>4867306</v>
      </c>
      <c r="J32" s="137">
        <v>196730</v>
      </c>
      <c r="K32" s="137">
        <v>202677</v>
      </c>
      <c r="L32" s="137">
        <v>300604</v>
      </c>
      <c r="M32" s="137">
        <v>245558</v>
      </c>
      <c r="N32" s="137">
        <f t="shared" si="1"/>
        <v>945569</v>
      </c>
      <c r="P32" s="84">
        <f t="shared" si="2"/>
        <v>0.17673221920077473</v>
      </c>
      <c r="Q32" s="84">
        <f t="shared" si="3"/>
        <v>0.18439111728951599</v>
      </c>
      <c r="R32" s="84">
        <f t="shared" si="4"/>
        <v>0.21695800915166649</v>
      </c>
      <c r="S32" s="84">
        <f t="shared" si="5"/>
        <v>0.19343744190369958</v>
      </c>
      <c r="T32" s="84" t="str">
        <f>+IFERROR(#REF!/#REF!,"")</f>
        <v/>
      </c>
      <c r="U32" s="84" t="str">
        <f>+IFERROR(#REF!/#REF!,"")</f>
        <v/>
      </c>
      <c r="V32" s="84" t="str">
        <f>+IFERROR(#REF!/#REF!,"")</f>
        <v/>
      </c>
      <c r="W32" s="84" t="str">
        <f>+IFERROR(#REF!/#REF!,"")</f>
        <v/>
      </c>
      <c r="X32" s="84" t="str">
        <f>+IFERROR(#REF!/#REF!,"")</f>
        <v/>
      </c>
      <c r="Y32" s="84" t="str">
        <f>+IFERROR(#REF!/#REF!,"")</f>
        <v/>
      </c>
      <c r="Z32" s="84" t="str">
        <f>+IFERROR(#REF!/#REF!,"")</f>
        <v/>
      </c>
      <c r="AA32" s="84" t="str">
        <f>+IFERROR(#REF!/#REF!,"")</f>
        <v/>
      </c>
      <c r="AB32" s="84">
        <f t="shared" si="6"/>
        <v>0.19426947884517637</v>
      </c>
      <c r="AD32" s="139">
        <f t="shared" si="11"/>
        <v>7.6588980887412617E-3</v>
      </c>
      <c r="AE32" s="139">
        <f t="shared" si="11"/>
        <v>3.2566891862150504E-2</v>
      </c>
      <c r="AF32" s="139">
        <f t="shared" si="10"/>
        <v>-2.3520567247966917E-2</v>
      </c>
      <c r="AG32" s="139" t="str">
        <f t="shared" si="10"/>
        <v/>
      </c>
      <c r="AH32" s="139" t="str">
        <f t="shared" si="10"/>
        <v/>
      </c>
      <c r="AI32" s="139" t="str">
        <f t="shared" si="10"/>
        <v/>
      </c>
      <c r="AJ32" s="139" t="str">
        <f t="shared" si="10"/>
        <v/>
      </c>
      <c r="AK32" s="139" t="str">
        <f t="shared" si="10"/>
        <v/>
      </c>
      <c r="AL32" s="139" t="str">
        <f t="shared" si="10"/>
        <v/>
      </c>
      <c r="AM32" s="139" t="str">
        <f t="shared" si="10"/>
        <v/>
      </c>
      <c r="AN32" s="139" t="str">
        <f t="shared" si="10"/>
        <v/>
      </c>
      <c r="AP32" s="82">
        <f t="shared" si="8"/>
        <v>8.8512155723896732E-4</v>
      </c>
      <c r="AQ32" s="82">
        <f t="shared" si="9"/>
        <v>0.66823118247781177</v>
      </c>
    </row>
    <row r="33" spans="2:43" x14ac:dyDescent="0.35">
      <c r="B33" s="83" t="s">
        <v>115</v>
      </c>
      <c r="D33" s="137">
        <v>5600896</v>
      </c>
      <c r="E33" s="137">
        <v>4752845</v>
      </c>
      <c r="F33" s="137">
        <v>5177079</v>
      </c>
      <c r="G33" s="137">
        <v>4859947</v>
      </c>
      <c r="H33" s="137">
        <f t="shared" si="0"/>
        <v>20390767</v>
      </c>
      <c r="J33" s="137">
        <v>1009498</v>
      </c>
      <c r="K33" s="137">
        <v>965043</v>
      </c>
      <c r="L33" s="137">
        <v>937199</v>
      </c>
      <c r="M33" s="137">
        <v>878604</v>
      </c>
      <c r="N33" s="137">
        <f t="shared" si="1"/>
        <v>3790344</v>
      </c>
      <c r="P33" s="84">
        <f t="shared" si="2"/>
        <v>0.18023866181410975</v>
      </c>
      <c r="Q33" s="84">
        <f t="shared" si="3"/>
        <v>0.20304533390001148</v>
      </c>
      <c r="R33" s="84">
        <f t="shared" si="4"/>
        <v>0.18102852979450382</v>
      </c>
      <c r="S33" s="84">
        <f t="shared" si="5"/>
        <v>0.18078468756963811</v>
      </c>
      <c r="T33" s="84" t="str">
        <f>+IFERROR(#REF!/#REF!,"")</f>
        <v/>
      </c>
      <c r="U33" s="84" t="str">
        <f>+IFERROR(#REF!/#REF!,"")</f>
        <v/>
      </c>
      <c r="V33" s="84" t="str">
        <f>+IFERROR(#REF!/#REF!,"")</f>
        <v/>
      </c>
      <c r="W33" s="84" t="str">
        <f>+IFERROR(#REF!/#REF!,"")</f>
        <v/>
      </c>
      <c r="X33" s="84" t="str">
        <f>+IFERROR(#REF!/#REF!,"")</f>
        <v/>
      </c>
      <c r="Y33" s="84" t="str">
        <f>+IFERROR(#REF!/#REF!,"")</f>
        <v/>
      </c>
      <c r="Z33" s="84" t="str">
        <f>+IFERROR(#REF!/#REF!,"")</f>
        <v/>
      </c>
      <c r="AA33" s="84" t="str">
        <f>+IFERROR(#REF!/#REF!,"")</f>
        <v/>
      </c>
      <c r="AB33" s="84">
        <f t="shared" si="6"/>
        <v>0.18588530779641591</v>
      </c>
      <c r="AD33" s="139">
        <f t="shared" si="11"/>
        <v>2.280667208590173E-2</v>
      </c>
      <c r="AE33" s="139">
        <f t="shared" si="11"/>
        <v>-2.2016804105507659E-2</v>
      </c>
      <c r="AF33" s="139">
        <f t="shared" si="10"/>
        <v>-2.4384222486570351E-4</v>
      </c>
      <c r="AG33" s="139" t="str">
        <f t="shared" si="10"/>
        <v/>
      </c>
      <c r="AH33" s="139" t="str">
        <f t="shared" si="10"/>
        <v/>
      </c>
      <c r="AI33" s="139" t="str">
        <f t="shared" si="10"/>
        <v/>
      </c>
      <c r="AJ33" s="139" t="str">
        <f t="shared" si="10"/>
        <v/>
      </c>
      <c r="AK33" s="139" t="str">
        <f t="shared" si="10"/>
        <v/>
      </c>
      <c r="AL33" s="139" t="str">
        <f t="shared" si="10"/>
        <v/>
      </c>
      <c r="AM33" s="139" t="str">
        <f t="shared" si="10"/>
        <v/>
      </c>
      <c r="AN33" s="139" t="str">
        <f t="shared" si="10"/>
        <v/>
      </c>
      <c r="AP33" s="82">
        <f t="shared" si="8"/>
        <v>3.5480384654651073E-3</v>
      </c>
      <c r="AQ33" s="82">
        <f t="shared" si="9"/>
        <v>0.67177922094327691</v>
      </c>
    </row>
    <row r="34" spans="2:43" x14ac:dyDescent="0.35">
      <c r="B34" s="83" t="s">
        <v>116</v>
      </c>
      <c r="D34" s="137">
        <v>7427920</v>
      </c>
      <c r="E34" s="137">
        <v>6728802</v>
      </c>
      <c r="F34" s="137">
        <v>7463989</v>
      </c>
      <c r="G34" s="137">
        <v>6546396</v>
      </c>
      <c r="H34" s="137">
        <f t="shared" si="0"/>
        <v>28167107</v>
      </c>
      <c r="J34" s="137">
        <v>1177725</v>
      </c>
      <c r="K34" s="137">
        <v>1054491</v>
      </c>
      <c r="L34" s="137">
        <v>1168884</v>
      </c>
      <c r="M34" s="137">
        <v>1060727</v>
      </c>
      <c r="N34" s="137">
        <f t="shared" si="1"/>
        <v>4461827</v>
      </c>
      <c r="P34" s="84">
        <f t="shared" si="2"/>
        <v>0.15855380779545283</v>
      </c>
      <c r="Q34" s="84">
        <f t="shared" si="3"/>
        <v>0.15671303747680493</v>
      </c>
      <c r="R34" s="84">
        <f t="shared" si="4"/>
        <v>0.15660312468306156</v>
      </c>
      <c r="S34" s="84">
        <f t="shared" si="5"/>
        <v>0.16203220825626802</v>
      </c>
      <c r="T34" s="84" t="str">
        <f>+IFERROR(#REF!/#REF!,"")</f>
        <v/>
      </c>
      <c r="U34" s="84" t="str">
        <f>+IFERROR(#REF!/#REF!,"")</f>
        <v/>
      </c>
      <c r="V34" s="84" t="str">
        <f>+IFERROR(#REF!/#REF!,"")</f>
        <v/>
      </c>
      <c r="W34" s="84" t="str">
        <f>+IFERROR(#REF!/#REF!,"")</f>
        <v/>
      </c>
      <c r="X34" s="84" t="str">
        <f>+IFERROR(#REF!/#REF!,"")</f>
        <v/>
      </c>
      <c r="Y34" s="84" t="str">
        <f>+IFERROR(#REF!/#REF!,"")</f>
        <v/>
      </c>
      <c r="Z34" s="84" t="str">
        <f>+IFERROR(#REF!/#REF!,"")</f>
        <v/>
      </c>
      <c r="AA34" s="84" t="str">
        <f>+IFERROR(#REF!/#REF!,"")</f>
        <v/>
      </c>
      <c r="AB34" s="84">
        <f t="shared" si="6"/>
        <v>0.15840558279556363</v>
      </c>
      <c r="AD34" s="139">
        <f t="shared" si="11"/>
        <v>-1.8407703186479052E-3</v>
      </c>
      <c r="AE34" s="139">
        <f t="shared" si="11"/>
        <v>-1.0991279374336638E-4</v>
      </c>
      <c r="AF34" s="139">
        <f t="shared" si="10"/>
        <v>5.4290835732064557E-3</v>
      </c>
      <c r="AG34" s="139" t="str">
        <f t="shared" si="10"/>
        <v/>
      </c>
      <c r="AH34" s="139" t="str">
        <f t="shared" si="10"/>
        <v/>
      </c>
      <c r="AI34" s="139" t="str">
        <f t="shared" si="10"/>
        <v/>
      </c>
      <c r="AJ34" s="139" t="str">
        <f t="shared" si="10"/>
        <v/>
      </c>
      <c r="AK34" s="139" t="str">
        <f t="shared" si="10"/>
        <v/>
      </c>
      <c r="AL34" s="139" t="str">
        <f t="shared" si="10"/>
        <v/>
      </c>
      <c r="AM34" s="139" t="str">
        <f t="shared" si="10"/>
        <v/>
      </c>
      <c r="AN34" s="139" t="str">
        <f t="shared" si="10"/>
        <v/>
      </c>
      <c r="AP34" s="82">
        <f t="shared" si="8"/>
        <v>4.1765955338752322E-3</v>
      </c>
      <c r="AQ34" s="82">
        <f t="shared" si="9"/>
        <v>0.67595581647715219</v>
      </c>
    </row>
    <row r="35" spans="2:43" x14ac:dyDescent="0.35">
      <c r="B35" s="83" t="s">
        <v>117</v>
      </c>
      <c r="D35" s="137">
        <v>4680577</v>
      </c>
      <c r="E35" s="137">
        <v>4298700</v>
      </c>
      <c r="F35" s="137">
        <v>4843100</v>
      </c>
      <c r="G35" s="137">
        <v>4417393</v>
      </c>
      <c r="H35" s="137">
        <f t="shared" si="0"/>
        <v>18239770</v>
      </c>
      <c r="J35" s="137">
        <v>1222256</v>
      </c>
      <c r="K35" s="137">
        <v>1058637</v>
      </c>
      <c r="L35" s="137">
        <v>1233144</v>
      </c>
      <c r="M35" s="137">
        <v>1087580</v>
      </c>
      <c r="N35" s="137">
        <f t="shared" si="1"/>
        <v>4601617</v>
      </c>
      <c r="P35" s="84">
        <f t="shared" si="2"/>
        <v>0.26113361664598189</v>
      </c>
      <c r="Q35" s="84">
        <f t="shared" si="3"/>
        <v>0.24626910461302254</v>
      </c>
      <c r="R35" s="84">
        <f t="shared" si="4"/>
        <v>0.25461873593359624</v>
      </c>
      <c r="S35" s="84">
        <f t="shared" si="5"/>
        <v>0.24620403935081167</v>
      </c>
      <c r="T35" s="84" t="str">
        <f>+IFERROR(#REF!/#REF!,"")</f>
        <v/>
      </c>
      <c r="U35" s="84" t="str">
        <f>+IFERROR(#REF!/#REF!,"")</f>
        <v/>
      </c>
      <c r="V35" s="84" t="str">
        <f>+IFERROR(#REF!/#REF!,"")</f>
        <v/>
      </c>
      <c r="W35" s="84" t="str">
        <f>+IFERROR(#REF!/#REF!,"")</f>
        <v/>
      </c>
      <c r="X35" s="84" t="str">
        <f>+IFERROR(#REF!/#REF!,"")</f>
        <v/>
      </c>
      <c r="Y35" s="84" t="str">
        <f>+IFERROR(#REF!/#REF!,"")</f>
        <v/>
      </c>
      <c r="Z35" s="84" t="str">
        <f>+IFERROR(#REF!/#REF!,"")</f>
        <v/>
      </c>
      <c r="AA35" s="84" t="str">
        <f>+IFERROR(#REF!/#REF!,"")</f>
        <v/>
      </c>
      <c r="AB35" s="84">
        <f t="shared" si="6"/>
        <v>0.25228481499492594</v>
      </c>
      <c r="AD35" s="139">
        <f t="shared" si="11"/>
        <v>-1.4864512032959354E-2</v>
      </c>
      <c r="AE35" s="139">
        <f t="shared" si="11"/>
        <v>8.3496313205737027E-3</v>
      </c>
      <c r="AF35" s="139">
        <f t="shared" si="10"/>
        <v>-8.4146965827845699E-3</v>
      </c>
      <c r="AG35" s="139" t="str">
        <f t="shared" si="10"/>
        <v/>
      </c>
      <c r="AH35" s="139" t="str">
        <f t="shared" si="10"/>
        <v/>
      </c>
      <c r="AI35" s="139" t="str">
        <f t="shared" si="10"/>
        <v/>
      </c>
      <c r="AJ35" s="139" t="str">
        <f t="shared" si="10"/>
        <v/>
      </c>
      <c r="AK35" s="139" t="str">
        <f t="shared" si="10"/>
        <v/>
      </c>
      <c r="AL35" s="139" t="str">
        <f t="shared" si="10"/>
        <v/>
      </c>
      <c r="AM35" s="139" t="str">
        <f t="shared" si="10"/>
        <v/>
      </c>
      <c r="AN35" s="139" t="str">
        <f t="shared" si="10"/>
        <v/>
      </c>
      <c r="AP35" s="82">
        <f t="shared" si="8"/>
        <v>4.3074491706658162E-3</v>
      </c>
      <c r="AQ35" s="82">
        <f t="shared" si="9"/>
        <v>0.68026326564781803</v>
      </c>
    </row>
    <row r="36" spans="2:43" x14ac:dyDescent="0.35">
      <c r="B36" s="83" t="s">
        <v>118</v>
      </c>
      <c r="D36" s="137">
        <v>6626740</v>
      </c>
      <c r="E36" s="137">
        <v>6130290</v>
      </c>
      <c r="F36" s="137">
        <v>6696715</v>
      </c>
      <c r="G36" s="137">
        <v>6306066</v>
      </c>
      <c r="H36" s="137">
        <f t="shared" si="0"/>
        <v>25759811</v>
      </c>
      <c r="J36" s="137">
        <v>1145757</v>
      </c>
      <c r="K36" s="137">
        <v>1025436</v>
      </c>
      <c r="L36" s="137">
        <v>1096483</v>
      </c>
      <c r="M36" s="137">
        <v>999000</v>
      </c>
      <c r="N36" s="137">
        <f t="shared" si="1"/>
        <v>4266676</v>
      </c>
      <c r="P36" s="84">
        <f t="shared" si="2"/>
        <v>0.17289904236472231</v>
      </c>
      <c r="Q36" s="84">
        <f t="shared" si="3"/>
        <v>0.16727365263307281</v>
      </c>
      <c r="R36" s="84">
        <f t="shared" si="4"/>
        <v>0.16373445786478893</v>
      </c>
      <c r="S36" s="84">
        <f t="shared" si="5"/>
        <v>0.15841889380796204</v>
      </c>
      <c r="T36" s="84" t="str">
        <f>+IFERROR(#REF!/#REF!,"")</f>
        <v/>
      </c>
      <c r="U36" s="84" t="str">
        <f>+IFERROR(#REF!/#REF!,"")</f>
        <v/>
      </c>
      <c r="V36" s="84" t="str">
        <f>+IFERROR(#REF!/#REF!,"")</f>
        <v/>
      </c>
      <c r="W36" s="84" t="str">
        <f>+IFERROR(#REF!/#REF!,"")</f>
        <v/>
      </c>
      <c r="X36" s="84" t="str">
        <f>+IFERROR(#REF!/#REF!,"")</f>
        <v/>
      </c>
      <c r="Y36" s="84" t="str">
        <f>+IFERROR(#REF!/#REF!,"")</f>
        <v/>
      </c>
      <c r="Z36" s="84" t="str">
        <f>+IFERROR(#REF!/#REF!,"")</f>
        <v/>
      </c>
      <c r="AA36" s="84" t="str">
        <f>+IFERROR(#REF!/#REF!,"")</f>
        <v/>
      </c>
      <c r="AB36" s="84">
        <f t="shared" si="6"/>
        <v>0.16563304754060501</v>
      </c>
      <c r="AD36" s="139">
        <f t="shared" si="11"/>
        <v>-5.6253897316494994E-3</v>
      </c>
      <c r="AE36" s="139">
        <f t="shared" si="11"/>
        <v>-3.5391947682838765E-3</v>
      </c>
      <c r="AF36" s="139">
        <f t="shared" si="10"/>
        <v>-5.3155640568268991E-3</v>
      </c>
      <c r="AG36" s="139" t="str">
        <f t="shared" si="10"/>
        <v/>
      </c>
      <c r="AH36" s="139" t="str">
        <f t="shared" si="10"/>
        <v/>
      </c>
      <c r="AI36" s="139" t="str">
        <f t="shared" si="10"/>
        <v/>
      </c>
      <c r="AJ36" s="139" t="str">
        <f t="shared" si="10"/>
        <v/>
      </c>
      <c r="AK36" s="139" t="str">
        <f t="shared" si="10"/>
        <v/>
      </c>
      <c r="AL36" s="139" t="str">
        <f t="shared" si="10"/>
        <v/>
      </c>
      <c r="AM36" s="139" t="str">
        <f t="shared" si="10"/>
        <v/>
      </c>
      <c r="AN36" s="139" t="str">
        <f t="shared" si="10"/>
        <v/>
      </c>
      <c r="AP36" s="82">
        <f t="shared" si="8"/>
        <v>3.9939199628521325E-3</v>
      </c>
      <c r="AQ36" s="82">
        <f t="shared" si="9"/>
        <v>0.68425718561067017</v>
      </c>
    </row>
    <row r="37" spans="2:43" x14ac:dyDescent="0.35">
      <c r="B37" s="83" t="s">
        <v>119</v>
      </c>
      <c r="D37" s="137">
        <v>29494326</v>
      </c>
      <c r="E37" s="137">
        <v>29102138</v>
      </c>
      <c r="F37" s="137">
        <v>33089035</v>
      </c>
      <c r="G37" s="137">
        <v>31965849</v>
      </c>
      <c r="H37" s="137">
        <f t="shared" si="0"/>
        <v>123651348</v>
      </c>
      <c r="J37" s="137">
        <v>4191009</v>
      </c>
      <c r="K37" s="137">
        <v>4135700</v>
      </c>
      <c r="L37" s="137">
        <v>4603253</v>
      </c>
      <c r="M37" s="137">
        <v>4522352</v>
      </c>
      <c r="N37" s="137">
        <f t="shared" si="1"/>
        <v>17452314</v>
      </c>
      <c r="P37" s="84">
        <f t="shared" si="2"/>
        <v>0.14209543218583806</v>
      </c>
      <c r="Q37" s="84">
        <f t="shared" si="3"/>
        <v>0.14210983399226546</v>
      </c>
      <c r="R37" s="84">
        <f t="shared" si="4"/>
        <v>0.13911717280361907</v>
      </c>
      <c r="S37" s="84">
        <f t="shared" si="5"/>
        <v>0.14147448422220851</v>
      </c>
      <c r="T37" s="84" t="str">
        <f>+IFERROR(#REF!/#REF!,"")</f>
        <v/>
      </c>
      <c r="U37" s="84" t="str">
        <f>+IFERROR(#REF!/#REF!,"")</f>
        <v/>
      </c>
      <c r="V37" s="84" t="str">
        <f>+IFERROR(#REF!/#REF!,"")</f>
        <v/>
      </c>
      <c r="W37" s="84" t="str">
        <f>+IFERROR(#REF!/#REF!,"")</f>
        <v/>
      </c>
      <c r="X37" s="84" t="str">
        <f>+IFERROR(#REF!/#REF!,"")</f>
        <v/>
      </c>
      <c r="Y37" s="84" t="str">
        <f>+IFERROR(#REF!/#REF!,"")</f>
        <v/>
      </c>
      <c r="Z37" s="84" t="str">
        <f>+IFERROR(#REF!/#REF!,"")</f>
        <v/>
      </c>
      <c r="AA37" s="84" t="str">
        <f>+IFERROR(#REF!/#REF!,"")</f>
        <v/>
      </c>
      <c r="AB37" s="84">
        <f t="shared" si="6"/>
        <v>0.14114131614642811</v>
      </c>
      <c r="AD37" s="139">
        <f t="shared" si="11"/>
        <v>1.4401806427394304E-5</v>
      </c>
      <c r="AE37" s="139">
        <f t="shared" si="11"/>
        <v>-2.9926611886463839E-3</v>
      </c>
      <c r="AF37" s="139">
        <f t="shared" si="10"/>
        <v>2.3573114185894417E-3</v>
      </c>
      <c r="AG37" s="139" t="str">
        <f t="shared" si="10"/>
        <v/>
      </c>
      <c r="AH37" s="139" t="str">
        <f t="shared" si="10"/>
        <v/>
      </c>
      <c r="AI37" s="139" t="str">
        <f t="shared" si="10"/>
        <v/>
      </c>
      <c r="AJ37" s="139" t="str">
        <f t="shared" si="10"/>
        <v/>
      </c>
      <c r="AK37" s="139" t="str">
        <f t="shared" si="10"/>
        <v/>
      </c>
      <c r="AL37" s="139" t="str">
        <f t="shared" si="10"/>
        <v/>
      </c>
      <c r="AM37" s="139" t="str">
        <f t="shared" si="10"/>
        <v/>
      </c>
      <c r="AN37" s="139" t="str">
        <f t="shared" si="10"/>
        <v/>
      </c>
      <c r="AP37" s="82">
        <f t="shared" ref="AP37:AP68" si="12">+N37/$N$235</f>
        <v>1.6336638939203198E-2</v>
      </c>
      <c r="AQ37" s="82">
        <f t="shared" si="9"/>
        <v>0.7005938245498734</v>
      </c>
    </row>
    <row r="38" spans="2:43" x14ac:dyDescent="0.35">
      <c r="B38" s="83" t="s">
        <v>120</v>
      </c>
      <c r="D38" s="137">
        <v>10809942</v>
      </c>
      <c r="E38" s="137">
        <v>9672335</v>
      </c>
      <c r="F38" s="137">
        <v>11027495</v>
      </c>
      <c r="G38" s="137">
        <v>10053128</v>
      </c>
      <c r="H38" s="137">
        <f t="shared" si="0"/>
        <v>41562900</v>
      </c>
      <c r="J38" s="137">
        <v>1740067</v>
      </c>
      <c r="K38" s="137">
        <v>1491074</v>
      </c>
      <c r="L38" s="137">
        <v>1747585</v>
      </c>
      <c r="M38" s="137">
        <v>1809864</v>
      </c>
      <c r="N38" s="137">
        <f t="shared" si="1"/>
        <v>6788590</v>
      </c>
      <c r="P38" s="84">
        <f t="shared" si="2"/>
        <v>0.16096913378443659</v>
      </c>
      <c r="Q38" s="84">
        <f t="shared" si="3"/>
        <v>0.15415863904631094</v>
      </c>
      <c r="R38" s="84">
        <f t="shared" si="4"/>
        <v>0.15847524755168785</v>
      </c>
      <c r="S38" s="84">
        <f t="shared" si="5"/>
        <v>0.18002993695096689</v>
      </c>
      <c r="T38" s="84" t="str">
        <f>+IFERROR(#REF!/#REF!,"")</f>
        <v/>
      </c>
      <c r="U38" s="84" t="str">
        <f>+IFERROR(#REF!/#REF!,"")</f>
        <v/>
      </c>
      <c r="V38" s="84" t="str">
        <f>+IFERROR(#REF!/#REF!,"")</f>
        <v/>
      </c>
      <c r="W38" s="84" t="str">
        <f>+IFERROR(#REF!/#REF!,"")</f>
        <v/>
      </c>
      <c r="X38" s="84" t="str">
        <f>+IFERROR(#REF!/#REF!,"")</f>
        <v/>
      </c>
      <c r="Y38" s="84" t="str">
        <f>+IFERROR(#REF!/#REF!,"")</f>
        <v/>
      </c>
      <c r="Z38" s="84" t="str">
        <f>+IFERROR(#REF!/#REF!,"")</f>
        <v/>
      </c>
      <c r="AA38" s="84" t="str">
        <f>+IFERROR(#REF!/#REF!,"")</f>
        <v/>
      </c>
      <c r="AB38" s="84">
        <f t="shared" si="6"/>
        <v>0.16333292431471336</v>
      </c>
      <c r="AD38" s="139">
        <f t="shared" si="11"/>
        <v>-6.8104947381256442E-3</v>
      </c>
      <c r="AE38" s="139">
        <f t="shared" si="11"/>
        <v>4.3166085053769065E-3</v>
      </c>
      <c r="AF38" s="139">
        <f t="shared" si="10"/>
        <v>2.1554689399279042E-2</v>
      </c>
      <c r="AG38" s="139" t="str">
        <f t="shared" si="10"/>
        <v/>
      </c>
      <c r="AH38" s="139" t="str">
        <f t="shared" si="10"/>
        <v/>
      </c>
      <c r="AI38" s="139" t="str">
        <f t="shared" si="10"/>
        <v/>
      </c>
      <c r="AJ38" s="139" t="str">
        <f t="shared" si="10"/>
        <v/>
      </c>
      <c r="AK38" s="139" t="str">
        <f t="shared" si="10"/>
        <v/>
      </c>
      <c r="AL38" s="139" t="str">
        <f t="shared" si="10"/>
        <v/>
      </c>
      <c r="AM38" s="139" t="str">
        <f t="shared" si="10"/>
        <v/>
      </c>
      <c r="AN38" s="139" t="str">
        <f t="shared" si="10"/>
        <v/>
      </c>
      <c r="AP38" s="82">
        <f t="shared" si="12"/>
        <v>6.3546154244236864E-3</v>
      </c>
      <c r="AQ38" s="82">
        <f t="shared" si="9"/>
        <v>0.70694843997429713</v>
      </c>
    </row>
    <row r="39" spans="2:43" x14ac:dyDescent="0.35">
      <c r="B39" s="83" t="s">
        <v>121</v>
      </c>
      <c r="D39" s="137">
        <v>7608618</v>
      </c>
      <c r="E39" s="137">
        <v>7465366</v>
      </c>
      <c r="F39" s="137">
        <v>8725279</v>
      </c>
      <c r="G39" s="137">
        <v>8771317</v>
      </c>
      <c r="H39" s="137">
        <f t="shared" si="0"/>
        <v>32570580</v>
      </c>
      <c r="J39" s="137">
        <v>1101908</v>
      </c>
      <c r="K39" s="137">
        <v>1283700</v>
      </c>
      <c r="L39" s="137">
        <v>1286903</v>
      </c>
      <c r="M39" s="137">
        <v>1312469</v>
      </c>
      <c r="N39" s="137">
        <f t="shared" si="1"/>
        <v>4984980</v>
      </c>
      <c r="P39" s="84">
        <f t="shared" si="2"/>
        <v>0.14482367231473572</v>
      </c>
      <c r="Q39" s="84">
        <f t="shared" si="3"/>
        <v>0.17195406092614884</v>
      </c>
      <c r="R39" s="84">
        <f t="shared" si="4"/>
        <v>0.14749132950361815</v>
      </c>
      <c r="S39" s="84">
        <f t="shared" si="5"/>
        <v>0.14963191958516606</v>
      </c>
      <c r="T39" s="84" t="str">
        <f>+IFERROR(#REF!/#REF!,"")</f>
        <v/>
      </c>
      <c r="U39" s="84" t="str">
        <f>+IFERROR(#REF!/#REF!,"")</f>
        <v/>
      </c>
      <c r="V39" s="84" t="str">
        <f>+IFERROR(#REF!/#REF!,"")</f>
        <v/>
      </c>
      <c r="W39" s="84" t="str">
        <f>+IFERROR(#REF!/#REF!,"")</f>
        <v/>
      </c>
      <c r="X39" s="84" t="str">
        <f>+IFERROR(#REF!/#REF!,"")</f>
        <v/>
      </c>
      <c r="Y39" s="84" t="str">
        <f>+IFERROR(#REF!/#REF!,"")</f>
        <v/>
      </c>
      <c r="Z39" s="84" t="str">
        <f>+IFERROR(#REF!/#REF!,"")</f>
        <v/>
      </c>
      <c r="AA39" s="84" t="str">
        <f>+IFERROR(#REF!/#REF!,"")</f>
        <v/>
      </c>
      <c r="AB39" s="84">
        <f t="shared" si="6"/>
        <v>0.15305161897638911</v>
      </c>
      <c r="AD39" s="139">
        <f t="shared" si="11"/>
        <v>2.713038861141312E-2</v>
      </c>
      <c r="AE39" s="139">
        <f t="shared" si="11"/>
        <v>-2.4462731422530692E-2</v>
      </c>
      <c r="AF39" s="139">
        <f t="shared" si="10"/>
        <v>2.1405900815479051E-3</v>
      </c>
      <c r="AG39" s="139" t="str">
        <f t="shared" si="10"/>
        <v/>
      </c>
      <c r="AH39" s="139" t="str">
        <f t="shared" si="10"/>
        <v/>
      </c>
      <c r="AI39" s="139" t="str">
        <f t="shared" si="10"/>
        <v/>
      </c>
      <c r="AJ39" s="139" t="str">
        <f t="shared" si="10"/>
        <v/>
      </c>
      <c r="AK39" s="139" t="str">
        <f t="shared" si="10"/>
        <v/>
      </c>
      <c r="AL39" s="139" t="str">
        <f t="shared" si="10"/>
        <v/>
      </c>
      <c r="AM39" s="139" t="str">
        <f t="shared" si="10"/>
        <v/>
      </c>
      <c r="AN39" s="139" t="str">
        <f t="shared" si="10"/>
        <v/>
      </c>
      <c r="AP39" s="82">
        <f t="shared" si="12"/>
        <v>4.6663049025561405E-3</v>
      </c>
      <c r="AQ39" s="82">
        <f t="shared" si="9"/>
        <v>0.71161474487685328</v>
      </c>
    </row>
    <row r="40" spans="2:43" x14ac:dyDescent="0.35">
      <c r="B40" s="83" t="s">
        <v>122</v>
      </c>
      <c r="D40" s="137">
        <v>6461385</v>
      </c>
      <c r="E40" s="137">
        <v>6045951</v>
      </c>
      <c r="F40" s="137">
        <v>6398201</v>
      </c>
      <c r="G40" s="137">
        <v>5855698</v>
      </c>
      <c r="H40" s="137">
        <f t="shared" si="0"/>
        <v>24761235</v>
      </c>
      <c r="J40" s="137">
        <v>1216091</v>
      </c>
      <c r="K40" s="137">
        <v>1122072</v>
      </c>
      <c r="L40" s="137">
        <v>1109459</v>
      </c>
      <c r="M40" s="137">
        <v>1037879</v>
      </c>
      <c r="N40" s="137">
        <f t="shared" si="1"/>
        <v>4485501</v>
      </c>
      <c r="P40" s="84">
        <f t="shared" si="2"/>
        <v>0.18820902948825988</v>
      </c>
      <c r="Q40" s="84">
        <f t="shared" si="3"/>
        <v>0.1855906539765208</v>
      </c>
      <c r="R40" s="84">
        <f t="shared" si="4"/>
        <v>0.17340171088716969</v>
      </c>
      <c r="S40" s="84">
        <f t="shared" si="5"/>
        <v>0.1772425763760358</v>
      </c>
      <c r="T40" s="84" t="str">
        <f>+IFERROR(#REF!/#REF!,"")</f>
        <v/>
      </c>
      <c r="U40" s="84" t="str">
        <f>+IFERROR(#REF!/#REF!,"")</f>
        <v/>
      </c>
      <c r="V40" s="84" t="str">
        <f>+IFERROR(#REF!/#REF!,"")</f>
        <v/>
      </c>
      <c r="W40" s="84" t="str">
        <f>+IFERROR(#REF!/#REF!,"")</f>
        <v/>
      </c>
      <c r="X40" s="84" t="str">
        <f>+IFERROR(#REF!/#REF!,"")</f>
        <v/>
      </c>
      <c r="Y40" s="84" t="str">
        <f>+IFERROR(#REF!/#REF!,"")</f>
        <v/>
      </c>
      <c r="Z40" s="84" t="str">
        <f>+IFERROR(#REF!/#REF!,"")</f>
        <v/>
      </c>
      <c r="AA40" s="84" t="str">
        <f>+IFERROR(#REF!/#REF!,"")</f>
        <v/>
      </c>
      <c r="AB40" s="84">
        <f t="shared" si="6"/>
        <v>0.18115013245502495</v>
      </c>
      <c r="AD40" s="139">
        <f t="shared" si="11"/>
        <v>-2.6183755117390739E-3</v>
      </c>
      <c r="AE40" s="139">
        <f t="shared" si="11"/>
        <v>-1.2188943089351117E-2</v>
      </c>
      <c r="AF40" s="139">
        <f t="shared" si="10"/>
        <v>3.8408654888661131E-3</v>
      </c>
      <c r="AG40" s="139" t="str">
        <f t="shared" si="10"/>
        <v/>
      </c>
      <c r="AH40" s="139" t="str">
        <f t="shared" si="10"/>
        <v/>
      </c>
      <c r="AI40" s="139" t="str">
        <f t="shared" si="10"/>
        <v/>
      </c>
      <c r="AJ40" s="139" t="str">
        <f t="shared" si="10"/>
        <v/>
      </c>
      <c r="AK40" s="139" t="str">
        <f t="shared" si="10"/>
        <v/>
      </c>
      <c r="AL40" s="139" t="str">
        <f t="shared" si="10"/>
        <v/>
      </c>
      <c r="AM40" s="139" t="str">
        <f t="shared" si="10"/>
        <v/>
      </c>
      <c r="AN40" s="139" t="str">
        <f t="shared" si="10"/>
        <v/>
      </c>
      <c r="AP40" s="82">
        <f t="shared" si="12"/>
        <v>4.1987561247428216E-3</v>
      </c>
      <c r="AQ40" s="82">
        <f t="shared" si="9"/>
        <v>0.71581350100159613</v>
      </c>
    </row>
    <row r="41" spans="2:43" x14ac:dyDescent="0.35">
      <c r="B41" s="83" t="s">
        <v>123</v>
      </c>
      <c r="D41" s="137">
        <v>4774438</v>
      </c>
      <c r="E41" s="137">
        <v>4118762</v>
      </c>
      <c r="F41" s="137">
        <v>4497395</v>
      </c>
      <c r="G41" s="137">
        <v>4204716</v>
      </c>
      <c r="H41" s="137">
        <f t="shared" si="0"/>
        <v>17595311</v>
      </c>
      <c r="J41" s="137">
        <v>897101</v>
      </c>
      <c r="K41" s="137">
        <v>708825</v>
      </c>
      <c r="L41" s="137">
        <v>731016</v>
      </c>
      <c r="M41" s="137">
        <v>775121</v>
      </c>
      <c r="N41" s="137">
        <f t="shared" si="1"/>
        <v>3112063</v>
      </c>
      <c r="P41" s="84">
        <f t="shared" si="2"/>
        <v>0.18789666972322189</v>
      </c>
      <c r="Q41" s="84">
        <f t="shared" si="3"/>
        <v>0.17209661543929947</v>
      </c>
      <c r="R41" s="84">
        <f t="shared" si="4"/>
        <v>0.16254209381208456</v>
      </c>
      <c r="S41" s="84">
        <f t="shared" si="5"/>
        <v>0.18434562524555761</v>
      </c>
      <c r="T41" s="84" t="str">
        <f>+IFERROR(#REF!/#REF!,"")</f>
        <v/>
      </c>
      <c r="U41" s="84" t="str">
        <f>+IFERROR(#REF!/#REF!,"")</f>
        <v/>
      </c>
      <c r="V41" s="84" t="str">
        <f>+IFERROR(#REF!/#REF!,"")</f>
        <v/>
      </c>
      <c r="W41" s="84" t="str">
        <f>+IFERROR(#REF!/#REF!,"")</f>
        <v/>
      </c>
      <c r="X41" s="84" t="str">
        <f>+IFERROR(#REF!/#REF!,"")</f>
        <v/>
      </c>
      <c r="Y41" s="84" t="str">
        <f>+IFERROR(#REF!/#REF!,"")</f>
        <v/>
      </c>
      <c r="Z41" s="84" t="str">
        <f>+IFERROR(#REF!/#REF!,"")</f>
        <v/>
      </c>
      <c r="AA41" s="84" t="str">
        <f>+IFERROR(#REF!/#REF!,"")</f>
        <v/>
      </c>
      <c r="AB41" s="84">
        <f t="shared" si="6"/>
        <v>0.17686888285180069</v>
      </c>
      <c r="AD41" s="139">
        <f t="shared" si="11"/>
        <v>-1.5800054283922421E-2</v>
      </c>
      <c r="AE41" s="139">
        <f t="shared" si="11"/>
        <v>-9.5545216272149014E-3</v>
      </c>
      <c r="AF41" s="139">
        <f t="shared" si="10"/>
        <v>2.180353143347305E-2</v>
      </c>
      <c r="AG41" s="139" t="str">
        <f t="shared" si="10"/>
        <v/>
      </c>
      <c r="AH41" s="139" t="str">
        <f t="shared" si="10"/>
        <v/>
      </c>
      <c r="AI41" s="139" t="str">
        <f t="shared" si="10"/>
        <v/>
      </c>
      <c r="AJ41" s="139" t="str">
        <f t="shared" si="10"/>
        <v/>
      </c>
      <c r="AK41" s="139" t="str">
        <f t="shared" si="10"/>
        <v/>
      </c>
      <c r="AL41" s="139" t="str">
        <f t="shared" si="10"/>
        <v/>
      </c>
      <c r="AM41" s="139" t="str">
        <f t="shared" si="10"/>
        <v/>
      </c>
      <c r="AN41" s="139" t="str">
        <f t="shared" si="10"/>
        <v/>
      </c>
      <c r="AP41" s="82">
        <f t="shared" si="12"/>
        <v>2.9131179731841594E-3</v>
      </c>
      <c r="AQ41" s="82">
        <f t="shared" si="9"/>
        <v>0.7187266189747803</v>
      </c>
    </row>
    <row r="42" spans="2:43" x14ac:dyDescent="0.35">
      <c r="B42" s="83" t="s">
        <v>124</v>
      </c>
      <c r="D42" s="137">
        <v>1860067</v>
      </c>
      <c r="E42" s="137"/>
      <c r="F42" s="137"/>
      <c r="G42" s="137"/>
      <c r="H42" s="137">
        <f t="shared" si="0"/>
        <v>1860067</v>
      </c>
      <c r="J42" s="137">
        <v>323405</v>
      </c>
      <c r="K42" s="137"/>
      <c r="L42" s="137"/>
      <c r="M42" s="137"/>
      <c r="N42" s="137">
        <f t="shared" si="1"/>
        <v>323405</v>
      </c>
      <c r="P42" s="84">
        <f t="shared" si="2"/>
        <v>0.17386739294874862</v>
      </c>
      <c r="Q42" s="84" t="str">
        <f t="shared" si="3"/>
        <v/>
      </c>
      <c r="R42" s="84" t="str">
        <f t="shared" si="4"/>
        <v/>
      </c>
      <c r="S42" s="84" t="str">
        <f t="shared" si="5"/>
        <v/>
      </c>
      <c r="T42" s="84" t="str">
        <f>+IFERROR(#REF!/#REF!,"")</f>
        <v/>
      </c>
      <c r="U42" s="84" t="str">
        <f>+IFERROR(#REF!/#REF!,"")</f>
        <v/>
      </c>
      <c r="V42" s="84" t="str">
        <f>+IFERROR(#REF!/#REF!,"")</f>
        <v/>
      </c>
      <c r="W42" s="84" t="str">
        <f>+IFERROR(#REF!/#REF!,"")</f>
        <v/>
      </c>
      <c r="X42" s="84" t="str">
        <f>+IFERROR(#REF!/#REF!,"")</f>
        <v/>
      </c>
      <c r="Y42" s="84" t="str">
        <f>+IFERROR(#REF!/#REF!,"")</f>
        <v/>
      </c>
      <c r="Z42" s="84" t="str">
        <f>+IFERROR(#REF!/#REF!,"")</f>
        <v/>
      </c>
      <c r="AA42" s="84" t="str">
        <f>+IFERROR(#REF!/#REF!,"")</f>
        <v/>
      </c>
      <c r="AB42" s="84">
        <f t="shared" si="6"/>
        <v>0.17386739294874862</v>
      </c>
      <c r="AD42" s="139" t="str">
        <f t="shared" si="11"/>
        <v/>
      </c>
      <c r="AE42" s="139" t="str">
        <f t="shared" si="11"/>
        <v/>
      </c>
      <c r="AF42" s="139" t="str">
        <f t="shared" si="10"/>
        <v/>
      </c>
      <c r="AG42" s="139" t="str">
        <f t="shared" si="10"/>
        <v/>
      </c>
      <c r="AH42" s="139" t="str">
        <f t="shared" si="10"/>
        <v/>
      </c>
      <c r="AI42" s="139" t="str">
        <f t="shared" si="10"/>
        <v/>
      </c>
      <c r="AJ42" s="139" t="str">
        <f t="shared" si="10"/>
        <v/>
      </c>
      <c r="AK42" s="139" t="str">
        <f t="shared" si="10"/>
        <v/>
      </c>
      <c r="AL42" s="139" t="str">
        <f t="shared" si="10"/>
        <v/>
      </c>
      <c r="AM42" s="139" t="str">
        <f t="shared" si="10"/>
        <v/>
      </c>
      <c r="AN42" s="139" t="str">
        <f t="shared" si="10"/>
        <v/>
      </c>
      <c r="AP42" s="82">
        <f t="shared" si="12"/>
        <v>3.0273067033592281E-4</v>
      </c>
      <c r="AQ42" s="82">
        <f t="shared" si="9"/>
        <v>0.71902934964511622</v>
      </c>
    </row>
    <row r="43" spans="2:43" x14ac:dyDescent="0.35">
      <c r="B43" s="83" t="s">
        <v>125</v>
      </c>
      <c r="D43" s="137">
        <v>55434809</v>
      </c>
      <c r="E43" s="137">
        <v>29011381</v>
      </c>
      <c r="F43" s="137">
        <v>36492485</v>
      </c>
      <c r="G43" s="137">
        <v>40650853</v>
      </c>
      <c r="H43" s="137">
        <f t="shared" si="0"/>
        <v>161589528</v>
      </c>
      <c r="J43" s="137">
        <v>10984246</v>
      </c>
      <c r="K43" s="137">
        <v>7272848</v>
      </c>
      <c r="L43" s="137">
        <v>9483730</v>
      </c>
      <c r="M43" s="137">
        <v>10360548</v>
      </c>
      <c r="N43" s="137">
        <f t="shared" si="1"/>
        <v>38101372</v>
      </c>
      <c r="P43" s="84">
        <f t="shared" si="2"/>
        <v>0.19814708841154302</v>
      </c>
      <c r="Q43" s="84">
        <f t="shared" si="3"/>
        <v>0.25068947941499237</v>
      </c>
      <c r="R43" s="84">
        <f t="shared" si="4"/>
        <v>0.25988172633351769</v>
      </c>
      <c r="S43" s="84">
        <f t="shared" si="5"/>
        <v>0.25486668139534491</v>
      </c>
      <c r="T43" s="84" t="str">
        <f>+IFERROR(#REF!/#REF!,"")</f>
        <v/>
      </c>
      <c r="U43" s="84" t="str">
        <f>+IFERROR(#REF!/#REF!,"")</f>
        <v/>
      </c>
      <c r="V43" s="84" t="str">
        <f>+IFERROR(#REF!/#REF!,"")</f>
        <v/>
      </c>
      <c r="W43" s="84" t="str">
        <f>+IFERROR(#REF!/#REF!,"")</f>
        <v/>
      </c>
      <c r="X43" s="84" t="str">
        <f>+IFERROR(#REF!/#REF!,"")</f>
        <v/>
      </c>
      <c r="Y43" s="84" t="str">
        <f>+IFERROR(#REF!/#REF!,"")</f>
        <v/>
      </c>
      <c r="Z43" s="84" t="str">
        <f>+IFERROR(#REF!/#REF!,"")</f>
        <v/>
      </c>
      <c r="AA43" s="84" t="str">
        <f>+IFERROR(#REF!/#REF!,"")</f>
        <v/>
      </c>
      <c r="AB43" s="84">
        <f t="shared" si="6"/>
        <v>0.23579109656165342</v>
      </c>
      <c r="AD43" s="139">
        <f t="shared" si="11"/>
        <v>5.2542391003449346E-2</v>
      </c>
      <c r="AE43" s="139">
        <f t="shared" si="11"/>
        <v>9.1922469185253264E-3</v>
      </c>
      <c r="AF43" s="139">
        <f t="shared" si="10"/>
        <v>-5.0150449381727857E-3</v>
      </c>
      <c r="AG43" s="139" t="str">
        <f t="shared" si="10"/>
        <v/>
      </c>
      <c r="AH43" s="139" t="str">
        <f t="shared" si="10"/>
        <v/>
      </c>
      <c r="AI43" s="139" t="str">
        <f t="shared" si="10"/>
        <v/>
      </c>
      <c r="AJ43" s="139" t="str">
        <f t="shared" si="10"/>
        <v/>
      </c>
      <c r="AK43" s="139" t="str">
        <f t="shared" si="10"/>
        <v/>
      </c>
      <c r="AL43" s="139" t="str">
        <f t="shared" si="10"/>
        <v/>
      </c>
      <c r="AM43" s="139" t="str">
        <f t="shared" si="10"/>
        <v/>
      </c>
      <c r="AN43" s="139" t="str">
        <f t="shared" si="10"/>
        <v/>
      </c>
      <c r="AP43" s="82">
        <f t="shared" si="12"/>
        <v>3.566566344453042E-2</v>
      </c>
      <c r="AQ43" s="82">
        <f t="shared" si="9"/>
        <v>0.75469501308964659</v>
      </c>
    </row>
    <row r="44" spans="2:43" x14ac:dyDescent="0.35">
      <c r="B44" s="83" t="s">
        <v>126</v>
      </c>
      <c r="D44" s="137">
        <v>6151597</v>
      </c>
      <c r="E44" s="137">
        <v>6192149</v>
      </c>
      <c r="F44" s="137">
        <v>6346066</v>
      </c>
      <c r="G44" s="137">
        <v>6208143</v>
      </c>
      <c r="H44" s="137">
        <f t="shared" si="0"/>
        <v>24897955</v>
      </c>
      <c r="J44" s="137">
        <v>1223258</v>
      </c>
      <c r="K44" s="137">
        <v>1227000</v>
      </c>
      <c r="L44" s="137">
        <v>1292782</v>
      </c>
      <c r="M44" s="137">
        <v>1326415</v>
      </c>
      <c r="N44" s="137">
        <f t="shared" si="1"/>
        <v>5069455</v>
      </c>
      <c r="P44" s="84">
        <f t="shared" si="2"/>
        <v>0.19885210295797986</v>
      </c>
      <c r="Q44" s="84">
        <f t="shared" si="3"/>
        <v>0.1981541464845242</v>
      </c>
      <c r="R44" s="84">
        <f t="shared" si="4"/>
        <v>0.20371392292484825</v>
      </c>
      <c r="S44" s="84">
        <f t="shared" si="5"/>
        <v>0.21365728849995885</v>
      </c>
      <c r="T44" s="84" t="str">
        <f>+IFERROR(#REF!/#REF!,"")</f>
        <v/>
      </c>
      <c r="U44" s="84" t="str">
        <f>+IFERROR(#REF!/#REF!,"")</f>
        <v/>
      </c>
      <c r="V44" s="84" t="str">
        <f>+IFERROR(#REF!/#REF!,"")</f>
        <v/>
      </c>
      <c r="W44" s="84" t="str">
        <f>+IFERROR(#REF!/#REF!,"")</f>
        <v/>
      </c>
      <c r="X44" s="84" t="str">
        <f>+IFERROR(#REF!/#REF!,"")</f>
        <v/>
      </c>
      <c r="Y44" s="84" t="str">
        <f>+IFERROR(#REF!/#REF!,"")</f>
        <v/>
      </c>
      <c r="Z44" s="84" t="str">
        <f>+IFERROR(#REF!/#REF!,"")</f>
        <v/>
      </c>
      <c r="AA44" s="84" t="str">
        <f>+IFERROR(#REF!/#REF!,"")</f>
        <v/>
      </c>
      <c r="AB44" s="84">
        <f t="shared" si="6"/>
        <v>0.20360929240975814</v>
      </c>
      <c r="AD44" s="139">
        <f t="shared" si="11"/>
        <v>-6.9795647345566314E-4</v>
      </c>
      <c r="AE44" s="139">
        <f t="shared" si="11"/>
        <v>5.5597764403240435E-3</v>
      </c>
      <c r="AF44" s="139">
        <f t="shared" si="10"/>
        <v>9.9433655751106076E-3</v>
      </c>
      <c r="AG44" s="139" t="str">
        <f t="shared" si="10"/>
        <v/>
      </c>
      <c r="AH44" s="139" t="str">
        <f t="shared" si="10"/>
        <v/>
      </c>
      <c r="AI44" s="139" t="str">
        <f t="shared" si="10"/>
        <v/>
      </c>
      <c r="AJ44" s="139" t="str">
        <f t="shared" si="10"/>
        <v/>
      </c>
      <c r="AK44" s="139" t="str">
        <f t="shared" si="10"/>
        <v/>
      </c>
      <c r="AL44" s="139" t="str">
        <f t="shared" si="10"/>
        <v/>
      </c>
      <c r="AM44" s="139" t="str">
        <f t="shared" si="10"/>
        <v/>
      </c>
      <c r="AN44" s="139" t="str">
        <f t="shared" si="10"/>
        <v/>
      </c>
      <c r="AP44" s="82">
        <f t="shared" si="12"/>
        <v>4.7453796644696148E-3</v>
      </c>
      <c r="AQ44" s="82">
        <f t="shared" si="9"/>
        <v>0.75944039275411623</v>
      </c>
    </row>
    <row r="45" spans="2:43" x14ac:dyDescent="0.35">
      <c r="B45" s="83" t="s">
        <v>127</v>
      </c>
      <c r="D45" s="137">
        <v>3367819</v>
      </c>
      <c r="E45" s="137">
        <v>3475149</v>
      </c>
      <c r="F45" s="137">
        <v>3809724</v>
      </c>
      <c r="G45" s="137">
        <v>4323297</v>
      </c>
      <c r="H45" s="137">
        <f t="shared" si="0"/>
        <v>14975989</v>
      </c>
      <c r="J45" s="137">
        <v>595081</v>
      </c>
      <c r="K45" s="137">
        <v>584195</v>
      </c>
      <c r="L45" s="137">
        <v>634621</v>
      </c>
      <c r="M45" s="137">
        <v>734685</v>
      </c>
      <c r="N45" s="137">
        <f t="shared" si="1"/>
        <v>2548582</v>
      </c>
      <c r="P45" s="84">
        <f t="shared" si="2"/>
        <v>0.17669625356944657</v>
      </c>
      <c r="Q45" s="84">
        <f t="shared" si="3"/>
        <v>0.16810646104670621</v>
      </c>
      <c r="R45" s="84">
        <f t="shared" si="4"/>
        <v>0.16657925875995216</v>
      </c>
      <c r="S45" s="84">
        <f t="shared" si="5"/>
        <v>0.1699362777990964</v>
      </c>
      <c r="T45" s="84" t="str">
        <f>+IFERROR(#REF!/#REF!,"")</f>
        <v/>
      </c>
      <c r="U45" s="84" t="str">
        <f>+IFERROR(#REF!/#REF!,"")</f>
        <v/>
      </c>
      <c r="V45" s="84" t="str">
        <f>+IFERROR(#REF!/#REF!,"")</f>
        <v/>
      </c>
      <c r="W45" s="84" t="str">
        <f>+IFERROR(#REF!/#REF!,"")</f>
        <v/>
      </c>
      <c r="X45" s="84" t="str">
        <f>+IFERROR(#REF!/#REF!,"")</f>
        <v/>
      </c>
      <c r="Y45" s="84" t="str">
        <f>+IFERROR(#REF!/#REF!,"")</f>
        <v/>
      </c>
      <c r="Z45" s="84" t="str">
        <f>+IFERROR(#REF!/#REF!,"")</f>
        <v/>
      </c>
      <c r="AA45" s="84" t="str">
        <f>+IFERROR(#REF!/#REF!,"")</f>
        <v/>
      </c>
      <c r="AB45" s="84">
        <f t="shared" si="6"/>
        <v>0.17017787606548054</v>
      </c>
      <c r="AD45" s="139">
        <f t="shared" si="11"/>
        <v>-8.5897925227403638E-3</v>
      </c>
      <c r="AE45" s="139">
        <f t="shared" si="11"/>
        <v>-1.5272022867540425E-3</v>
      </c>
      <c r="AF45" s="139">
        <f t="shared" si="10"/>
        <v>3.3570190391442323E-3</v>
      </c>
      <c r="AG45" s="139" t="str">
        <f t="shared" si="10"/>
        <v/>
      </c>
      <c r="AH45" s="139" t="str">
        <f t="shared" si="10"/>
        <v/>
      </c>
      <c r="AI45" s="139" t="str">
        <f t="shared" si="10"/>
        <v/>
      </c>
      <c r="AJ45" s="139" t="str">
        <f t="shared" si="10"/>
        <v/>
      </c>
      <c r="AK45" s="139" t="str">
        <f t="shared" si="10"/>
        <v/>
      </c>
      <c r="AL45" s="139" t="str">
        <f t="shared" si="10"/>
        <v/>
      </c>
      <c r="AM45" s="139" t="str">
        <f t="shared" si="10"/>
        <v/>
      </c>
      <c r="AN45" s="139" t="str">
        <f t="shared" si="10"/>
        <v/>
      </c>
      <c r="AP45" s="82">
        <f t="shared" si="12"/>
        <v>2.3856586548323833E-3</v>
      </c>
      <c r="AQ45" s="82">
        <f t="shared" si="9"/>
        <v>0.76182605140894866</v>
      </c>
    </row>
    <row r="46" spans="2:43" x14ac:dyDescent="0.35">
      <c r="B46" s="83" t="s">
        <v>128</v>
      </c>
      <c r="D46" s="137">
        <v>2363062</v>
      </c>
      <c r="E46" s="137">
        <v>2882099</v>
      </c>
      <c r="F46" s="137">
        <v>2872607</v>
      </c>
      <c r="G46" s="137">
        <v>2714777</v>
      </c>
      <c r="H46" s="137">
        <f t="shared" si="0"/>
        <v>10832545</v>
      </c>
      <c r="J46" s="137">
        <v>457515</v>
      </c>
      <c r="K46" s="137">
        <v>462861</v>
      </c>
      <c r="L46" s="137">
        <v>499185</v>
      </c>
      <c r="M46" s="137">
        <v>479741</v>
      </c>
      <c r="N46" s="137">
        <f t="shared" si="1"/>
        <v>1899302</v>
      </c>
      <c r="P46" s="84">
        <f t="shared" si="2"/>
        <v>0.19361108595542564</v>
      </c>
      <c r="Q46" s="84">
        <f t="shared" si="3"/>
        <v>0.16059857763387031</v>
      </c>
      <c r="R46" s="84">
        <f t="shared" si="4"/>
        <v>0.17377420579981878</v>
      </c>
      <c r="S46" s="84">
        <f t="shared" si="5"/>
        <v>0.17671469885003446</v>
      </c>
      <c r="T46" s="84" t="str">
        <f>+IFERROR(#REF!/#REF!,"")</f>
        <v/>
      </c>
      <c r="U46" s="84" t="str">
        <f>+IFERROR(#REF!/#REF!,"")</f>
        <v/>
      </c>
      <c r="V46" s="84" t="str">
        <f>+IFERROR(#REF!/#REF!,"")</f>
        <v/>
      </c>
      <c r="W46" s="84" t="str">
        <f>+IFERROR(#REF!/#REF!,"")</f>
        <v/>
      </c>
      <c r="X46" s="84" t="str">
        <f>+IFERROR(#REF!/#REF!,"")</f>
        <v/>
      </c>
      <c r="Y46" s="84" t="str">
        <f>+IFERROR(#REF!/#REF!,"")</f>
        <v/>
      </c>
      <c r="Z46" s="84" t="str">
        <f>+IFERROR(#REF!/#REF!,"")</f>
        <v/>
      </c>
      <c r="AA46" s="84" t="str">
        <f>+IFERROR(#REF!/#REF!,"")</f>
        <v/>
      </c>
      <c r="AB46" s="84">
        <f t="shared" si="6"/>
        <v>0.17533294345880862</v>
      </c>
      <c r="AD46" s="139">
        <f t="shared" si="11"/>
        <v>-3.3012508321555334E-2</v>
      </c>
      <c r="AE46" s="139">
        <f t="shared" si="11"/>
        <v>1.3175628165948472E-2</v>
      </c>
      <c r="AF46" s="139">
        <f t="shared" si="10"/>
        <v>2.9404930502156812E-3</v>
      </c>
      <c r="AG46" s="139" t="str">
        <f t="shared" si="10"/>
        <v/>
      </c>
      <c r="AH46" s="139" t="str">
        <f t="shared" si="10"/>
        <v/>
      </c>
      <c r="AI46" s="139" t="str">
        <f t="shared" si="10"/>
        <v/>
      </c>
      <c r="AJ46" s="139" t="str">
        <f t="shared" si="10"/>
        <v/>
      </c>
      <c r="AK46" s="139" t="str">
        <f t="shared" si="10"/>
        <v/>
      </c>
      <c r="AL46" s="139" t="str">
        <f t="shared" si="10"/>
        <v/>
      </c>
      <c r="AM46" s="139" t="str">
        <f t="shared" si="10"/>
        <v/>
      </c>
      <c r="AN46" s="139" t="str">
        <f t="shared" si="10"/>
        <v/>
      </c>
      <c r="AP46" s="82">
        <f t="shared" si="12"/>
        <v>1.7778852139897618E-3</v>
      </c>
      <c r="AQ46" s="82">
        <f t="shared" si="9"/>
        <v>0.76360393662293846</v>
      </c>
    </row>
    <row r="47" spans="2:43" x14ac:dyDescent="0.35">
      <c r="B47" s="83" t="s">
        <v>129</v>
      </c>
      <c r="D47" s="137">
        <v>8366023</v>
      </c>
      <c r="E47" s="137">
        <v>7578544</v>
      </c>
      <c r="F47" s="137">
        <v>8199457</v>
      </c>
      <c r="G47" s="137">
        <v>7973491</v>
      </c>
      <c r="H47" s="137">
        <f t="shared" si="0"/>
        <v>32117515</v>
      </c>
      <c r="J47" s="137">
        <v>1003517</v>
      </c>
      <c r="K47" s="137">
        <v>907026</v>
      </c>
      <c r="L47" s="137">
        <v>1033792</v>
      </c>
      <c r="M47" s="137">
        <v>927504</v>
      </c>
      <c r="N47" s="137">
        <f t="shared" si="1"/>
        <v>3871839</v>
      </c>
      <c r="P47" s="84">
        <f t="shared" si="2"/>
        <v>0.11995149905755698</v>
      </c>
      <c r="Q47" s="84">
        <f t="shared" si="3"/>
        <v>0.11968341148378897</v>
      </c>
      <c r="R47" s="84">
        <f t="shared" si="4"/>
        <v>0.12608054411407976</v>
      </c>
      <c r="S47" s="84">
        <f t="shared" si="5"/>
        <v>0.11632345229962635</v>
      </c>
      <c r="T47" s="84" t="str">
        <f>+IFERROR(#REF!/#REF!,"")</f>
        <v/>
      </c>
      <c r="U47" s="84" t="str">
        <f>+IFERROR(#REF!/#REF!,"")</f>
        <v/>
      </c>
      <c r="V47" s="84" t="str">
        <f>+IFERROR(#REF!/#REF!,"")</f>
        <v/>
      </c>
      <c r="W47" s="84" t="str">
        <f>+IFERROR(#REF!/#REF!,"")</f>
        <v/>
      </c>
      <c r="X47" s="84" t="str">
        <f>+IFERROR(#REF!/#REF!,"")</f>
        <v/>
      </c>
      <c r="Y47" s="84" t="str">
        <f>+IFERROR(#REF!/#REF!,"")</f>
        <v/>
      </c>
      <c r="Z47" s="84" t="str">
        <f>+IFERROR(#REF!/#REF!,"")</f>
        <v/>
      </c>
      <c r="AA47" s="84" t="str">
        <f>+IFERROR(#REF!/#REF!,"")</f>
        <v/>
      </c>
      <c r="AB47" s="84">
        <f t="shared" si="6"/>
        <v>0.12055225941359411</v>
      </c>
      <c r="AD47" s="139">
        <f t="shared" si="11"/>
        <v>-2.6808757376800552E-4</v>
      </c>
      <c r="AE47" s="139">
        <f t="shared" si="11"/>
        <v>6.3971326302907916E-3</v>
      </c>
      <c r="AF47" s="139">
        <f t="shared" si="10"/>
        <v>-9.7570918144534169E-3</v>
      </c>
      <c r="AG47" s="139" t="str">
        <f t="shared" si="10"/>
        <v/>
      </c>
      <c r="AH47" s="139" t="str">
        <f t="shared" si="10"/>
        <v/>
      </c>
      <c r="AI47" s="139" t="str">
        <f t="shared" si="10"/>
        <v/>
      </c>
      <c r="AJ47" s="139" t="str">
        <f t="shared" si="10"/>
        <v/>
      </c>
      <c r="AK47" s="139" t="str">
        <f t="shared" si="10"/>
        <v/>
      </c>
      <c r="AL47" s="139" t="str">
        <f t="shared" si="10"/>
        <v/>
      </c>
      <c r="AM47" s="139" t="str">
        <f t="shared" si="10"/>
        <v/>
      </c>
      <c r="AN47" s="139" t="str">
        <f t="shared" si="10"/>
        <v/>
      </c>
      <c r="AP47" s="82">
        <f t="shared" si="12"/>
        <v>3.6243237300065526E-3</v>
      </c>
      <c r="AQ47" s="82">
        <f t="shared" si="9"/>
        <v>0.767228260352945</v>
      </c>
    </row>
    <row r="48" spans="2:43" x14ac:dyDescent="0.35">
      <c r="B48" s="83" t="s">
        <v>130</v>
      </c>
      <c r="D48" s="137">
        <v>8326890</v>
      </c>
      <c r="E48" s="137">
        <v>12194767</v>
      </c>
      <c r="F48" s="137">
        <v>12036829</v>
      </c>
      <c r="G48" s="137">
        <v>7301673</v>
      </c>
      <c r="H48" s="137">
        <f t="shared" si="0"/>
        <v>39860159</v>
      </c>
      <c r="J48" s="137">
        <v>1172782</v>
      </c>
      <c r="K48" s="137">
        <v>1267775</v>
      </c>
      <c r="L48" s="137">
        <v>1270193</v>
      </c>
      <c r="M48" s="137">
        <v>1019868</v>
      </c>
      <c r="N48" s="137">
        <f t="shared" si="1"/>
        <v>4730618</v>
      </c>
      <c r="P48" s="84">
        <f t="shared" si="2"/>
        <v>0.14084273960626356</v>
      </c>
      <c r="Q48" s="84">
        <f t="shared" si="3"/>
        <v>0.10396057587652147</v>
      </c>
      <c r="R48" s="84">
        <f t="shared" si="4"/>
        <v>0.10552554996004346</v>
      </c>
      <c r="S48" s="84">
        <f t="shared" si="5"/>
        <v>0.13967593454267263</v>
      </c>
      <c r="T48" s="84" t="str">
        <f>+IFERROR(#REF!/#REF!,"")</f>
        <v/>
      </c>
      <c r="U48" s="84" t="str">
        <f>+IFERROR(#REF!/#REF!,"")</f>
        <v/>
      </c>
      <c r="V48" s="84" t="str">
        <f>+IFERROR(#REF!/#REF!,"")</f>
        <v/>
      </c>
      <c r="W48" s="84" t="str">
        <f>+IFERROR(#REF!/#REF!,"")</f>
        <v/>
      </c>
      <c r="X48" s="84" t="str">
        <f>+IFERROR(#REF!/#REF!,"")</f>
        <v/>
      </c>
      <c r="Y48" s="84" t="str">
        <f>+IFERROR(#REF!/#REF!,"")</f>
        <v/>
      </c>
      <c r="Z48" s="84" t="str">
        <f>+IFERROR(#REF!/#REF!,"")</f>
        <v/>
      </c>
      <c r="AA48" s="84" t="str">
        <f>+IFERROR(#REF!/#REF!,"")</f>
        <v/>
      </c>
      <c r="AB48" s="84">
        <f t="shared" si="6"/>
        <v>0.11868035950383439</v>
      </c>
      <c r="AD48" s="139">
        <f t="shared" si="11"/>
        <v>-3.6882163729742096E-2</v>
      </c>
      <c r="AE48" s="139">
        <f t="shared" si="11"/>
        <v>1.5649740835219916E-3</v>
      </c>
      <c r="AF48" s="139">
        <f t="shared" si="10"/>
        <v>3.4150384582629173E-2</v>
      </c>
      <c r="AG48" s="139" t="str">
        <f t="shared" si="10"/>
        <v/>
      </c>
      <c r="AH48" s="139" t="str">
        <f t="shared" si="10"/>
        <v/>
      </c>
      <c r="AI48" s="139" t="str">
        <f t="shared" si="10"/>
        <v/>
      </c>
      <c r="AJ48" s="139" t="str">
        <f t="shared" si="10"/>
        <v/>
      </c>
      <c r="AK48" s="139" t="str">
        <f t="shared" si="10"/>
        <v/>
      </c>
      <c r="AL48" s="139" t="str">
        <f t="shared" si="10"/>
        <v/>
      </c>
      <c r="AM48" s="139" t="str">
        <f t="shared" si="10"/>
        <v/>
      </c>
      <c r="AN48" s="139" t="str">
        <f t="shared" si="10"/>
        <v/>
      </c>
      <c r="AP48" s="82">
        <f t="shared" si="12"/>
        <v>4.4282035164675332E-3</v>
      </c>
      <c r="AQ48" s="82">
        <f t="shared" si="9"/>
        <v>0.77165646386941256</v>
      </c>
    </row>
    <row r="49" spans="2:43" x14ac:dyDescent="0.35">
      <c r="B49" s="83" t="s">
        <v>131</v>
      </c>
      <c r="D49" s="137">
        <v>3684849</v>
      </c>
      <c r="E49" s="137">
        <v>3526914</v>
      </c>
      <c r="F49" s="137">
        <v>4088692</v>
      </c>
      <c r="G49" s="137">
        <v>3565443</v>
      </c>
      <c r="H49" s="137">
        <f t="shared" si="0"/>
        <v>14865898</v>
      </c>
      <c r="J49" s="137">
        <v>624117</v>
      </c>
      <c r="K49" s="137">
        <v>602778</v>
      </c>
      <c r="L49" s="137">
        <v>651167</v>
      </c>
      <c r="M49" s="137">
        <v>610427</v>
      </c>
      <c r="N49" s="137">
        <f t="shared" si="1"/>
        <v>2488489</v>
      </c>
      <c r="P49" s="84">
        <f t="shared" si="2"/>
        <v>0.16937383322898714</v>
      </c>
      <c r="Q49" s="84">
        <f t="shared" si="3"/>
        <v>0.17090805162813724</v>
      </c>
      <c r="R49" s="84">
        <f t="shared" si="4"/>
        <v>0.15926046765077928</v>
      </c>
      <c r="S49" s="84">
        <f t="shared" si="5"/>
        <v>0.17120649523775866</v>
      </c>
      <c r="T49" s="84" t="str">
        <f>+IFERROR(#REF!/#REF!,"")</f>
        <v/>
      </c>
      <c r="U49" s="84" t="str">
        <f>+IFERROR(#REF!/#REF!,"")</f>
        <v/>
      </c>
      <c r="V49" s="84" t="str">
        <f>+IFERROR(#REF!/#REF!,"")</f>
        <v/>
      </c>
      <c r="W49" s="84" t="str">
        <f>+IFERROR(#REF!/#REF!,"")</f>
        <v/>
      </c>
      <c r="X49" s="84" t="str">
        <f>+IFERROR(#REF!/#REF!,"")</f>
        <v/>
      </c>
      <c r="Y49" s="84" t="str">
        <f>+IFERROR(#REF!/#REF!,"")</f>
        <v/>
      </c>
      <c r="Z49" s="84" t="str">
        <f>+IFERROR(#REF!/#REF!,"")</f>
        <v/>
      </c>
      <c r="AA49" s="84" t="str">
        <f>+IFERROR(#REF!/#REF!,"")</f>
        <v/>
      </c>
      <c r="AB49" s="84">
        <f t="shared" si="6"/>
        <v>0.16739580750520419</v>
      </c>
      <c r="AD49" s="139">
        <f t="shared" si="11"/>
        <v>1.5342183991501057E-3</v>
      </c>
      <c r="AE49" s="139">
        <f t="shared" si="11"/>
        <v>-1.1647583977357961E-2</v>
      </c>
      <c r="AF49" s="139">
        <f t="shared" si="10"/>
        <v>1.194602758697938E-2</v>
      </c>
      <c r="AG49" s="139" t="str">
        <f t="shared" si="10"/>
        <v/>
      </c>
      <c r="AH49" s="139" t="str">
        <f t="shared" si="10"/>
        <v/>
      </c>
      <c r="AI49" s="139" t="str">
        <f t="shared" si="10"/>
        <v/>
      </c>
      <c r="AJ49" s="139" t="str">
        <f t="shared" si="10"/>
        <v/>
      </c>
      <c r="AK49" s="139" t="str">
        <f t="shared" si="10"/>
        <v/>
      </c>
      <c r="AL49" s="139" t="str">
        <f t="shared" si="10"/>
        <v/>
      </c>
      <c r="AM49" s="139" t="str">
        <f t="shared" si="10"/>
        <v/>
      </c>
      <c r="AN49" s="139" t="str">
        <f t="shared" si="10"/>
        <v/>
      </c>
      <c r="AP49" s="82">
        <f t="shared" si="12"/>
        <v>2.3294072234305908E-3</v>
      </c>
      <c r="AQ49" s="82">
        <f t="shared" si="9"/>
        <v>0.77398587109284311</v>
      </c>
    </row>
    <row r="50" spans="2:43" x14ac:dyDescent="0.35">
      <c r="B50" s="83" t="s">
        <v>132</v>
      </c>
      <c r="D50" s="137">
        <v>1302841</v>
      </c>
      <c r="E50" s="137">
        <v>2233035</v>
      </c>
      <c r="F50" s="137">
        <v>8615086</v>
      </c>
      <c r="G50" s="137">
        <v>7914139</v>
      </c>
      <c r="H50" s="137">
        <f t="shared" si="0"/>
        <v>20065101</v>
      </c>
      <c r="J50" s="137">
        <v>224750</v>
      </c>
      <c r="K50" s="137">
        <v>418083</v>
      </c>
      <c r="L50" s="137">
        <v>1259672</v>
      </c>
      <c r="M50" s="137">
        <v>1190753</v>
      </c>
      <c r="N50" s="137">
        <f t="shared" si="1"/>
        <v>3093258</v>
      </c>
      <c r="P50" s="84">
        <f t="shared" si="2"/>
        <v>0.17250761988607974</v>
      </c>
      <c r="Q50" s="84">
        <f t="shared" si="3"/>
        <v>0.18722635337108465</v>
      </c>
      <c r="R50" s="84">
        <f t="shared" si="4"/>
        <v>0.14621699655696996</v>
      </c>
      <c r="S50" s="84">
        <f t="shared" si="5"/>
        <v>0.15045894442844635</v>
      </c>
      <c r="T50" s="84" t="str">
        <f>+IFERROR(#REF!/#REF!,"")</f>
        <v/>
      </c>
      <c r="U50" s="84" t="str">
        <f>+IFERROR(#REF!/#REF!,"")</f>
        <v/>
      </c>
      <c r="V50" s="84" t="str">
        <f>+IFERROR(#REF!/#REF!,"")</f>
        <v/>
      </c>
      <c r="W50" s="84" t="str">
        <f>+IFERROR(#REF!/#REF!,"")</f>
        <v/>
      </c>
      <c r="X50" s="84" t="str">
        <f>+IFERROR(#REF!/#REF!,"")</f>
        <v/>
      </c>
      <c r="Y50" s="84" t="str">
        <f>+IFERROR(#REF!/#REF!,"")</f>
        <v/>
      </c>
      <c r="Z50" s="84" t="str">
        <f>+IFERROR(#REF!/#REF!,"")</f>
        <v/>
      </c>
      <c r="AA50" s="84" t="str">
        <f>+IFERROR(#REF!/#REF!,"")</f>
        <v/>
      </c>
      <c r="AB50" s="84">
        <f t="shared" si="6"/>
        <v>0.1541610979182213</v>
      </c>
      <c r="AD50" s="139">
        <f t="shared" si="11"/>
        <v>1.4718733485004909E-2</v>
      </c>
      <c r="AE50" s="139">
        <f t="shared" si="11"/>
        <v>-4.1009356814114689E-2</v>
      </c>
      <c r="AF50" s="139">
        <f t="shared" si="10"/>
        <v>4.241947871476387E-3</v>
      </c>
      <c r="AG50" s="139" t="str">
        <f t="shared" si="10"/>
        <v/>
      </c>
      <c r="AH50" s="139" t="str">
        <f t="shared" si="10"/>
        <v/>
      </c>
      <c r="AI50" s="139" t="str">
        <f t="shared" si="10"/>
        <v/>
      </c>
      <c r="AJ50" s="139" t="str">
        <f t="shared" si="10"/>
        <v/>
      </c>
      <c r="AK50" s="139" t="str">
        <f t="shared" si="10"/>
        <v/>
      </c>
      <c r="AL50" s="139" t="str">
        <f t="shared" si="10"/>
        <v/>
      </c>
      <c r="AM50" s="139" t="str">
        <f t="shared" si="10"/>
        <v/>
      </c>
      <c r="AN50" s="139" t="str">
        <f t="shared" si="10"/>
        <v/>
      </c>
      <c r="AP50" s="82">
        <f t="shared" si="12"/>
        <v>2.8955151214791236E-3</v>
      </c>
      <c r="AQ50" s="82">
        <f t="shared" si="9"/>
        <v>0.77688138621432223</v>
      </c>
    </row>
    <row r="51" spans="2:43" x14ac:dyDescent="0.35">
      <c r="B51" s="83" t="s">
        <v>133</v>
      </c>
      <c r="D51" s="137">
        <v>5011967</v>
      </c>
      <c r="E51" s="137">
        <v>4721562</v>
      </c>
      <c r="F51" s="137">
        <v>5076709</v>
      </c>
      <c r="G51" s="137">
        <v>4468102</v>
      </c>
      <c r="H51" s="137">
        <f t="shared" si="0"/>
        <v>19278340</v>
      </c>
      <c r="J51" s="137">
        <v>1057787</v>
      </c>
      <c r="K51" s="137">
        <v>1061540</v>
      </c>
      <c r="L51" s="137">
        <v>1081419</v>
      </c>
      <c r="M51" s="137">
        <v>977774</v>
      </c>
      <c r="N51" s="137">
        <f t="shared" si="1"/>
        <v>4178520</v>
      </c>
      <c r="P51" s="84">
        <f t="shared" si="2"/>
        <v>0.21105226750295841</v>
      </c>
      <c r="Q51" s="84">
        <f t="shared" si="3"/>
        <v>0.22482813950129216</v>
      </c>
      <c r="R51" s="84">
        <f t="shared" si="4"/>
        <v>0.21301575489160399</v>
      </c>
      <c r="S51" s="84">
        <f t="shared" si="5"/>
        <v>0.21883430593124328</v>
      </c>
      <c r="T51" s="84" t="str">
        <f>+IFERROR(#REF!/#REF!,"")</f>
        <v/>
      </c>
      <c r="U51" s="84" t="str">
        <f>+IFERROR(#REF!/#REF!,"")</f>
        <v/>
      </c>
      <c r="V51" s="84" t="str">
        <f>+IFERROR(#REF!/#REF!,"")</f>
        <v/>
      </c>
      <c r="W51" s="84" t="str">
        <f>+IFERROR(#REF!/#REF!,"")</f>
        <v/>
      </c>
      <c r="X51" s="84" t="str">
        <f>+IFERROR(#REF!/#REF!,"")</f>
        <v/>
      </c>
      <c r="Y51" s="84" t="str">
        <f>+IFERROR(#REF!/#REF!,"")</f>
        <v/>
      </c>
      <c r="Z51" s="84" t="str">
        <f>+IFERROR(#REF!/#REF!,"")</f>
        <v/>
      </c>
      <c r="AA51" s="84" t="str">
        <f>+IFERROR(#REF!/#REF!,"")</f>
        <v/>
      </c>
      <c r="AB51" s="84">
        <f t="shared" si="6"/>
        <v>0.21674687758385836</v>
      </c>
      <c r="AD51" s="139">
        <f t="shared" si="11"/>
        <v>1.3775871998333744E-2</v>
      </c>
      <c r="AE51" s="139">
        <f t="shared" si="11"/>
        <v>-1.181238460968817E-2</v>
      </c>
      <c r="AF51" s="139">
        <f t="shared" si="10"/>
        <v>5.818551039639297E-3</v>
      </c>
      <c r="AG51" s="139" t="str">
        <f t="shared" si="10"/>
        <v/>
      </c>
      <c r="AH51" s="139" t="str">
        <f t="shared" si="10"/>
        <v/>
      </c>
      <c r="AI51" s="139" t="str">
        <f t="shared" si="10"/>
        <v/>
      </c>
      <c r="AJ51" s="139" t="str">
        <f t="shared" si="10"/>
        <v/>
      </c>
      <c r="AK51" s="139" t="str">
        <f t="shared" si="10"/>
        <v/>
      </c>
      <c r="AL51" s="139" t="str">
        <f t="shared" si="10"/>
        <v/>
      </c>
      <c r="AM51" s="139" t="str">
        <f t="shared" si="10"/>
        <v/>
      </c>
      <c r="AN51" s="139" t="str">
        <f t="shared" si="10"/>
        <v/>
      </c>
      <c r="AP51" s="82">
        <f t="shared" si="12"/>
        <v>3.9113995164331422E-3</v>
      </c>
      <c r="AQ51" s="82">
        <f t="shared" si="9"/>
        <v>0.78079278573075539</v>
      </c>
    </row>
    <row r="52" spans="2:43" x14ac:dyDescent="0.35">
      <c r="B52" s="83" t="s">
        <v>134</v>
      </c>
      <c r="D52" s="137">
        <v>4823234</v>
      </c>
      <c r="E52" s="137">
        <v>4151876</v>
      </c>
      <c r="F52" s="137">
        <v>5045361</v>
      </c>
      <c r="G52" s="137">
        <v>4405076</v>
      </c>
      <c r="H52" s="137">
        <f t="shared" si="0"/>
        <v>18425547</v>
      </c>
      <c r="J52" s="137">
        <v>1149652</v>
      </c>
      <c r="K52" s="137">
        <v>953227</v>
      </c>
      <c r="L52" s="137">
        <v>1265381</v>
      </c>
      <c r="M52" s="137">
        <v>1203727</v>
      </c>
      <c r="N52" s="137">
        <f t="shared" si="1"/>
        <v>4571987</v>
      </c>
      <c r="P52" s="84">
        <f t="shared" si="2"/>
        <v>0.23835708572298173</v>
      </c>
      <c r="Q52" s="84">
        <f t="shared" si="3"/>
        <v>0.22958946750818185</v>
      </c>
      <c r="R52" s="84">
        <f t="shared" si="4"/>
        <v>0.25080088421819569</v>
      </c>
      <c r="S52" s="84">
        <f t="shared" si="5"/>
        <v>0.27325907657438825</v>
      </c>
      <c r="T52" s="84" t="str">
        <f>+IFERROR(#REF!/#REF!,"")</f>
        <v/>
      </c>
      <c r="U52" s="84" t="str">
        <f>+IFERROR(#REF!/#REF!,"")</f>
        <v/>
      </c>
      <c r="V52" s="84" t="str">
        <f>+IFERROR(#REF!/#REF!,"")</f>
        <v/>
      </c>
      <c r="W52" s="84" t="str">
        <f>+IFERROR(#REF!/#REF!,"")</f>
        <v/>
      </c>
      <c r="X52" s="84" t="str">
        <f>+IFERROR(#REF!/#REF!,"")</f>
        <v/>
      </c>
      <c r="Y52" s="84" t="str">
        <f>+IFERROR(#REF!/#REF!,"")</f>
        <v/>
      </c>
      <c r="Z52" s="84" t="str">
        <f>+IFERROR(#REF!/#REF!,"")</f>
        <v/>
      </c>
      <c r="AA52" s="84" t="str">
        <f>+IFERROR(#REF!/#REF!,"")</f>
        <v/>
      </c>
      <c r="AB52" s="84">
        <f t="shared" si="6"/>
        <v>0.24813304050077861</v>
      </c>
      <c r="AD52" s="139">
        <f t="shared" si="11"/>
        <v>-8.7676182147998771E-3</v>
      </c>
      <c r="AE52" s="139">
        <f t="shared" si="11"/>
        <v>2.1211416710013836E-2</v>
      </c>
      <c r="AF52" s="139">
        <f t="shared" si="10"/>
        <v>2.2458192356192563E-2</v>
      </c>
      <c r="AG52" s="139" t="str">
        <f t="shared" si="10"/>
        <v/>
      </c>
      <c r="AH52" s="139" t="str">
        <f t="shared" si="10"/>
        <v/>
      </c>
      <c r="AI52" s="139" t="str">
        <f t="shared" si="10"/>
        <v/>
      </c>
      <c r="AJ52" s="139" t="str">
        <f t="shared" si="10"/>
        <v/>
      </c>
      <c r="AK52" s="139" t="str">
        <f t="shared" si="10"/>
        <v/>
      </c>
      <c r="AL52" s="139" t="str">
        <f t="shared" si="10"/>
        <v/>
      </c>
      <c r="AM52" s="139" t="str">
        <f t="shared" si="10"/>
        <v/>
      </c>
      <c r="AN52" s="139" t="str">
        <f t="shared" si="10"/>
        <v/>
      </c>
      <c r="AP52" s="82">
        <f t="shared" si="12"/>
        <v>4.2797133293459438E-3</v>
      </c>
      <c r="AQ52" s="82">
        <f t="shared" si="9"/>
        <v>0.78507249906010135</v>
      </c>
    </row>
    <row r="53" spans="2:43" x14ac:dyDescent="0.35">
      <c r="B53" s="83" t="s">
        <v>135</v>
      </c>
      <c r="D53" s="137">
        <v>46959441</v>
      </c>
      <c r="E53" s="137">
        <v>49624464</v>
      </c>
      <c r="F53" s="137">
        <v>69113168</v>
      </c>
      <c r="G53" s="137">
        <v>71780904</v>
      </c>
      <c r="H53" s="137">
        <f t="shared" si="0"/>
        <v>237477977</v>
      </c>
      <c r="J53" s="137">
        <v>8364972</v>
      </c>
      <c r="K53" s="137">
        <v>9414182</v>
      </c>
      <c r="L53" s="137">
        <v>14035882</v>
      </c>
      <c r="M53" s="137">
        <v>15161325</v>
      </c>
      <c r="N53" s="137">
        <f t="shared" si="1"/>
        <v>46976361</v>
      </c>
      <c r="P53" s="84">
        <f t="shared" si="2"/>
        <v>0.17813184786420264</v>
      </c>
      <c r="Q53" s="84">
        <f t="shared" si="3"/>
        <v>0.18970848732995887</v>
      </c>
      <c r="R53" s="84">
        <f t="shared" si="4"/>
        <v>0.2030854959506414</v>
      </c>
      <c r="S53" s="84">
        <f t="shared" si="5"/>
        <v>0.21121669072320404</v>
      </c>
      <c r="T53" s="84" t="str">
        <f>+IFERROR(#REF!/#REF!,"")</f>
        <v/>
      </c>
      <c r="U53" s="84" t="str">
        <f>+IFERROR(#REF!/#REF!,"")</f>
        <v/>
      </c>
      <c r="V53" s="84" t="str">
        <f>+IFERROR(#REF!/#REF!,"")</f>
        <v/>
      </c>
      <c r="W53" s="84" t="str">
        <f>+IFERROR(#REF!/#REF!,"")</f>
        <v/>
      </c>
      <c r="X53" s="84" t="str">
        <f>+IFERROR(#REF!/#REF!,"")</f>
        <v/>
      </c>
      <c r="Y53" s="84" t="str">
        <f>+IFERROR(#REF!/#REF!,"")</f>
        <v/>
      </c>
      <c r="Z53" s="84" t="str">
        <f>+IFERROR(#REF!/#REF!,"")</f>
        <v/>
      </c>
      <c r="AA53" s="84" t="str">
        <f>+IFERROR(#REF!/#REF!,"")</f>
        <v/>
      </c>
      <c r="AB53" s="84">
        <f t="shared" si="6"/>
        <v>0.1978135471484162</v>
      </c>
      <c r="AD53" s="139">
        <f t="shared" si="11"/>
        <v>1.1576639465756239E-2</v>
      </c>
      <c r="AE53" s="139">
        <f t="shared" si="11"/>
        <v>1.3377008620682529E-2</v>
      </c>
      <c r="AF53" s="139">
        <f t="shared" si="10"/>
        <v>8.1311947725626332E-3</v>
      </c>
      <c r="AG53" s="139" t="str">
        <f t="shared" si="10"/>
        <v/>
      </c>
      <c r="AH53" s="139" t="str">
        <f t="shared" si="10"/>
        <v/>
      </c>
      <c r="AI53" s="139" t="str">
        <f t="shared" si="10"/>
        <v/>
      </c>
      <c r="AJ53" s="139" t="str">
        <f t="shared" si="10"/>
        <v/>
      </c>
      <c r="AK53" s="139" t="str">
        <f t="shared" si="10"/>
        <v/>
      </c>
      <c r="AL53" s="139" t="str">
        <f t="shared" si="10"/>
        <v/>
      </c>
      <c r="AM53" s="139" t="str">
        <f t="shared" si="10"/>
        <v/>
      </c>
      <c r="AN53" s="139" t="str">
        <f t="shared" si="10"/>
        <v/>
      </c>
      <c r="AP53" s="82">
        <f t="shared" si="12"/>
        <v>4.3973300522478942E-2</v>
      </c>
      <c r="AQ53" s="82">
        <f t="shared" si="9"/>
        <v>0.82904579958258029</v>
      </c>
    </row>
    <row r="54" spans="2:43" x14ac:dyDescent="0.35">
      <c r="B54" s="83" t="s">
        <v>136</v>
      </c>
      <c r="D54" s="137">
        <v>1087658</v>
      </c>
      <c r="E54" s="137">
        <v>1107103</v>
      </c>
      <c r="F54" s="137">
        <v>1324607</v>
      </c>
      <c r="G54" s="137">
        <v>1060058</v>
      </c>
      <c r="H54" s="137">
        <f t="shared" si="0"/>
        <v>4579426</v>
      </c>
      <c r="J54" s="137">
        <v>191247</v>
      </c>
      <c r="K54" s="137">
        <v>286596</v>
      </c>
      <c r="L54" s="137">
        <v>304486</v>
      </c>
      <c r="M54" s="137">
        <v>129799</v>
      </c>
      <c r="N54" s="137">
        <f t="shared" si="1"/>
        <v>912128</v>
      </c>
      <c r="P54" s="84">
        <f t="shared" si="2"/>
        <v>0.17583376392211522</v>
      </c>
      <c r="Q54" s="84">
        <f t="shared" si="3"/>
        <v>0.25887022255381836</v>
      </c>
      <c r="R54" s="84">
        <f t="shared" si="4"/>
        <v>0.2298689347104462</v>
      </c>
      <c r="S54" s="84">
        <f t="shared" si="5"/>
        <v>0.12244518696146815</v>
      </c>
      <c r="T54" s="84" t="str">
        <f>+IFERROR(#REF!/#REF!,"")</f>
        <v/>
      </c>
      <c r="U54" s="84" t="str">
        <f>+IFERROR(#REF!/#REF!,"")</f>
        <v/>
      </c>
      <c r="V54" s="84" t="str">
        <f>+IFERROR(#REF!/#REF!,"")</f>
        <v/>
      </c>
      <c r="W54" s="84" t="str">
        <f>+IFERROR(#REF!/#REF!,"")</f>
        <v/>
      </c>
      <c r="X54" s="84" t="str">
        <f>+IFERROR(#REF!/#REF!,"")</f>
        <v/>
      </c>
      <c r="Y54" s="84" t="str">
        <f>+IFERROR(#REF!/#REF!,"")</f>
        <v/>
      </c>
      <c r="Z54" s="84" t="str">
        <f>+IFERROR(#REF!/#REF!,"")</f>
        <v/>
      </c>
      <c r="AA54" s="84" t="str">
        <f>+IFERROR(#REF!/#REF!,"")</f>
        <v/>
      </c>
      <c r="AB54" s="84">
        <f t="shared" si="6"/>
        <v>0.19917954782979352</v>
      </c>
      <c r="AD54" s="139">
        <f t="shared" si="11"/>
        <v>8.3036458631703142E-2</v>
      </c>
      <c r="AE54" s="139">
        <f t="shared" si="11"/>
        <v>-2.9001287843372164E-2</v>
      </c>
      <c r="AF54" s="139">
        <f t="shared" si="10"/>
        <v>-0.10742374774897805</v>
      </c>
      <c r="AG54" s="139" t="str">
        <f t="shared" si="10"/>
        <v/>
      </c>
      <c r="AH54" s="139" t="str">
        <f t="shared" si="10"/>
        <v/>
      </c>
      <c r="AI54" s="139" t="str">
        <f t="shared" si="10"/>
        <v/>
      </c>
      <c r="AJ54" s="139" t="str">
        <f t="shared" si="10"/>
        <v/>
      </c>
      <c r="AK54" s="139" t="str">
        <f t="shared" si="10"/>
        <v/>
      </c>
      <c r="AL54" s="139" t="str">
        <f t="shared" si="10"/>
        <v/>
      </c>
      <c r="AM54" s="139" t="str">
        <f t="shared" si="10"/>
        <v/>
      </c>
      <c r="AN54" s="139" t="str">
        <f t="shared" si="10"/>
        <v/>
      </c>
      <c r="AP54" s="82">
        <f t="shared" si="12"/>
        <v>8.538183419309059E-4</v>
      </c>
      <c r="AQ54" s="82">
        <f t="shared" si="9"/>
        <v>0.82989961792451117</v>
      </c>
    </row>
    <row r="55" spans="2:43" x14ac:dyDescent="0.35">
      <c r="B55" s="83" t="s">
        <v>137</v>
      </c>
      <c r="D55" s="137">
        <v>2607780</v>
      </c>
      <c r="E55" s="137">
        <v>2848461</v>
      </c>
      <c r="F55" s="137">
        <v>3119669</v>
      </c>
      <c r="G55" s="137">
        <v>2618124</v>
      </c>
      <c r="H55" s="137">
        <f t="shared" si="0"/>
        <v>11194034</v>
      </c>
      <c r="J55" s="137">
        <v>532879</v>
      </c>
      <c r="K55" s="137">
        <v>588193</v>
      </c>
      <c r="L55" s="137">
        <v>635172</v>
      </c>
      <c r="M55" s="137">
        <v>624372</v>
      </c>
      <c r="N55" s="137">
        <f t="shared" si="1"/>
        <v>2380616</v>
      </c>
      <c r="P55" s="84">
        <f t="shared" si="2"/>
        <v>0.20434200737792299</v>
      </c>
      <c r="Q55" s="84">
        <f t="shared" si="3"/>
        <v>0.20649501608061335</v>
      </c>
      <c r="R55" s="84">
        <f t="shared" si="4"/>
        <v>0.20360236935392825</v>
      </c>
      <c r="S55" s="84">
        <f t="shared" si="5"/>
        <v>0.23848068311508547</v>
      </c>
      <c r="T55" s="84" t="str">
        <f>+IFERROR(#REF!/#REF!,"")</f>
        <v/>
      </c>
      <c r="U55" s="84" t="str">
        <f>+IFERROR(#REF!/#REF!,"")</f>
        <v/>
      </c>
      <c r="V55" s="84" t="str">
        <f>+IFERROR(#REF!/#REF!,"")</f>
        <v/>
      </c>
      <c r="W55" s="84" t="str">
        <f>+IFERROR(#REF!/#REF!,"")</f>
        <v/>
      </c>
      <c r="X55" s="84" t="str">
        <f>+IFERROR(#REF!/#REF!,"")</f>
        <v/>
      </c>
      <c r="Y55" s="84" t="str">
        <f>+IFERROR(#REF!/#REF!,"")</f>
        <v/>
      </c>
      <c r="Z55" s="84" t="str">
        <f>+IFERROR(#REF!/#REF!,"")</f>
        <v/>
      </c>
      <c r="AA55" s="84" t="str">
        <f>+IFERROR(#REF!/#REF!,"")</f>
        <v/>
      </c>
      <c r="AB55" s="84">
        <f t="shared" si="6"/>
        <v>0.21266828383762279</v>
      </c>
      <c r="AD55" s="139">
        <f t="shared" si="11"/>
        <v>2.1530087026903622E-3</v>
      </c>
      <c r="AE55" s="139">
        <f t="shared" si="11"/>
        <v>-2.8926467266850997E-3</v>
      </c>
      <c r="AF55" s="139">
        <f t="shared" si="10"/>
        <v>3.4878313761157215E-2</v>
      </c>
      <c r="AG55" s="139" t="str">
        <f t="shared" si="10"/>
        <v/>
      </c>
      <c r="AH55" s="139" t="str">
        <f t="shared" si="10"/>
        <v/>
      </c>
      <c r="AI55" s="139" t="str">
        <f t="shared" si="10"/>
        <v/>
      </c>
      <c r="AJ55" s="139" t="str">
        <f t="shared" si="10"/>
        <v/>
      </c>
      <c r="AK55" s="139" t="str">
        <f t="shared" si="10"/>
        <v/>
      </c>
      <c r="AL55" s="139" t="str">
        <f t="shared" si="10"/>
        <v/>
      </c>
      <c r="AM55" s="139" t="str">
        <f t="shared" si="10"/>
        <v/>
      </c>
      <c r="AN55" s="139" t="str">
        <f t="shared" si="10"/>
        <v/>
      </c>
      <c r="AP55" s="82">
        <f t="shared" si="12"/>
        <v>2.2284302267819708E-3</v>
      </c>
      <c r="AQ55" s="82">
        <f t="shared" si="9"/>
        <v>0.83212804815129315</v>
      </c>
    </row>
    <row r="56" spans="2:43" x14ac:dyDescent="0.35">
      <c r="B56" s="83" t="s">
        <v>138</v>
      </c>
      <c r="D56" s="137">
        <v>29858618</v>
      </c>
      <c r="E56" s="137">
        <v>53429301</v>
      </c>
      <c r="F56" s="137">
        <v>35969565</v>
      </c>
      <c r="G56" s="137">
        <v>25914029</v>
      </c>
      <c r="H56" s="137">
        <f t="shared" si="0"/>
        <v>145171513</v>
      </c>
      <c r="J56" s="137">
        <v>4039090</v>
      </c>
      <c r="K56" s="137">
        <v>6506500</v>
      </c>
      <c r="L56" s="137">
        <v>4417535</v>
      </c>
      <c r="M56" s="137">
        <v>3079924</v>
      </c>
      <c r="N56" s="137">
        <f t="shared" si="1"/>
        <v>18043049</v>
      </c>
      <c r="P56" s="84">
        <f t="shared" si="2"/>
        <v>0.13527384288181055</v>
      </c>
      <c r="Q56" s="84">
        <f t="shared" si="3"/>
        <v>0.12177774887977666</v>
      </c>
      <c r="R56" s="84">
        <f t="shared" si="4"/>
        <v>0.12281313382577744</v>
      </c>
      <c r="S56" s="84">
        <f t="shared" si="5"/>
        <v>0.11885160736680506</v>
      </c>
      <c r="T56" s="84" t="str">
        <f>+IFERROR(#REF!/#REF!,"")</f>
        <v/>
      </c>
      <c r="U56" s="84" t="str">
        <f>+IFERROR(#REF!/#REF!,"")</f>
        <v/>
      </c>
      <c r="V56" s="84" t="str">
        <f>+IFERROR(#REF!/#REF!,"")</f>
        <v/>
      </c>
      <c r="W56" s="84" t="str">
        <f>+IFERROR(#REF!/#REF!,"")</f>
        <v/>
      </c>
      <c r="X56" s="84" t="str">
        <f>+IFERROR(#REF!/#REF!,"")</f>
        <v/>
      </c>
      <c r="Y56" s="84" t="str">
        <f>+IFERROR(#REF!/#REF!,"")</f>
        <v/>
      </c>
      <c r="Z56" s="84" t="str">
        <f>+IFERROR(#REF!/#REF!,"")</f>
        <v/>
      </c>
      <c r="AA56" s="84" t="str">
        <f>+IFERROR(#REF!/#REF!,"")</f>
        <v/>
      </c>
      <c r="AB56" s="84">
        <f t="shared" si="6"/>
        <v>0.12428780707135015</v>
      </c>
      <c r="AD56" s="139">
        <f t="shared" si="11"/>
        <v>-1.3496094002033887E-2</v>
      </c>
      <c r="AE56" s="139">
        <f t="shared" si="11"/>
        <v>1.035384946000778E-3</v>
      </c>
      <c r="AF56" s="139">
        <f t="shared" si="10"/>
        <v>-3.9615264589723809E-3</v>
      </c>
      <c r="AG56" s="139" t="str">
        <f t="shared" si="10"/>
        <v/>
      </c>
      <c r="AH56" s="139" t="str">
        <f t="shared" si="10"/>
        <v/>
      </c>
      <c r="AI56" s="139" t="str">
        <f t="shared" ref="AI56:AN86" si="13">+IFERROR(V56-U56,"")</f>
        <v/>
      </c>
      <c r="AJ56" s="139" t="str">
        <f t="shared" si="13"/>
        <v/>
      </c>
      <c r="AK56" s="139" t="str">
        <f t="shared" si="13"/>
        <v/>
      </c>
      <c r="AL56" s="139" t="str">
        <f t="shared" si="13"/>
        <v/>
      </c>
      <c r="AM56" s="139" t="str">
        <f t="shared" si="13"/>
        <v/>
      </c>
      <c r="AN56" s="139" t="str">
        <f t="shared" si="13"/>
        <v/>
      </c>
      <c r="AP56" s="82">
        <f t="shared" si="12"/>
        <v>1.6889609989560773E-2</v>
      </c>
      <c r="AQ56" s="82">
        <f t="shared" si="9"/>
        <v>0.84901765814085395</v>
      </c>
    </row>
    <row r="57" spans="2:43" x14ac:dyDescent="0.35">
      <c r="B57" s="83" t="s">
        <v>139</v>
      </c>
      <c r="D57" s="137">
        <v>2827833</v>
      </c>
      <c r="E57" s="137">
        <v>2775763</v>
      </c>
      <c r="F57" s="137">
        <v>3032666</v>
      </c>
      <c r="G57" s="137">
        <v>2945049</v>
      </c>
      <c r="H57" s="137">
        <f t="shared" si="0"/>
        <v>11581311</v>
      </c>
      <c r="J57" s="137">
        <v>409711</v>
      </c>
      <c r="K57" s="137">
        <v>406361</v>
      </c>
      <c r="L57" s="137">
        <v>451950</v>
      </c>
      <c r="M57" s="137">
        <v>457240</v>
      </c>
      <c r="N57" s="137">
        <f t="shared" si="1"/>
        <v>1725262</v>
      </c>
      <c r="P57" s="84">
        <f t="shared" si="2"/>
        <v>0.14488514703661778</v>
      </c>
      <c r="Q57" s="84">
        <f t="shared" si="3"/>
        <v>0.14639614405120321</v>
      </c>
      <c r="R57" s="84">
        <f t="shared" si="4"/>
        <v>0.14902729149863519</v>
      </c>
      <c r="S57" s="84">
        <f t="shared" si="5"/>
        <v>0.15525717908258913</v>
      </c>
      <c r="T57" s="84" t="str">
        <f>+IFERROR(#REF!/#REF!,"")</f>
        <v/>
      </c>
      <c r="U57" s="84" t="str">
        <f>+IFERROR(#REF!/#REF!,"")</f>
        <v/>
      </c>
      <c r="V57" s="84" t="str">
        <f>+IFERROR(#REF!/#REF!,"")</f>
        <v/>
      </c>
      <c r="W57" s="84" t="str">
        <f>+IFERROR(#REF!/#REF!,"")</f>
        <v/>
      </c>
      <c r="X57" s="84" t="str">
        <f>+IFERROR(#REF!/#REF!,"")</f>
        <v/>
      </c>
      <c r="Y57" s="84" t="str">
        <f>+IFERROR(#REF!/#REF!,"")</f>
        <v/>
      </c>
      <c r="Z57" s="84" t="str">
        <f>+IFERROR(#REF!/#REF!,"")</f>
        <v/>
      </c>
      <c r="AA57" s="84" t="str">
        <f>+IFERROR(#REF!/#REF!,"")</f>
        <v/>
      </c>
      <c r="AB57" s="84">
        <f t="shared" si="6"/>
        <v>0.14896949058703285</v>
      </c>
      <c r="AD57" s="139">
        <f t="shared" si="11"/>
        <v>1.5109970145854301E-3</v>
      </c>
      <c r="AE57" s="139">
        <f t="shared" si="11"/>
        <v>2.6311474474319807E-3</v>
      </c>
      <c r="AF57" s="139">
        <f t="shared" si="11"/>
        <v>6.2298875839539303E-3</v>
      </c>
      <c r="AG57" s="139" t="str">
        <f t="shared" si="11"/>
        <v/>
      </c>
      <c r="AH57" s="139" t="str">
        <f t="shared" si="11"/>
        <v/>
      </c>
      <c r="AI57" s="139" t="str">
        <f t="shared" si="13"/>
        <v/>
      </c>
      <c r="AJ57" s="139" t="str">
        <f t="shared" si="13"/>
        <v/>
      </c>
      <c r="AK57" s="139" t="str">
        <f t="shared" si="13"/>
        <v/>
      </c>
      <c r="AL57" s="139" t="str">
        <f t="shared" si="13"/>
        <v/>
      </c>
      <c r="AM57" s="139" t="str">
        <f t="shared" si="13"/>
        <v/>
      </c>
      <c r="AN57" s="139" t="str">
        <f t="shared" si="13"/>
        <v/>
      </c>
      <c r="AP57" s="82">
        <f t="shared" si="12"/>
        <v>1.614971078879717E-3</v>
      </c>
      <c r="AQ57" s="82">
        <f t="shared" si="9"/>
        <v>0.8506326292197337</v>
      </c>
    </row>
    <row r="58" spans="2:43" x14ac:dyDescent="0.35">
      <c r="B58" s="83" t="s">
        <v>140</v>
      </c>
      <c r="D58" s="137">
        <v>569623</v>
      </c>
      <c r="E58" s="137">
        <v>535983</v>
      </c>
      <c r="F58" s="137">
        <v>607612</v>
      </c>
      <c r="G58" s="137">
        <v>607431</v>
      </c>
      <c r="H58" s="137">
        <f t="shared" si="0"/>
        <v>2320649</v>
      </c>
      <c r="J58" s="137">
        <v>84501</v>
      </c>
      <c r="K58" s="137">
        <v>100687</v>
      </c>
      <c r="L58" s="137">
        <v>95861</v>
      </c>
      <c r="M58" s="137">
        <v>106543</v>
      </c>
      <c r="N58" s="137">
        <f t="shared" si="1"/>
        <v>387592</v>
      </c>
      <c r="P58" s="84">
        <f t="shared" si="2"/>
        <v>0.14834548464510738</v>
      </c>
      <c r="Q58" s="84">
        <f t="shared" si="3"/>
        <v>0.187854838679585</v>
      </c>
      <c r="R58" s="84">
        <f t="shared" si="4"/>
        <v>0.15776679854907408</v>
      </c>
      <c r="S58" s="84">
        <f t="shared" si="5"/>
        <v>0.17539934576931371</v>
      </c>
      <c r="T58" s="84" t="str">
        <f>+IFERROR(#REF!/#REF!,"")</f>
        <v/>
      </c>
      <c r="U58" s="84" t="str">
        <f>+IFERROR(#REF!/#REF!,"")</f>
        <v/>
      </c>
      <c r="V58" s="84" t="str">
        <f>+IFERROR(#REF!/#REF!,"")</f>
        <v/>
      </c>
      <c r="W58" s="84" t="str">
        <f>+IFERROR(#REF!/#REF!,"")</f>
        <v/>
      </c>
      <c r="X58" s="84" t="str">
        <f>+IFERROR(#REF!/#REF!,"")</f>
        <v/>
      </c>
      <c r="Y58" s="84" t="str">
        <f>+IFERROR(#REF!/#REF!,"")</f>
        <v/>
      </c>
      <c r="Z58" s="84" t="str">
        <f>+IFERROR(#REF!/#REF!,"")</f>
        <v/>
      </c>
      <c r="AA58" s="84" t="str">
        <f>+IFERROR(#REF!/#REF!,"")</f>
        <v/>
      </c>
      <c r="AB58" s="84">
        <f t="shared" si="6"/>
        <v>0.1670187951732468</v>
      </c>
      <c r="AD58" s="139">
        <f t="shared" si="11"/>
        <v>3.9509354034477612E-2</v>
      </c>
      <c r="AE58" s="139">
        <f t="shared" si="11"/>
        <v>-3.0088040130510918E-2</v>
      </c>
      <c r="AF58" s="139">
        <f t="shared" si="11"/>
        <v>1.7632547220239631E-2</v>
      </c>
      <c r="AG58" s="139" t="str">
        <f t="shared" si="11"/>
        <v/>
      </c>
      <c r="AH58" s="139" t="str">
        <f t="shared" si="11"/>
        <v/>
      </c>
      <c r="AI58" s="139" t="str">
        <f t="shared" si="13"/>
        <v/>
      </c>
      <c r="AJ58" s="139" t="str">
        <f t="shared" si="13"/>
        <v/>
      </c>
      <c r="AK58" s="139" t="str">
        <f t="shared" si="13"/>
        <v/>
      </c>
      <c r="AL58" s="139" t="str">
        <f t="shared" si="13"/>
        <v/>
      </c>
      <c r="AM58" s="139" t="str">
        <f t="shared" si="13"/>
        <v/>
      </c>
      <c r="AN58" s="139" t="str">
        <f t="shared" si="13"/>
        <v/>
      </c>
      <c r="AP58" s="82">
        <f t="shared" si="12"/>
        <v>3.6281438436895223E-4</v>
      </c>
      <c r="AQ58" s="82">
        <f t="shared" si="9"/>
        <v>0.85099544360410262</v>
      </c>
    </row>
    <row r="59" spans="2:43" x14ac:dyDescent="0.35">
      <c r="B59" s="83" t="s">
        <v>141</v>
      </c>
      <c r="D59" s="137">
        <v>2103572</v>
      </c>
      <c r="E59" s="137">
        <v>1908003</v>
      </c>
      <c r="F59" s="137">
        <v>2007421</v>
      </c>
      <c r="G59" s="137">
        <v>1847428</v>
      </c>
      <c r="H59" s="137">
        <f t="shared" si="0"/>
        <v>7866424</v>
      </c>
      <c r="J59" s="137">
        <v>533244</v>
      </c>
      <c r="K59" s="137">
        <v>439962</v>
      </c>
      <c r="L59" s="137">
        <v>452825</v>
      </c>
      <c r="M59" s="137">
        <v>470200</v>
      </c>
      <c r="N59" s="137">
        <f t="shared" si="1"/>
        <v>1896231</v>
      </c>
      <c r="P59" s="84">
        <f t="shared" si="2"/>
        <v>0.25349453215768225</v>
      </c>
      <c r="Q59" s="84">
        <f t="shared" si="3"/>
        <v>0.23058768775520794</v>
      </c>
      <c r="R59" s="84">
        <f t="shared" si="4"/>
        <v>0.22557550209945995</v>
      </c>
      <c r="S59" s="84">
        <f t="shared" si="5"/>
        <v>0.25451600820167281</v>
      </c>
      <c r="T59" s="84" t="str">
        <f>+IFERROR(#REF!/#REF!,"")</f>
        <v/>
      </c>
      <c r="U59" s="84" t="str">
        <f>+IFERROR(#REF!/#REF!,"")</f>
        <v/>
      </c>
      <c r="V59" s="84" t="str">
        <f>+IFERROR(#REF!/#REF!,"")</f>
        <v/>
      </c>
      <c r="W59" s="84" t="str">
        <f>+IFERROR(#REF!/#REF!,"")</f>
        <v/>
      </c>
      <c r="X59" s="84" t="str">
        <f>+IFERROR(#REF!/#REF!,"")</f>
        <v/>
      </c>
      <c r="Y59" s="84" t="str">
        <f>+IFERROR(#REF!/#REF!,"")</f>
        <v/>
      </c>
      <c r="Z59" s="84" t="str">
        <f>+IFERROR(#REF!/#REF!,"")</f>
        <v/>
      </c>
      <c r="AA59" s="84" t="str">
        <f>+IFERROR(#REF!/#REF!,"")</f>
        <v/>
      </c>
      <c r="AB59" s="84">
        <f t="shared" si="6"/>
        <v>0.2410537494546442</v>
      </c>
      <c r="AD59" s="139">
        <f t="shared" si="11"/>
        <v>-2.2906844402474313E-2</v>
      </c>
      <c r="AE59" s="139">
        <f t="shared" si="11"/>
        <v>-5.012185655747986E-3</v>
      </c>
      <c r="AF59" s="139">
        <f t="shared" si="11"/>
        <v>2.8940506102212854E-2</v>
      </c>
      <c r="AG59" s="139" t="str">
        <f t="shared" si="11"/>
        <v/>
      </c>
      <c r="AH59" s="139" t="str">
        <f t="shared" si="11"/>
        <v/>
      </c>
      <c r="AI59" s="139" t="str">
        <f t="shared" si="13"/>
        <v/>
      </c>
      <c r="AJ59" s="139" t="str">
        <f t="shared" si="13"/>
        <v/>
      </c>
      <c r="AK59" s="139" t="str">
        <f t="shared" si="13"/>
        <v/>
      </c>
      <c r="AL59" s="139" t="str">
        <f t="shared" si="13"/>
        <v/>
      </c>
      <c r="AM59" s="139" t="str">
        <f t="shared" si="13"/>
        <v/>
      </c>
      <c r="AN59" s="139" t="str">
        <f t="shared" si="13"/>
        <v/>
      </c>
      <c r="AP59" s="82">
        <f t="shared" si="12"/>
        <v>1.7750105339798621E-3</v>
      </c>
      <c r="AQ59" s="82">
        <f t="shared" si="9"/>
        <v>0.8527704541380825</v>
      </c>
    </row>
    <row r="60" spans="2:43" x14ac:dyDescent="0.35">
      <c r="B60" s="83" t="s">
        <v>142</v>
      </c>
      <c r="D60" s="137">
        <v>3140991</v>
      </c>
      <c r="E60" s="137">
        <v>3089175</v>
      </c>
      <c r="F60" s="137">
        <v>2996174</v>
      </c>
      <c r="G60" s="137">
        <v>2803006</v>
      </c>
      <c r="H60" s="137">
        <f t="shared" si="0"/>
        <v>12029346</v>
      </c>
      <c r="J60" s="137">
        <v>629313</v>
      </c>
      <c r="K60" s="137">
        <v>648207</v>
      </c>
      <c r="L60" s="137">
        <v>581963</v>
      </c>
      <c r="M60" s="137">
        <v>557302</v>
      </c>
      <c r="N60" s="137">
        <f t="shared" si="1"/>
        <v>2416785</v>
      </c>
      <c r="P60" s="84">
        <f t="shared" si="2"/>
        <v>0.20035491983262607</v>
      </c>
      <c r="Q60" s="84">
        <f t="shared" si="3"/>
        <v>0.2098317511957076</v>
      </c>
      <c r="R60" s="84">
        <f t="shared" si="4"/>
        <v>0.19423538152323597</v>
      </c>
      <c r="S60" s="84">
        <f t="shared" si="5"/>
        <v>0.1988229779030084</v>
      </c>
      <c r="T60" s="84" t="str">
        <f>+IFERROR(#REF!/#REF!,"")</f>
        <v/>
      </c>
      <c r="U60" s="84" t="str">
        <f>+IFERROR(#REF!/#REF!,"")</f>
        <v/>
      </c>
      <c r="V60" s="84" t="str">
        <f>+IFERROR(#REF!/#REF!,"")</f>
        <v/>
      </c>
      <c r="W60" s="84" t="str">
        <f>+IFERROR(#REF!/#REF!,"")</f>
        <v/>
      </c>
      <c r="X60" s="84" t="str">
        <f>+IFERROR(#REF!/#REF!,"")</f>
        <v/>
      </c>
      <c r="Y60" s="84" t="str">
        <f>+IFERROR(#REF!/#REF!,"")</f>
        <v/>
      </c>
      <c r="Z60" s="84" t="str">
        <f>+IFERROR(#REF!/#REF!,"")</f>
        <v/>
      </c>
      <c r="AA60" s="84" t="str">
        <f>+IFERROR(#REF!/#REF!,"")</f>
        <v/>
      </c>
      <c r="AB60" s="84">
        <f t="shared" si="6"/>
        <v>0.20090743087778837</v>
      </c>
      <c r="AD60" s="139">
        <f t="shared" si="11"/>
        <v>9.4768313630815282E-3</v>
      </c>
      <c r="AE60" s="139">
        <f t="shared" si="11"/>
        <v>-1.5596369672471633E-2</v>
      </c>
      <c r="AF60" s="139">
        <f t="shared" si="11"/>
        <v>4.5875963797724351E-3</v>
      </c>
      <c r="AG60" s="139" t="str">
        <f t="shared" si="11"/>
        <v/>
      </c>
      <c r="AH60" s="139" t="str">
        <f t="shared" si="11"/>
        <v/>
      </c>
      <c r="AI60" s="139" t="str">
        <f t="shared" si="13"/>
        <v/>
      </c>
      <c r="AJ60" s="139" t="str">
        <f t="shared" si="13"/>
        <v/>
      </c>
      <c r="AK60" s="139" t="str">
        <f t="shared" si="13"/>
        <v/>
      </c>
      <c r="AL60" s="139" t="str">
        <f t="shared" si="13"/>
        <v/>
      </c>
      <c r="AM60" s="139" t="str">
        <f t="shared" si="13"/>
        <v/>
      </c>
      <c r="AN60" s="139" t="str">
        <f t="shared" si="13"/>
        <v/>
      </c>
      <c r="AP60" s="82">
        <f t="shared" si="12"/>
        <v>2.2622870490802654E-3</v>
      </c>
      <c r="AQ60" s="82">
        <f t="shared" si="9"/>
        <v>0.85503274118716277</v>
      </c>
    </row>
    <row r="61" spans="2:43" x14ac:dyDescent="0.35">
      <c r="B61" s="83" t="s">
        <v>143</v>
      </c>
      <c r="D61" s="137">
        <v>2381200</v>
      </c>
      <c r="E61" s="137">
        <v>1941872</v>
      </c>
      <c r="F61" s="137">
        <v>1941014</v>
      </c>
      <c r="G61" s="137">
        <v>2072201</v>
      </c>
      <c r="H61" s="137">
        <f t="shared" si="0"/>
        <v>8336287</v>
      </c>
      <c r="J61" s="137">
        <v>447316</v>
      </c>
      <c r="K61" s="137">
        <v>370026</v>
      </c>
      <c r="L61" s="137">
        <v>337978</v>
      </c>
      <c r="M61" s="137">
        <v>411803</v>
      </c>
      <c r="N61" s="137">
        <f t="shared" si="1"/>
        <v>1567123</v>
      </c>
      <c r="P61" s="84">
        <f t="shared" si="2"/>
        <v>0.18785318326894004</v>
      </c>
      <c r="Q61" s="84">
        <f t="shared" si="3"/>
        <v>0.19055117948041889</v>
      </c>
      <c r="R61" s="84">
        <f t="shared" si="4"/>
        <v>0.17412445247690125</v>
      </c>
      <c r="S61" s="84">
        <f t="shared" si="5"/>
        <v>0.19872734353472468</v>
      </c>
      <c r="T61" s="84" t="str">
        <f>+IFERROR(#REF!/#REF!,"")</f>
        <v/>
      </c>
      <c r="U61" s="84" t="str">
        <f>+IFERROR(#REF!/#REF!,"")</f>
        <v/>
      </c>
      <c r="V61" s="84" t="str">
        <f>+IFERROR(#REF!/#REF!,"")</f>
        <v/>
      </c>
      <c r="W61" s="84" t="str">
        <f>+IFERROR(#REF!/#REF!,"")</f>
        <v/>
      </c>
      <c r="X61" s="84" t="str">
        <f>+IFERROR(#REF!/#REF!,"")</f>
        <v/>
      </c>
      <c r="Y61" s="84" t="str">
        <f>+IFERROR(#REF!/#REF!,"")</f>
        <v/>
      </c>
      <c r="Z61" s="84" t="str">
        <f>+IFERROR(#REF!/#REF!,"")</f>
        <v/>
      </c>
      <c r="AA61" s="84" t="str">
        <f>+IFERROR(#REF!/#REF!,"")</f>
        <v/>
      </c>
      <c r="AB61" s="84">
        <f t="shared" si="6"/>
        <v>0.1879881294873845</v>
      </c>
      <c r="AD61" s="139">
        <f t="shared" ref="AD61:AN91" si="14">+IFERROR(Q61-P61,"")</f>
        <v>2.6979962114788425E-3</v>
      </c>
      <c r="AE61" s="139">
        <f t="shared" si="14"/>
        <v>-1.6426727003517633E-2</v>
      </c>
      <c r="AF61" s="139">
        <f t="shared" si="14"/>
        <v>2.4602891057823428E-2</v>
      </c>
      <c r="AG61" s="139" t="str">
        <f t="shared" si="14"/>
        <v/>
      </c>
      <c r="AH61" s="139" t="str">
        <f t="shared" si="14"/>
        <v/>
      </c>
      <c r="AI61" s="139" t="str">
        <f t="shared" si="13"/>
        <v/>
      </c>
      <c r="AJ61" s="139" t="str">
        <f t="shared" si="13"/>
        <v/>
      </c>
      <c r="AK61" s="139" t="str">
        <f t="shared" si="13"/>
        <v/>
      </c>
      <c r="AL61" s="139" t="str">
        <f t="shared" si="13"/>
        <v/>
      </c>
      <c r="AM61" s="139" t="str">
        <f t="shared" si="13"/>
        <v/>
      </c>
      <c r="AN61" s="139" t="str">
        <f t="shared" si="13"/>
        <v/>
      </c>
      <c r="AP61" s="82">
        <f t="shared" si="12"/>
        <v>1.4669414396463951E-3</v>
      </c>
      <c r="AQ61" s="82">
        <f t="shared" si="9"/>
        <v>0.8564996826268092</v>
      </c>
    </row>
    <row r="62" spans="2:43" x14ac:dyDescent="0.35">
      <c r="B62" s="83" t="s">
        <v>144</v>
      </c>
      <c r="D62" s="137">
        <v>8241866</v>
      </c>
      <c r="E62" s="137">
        <v>22786394</v>
      </c>
      <c r="F62" s="137">
        <v>20616619</v>
      </c>
      <c r="G62" s="137">
        <v>8075733</v>
      </c>
      <c r="H62" s="137">
        <f t="shared" si="0"/>
        <v>59720612</v>
      </c>
      <c r="J62" s="137">
        <v>1405259</v>
      </c>
      <c r="K62" s="137">
        <v>3908129</v>
      </c>
      <c r="L62" s="137">
        <v>3199792</v>
      </c>
      <c r="M62" s="137">
        <v>1251457</v>
      </c>
      <c r="N62" s="137">
        <f t="shared" si="1"/>
        <v>9764637</v>
      </c>
      <c r="P62" s="84">
        <f t="shared" si="2"/>
        <v>0.1705025294029289</v>
      </c>
      <c r="Q62" s="84">
        <f t="shared" si="3"/>
        <v>0.17151151691663016</v>
      </c>
      <c r="R62" s="84">
        <f t="shared" si="4"/>
        <v>0.15520449788590457</v>
      </c>
      <c r="S62" s="84">
        <f t="shared" si="5"/>
        <v>0.15496512824284805</v>
      </c>
      <c r="T62" s="84" t="str">
        <f>+IFERROR(#REF!/#REF!,"")</f>
        <v/>
      </c>
      <c r="U62" s="84" t="str">
        <f>+IFERROR(#REF!/#REF!,"")</f>
        <v/>
      </c>
      <c r="V62" s="84" t="str">
        <f>+IFERROR(#REF!/#REF!,"")</f>
        <v/>
      </c>
      <c r="W62" s="84" t="str">
        <f>+IFERROR(#REF!/#REF!,"")</f>
        <v/>
      </c>
      <c r="X62" s="84" t="str">
        <f>+IFERROR(#REF!/#REF!,"")</f>
        <v/>
      </c>
      <c r="Y62" s="84" t="str">
        <f>+IFERROR(#REF!/#REF!,"")</f>
        <v/>
      </c>
      <c r="Z62" s="84" t="str">
        <f>+IFERROR(#REF!/#REF!,"")</f>
        <v/>
      </c>
      <c r="AA62" s="84" t="str">
        <f>+IFERROR(#REF!/#REF!,"")</f>
        <v/>
      </c>
      <c r="AB62" s="84">
        <f t="shared" si="6"/>
        <v>0.16350530701192412</v>
      </c>
      <c r="AD62" s="139">
        <f t="shared" si="14"/>
        <v>1.0089875137012649E-3</v>
      </c>
      <c r="AE62" s="139">
        <f t="shared" si="14"/>
        <v>-1.6307019030725595E-2</v>
      </c>
      <c r="AF62" s="139">
        <f t="shared" si="14"/>
        <v>-2.3936964305651398E-4</v>
      </c>
      <c r="AG62" s="139" t="str">
        <f t="shared" si="14"/>
        <v/>
      </c>
      <c r="AH62" s="139" t="str">
        <f t="shared" si="14"/>
        <v/>
      </c>
      <c r="AI62" s="139" t="str">
        <f t="shared" si="13"/>
        <v/>
      </c>
      <c r="AJ62" s="139" t="str">
        <f t="shared" si="13"/>
        <v/>
      </c>
      <c r="AK62" s="139" t="str">
        <f t="shared" si="13"/>
        <v/>
      </c>
      <c r="AL62" s="139" t="str">
        <f t="shared" si="13"/>
        <v/>
      </c>
      <c r="AM62" s="139" t="str">
        <f t="shared" si="13"/>
        <v/>
      </c>
      <c r="AN62" s="139" t="str">
        <f t="shared" si="13"/>
        <v/>
      </c>
      <c r="AP62" s="82">
        <f t="shared" si="12"/>
        <v>9.1404125001065366E-3</v>
      </c>
      <c r="AQ62" s="82">
        <f t="shared" si="9"/>
        <v>0.86564009512691575</v>
      </c>
    </row>
    <row r="63" spans="2:43" x14ac:dyDescent="0.35">
      <c r="B63" s="83" t="s">
        <v>145</v>
      </c>
      <c r="D63" s="137">
        <v>7947340</v>
      </c>
      <c r="E63" s="137">
        <v>6554363</v>
      </c>
      <c r="F63" s="137">
        <v>2246860</v>
      </c>
      <c r="G63" s="137">
        <v>1892941</v>
      </c>
      <c r="H63" s="137">
        <f t="shared" si="0"/>
        <v>18641504</v>
      </c>
      <c r="J63" s="137">
        <v>1251522</v>
      </c>
      <c r="K63" s="137">
        <v>959035</v>
      </c>
      <c r="L63" s="137">
        <v>433032</v>
      </c>
      <c r="M63" s="137">
        <v>433626</v>
      </c>
      <c r="N63" s="137">
        <f t="shared" si="1"/>
        <v>3077215</v>
      </c>
      <c r="P63" s="84">
        <f t="shared" si="2"/>
        <v>0.15747684130790932</v>
      </c>
      <c r="Q63" s="84">
        <f t="shared" si="3"/>
        <v>0.14632009243308616</v>
      </c>
      <c r="R63" s="84">
        <f t="shared" si="4"/>
        <v>0.19272762877971925</v>
      </c>
      <c r="S63" s="84">
        <f t="shared" si="5"/>
        <v>0.22907528549489919</v>
      </c>
      <c r="T63" s="84" t="str">
        <f>+IFERROR(#REF!/#REF!,"")</f>
        <v/>
      </c>
      <c r="U63" s="84" t="str">
        <f>+IFERROR(#REF!/#REF!,"")</f>
        <v/>
      </c>
      <c r="V63" s="84" t="str">
        <f>+IFERROR(#REF!/#REF!,"")</f>
        <v/>
      </c>
      <c r="W63" s="84" t="str">
        <f>+IFERROR(#REF!/#REF!,"")</f>
        <v/>
      </c>
      <c r="X63" s="84" t="str">
        <f>+IFERROR(#REF!/#REF!,"")</f>
        <v/>
      </c>
      <c r="Y63" s="84" t="str">
        <f>+IFERROR(#REF!/#REF!,"")</f>
        <v/>
      </c>
      <c r="Z63" s="84" t="str">
        <f>+IFERROR(#REF!/#REF!,"")</f>
        <v/>
      </c>
      <c r="AA63" s="84" t="str">
        <f>+IFERROR(#REF!/#REF!,"")</f>
        <v/>
      </c>
      <c r="AB63" s="84">
        <f t="shared" si="6"/>
        <v>0.1650733224100373</v>
      </c>
      <c r="AD63" s="139">
        <f t="shared" si="14"/>
        <v>-1.1156748874823152E-2</v>
      </c>
      <c r="AE63" s="139">
        <f t="shared" si="14"/>
        <v>4.6407536346633083E-2</v>
      </c>
      <c r="AF63" s="139">
        <f t="shared" si="14"/>
        <v>3.6347656715179949E-2</v>
      </c>
      <c r="AG63" s="139" t="str">
        <f t="shared" si="14"/>
        <v/>
      </c>
      <c r="AH63" s="139" t="str">
        <f t="shared" si="14"/>
        <v/>
      </c>
      <c r="AI63" s="139" t="str">
        <f t="shared" si="13"/>
        <v/>
      </c>
      <c r="AJ63" s="139" t="str">
        <f t="shared" si="13"/>
        <v/>
      </c>
      <c r="AK63" s="139" t="str">
        <f t="shared" si="13"/>
        <v/>
      </c>
      <c r="AL63" s="139" t="str">
        <f t="shared" si="13"/>
        <v/>
      </c>
      <c r="AM63" s="139" t="str">
        <f t="shared" si="13"/>
        <v/>
      </c>
      <c r="AN63" s="139" t="str">
        <f t="shared" si="13"/>
        <v/>
      </c>
      <c r="AP63" s="82">
        <f t="shared" si="12"/>
        <v>2.8804977032444051E-3</v>
      </c>
      <c r="AQ63" s="82">
        <f t="shared" si="9"/>
        <v>0.86852059283016014</v>
      </c>
    </row>
    <row r="64" spans="2:43" x14ac:dyDescent="0.35">
      <c r="B64" s="83" t="s">
        <v>146</v>
      </c>
      <c r="D64" s="137">
        <v>1403061</v>
      </c>
      <c r="E64" s="137">
        <v>1416732</v>
      </c>
      <c r="F64" s="137">
        <v>1850690</v>
      </c>
      <c r="G64" s="137">
        <v>1731647</v>
      </c>
      <c r="H64" s="137">
        <f t="shared" si="0"/>
        <v>6402130</v>
      </c>
      <c r="J64" s="137">
        <v>208718</v>
      </c>
      <c r="K64" s="137">
        <v>212075</v>
      </c>
      <c r="L64" s="137">
        <v>311951</v>
      </c>
      <c r="M64" s="137">
        <v>280672</v>
      </c>
      <c r="N64" s="137">
        <f t="shared" si="1"/>
        <v>1013416</v>
      </c>
      <c r="P64" s="84">
        <f t="shared" si="2"/>
        <v>0.14875903471053648</v>
      </c>
      <c r="Q64" s="84">
        <f t="shared" si="3"/>
        <v>0.14969309650660817</v>
      </c>
      <c r="R64" s="84">
        <f t="shared" si="4"/>
        <v>0.16855929410111903</v>
      </c>
      <c r="S64" s="84">
        <f t="shared" si="5"/>
        <v>0.16208384272314161</v>
      </c>
      <c r="T64" s="84" t="str">
        <f>+IFERROR(#REF!/#REF!,"")</f>
        <v/>
      </c>
      <c r="U64" s="84" t="str">
        <f>+IFERROR(#REF!/#REF!,"")</f>
        <v/>
      </c>
      <c r="V64" s="84" t="str">
        <f>+IFERROR(#REF!/#REF!,"")</f>
        <v/>
      </c>
      <c r="W64" s="84" t="str">
        <f>+IFERROR(#REF!/#REF!,"")</f>
        <v/>
      </c>
      <c r="X64" s="84" t="str">
        <f>+IFERROR(#REF!/#REF!,"")</f>
        <v/>
      </c>
      <c r="Y64" s="84" t="str">
        <f>+IFERROR(#REF!/#REF!,"")</f>
        <v/>
      </c>
      <c r="Z64" s="84" t="str">
        <f>+IFERROR(#REF!/#REF!,"")</f>
        <v/>
      </c>
      <c r="AA64" s="84" t="str">
        <f>+IFERROR(#REF!/#REF!,"")</f>
        <v/>
      </c>
      <c r="AB64" s="84">
        <f t="shared" si="6"/>
        <v>0.15829356792192598</v>
      </c>
      <c r="AD64" s="139">
        <f t="shared" si="14"/>
        <v>9.3406179607169459E-4</v>
      </c>
      <c r="AE64" s="139">
        <f t="shared" si="14"/>
        <v>1.8866197594510858E-2</v>
      </c>
      <c r="AF64" s="139">
        <f t="shared" si="14"/>
        <v>-6.4754513779774203E-3</v>
      </c>
      <c r="AG64" s="139" t="str">
        <f t="shared" si="14"/>
        <v/>
      </c>
      <c r="AH64" s="139" t="str">
        <f t="shared" si="14"/>
        <v/>
      </c>
      <c r="AI64" s="139" t="str">
        <f t="shared" si="13"/>
        <v/>
      </c>
      <c r="AJ64" s="139" t="str">
        <f t="shared" si="13"/>
        <v/>
      </c>
      <c r="AK64" s="139" t="str">
        <f t="shared" si="13"/>
        <v/>
      </c>
      <c r="AL64" s="139" t="str">
        <f t="shared" si="13"/>
        <v/>
      </c>
      <c r="AM64" s="139" t="str">
        <f t="shared" si="13"/>
        <v/>
      </c>
      <c r="AN64" s="139" t="str">
        <f t="shared" si="13"/>
        <v/>
      </c>
      <c r="AP64" s="82">
        <f t="shared" si="12"/>
        <v>9.4863129824569682E-4</v>
      </c>
      <c r="AQ64" s="82">
        <f t="shared" si="9"/>
        <v>0.86946922412840588</v>
      </c>
    </row>
    <row r="65" spans="2:43" x14ac:dyDescent="0.35">
      <c r="B65" s="83" t="s">
        <v>147</v>
      </c>
      <c r="D65" s="137">
        <v>2873554</v>
      </c>
      <c r="E65" s="137">
        <v>2432206</v>
      </c>
      <c r="F65" s="137">
        <v>3782175</v>
      </c>
      <c r="G65" s="137">
        <v>3194387</v>
      </c>
      <c r="H65" s="137">
        <f t="shared" si="0"/>
        <v>12282322</v>
      </c>
      <c r="J65" s="137">
        <v>436800</v>
      </c>
      <c r="K65" s="137">
        <v>324209</v>
      </c>
      <c r="L65" s="137">
        <v>523517</v>
      </c>
      <c r="M65" s="137">
        <v>487521</v>
      </c>
      <c r="N65" s="137">
        <f t="shared" si="1"/>
        <v>1772047</v>
      </c>
      <c r="P65" s="84">
        <f t="shared" si="2"/>
        <v>0.15200688763809556</v>
      </c>
      <c r="Q65" s="84">
        <f t="shared" si="3"/>
        <v>0.13329833081572859</v>
      </c>
      <c r="R65" s="84">
        <f t="shared" si="4"/>
        <v>0.13841691619240251</v>
      </c>
      <c r="S65" s="84">
        <f t="shared" si="5"/>
        <v>0.15261801403524369</v>
      </c>
      <c r="T65" s="84" t="str">
        <f>+IFERROR(#REF!/#REF!,"")</f>
        <v/>
      </c>
      <c r="U65" s="84" t="str">
        <f>+IFERROR(#REF!/#REF!,"")</f>
        <v/>
      </c>
      <c r="V65" s="84" t="str">
        <f>+IFERROR(#REF!/#REF!,"")</f>
        <v/>
      </c>
      <c r="W65" s="84" t="str">
        <f>+IFERROR(#REF!/#REF!,"")</f>
        <v/>
      </c>
      <c r="X65" s="84" t="str">
        <f>+IFERROR(#REF!/#REF!,"")</f>
        <v/>
      </c>
      <c r="Y65" s="84" t="str">
        <f>+IFERROR(#REF!/#REF!,"")</f>
        <v/>
      </c>
      <c r="Z65" s="84" t="str">
        <f>+IFERROR(#REF!/#REF!,"")</f>
        <v/>
      </c>
      <c r="AA65" s="84" t="str">
        <f>+IFERROR(#REF!/#REF!,"")</f>
        <v/>
      </c>
      <c r="AB65" s="84">
        <f t="shared" si="6"/>
        <v>0.14427622073415761</v>
      </c>
      <c r="AD65" s="139">
        <f t="shared" si="14"/>
        <v>-1.8708556822366967E-2</v>
      </c>
      <c r="AE65" s="139">
        <f t="shared" si="14"/>
        <v>5.1185853766739231E-3</v>
      </c>
      <c r="AF65" s="139">
        <f t="shared" si="14"/>
        <v>1.4201097842841182E-2</v>
      </c>
      <c r="AG65" s="139" t="str">
        <f t="shared" si="14"/>
        <v/>
      </c>
      <c r="AH65" s="139" t="str">
        <f t="shared" si="14"/>
        <v/>
      </c>
      <c r="AI65" s="139" t="str">
        <f t="shared" si="13"/>
        <v/>
      </c>
      <c r="AJ65" s="139" t="str">
        <f t="shared" si="13"/>
        <v/>
      </c>
      <c r="AK65" s="139" t="str">
        <f t="shared" si="13"/>
        <v/>
      </c>
      <c r="AL65" s="139" t="str">
        <f t="shared" si="13"/>
        <v/>
      </c>
      <c r="AM65" s="139" t="str">
        <f t="shared" si="13"/>
        <v/>
      </c>
      <c r="AN65" s="139" t="str">
        <f t="shared" si="13"/>
        <v/>
      </c>
      <c r="AP65" s="82">
        <f t="shared" si="12"/>
        <v>1.6587652515476293E-3</v>
      </c>
      <c r="AQ65" s="82">
        <f t="shared" si="9"/>
        <v>0.8711279893799535</v>
      </c>
    </row>
    <row r="66" spans="2:43" x14ac:dyDescent="0.35">
      <c r="B66" s="83" t="s">
        <v>148</v>
      </c>
      <c r="D66" s="137">
        <v>15393342</v>
      </c>
      <c r="E66" s="137">
        <v>14907478</v>
      </c>
      <c r="F66" s="137">
        <v>18144696</v>
      </c>
      <c r="G66" s="137">
        <v>35715255</v>
      </c>
      <c r="H66" s="137">
        <f t="shared" si="0"/>
        <v>84160771</v>
      </c>
      <c r="J66" s="137">
        <v>8932167</v>
      </c>
      <c r="K66" s="137">
        <v>8423161</v>
      </c>
      <c r="L66" s="137">
        <v>10034673</v>
      </c>
      <c r="M66" s="137">
        <v>13241387</v>
      </c>
      <c r="N66" s="137">
        <f t="shared" si="1"/>
        <v>40631388</v>
      </c>
      <c r="P66" s="84">
        <f t="shared" si="2"/>
        <v>0.58026171314845076</v>
      </c>
      <c r="Q66" s="84">
        <f t="shared" si="3"/>
        <v>0.56502924237084229</v>
      </c>
      <c r="R66" s="84">
        <f t="shared" si="4"/>
        <v>0.55303615998857192</v>
      </c>
      <c r="S66" s="84">
        <f t="shared" si="5"/>
        <v>0.37074877387827693</v>
      </c>
      <c r="T66" s="84" t="str">
        <f>+IFERROR(#REF!/#REF!,"")</f>
        <v/>
      </c>
      <c r="U66" s="84" t="str">
        <f>+IFERROR(#REF!/#REF!,"")</f>
        <v/>
      </c>
      <c r="V66" s="84" t="str">
        <f>+IFERROR(#REF!/#REF!,"")</f>
        <v/>
      </c>
      <c r="W66" s="84" t="str">
        <f>+IFERROR(#REF!/#REF!,"")</f>
        <v/>
      </c>
      <c r="X66" s="84" t="str">
        <f>+IFERROR(#REF!/#REF!,"")</f>
        <v/>
      </c>
      <c r="Y66" s="84" t="str">
        <f>+IFERROR(#REF!/#REF!,"")</f>
        <v/>
      </c>
      <c r="Z66" s="84" t="str">
        <f>+IFERROR(#REF!/#REF!,"")</f>
        <v/>
      </c>
      <c r="AA66" s="84" t="str">
        <f>+IFERROR(#REF!/#REF!,"")</f>
        <v/>
      </c>
      <c r="AB66" s="84">
        <f t="shared" si="6"/>
        <v>0.48278298210932502</v>
      </c>
      <c r="AD66" s="139">
        <f t="shared" si="14"/>
        <v>-1.5232470777608476E-2</v>
      </c>
      <c r="AE66" s="139">
        <f t="shared" si="14"/>
        <v>-1.199308238227037E-2</v>
      </c>
      <c r="AF66" s="139">
        <f t="shared" si="14"/>
        <v>-0.18228738611029499</v>
      </c>
      <c r="AG66" s="139" t="str">
        <f t="shared" si="14"/>
        <v/>
      </c>
      <c r="AH66" s="139" t="str">
        <f t="shared" si="14"/>
        <v/>
      </c>
      <c r="AI66" s="139" t="str">
        <f t="shared" si="13"/>
        <v/>
      </c>
      <c r="AJ66" s="139" t="str">
        <f t="shared" si="13"/>
        <v/>
      </c>
      <c r="AK66" s="139" t="str">
        <f t="shared" si="13"/>
        <v/>
      </c>
      <c r="AL66" s="139" t="str">
        <f t="shared" si="13"/>
        <v/>
      </c>
      <c r="AM66" s="139" t="str">
        <f t="shared" si="13"/>
        <v/>
      </c>
      <c r="AN66" s="139" t="str">
        <f t="shared" si="13"/>
        <v/>
      </c>
      <c r="AP66" s="82">
        <f t="shared" si="12"/>
        <v>3.8033942969091294E-2</v>
      </c>
      <c r="AQ66" s="82">
        <f t="shared" si="9"/>
        <v>0.90916193234904474</v>
      </c>
    </row>
    <row r="67" spans="2:43" x14ac:dyDescent="0.35">
      <c r="B67" s="83" t="s">
        <v>149</v>
      </c>
      <c r="D67" s="137">
        <v>1129615</v>
      </c>
      <c r="E67" s="137">
        <v>1169624</v>
      </c>
      <c r="F67" s="137">
        <v>1161125</v>
      </c>
      <c r="G67" s="137">
        <v>1113204</v>
      </c>
      <c r="H67" s="137">
        <f t="shared" si="0"/>
        <v>4573568</v>
      </c>
      <c r="J67" s="137">
        <v>220703</v>
      </c>
      <c r="K67" s="137">
        <v>201241</v>
      </c>
      <c r="L67" s="137">
        <v>210046</v>
      </c>
      <c r="M67" s="137">
        <v>196597</v>
      </c>
      <c r="N67" s="137">
        <f t="shared" si="1"/>
        <v>828587</v>
      </c>
      <c r="P67" s="84">
        <f t="shared" si="2"/>
        <v>0.19537895654714216</v>
      </c>
      <c r="Q67" s="84">
        <f t="shared" si="3"/>
        <v>0.17205614795866023</v>
      </c>
      <c r="R67" s="84">
        <f t="shared" si="4"/>
        <v>0.18089869738400258</v>
      </c>
      <c r="S67" s="84">
        <f t="shared" si="5"/>
        <v>0.17660464748599539</v>
      </c>
      <c r="T67" s="84" t="str">
        <f>+IFERROR(#REF!/#REF!,"")</f>
        <v/>
      </c>
      <c r="U67" s="84" t="str">
        <f>+IFERROR(#REF!/#REF!,"")</f>
        <v/>
      </c>
      <c r="V67" s="84" t="str">
        <f>+IFERROR(#REF!/#REF!,"")</f>
        <v/>
      </c>
      <c r="W67" s="84" t="str">
        <f>+IFERROR(#REF!/#REF!,"")</f>
        <v/>
      </c>
      <c r="X67" s="84" t="str">
        <f>+IFERROR(#REF!/#REF!,"")</f>
        <v/>
      </c>
      <c r="Y67" s="84" t="str">
        <f>+IFERROR(#REF!/#REF!,"")</f>
        <v/>
      </c>
      <c r="Z67" s="84" t="str">
        <f>+IFERROR(#REF!/#REF!,"")</f>
        <v/>
      </c>
      <c r="AA67" s="84" t="str">
        <f>+IFERROR(#REF!/#REF!,"")</f>
        <v/>
      </c>
      <c r="AB67" s="84">
        <f t="shared" si="6"/>
        <v>0.18116861933615069</v>
      </c>
      <c r="AD67" s="139">
        <f t="shared" si="14"/>
        <v>-2.332280858848193E-2</v>
      </c>
      <c r="AE67" s="139">
        <f t="shared" si="14"/>
        <v>8.8425494253423498E-3</v>
      </c>
      <c r="AF67" s="139">
        <f t="shared" si="14"/>
        <v>-4.2940498980071906E-3</v>
      </c>
      <c r="AG67" s="139" t="str">
        <f t="shared" si="14"/>
        <v/>
      </c>
      <c r="AH67" s="139" t="str">
        <f t="shared" si="14"/>
        <v/>
      </c>
      <c r="AI67" s="139" t="str">
        <f t="shared" si="13"/>
        <v/>
      </c>
      <c r="AJ67" s="139" t="str">
        <f t="shared" si="13"/>
        <v/>
      </c>
      <c r="AK67" s="139" t="str">
        <f t="shared" si="13"/>
        <v/>
      </c>
      <c r="AL67" s="139" t="str">
        <f t="shared" si="13"/>
        <v/>
      </c>
      <c r="AM67" s="139" t="str">
        <f t="shared" si="13"/>
        <v/>
      </c>
      <c r="AN67" s="139" t="str">
        <f t="shared" si="13"/>
        <v/>
      </c>
      <c r="AP67" s="82">
        <f t="shared" si="12"/>
        <v>7.7561787214678593E-4</v>
      </c>
      <c r="AQ67" s="82">
        <f t="shared" si="9"/>
        <v>0.90993755022119149</v>
      </c>
    </row>
    <row r="68" spans="2:43" x14ac:dyDescent="0.35">
      <c r="B68" s="83" t="s">
        <v>150</v>
      </c>
      <c r="D68" s="137">
        <v>2119723</v>
      </c>
      <c r="E68" s="137">
        <v>1481010</v>
      </c>
      <c r="F68" s="137">
        <v>1820775</v>
      </c>
      <c r="G68" s="137">
        <v>1660416</v>
      </c>
      <c r="H68" s="137">
        <f t="shared" si="0"/>
        <v>7081924</v>
      </c>
      <c r="J68" s="137">
        <v>293347</v>
      </c>
      <c r="K68" s="137">
        <v>236900</v>
      </c>
      <c r="L68" s="137">
        <v>294275</v>
      </c>
      <c r="M68" s="137">
        <v>223907</v>
      </c>
      <c r="N68" s="137">
        <f t="shared" si="1"/>
        <v>1048429</v>
      </c>
      <c r="P68" s="84">
        <f t="shared" si="2"/>
        <v>0.13838930841435415</v>
      </c>
      <c r="Q68" s="84">
        <f t="shared" si="3"/>
        <v>0.15995840676295231</v>
      </c>
      <c r="R68" s="84">
        <f t="shared" si="4"/>
        <v>0.16162073842182587</v>
      </c>
      <c r="S68" s="84">
        <f t="shared" si="5"/>
        <v>0.1348499412195498</v>
      </c>
      <c r="T68" s="84" t="str">
        <f>+IFERROR(#REF!/#REF!,"")</f>
        <v/>
      </c>
      <c r="U68" s="84" t="str">
        <f>+IFERROR(#REF!/#REF!,"")</f>
        <v/>
      </c>
      <c r="V68" s="84" t="str">
        <f>+IFERROR(#REF!/#REF!,"")</f>
        <v/>
      </c>
      <c r="W68" s="84" t="str">
        <f>+IFERROR(#REF!/#REF!,"")</f>
        <v/>
      </c>
      <c r="X68" s="84" t="str">
        <f>+IFERROR(#REF!/#REF!,"")</f>
        <v/>
      </c>
      <c r="Y68" s="84" t="str">
        <f>+IFERROR(#REF!/#REF!,"")</f>
        <v/>
      </c>
      <c r="Z68" s="84" t="str">
        <f>+IFERROR(#REF!/#REF!,"")</f>
        <v/>
      </c>
      <c r="AA68" s="84" t="str">
        <f>+IFERROR(#REF!/#REF!,"")</f>
        <v/>
      </c>
      <c r="AB68" s="84">
        <f t="shared" si="6"/>
        <v>0.14804296120658736</v>
      </c>
      <c r="AD68" s="139">
        <f t="shared" si="14"/>
        <v>2.1569098348598159E-2</v>
      </c>
      <c r="AE68" s="139">
        <f t="shared" si="14"/>
        <v>1.6623316588735559E-3</v>
      </c>
      <c r="AF68" s="139">
        <f t="shared" si="14"/>
        <v>-2.677079720227607E-2</v>
      </c>
      <c r="AG68" s="139" t="str">
        <f t="shared" si="14"/>
        <v/>
      </c>
      <c r="AH68" s="139" t="str">
        <f t="shared" si="14"/>
        <v/>
      </c>
      <c r="AI68" s="139" t="str">
        <f t="shared" si="13"/>
        <v/>
      </c>
      <c r="AJ68" s="139" t="str">
        <f t="shared" si="13"/>
        <v/>
      </c>
      <c r="AK68" s="139" t="str">
        <f t="shared" si="13"/>
        <v/>
      </c>
      <c r="AL68" s="139" t="str">
        <f t="shared" si="13"/>
        <v/>
      </c>
      <c r="AM68" s="139" t="str">
        <f t="shared" si="13"/>
        <v/>
      </c>
      <c r="AN68" s="139" t="str">
        <f t="shared" si="13"/>
        <v/>
      </c>
      <c r="AP68" s="82">
        <f t="shared" si="12"/>
        <v>9.814060202211507E-4</v>
      </c>
      <c r="AQ68" s="82">
        <f t="shared" si="9"/>
        <v>0.91091895624141261</v>
      </c>
    </row>
    <row r="69" spans="2:43" x14ac:dyDescent="0.35">
      <c r="B69" s="83" t="s">
        <v>151</v>
      </c>
      <c r="D69" s="137">
        <v>59504</v>
      </c>
      <c r="E69" s="137"/>
      <c r="F69" s="137"/>
      <c r="G69" s="137"/>
      <c r="H69" s="137">
        <f t="shared" ref="H69:H132" si="15">+SUM(D69:G69)</f>
        <v>59504</v>
      </c>
      <c r="J69" s="137">
        <v>9149</v>
      </c>
      <c r="K69" s="137"/>
      <c r="L69" s="137"/>
      <c r="M69" s="137"/>
      <c r="N69" s="137">
        <f t="shared" ref="N69:N132" si="16">+SUM(J69:M69)</f>
        <v>9149</v>
      </c>
      <c r="P69" s="84">
        <f t="shared" ref="P69:P132" si="17">+IFERROR(J69/D69,"")</f>
        <v>0.15375436945415435</v>
      </c>
      <c r="Q69" s="84" t="str">
        <f t="shared" ref="Q69:Q132" si="18">+IFERROR(K69/E69,"")</f>
        <v/>
      </c>
      <c r="R69" s="84" t="str">
        <f t="shared" ref="R69:R132" si="19">+IFERROR(L69/F69,"")</f>
        <v/>
      </c>
      <c r="S69" s="84" t="str">
        <f t="shared" ref="S69:S132" si="20">+IFERROR(M69/G69,"")</f>
        <v/>
      </c>
      <c r="T69" s="84" t="str">
        <f>+IFERROR(#REF!/#REF!,"")</f>
        <v/>
      </c>
      <c r="U69" s="84" t="str">
        <f>+IFERROR(#REF!/#REF!,"")</f>
        <v/>
      </c>
      <c r="V69" s="84" t="str">
        <f>+IFERROR(#REF!/#REF!,"")</f>
        <v/>
      </c>
      <c r="W69" s="84" t="str">
        <f>+IFERROR(#REF!/#REF!,"")</f>
        <v/>
      </c>
      <c r="X69" s="84" t="str">
        <f>+IFERROR(#REF!/#REF!,"")</f>
        <v/>
      </c>
      <c r="Y69" s="84" t="str">
        <f>+IFERROR(#REF!/#REF!,"")</f>
        <v/>
      </c>
      <c r="Z69" s="84" t="str">
        <f>+IFERROR(#REF!/#REF!,"")</f>
        <v/>
      </c>
      <c r="AA69" s="84" t="str">
        <f>+IFERROR(#REF!/#REF!,"")</f>
        <v/>
      </c>
      <c r="AB69" s="84">
        <f t="shared" ref="AB69:AB132" si="21">+IFERROR(N69/H69,"")</f>
        <v>0.15375436945415435</v>
      </c>
      <c r="AD69" s="139" t="str">
        <f t="shared" si="14"/>
        <v/>
      </c>
      <c r="AE69" s="139" t="str">
        <f t="shared" si="14"/>
        <v/>
      </c>
      <c r="AF69" s="139" t="str">
        <f t="shared" si="14"/>
        <v/>
      </c>
      <c r="AG69" s="139" t="str">
        <f t="shared" si="14"/>
        <v/>
      </c>
      <c r="AH69" s="139" t="str">
        <f t="shared" si="14"/>
        <v/>
      </c>
      <c r="AI69" s="139" t="str">
        <f t="shared" si="13"/>
        <v/>
      </c>
      <c r="AJ69" s="139" t="str">
        <f t="shared" si="13"/>
        <v/>
      </c>
      <c r="AK69" s="139" t="str">
        <f t="shared" si="13"/>
        <v/>
      </c>
      <c r="AL69" s="139" t="str">
        <f t="shared" si="13"/>
        <v/>
      </c>
      <c r="AM69" s="139" t="str">
        <f t="shared" si="13"/>
        <v/>
      </c>
      <c r="AN69" s="139" t="str">
        <f t="shared" si="13"/>
        <v/>
      </c>
      <c r="AP69" s="82">
        <f t="shared" ref="AP69:AP100" si="22">+N69/$N$235</f>
        <v>8.5641313613065908E-6</v>
      </c>
      <c r="AQ69" s="82">
        <f t="shared" si="9"/>
        <v>0.91092752037277391</v>
      </c>
    </row>
    <row r="70" spans="2:43" x14ac:dyDescent="0.35">
      <c r="B70" s="83" t="s">
        <v>152</v>
      </c>
      <c r="D70" s="137">
        <v>3261574</v>
      </c>
      <c r="E70" s="137">
        <v>3025581</v>
      </c>
      <c r="F70" s="137">
        <v>3299654</v>
      </c>
      <c r="G70" s="137">
        <v>3165452</v>
      </c>
      <c r="H70" s="137">
        <f t="shared" si="15"/>
        <v>12752261</v>
      </c>
      <c r="J70" s="137">
        <v>294904</v>
      </c>
      <c r="K70" s="137">
        <v>243152</v>
      </c>
      <c r="L70" s="137">
        <v>257953</v>
      </c>
      <c r="M70" s="137">
        <v>177204</v>
      </c>
      <c r="N70" s="137">
        <f t="shared" si="16"/>
        <v>973213</v>
      </c>
      <c r="P70" s="84">
        <f t="shared" si="17"/>
        <v>9.0417694033616894E-2</v>
      </c>
      <c r="Q70" s="84">
        <f t="shared" si="18"/>
        <v>8.0365390977798976E-2</v>
      </c>
      <c r="R70" s="84">
        <f t="shared" si="19"/>
        <v>7.8175772368860488E-2</v>
      </c>
      <c r="S70" s="84">
        <f t="shared" si="20"/>
        <v>5.5980630886205196E-2</v>
      </c>
      <c r="T70" s="84" t="str">
        <f>+IFERROR(#REF!/#REF!,"")</f>
        <v/>
      </c>
      <c r="U70" s="84" t="str">
        <f>+IFERROR(#REF!/#REF!,"")</f>
        <v/>
      </c>
      <c r="V70" s="84" t="str">
        <f>+IFERROR(#REF!/#REF!,"")</f>
        <v/>
      </c>
      <c r="W70" s="84" t="str">
        <f>+IFERROR(#REF!/#REF!,"")</f>
        <v/>
      </c>
      <c r="X70" s="84" t="str">
        <f>+IFERROR(#REF!/#REF!,"")</f>
        <v/>
      </c>
      <c r="Y70" s="84" t="str">
        <f>+IFERROR(#REF!/#REF!,"")</f>
        <v/>
      </c>
      <c r="Z70" s="84" t="str">
        <f>+IFERROR(#REF!/#REF!,"")</f>
        <v/>
      </c>
      <c r="AA70" s="84" t="str">
        <f>+IFERROR(#REF!/#REF!,"")</f>
        <v/>
      </c>
      <c r="AB70" s="84">
        <f t="shared" si="21"/>
        <v>7.6316897842664919E-2</v>
      </c>
      <c r="AD70" s="139">
        <f t="shared" si="14"/>
        <v>-1.0052303055817918E-2</v>
      </c>
      <c r="AE70" s="139">
        <f t="shared" si="14"/>
        <v>-2.1896186089384873E-3</v>
      </c>
      <c r="AF70" s="139">
        <f t="shared" si="14"/>
        <v>-2.2195141482655292E-2</v>
      </c>
      <c r="AG70" s="139" t="str">
        <f t="shared" si="14"/>
        <v/>
      </c>
      <c r="AH70" s="139" t="str">
        <f t="shared" si="14"/>
        <v/>
      </c>
      <c r="AI70" s="139" t="str">
        <f t="shared" si="13"/>
        <v/>
      </c>
      <c r="AJ70" s="139" t="str">
        <f t="shared" si="13"/>
        <v/>
      </c>
      <c r="AK70" s="139" t="str">
        <f t="shared" si="13"/>
        <v/>
      </c>
      <c r="AL70" s="139" t="str">
        <f t="shared" si="13"/>
        <v/>
      </c>
      <c r="AM70" s="139" t="str">
        <f t="shared" si="13"/>
        <v/>
      </c>
      <c r="AN70" s="139" t="str">
        <f t="shared" si="13"/>
        <v/>
      </c>
      <c r="AP70" s="82">
        <f t="shared" si="22"/>
        <v>9.1099835769278294E-4</v>
      </c>
      <c r="AQ70" s="82">
        <f t="shared" ref="AQ70:AQ133" si="23">+AP70+AQ69</f>
        <v>0.91183851873046673</v>
      </c>
    </row>
    <row r="71" spans="2:43" x14ac:dyDescent="0.35">
      <c r="B71" s="83" t="s">
        <v>153</v>
      </c>
      <c r="D71" s="137">
        <v>254131</v>
      </c>
      <c r="E71" s="137">
        <v>245277</v>
      </c>
      <c r="F71" s="137">
        <v>232776</v>
      </c>
      <c r="G71" s="137">
        <v>286065</v>
      </c>
      <c r="H71" s="137">
        <f t="shared" si="15"/>
        <v>1018249</v>
      </c>
      <c r="J71" s="137">
        <v>24240</v>
      </c>
      <c r="K71" s="137">
        <v>32995</v>
      </c>
      <c r="L71" s="137">
        <v>20680</v>
      </c>
      <c r="M71" s="137">
        <v>34505</v>
      </c>
      <c r="N71" s="137">
        <f t="shared" si="16"/>
        <v>112420</v>
      </c>
      <c r="P71" s="84">
        <f t="shared" si="17"/>
        <v>9.5383876819435651E-2</v>
      </c>
      <c r="Q71" s="84">
        <f t="shared" si="18"/>
        <v>0.1345213778707339</v>
      </c>
      <c r="R71" s="84">
        <f t="shared" si="19"/>
        <v>8.8840773962951508E-2</v>
      </c>
      <c r="S71" s="84">
        <f t="shared" si="20"/>
        <v>0.12061943963784455</v>
      </c>
      <c r="T71" s="84" t="str">
        <f>+IFERROR(#REF!/#REF!,"")</f>
        <v/>
      </c>
      <c r="U71" s="84" t="str">
        <f>+IFERROR(#REF!/#REF!,"")</f>
        <v/>
      </c>
      <c r="V71" s="84" t="str">
        <f>+IFERROR(#REF!/#REF!,"")</f>
        <v/>
      </c>
      <c r="W71" s="84" t="str">
        <f>+IFERROR(#REF!/#REF!,"")</f>
        <v/>
      </c>
      <c r="X71" s="84" t="str">
        <f>+IFERROR(#REF!/#REF!,"")</f>
        <v/>
      </c>
      <c r="Y71" s="84" t="str">
        <f>+IFERROR(#REF!/#REF!,"")</f>
        <v/>
      </c>
      <c r="Z71" s="84" t="str">
        <f>+IFERROR(#REF!/#REF!,"")</f>
        <v/>
      </c>
      <c r="AA71" s="84" t="str">
        <f>+IFERROR(#REF!/#REF!,"")</f>
        <v/>
      </c>
      <c r="AB71" s="84">
        <f t="shared" si="21"/>
        <v>0.11040521522731669</v>
      </c>
      <c r="AD71" s="139">
        <f t="shared" si="14"/>
        <v>3.9137501051298249E-2</v>
      </c>
      <c r="AE71" s="139">
        <f t="shared" si="14"/>
        <v>-4.5680603907782391E-2</v>
      </c>
      <c r="AF71" s="139">
        <f t="shared" si="14"/>
        <v>3.1778665674893042E-2</v>
      </c>
      <c r="AG71" s="139" t="str">
        <f t="shared" si="14"/>
        <v/>
      </c>
      <c r="AH71" s="139" t="str">
        <f t="shared" si="14"/>
        <v/>
      </c>
      <c r="AI71" s="139" t="str">
        <f t="shared" si="13"/>
        <v/>
      </c>
      <c r="AJ71" s="139" t="str">
        <f t="shared" si="13"/>
        <v/>
      </c>
      <c r="AK71" s="139" t="str">
        <f t="shared" si="13"/>
        <v/>
      </c>
      <c r="AL71" s="139" t="str">
        <f t="shared" si="13"/>
        <v/>
      </c>
      <c r="AM71" s="139" t="str">
        <f t="shared" si="13"/>
        <v/>
      </c>
      <c r="AN71" s="139" t="str">
        <f t="shared" si="13"/>
        <v/>
      </c>
      <c r="AP71" s="82">
        <f t="shared" si="22"/>
        <v>1.0523332032332353E-4</v>
      </c>
      <c r="AQ71" s="82">
        <f t="shared" si="23"/>
        <v>0.91194375205079004</v>
      </c>
    </row>
    <row r="72" spans="2:43" x14ac:dyDescent="0.35">
      <c r="B72" s="83" t="s">
        <v>154</v>
      </c>
      <c r="D72" s="137">
        <v>891268</v>
      </c>
      <c r="E72" s="137">
        <v>962161</v>
      </c>
      <c r="F72" s="137">
        <v>1078607</v>
      </c>
      <c r="G72" s="137">
        <v>1044393</v>
      </c>
      <c r="H72" s="137">
        <f t="shared" si="15"/>
        <v>3976429</v>
      </c>
      <c r="J72" s="137">
        <v>187719</v>
      </c>
      <c r="K72" s="137">
        <v>206023</v>
      </c>
      <c r="L72" s="137">
        <v>267895</v>
      </c>
      <c r="M72" s="137">
        <v>223041</v>
      </c>
      <c r="N72" s="137">
        <f t="shared" si="16"/>
        <v>884678</v>
      </c>
      <c r="P72" s="84">
        <f t="shared" si="17"/>
        <v>0.21062015016807514</v>
      </c>
      <c r="Q72" s="84">
        <f t="shared" si="18"/>
        <v>0.21412528672436318</v>
      </c>
      <c r="R72" s="84">
        <f t="shared" si="19"/>
        <v>0.24837127888100113</v>
      </c>
      <c r="S72" s="84">
        <f t="shared" si="20"/>
        <v>0.21356041260330164</v>
      </c>
      <c r="T72" s="84" t="str">
        <f>+IFERROR(#REF!/#REF!,"")</f>
        <v/>
      </c>
      <c r="U72" s="84" t="str">
        <f>+IFERROR(#REF!/#REF!,"")</f>
        <v/>
      </c>
      <c r="V72" s="84" t="str">
        <f>+IFERROR(#REF!/#REF!,"")</f>
        <v/>
      </c>
      <c r="W72" s="84" t="str">
        <f>+IFERROR(#REF!/#REF!,"")</f>
        <v/>
      </c>
      <c r="X72" s="84" t="str">
        <f>+IFERROR(#REF!/#REF!,"")</f>
        <v/>
      </c>
      <c r="Y72" s="84" t="str">
        <f>+IFERROR(#REF!/#REF!,"")</f>
        <v/>
      </c>
      <c r="Z72" s="84" t="str">
        <f>+IFERROR(#REF!/#REF!,"")</f>
        <v/>
      </c>
      <c r="AA72" s="84" t="str">
        <f>+IFERROR(#REF!/#REF!,"")</f>
        <v/>
      </c>
      <c r="AB72" s="84">
        <f t="shared" si="21"/>
        <v>0.22248052209658464</v>
      </c>
      <c r="AD72" s="139">
        <f t="shared" si="14"/>
        <v>3.5051365562880354E-3</v>
      </c>
      <c r="AE72" s="139">
        <f t="shared" si="14"/>
        <v>3.4245992156637955E-2</v>
      </c>
      <c r="AF72" s="139">
        <f t="shared" si="14"/>
        <v>-3.4810866277699498E-2</v>
      </c>
      <c r="AG72" s="139" t="str">
        <f t="shared" si="14"/>
        <v/>
      </c>
      <c r="AH72" s="139" t="str">
        <f t="shared" si="14"/>
        <v/>
      </c>
      <c r="AI72" s="139" t="str">
        <f t="shared" si="13"/>
        <v/>
      </c>
      <c r="AJ72" s="139" t="str">
        <f t="shared" si="13"/>
        <v/>
      </c>
      <c r="AK72" s="139" t="str">
        <f t="shared" si="13"/>
        <v/>
      </c>
      <c r="AL72" s="139" t="str">
        <f t="shared" si="13"/>
        <v/>
      </c>
      <c r="AM72" s="139" t="str">
        <f t="shared" si="13"/>
        <v/>
      </c>
      <c r="AN72" s="139" t="str">
        <f t="shared" si="13"/>
        <v/>
      </c>
      <c r="AP72" s="82">
        <f t="shared" si="22"/>
        <v>8.2812313962815523E-4</v>
      </c>
      <c r="AQ72" s="82">
        <f t="shared" si="23"/>
        <v>0.91277187519041814</v>
      </c>
    </row>
    <row r="73" spans="2:43" x14ac:dyDescent="0.35">
      <c r="B73" s="83" t="s">
        <v>155</v>
      </c>
      <c r="D73" s="137">
        <v>810970</v>
      </c>
      <c r="E73" s="137">
        <v>738078</v>
      </c>
      <c r="F73" s="137">
        <v>731198</v>
      </c>
      <c r="G73" s="137">
        <v>682240</v>
      </c>
      <c r="H73" s="137">
        <f t="shared" si="15"/>
        <v>2962486</v>
      </c>
      <c r="J73" s="137">
        <v>129427</v>
      </c>
      <c r="K73" s="137">
        <v>134448</v>
      </c>
      <c r="L73" s="137">
        <v>112094</v>
      </c>
      <c r="M73" s="137">
        <v>122635</v>
      </c>
      <c r="N73" s="137">
        <f t="shared" si="16"/>
        <v>498604</v>
      </c>
      <c r="P73" s="84">
        <f t="shared" si="17"/>
        <v>0.15959529945620676</v>
      </c>
      <c r="Q73" s="84">
        <f t="shared" si="18"/>
        <v>0.18215960914700072</v>
      </c>
      <c r="R73" s="84">
        <f t="shared" si="19"/>
        <v>0.15330184163523422</v>
      </c>
      <c r="S73" s="84">
        <f t="shared" si="20"/>
        <v>0.17975345919324578</v>
      </c>
      <c r="T73" s="84" t="str">
        <f>+IFERROR(#REF!/#REF!,"")</f>
        <v/>
      </c>
      <c r="U73" s="84" t="str">
        <f>+IFERROR(#REF!/#REF!,"")</f>
        <v/>
      </c>
      <c r="V73" s="84" t="str">
        <f>+IFERROR(#REF!/#REF!,"")</f>
        <v/>
      </c>
      <c r="W73" s="84" t="str">
        <f>+IFERROR(#REF!/#REF!,"")</f>
        <v/>
      </c>
      <c r="X73" s="84" t="str">
        <f>+IFERROR(#REF!/#REF!,"")</f>
        <v/>
      </c>
      <c r="Y73" s="84" t="str">
        <f>+IFERROR(#REF!/#REF!,"")</f>
        <v/>
      </c>
      <c r="Z73" s="84" t="str">
        <f>+IFERROR(#REF!/#REF!,"")</f>
        <v/>
      </c>
      <c r="AA73" s="84" t="str">
        <f>+IFERROR(#REF!/#REF!,"")</f>
        <v/>
      </c>
      <c r="AB73" s="84">
        <f t="shared" si="21"/>
        <v>0.16830594304918234</v>
      </c>
      <c r="AD73" s="139">
        <f t="shared" si="14"/>
        <v>2.2564309690793954E-2</v>
      </c>
      <c r="AE73" s="139">
        <f t="shared" si="14"/>
        <v>-2.8857767511766497E-2</v>
      </c>
      <c r="AF73" s="139">
        <f t="shared" si="14"/>
        <v>2.6451617558011564E-2</v>
      </c>
      <c r="AG73" s="139" t="str">
        <f t="shared" si="14"/>
        <v/>
      </c>
      <c r="AH73" s="139" t="str">
        <f t="shared" si="14"/>
        <v/>
      </c>
      <c r="AI73" s="139" t="str">
        <f t="shared" si="13"/>
        <v/>
      </c>
      <c r="AJ73" s="139" t="str">
        <f t="shared" si="13"/>
        <v/>
      </c>
      <c r="AK73" s="139" t="str">
        <f t="shared" si="13"/>
        <v/>
      </c>
      <c r="AL73" s="139" t="str">
        <f t="shared" si="13"/>
        <v/>
      </c>
      <c r="AM73" s="139" t="str">
        <f t="shared" si="13"/>
        <v/>
      </c>
      <c r="AN73" s="139" t="str">
        <f t="shared" si="13"/>
        <v/>
      </c>
      <c r="AP73" s="82">
        <f t="shared" si="22"/>
        <v>4.6672971398763923E-4</v>
      </c>
      <c r="AQ73" s="82">
        <f t="shared" si="23"/>
        <v>0.91323860490440578</v>
      </c>
    </row>
    <row r="74" spans="2:43" x14ac:dyDescent="0.35">
      <c r="B74" s="83" t="s">
        <v>156</v>
      </c>
      <c r="D74" s="137">
        <v>6154417</v>
      </c>
      <c r="E74" s="137">
        <v>5435931</v>
      </c>
      <c r="F74" s="137">
        <v>5076801</v>
      </c>
      <c r="G74" s="137">
        <v>4522613</v>
      </c>
      <c r="H74" s="137">
        <f t="shared" si="15"/>
        <v>21189762</v>
      </c>
      <c r="J74" s="137">
        <v>1153233</v>
      </c>
      <c r="K74" s="137">
        <v>1016190</v>
      </c>
      <c r="L74" s="137">
        <v>918585</v>
      </c>
      <c r="M74" s="137">
        <v>841373</v>
      </c>
      <c r="N74" s="137">
        <f t="shared" si="16"/>
        <v>3929381</v>
      </c>
      <c r="P74" s="84">
        <f t="shared" si="17"/>
        <v>0.18738298038628193</v>
      </c>
      <c r="Q74" s="84">
        <f t="shared" si="18"/>
        <v>0.18693945894456718</v>
      </c>
      <c r="R74" s="84">
        <f t="shared" si="19"/>
        <v>0.18093775982158844</v>
      </c>
      <c r="S74" s="84">
        <f t="shared" si="20"/>
        <v>0.18603692157608887</v>
      </c>
      <c r="T74" s="84" t="str">
        <f>+IFERROR(#REF!/#REF!,"")</f>
        <v/>
      </c>
      <c r="U74" s="84" t="str">
        <f>+IFERROR(#REF!/#REF!,"")</f>
        <v/>
      </c>
      <c r="V74" s="84" t="str">
        <f>+IFERROR(#REF!/#REF!,"")</f>
        <v/>
      </c>
      <c r="W74" s="84" t="str">
        <f>+IFERROR(#REF!/#REF!,"")</f>
        <v/>
      </c>
      <c r="X74" s="84" t="str">
        <f>+IFERROR(#REF!/#REF!,"")</f>
        <v/>
      </c>
      <c r="Y74" s="84" t="str">
        <f>+IFERROR(#REF!/#REF!,"")</f>
        <v/>
      </c>
      <c r="Z74" s="84" t="str">
        <f>+IFERROR(#REF!/#REF!,"")</f>
        <v/>
      </c>
      <c r="AA74" s="84" t="str">
        <f>+IFERROR(#REF!/#REF!,"")</f>
        <v/>
      </c>
      <c r="AB74" s="84">
        <f t="shared" si="21"/>
        <v>0.18543771279734053</v>
      </c>
      <c r="AD74" s="139">
        <f t="shared" si="14"/>
        <v>-4.4352144171475039E-4</v>
      </c>
      <c r="AE74" s="139">
        <f t="shared" si="14"/>
        <v>-6.0016991229787375E-3</v>
      </c>
      <c r="AF74" s="139">
        <f t="shared" si="14"/>
        <v>5.0991617545004253E-3</v>
      </c>
      <c r="AG74" s="139" t="str">
        <f t="shared" si="14"/>
        <v/>
      </c>
      <c r="AH74" s="139" t="str">
        <f t="shared" si="14"/>
        <v/>
      </c>
      <c r="AI74" s="139" t="str">
        <f t="shared" si="13"/>
        <v/>
      </c>
      <c r="AJ74" s="139" t="str">
        <f t="shared" si="13"/>
        <v/>
      </c>
      <c r="AK74" s="139" t="str">
        <f t="shared" si="13"/>
        <v/>
      </c>
      <c r="AL74" s="139" t="str">
        <f t="shared" si="13"/>
        <v/>
      </c>
      <c r="AM74" s="139" t="str">
        <f t="shared" si="13"/>
        <v/>
      </c>
      <c r="AN74" s="139" t="str">
        <f t="shared" si="13"/>
        <v/>
      </c>
      <c r="AP74" s="82">
        <f t="shared" si="22"/>
        <v>3.6781872393291345E-3</v>
      </c>
      <c r="AQ74" s="82">
        <f t="shared" si="23"/>
        <v>0.91691679214373489</v>
      </c>
    </row>
    <row r="75" spans="2:43" x14ac:dyDescent="0.35">
      <c r="B75" s="83" t="s">
        <v>157</v>
      </c>
      <c r="D75" s="137">
        <v>487209</v>
      </c>
      <c r="E75" s="137">
        <v>495917</v>
      </c>
      <c r="F75" s="137">
        <v>580374</v>
      </c>
      <c r="G75" s="137">
        <v>506699</v>
      </c>
      <c r="H75" s="137">
        <f t="shared" si="15"/>
        <v>2070199</v>
      </c>
      <c r="J75" s="137">
        <v>89271</v>
      </c>
      <c r="K75" s="137">
        <v>58232</v>
      </c>
      <c r="L75" s="137">
        <v>87903</v>
      </c>
      <c r="M75" s="137">
        <v>82895</v>
      </c>
      <c r="N75" s="137">
        <f t="shared" si="16"/>
        <v>318301</v>
      </c>
      <c r="P75" s="84">
        <f t="shared" si="17"/>
        <v>0.18322937384161622</v>
      </c>
      <c r="Q75" s="84">
        <f t="shared" si="18"/>
        <v>0.11742287519887401</v>
      </c>
      <c r="R75" s="84">
        <f t="shared" si="19"/>
        <v>0.15145923146109233</v>
      </c>
      <c r="S75" s="84">
        <f t="shared" si="20"/>
        <v>0.16359811248887407</v>
      </c>
      <c r="T75" s="84" t="str">
        <f>+IFERROR(#REF!/#REF!,"")</f>
        <v/>
      </c>
      <c r="U75" s="84" t="str">
        <f>+IFERROR(#REF!/#REF!,"")</f>
        <v/>
      </c>
      <c r="V75" s="84" t="str">
        <f>+IFERROR(#REF!/#REF!,"")</f>
        <v/>
      </c>
      <c r="W75" s="84" t="str">
        <f>+IFERROR(#REF!/#REF!,"")</f>
        <v/>
      </c>
      <c r="X75" s="84" t="str">
        <f>+IFERROR(#REF!/#REF!,"")</f>
        <v/>
      </c>
      <c r="Y75" s="84" t="str">
        <f>+IFERROR(#REF!/#REF!,"")</f>
        <v/>
      </c>
      <c r="Z75" s="84" t="str">
        <f>+IFERROR(#REF!/#REF!,"")</f>
        <v/>
      </c>
      <c r="AA75" s="84" t="str">
        <f>+IFERROR(#REF!/#REF!,"")</f>
        <v/>
      </c>
      <c r="AB75" s="84">
        <f t="shared" si="21"/>
        <v>0.15375381786968306</v>
      </c>
      <c r="AD75" s="139">
        <f t="shared" si="14"/>
        <v>-6.5806498642742212E-2</v>
      </c>
      <c r="AE75" s="139">
        <f t="shared" si="14"/>
        <v>3.403635626221832E-2</v>
      </c>
      <c r="AF75" s="139">
        <f t="shared" si="14"/>
        <v>1.2138881027781739E-2</v>
      </c>
      <c r="AG75" s="139" t="str">
        <f t="shared" si="14"/>
        <v/>
      </c>
      <c r="AH75" s="139" t="str">
        <f t="shared" si="14"/>
        <v/>
      </c>
      <c r="AI75" s="139" t="str">
        <f t="shared" si="13"/>
        <v/>
      </c>
      <c r="AJ75" s="139" t="str">
        <f t="shared" si="13"/>
        <v/>
      </c>
      <c r="AK75" s="139" t="str">
        <f t="shared" si="13"/>
        <v/>
      </c>
      <c r="AL75" s="139" t="str">
        <f t="shared" si="13"/>
        <v/>
      </c>
      <c r="AM75" s="139" t="str">
        <f t="shared" si="13"/>
        <v/>
      </c>
      <c r="AN75" s="139" t="str">
        <f t="shared" si="13"/>
        <v/>
      </c>
      <c r="AP75" s="82">
        <f t="shared" si="22"/>
        <v>2.9795295403161541E-4</v>
      </c>
      <c r="AQ75" s="82">
        <f t="shared" si="23"/>
        <v>0.91721474509776646</v>
      </c>
    </row>
    <row r="76" spans="2:43" x14ac:dyDescent="0.35">
      <c r="B76" s="83" t="s">
        <v>158</v>
      </c>
      <c r="D76" s="137">
        <v>2067583</v>
      </c>
      <c r="E76" s="137">
        <v>2237154</v>
      </c>
      <c r="F76" s="137">
        <v>2336589</v>
      </c>
      <c r="G76" s="137">
        <v>2037161</v>
      </c>
      <c r="H76" s="137">
        <f t="shared" si="15"/>
        <v>8678487</v>
      </c>
      <c r="J76" s="137">
        <v>440597</v>
      </c>
      <c r="K76" s="137">
        <v>443851</v>
      </c>
      <c r="L76" s="137">
        <v>472924</v>
      </c>
      <c r="M76" s="137">
        <v>414734</v>
      </c>
      <c r="N76" s="137">
        <f t="shared" si="16"/>
        <v>1772106</v>
      </c>
      <c r="P76" s="84">
        <f t="shared" si="17"/>
        <v>0.21309761204266045</v>
      </c>
      <c r="Q76" s="84">
        <f t="shared" si="18"/>
        <v>0.19839984194203886</v>
      </c>
      <c r="R76" s="84">
        <f t="shared" si="19"/>
        <v>0.20239930942069828</v>
      </c>
      <c r="S76" s="84">
        <f t="shared" si="20"/>
        <v>0.20358430187893839</v>
      </c>
      <c r="T76" s="84" t="str">
        <f>+IFERROR(#REF!/#REF!,"")</f>
        <v/>
      </c>
      <c r="U76" s="84" t="str">
        <f>+IFERROR(#REF!/#REF!,"")</f>
        <v/>
      </c>
      <c r="V76" s="84" t="str">
        <f>+IFERROR(#REF!/#REF!,"")</f>
        <v/>
      </c>
      <c r="W76" s="84" t="str">
        <f>+IFERROR(#REF!/#REF!,"")</f>
        <v/>
      </c>
      <c r="X76" s="84" t="str">
        <f>+IFERROR(#REF!/#REF!,"")</f>
        <v/>
      </c>
      <c r="Y76" s="84" t="str">
        <f>+IFERROR(#REF!/#REF!,"")</f>
        <v/>
      </c>
      <c r="Z76" s="84" t="str">
        <f>+IFERROR(#REF!/#REF!,"")</f>
        <v/>
      </c>
      <c r="AA76" s="84" t="str">
        <f>+IFERROR(#REF!/#REF!,"")</f>
        <v/>
      </c>
      <c r="AB76" s="84">
        <f t="shared" si="21"/>
        <v>0.20419527044287789</v>
      </c>
      <c r="AD76" s="139">
        <f t="shared" si="14"/>
        <v>-1.4697770100621593E-2</v>
      </c>
      <c r="AE76" s="139">
        <f t="shared" si="14"/>
        <v>3.9994674786594242E-3</v>
      </c>
      <c r="AF76" s="139">
        <f t="shared" si="14"/>
        <v>1.1849924582401083E-3</v>
      </c>
      <c r="AG76" s="139" t="str">
        <f t="shared" si="14"/>
        <v/>
      </c>
      <c r="AH76" s="139" t="str">
        <f t="shared" si="14"/>
        <v/>
      </c>
      <c r="AI76" s="139" t="str">
        <f t="shared" si="13"/>
        <v/>
      </c>
      <c r="AJ76" s="139" t="str">
        <f t="shared" si="13"/>
        <v/>
      </c>
      <c r="AK76" s="139" t="str">
        <f t="shared" si="13"/>
        <v/>
      </c>
      <c r="AL76" s="139" t="str">
        <f t="shared" si="13"/>
        <v/>
      </c>
      <c r="AM76" s="139" t="str">
        <f t="shared" si="13"/>
        <v/>
      </c>
      <c r="AN76" s="139" t="str">
        <f t="shared" si="13"/>
        <v/>
      </c>
      <c r="AP76" s="82">
        <f t="shared" si="22"/>
        <v>1.6588204798513037E-3</v>
      </c>
      <c r="AQ76" s="82">
        <f t="shared" si="23"/>
        <v>0.91887356557761779</v>
      </c>
    </row>
    <row r="77" spans="2:43" x14ac:dyDescent="0.35">
      <c r="B77" s="83" t="s">
        <v>159</v>
      </c>
      <c r="D77" s="137">
        <v>779639</v>
      </c>
      <c r="E77" s="137">
        <v>705288</v>
      </c>
      <c r="F77" s="137">
        <v>716813</v>
      </c>
      <c r="G77" s="137">
        <v>686152</v>
      </c>
      <c r="H77" s="137">
        <f t="shared" si="15"/>
        <v>2887892</v>
      </c>
      <c r="J77" s="137">
        <v>128285</v>
      </c>
      <c r="K77" s="137">
        <v>112151</v>
      </c>
      <c r="L77" s="137">
        <v>104832</v>
      </c>
      <c r="M77" s="137">
        <v>107918</v>
      </c>
      <c r="N77" s="137">
        <f t="shared" si="16"/>
        <v>453186</v>
      </c>
      <c r="P77" s="84">
        <f t="shared" si="17"/>
        <v>0.16454410310412895</v>
      </c>
      <c r="Q77" s="84">
        <f t="shared" si="18"/>
        <v>0.1590144735200372</v>
      </c>
      <c r="R77" s="84">
        <f t="shared" si="19"/>
        <v>0.14624734763459926</v>
      </c>
      <c r="S77" s="84">
        <f t="shared" si="20"/>
        <v>0.15728001958749666</v>
      </c>
      <c r="T77" s="84" t="str">
        <f>+IFERROR(#REF!/#REF!,"")</f>
        <v/>
      </c>
      <c r="U77" s="84" t="str">
        <f>+IFERROR(#REF!/#REF!,"")</f>
        <v/>
      </c>
      <c r="V77" s="84" t="str">
        <f>+IFERROR(#REF!/#REF!,"")</f>
        <v/>
      </c>
      <c r="W77" s="84" t="str">
        <f>+IFERROR(#REF!/#REF!,"")</f>
        <v/>
      </c>
      <c r="X77" s="84" t="str">
        <f>+IFERROR(#REF!/#REF!,"")</f>
        <v/>
      </c>
      <c r="Y77" s="84" t="str">
        <f>+IFERROR(#REF!/#REF!,"")</f>
        <v/>
      </c>
      <c r="Z77" s="84" t="str">
        <f>+IFERROR(#REF!/#REF!,"")</f>
        <v/>
      </c>
      <c r="AA77" s="84" t="str">
        <f>+IFERROR(#REF!/#REF!,"")</f>
        <v/>
      </c>
      <c r="AB77" s="84">
        <f t="shared" si="21"/>
        <v>0.15692622854317267</v>
      </c>
      <c r="AD77" s="139">
        <f t="shared" si="14"/>
        <v>-5.5296295840917553E-3</v>
      </c>
      <c r="AE77" s="139">
        <f t="shared" si="14"/>
        <v>-1.2767125885437935E-2</v>
      </c>
      <c r="AF77" s="139">
        <f t="shared" si="14"/>
        <v>1.1032671952897394E-2</v>
      </c>
      <c r="AG77" s="139" t="str">
        <f t="shared" si="14"/>
        <v/>
      </c>
      <c r="AH77" s="139" t="str">
        <f t="shared" si="14"/>
        <v/>
      </c>
      <c r="AI77" s="139" t="str">
        <f t="shared" si="13"/>
        <v/>
      </c>
      <c r="AJ77" s="139" t="str">
        <f t="shared" si="13"/>
        <v/>
      </c>
      <c r="AK77" s="139" t="str">
        <f t="shared" si="13"/>
        <v/>
      </c>
      <c r="AL77" s="139" t="str">
        <f t="shared" si="13"/>
        <v/>
      </c>
      <c r="AM77" s="139" t="str">
        <f t="shared" si="13"/>
        <v/>
      </c>
      <c r="AN77" s="139" t="str">
        <f t="shared" si="13"/>
        <v/>
      </c>
      <c r="AP77" s="82">
        <f t="shared" si="22"/>
        <v>4.2421515303367458E-4</v>
      </c>
      <c r="AQ77" s="82">
        <f t="shared" si="23"/>
        <v>0.91929778073065149</v>
      </c>
    </row>
    <row r="78" spans="2:43" x14ac:dyDescent="0.35">
      <c r="B78" s="83" t="s">
        <v>160</v>
      </c>
      <c r="D78" s="137">
        <v>16475560</v>
      </c>
      <c r="E78" s="137">
        <v>26398296</v>
      </c>
      <c r="F78" s="137">
        <v>29311418</v>
      </c>
      <c r="G78" s="137">
        <v>25161173</v>
      </c>
      <c r="H78" s="137">
        <f t="shared" si="15"/>
        <v>97346447</v>
      </c>
      <c r="J78" s="137">
        <v>2735756</v>
      </c>
      <c r="K78" s="137">
        <v>4222723</v>
      </c>
      <c r="L78" s="137">
        <v>4538975</v>
      </c>
      <c r="M78" s="137">
        <v>3345360</v>
      </c>
      <c r="N78" s="137">
        <f t="shared" si="16"/>
        <v>14842814</v>
      </c>
      <c r="P78" s="84">
        <f t="shared" si="17"/>
        <v>0.16604934824673637</v>
      </c>
      <c r="Q78" s="84">
        <f t="shared" si="18"/>
        <v>0.15996195360488419</v>
      </c>
      <c r="R78" s="84">
        <f t="shared" si="19"/>
        <v>0.15485347723538997</v>
      </c>
      <c r="S78" s="84">
        <f t="shared" si="20"/>
        <v>0.13295723534033965</v>
      </c>
      <c r="T78" s="84" t="str">
        <f>+IFERROR(#REF!/#REF!,"")</f>
        <v/>
      </c>
      <c r="U78" s="84" t="str">
        <f>+IFERROR(#REF!/#REF!,"")</f>
        <v/>
      </c>
      <c r="V78" s="84" t="str">
        <f>+IFERROR(#REF!/#REF!,"")</f>
        <v/>
      </c>
      <c r="W78" s="84" t="str">
        <f>+IFERROR(#REF!/#REF!,"")</f>
        <v/>
      </c>
      <c r="X78" s="84" t="str">
        <f>+IFERROR(#REF!/#REF!,"")</f>
        <v/>
      </c>
      <c r="Y78" s="84" t="str">
        <f>+IFERROR(#REF!/#REF!,"")</f>
        <v/>
      </c>
      <c r="Z78" s="84" t="str">
        <f>+IFERROR(#REF!/#REF!,"")</f>
        <v/>
      </c>
      <c r="AA78" s="84" t="str">
        <f>+IFERROR(#REF!/#REF!,"")</f>
        <v/>
      </c>
      <c r="AB78" s="84">
        <f t="shared" si="21"/>
        <v>0.15247412162870208</v>
      </c>
      <c r="AD78" s="139">
        <f t="shared" si="14"/>
        <v>-6.0873946418521785E-3</v>
      </c>
      <c r="AE78" s="139">
        <f t="shared" si="14"/>
        <v>-5.1084763694942137E-3</v>
      </c>
      <c r="AF78" s="139">
        <f t="shared" si="14"/>
        <v>-2.1896241895050322E-2</v>
      </c>
      <c r="AG78" s="139" t="str">
        <f t="shared" si="14"/>
        <v/>
      </c>
      <c r="AH78" s="139" t="str">
        <f t="shared" si="14"/>
        <v/>
      </c>
      <c r="AI78" s="139" t="str">
        <f t="shared" si="13"/>
        <v/>
      </c>
      <c r="AJ78" s="139" t="str">
        <f t="shared" si="13"/>
        <v/>
      </c>
      <c r="AK78" s="139" t="str">
        <f t="shared" si="13"/>
        <v/>
      </c>
      <c r="AL78" s="139" t="str">
        <f t="shared" si="13"/>
        <v/>
      </c>
      <c r="AM78" s="139" t="str">
        <f t="shared" si="13"/>
        <v/>
      </c>
      <c r="AN78" s="139" t="str">
        <f t="shared" si="13"/>
        <v/>
      </c>
      <c r="AP78" s="82">
        <f t="shared" si="22"/>
        <v>1.3893956592790526E-2</v>
      </c>
      <c r="AQ78" s="82">
        <f t="shared" si="23"/>
        <v>0.93319173732344207</v>
      </c>
    </row>
    <row r="79" spans="2:43" x14ac:dyDescent="0.35">
      <c r="B79" s="83" t="s">
        <v>161</v>
      </c>
      <c r="D79" s="137">
        <v>3722341</v>
      </c>
      <c r="E79" s="137">
        <v>4126552</v>
      </c>
      <c r="F79" s="137">
        <v>5504299</v>
      </c>
      <c r="G79" s="137">
        <v>6039166</v>
      </c>
      <c r="H79" s="137">
        <f t="shared" si="15"/>
        <v>19392358</v>
      </c>
      <c r="J79" s="137">
        <v>555940</v>
      </c>
      <c r="K79" s="137">
        <v>638583</v>
      </c>
      <c r="L79" s="137">
        <v>792430</v>
      </c>
      <c r="M79" s="137">
        <v>964016</v>
      </c>
      <c r="N79" s="137">
        <f t="shared" si="16"/>
        <v>2950969</v>
      </c>
      <c r="P79" s="84">
        <f t="shared" si="17"/>
        <v>0.14935224902823249</v>
      </c>
      <c r="Q79" s="84">
        <f t="shared" si="18"/>
        <v>0.15474977656891273</v>
      </c>
      <c r="R79" s="84">
        <f t="shared" si="19"/>
        <v>0.14396565302865996</v>
      </c>
      <c r="S79" s="84">
        <f t="shared" si="20"/>
        <v>0.15962733927168088</v>
      </c>
      <c r="T79" s="84" t="str">
        <f>+IFERROR(#REF!/#REF!,"")</f>
        <v/>
      </c>
      <c r="U79" s="84" t="str">
        <f>+IFERROR(#REF!/#REF!,"")</f>
        <v/>
      </c>
      <c r="V79" s="84" t="str">
        <f>+IFERROR(#REF!/#REF!,"")</f>
        <v/>
      </c>
      <c r="W79" s="84" t="str">
        <f>+IFERROR(#REF!/#REF!,"")</f>
        <v/>
      </c>
      <c r="X79" s="84" t="str">
        <f>+IFERROR(#REF!/#REF!,"")</f>
        <v/>
      </c>
      <c r="Y79" s="84" t="str">
        <f>+IFERROR(#REF!/#REF!,"")</f>
        <v/>
      </c>
      <c r="Z79" s="84" t="str">
        <f>+IFERROR(#REF!/#REF!,"")</f>
        <v/>
      </c>
      <c r="AA79" s="84" t="str">
        <f>+IFERROR(#REF!/#REF!,"")</f>
        <v/>
      </c>
      <c r="AB79" s="84">
        <f t="shared" si="21"/>
        <v>0.15217174724187743</v>
      </c>
      <c r="AD79" s="139">
        <f t="shared" si="14"/>
        <v>5.3975275406802359E-3</v>
      </c>
      <c r="AE79" s="139">
        <f t="shared" si="14"/>
        <v>-1.0784123540252766E-2</v>
      </c>
      <c r="AF79" s="139">
        <f t="shared" si="14"/>
        <v>1.5661686243020917E-2</v>
      </c>
      <c r="AG79" s="139" t="str">
        <f t="shared" si="14"/>
        <v/>
      </c>
      <c r="AH79" s="139" t="str">
        <f t="shared" si="14"/>
        <v/>
      </c>
      <c r="AI79" s="139" t="str">
        <f t="shared" si="13"/>
        <v/>
      </c>
      <c r="AJ79" s="139" t="str">
        <f t="shared" si="13"/>
        <v/>
      </c>
      <c r="AK79" s="139" t="str">
        <f t="shared" si="13"/>
        <v/>
      </c>
      <c r="AL79" s="139" t="str">
        <f t="shared" si="13"/>
        <v/>
      </c>
      <c r="AM79" s="139" t="str">
        <f t="shared" si="13"/>
        <v/>
      </c>
      <c r="AN79" s="139" t="str">
        <f t="shared" si="13"/>
        <v/>
      </c>
      <c r="AP79" s="82">
        <f t="shared" si="22"/>
        <v>2.7623222384023992E-3</v>
      </c>
      <c r="AQ79" s="82">
        <f t="shared" si="23"/>
        <v>0.93595405956184452</v>
      </c>
    </row>
    <row r="80" spans="2:43" x14ac:dyDescent="0.35">
      <c r="B80" s="83" t="s">
        <v>162</v>
      </c>
      <c r="D80" s="137">
        <v>788872</v>
      </c>
      <c r="E80" s="137">
        <v>724715</v>
      </c>
      <c r="F80" s="137">
        <v>702055</v>
      </c>
      <c r="G80" s="137">
        <v>638618</v>
      </c>
      <c r="H80" s="137">
        <f t="shared" si="15"/>
        <v>2854260</v>
      </c>
      <c r="J80" s="137">
        <v>124859</v>
      </c>
      <c r="K80" s="137">
        <v>121443</v>
      </c>
      <c r="L80" s="137">
        <v>144443</v>
      </c>
      <c r="M80" s="137">
        <v>83587</v>
      </c>
      <c r="N80" s="137">
        <f t="shared" si="16"/>
        <v>474332</v>
      </c>
      <c r="P80" s="84">
        <f t="shared" si="17"/>
        <v>0.15827536026123376</v>
      </c>
      <c r="Q80" s="84">
        <f t="shared" si="18"/>
        <v>0.1675734599118274</v>
      </c>
      <c r="R80" s="84">
        <f t="shared" si="19"/>
        <v>0.20574313978249567</v>
      </c>
      <c r="S80" s="84">
        <f t="shared" si="20"/>
        <v>0.13088732231161665</v>
      </c>
      <c r="T80" s="84" t="str">
        <f>+IFERROR(#REF!/#REF!,"")</f>
        <v/>
      </c>
      <c r="U80" s="84" t="str">
        <f>+IFERROR(#REF!/#REF!,"")</f>
        <v/>
      </c>
      <c r="V80" s="84" t="str">
        <f>+IFERROR(#REF!/#REF!,"")</f>
        <v/>
      </c>
      <c r="W80" s="84" t="str">
        <f>+IFERROR(#REF!/#REF!,"")</f>
        <v/>
      </c>
      <c r="X80" s="84" t="str">
        <f>+IFERROR(#REF!/#REF!,"")</f>
        <v/>
      </c>
      <c r="Y80" s="84" t="str">
        <f>+IFERROR(#REF!/#REF!,"")</f>
        <v/>
      </c>
      <c r="Z80" s="84" t="str">
        <f>+IFERROR(#REF!/#REF!,"")</f>
        <v/>
      </c>
      <c r="AA80" s="84" t="str">
        <f>+IFERROR(#REF!/#REF!,"")</f>
        <v/>
      </c>
      <c r="AB80" s="84">
        <f t="shared" si="21"/>
        <v>0.16618387953445027</v>
      </c>
      <c r="AD80" s="139">
        <f t="shared" si="14"/>
        <v>9.2980996505936386E-3</v>
      </c>
      <c r="AE80" s="139">
        <f t="shared" si="14"/>
        <v>3.8169679870668272E-2</v>
      </c>
      <c r="AF80" s="139">
        <f t="shared" si="14"/>
        <v>-7.4855817470879021E-2</v>
      </c>
      <c r="AG80" s="139" t="str">
        <f t="shared" si="14"/>
        <v/>
      </c>
      <c r="AH80" s="139" t="str">
        <f t="shared" si="14"/>
        <v/>
      </c>
      <c r="AI80" s="139" t="str">
        <f t="shared" si="13"/>
        <v/>
      </c>
      <c r="AJ80" s="139" t="str">
        <f t="shared" si="13"/>
        <v/>
      </c>
      <c r="AK80" s="139" t="str">
        <f t="shared" si="13"/>
        <v/>
      </c>
      <c r="AL80" s="139" t="str">
        <f t="shared" si="13"/>
        <v/>
      </c>
      <c r="AM80" s="139" t="str">
        <f t="shared" si="13"/>
        <v/>
      </c>
      <c r="AN80" s="139" t="str">
        <f t="shared" si="13"/>
        <v/>
      </c>
      <c r="AP80" s="82">
        <f t="shared" si="22"/>
        <v>4.4400935149975713E-4</v>
      </c>
      <c r="AQ80" s="82">
        <f t="shared" si="23"/>
        <v>0.93639806891334432</v>
      </c>
    </row>
    <row r="81" spans="2:43" x14ac:dyDescent="0.35">
      <c r="B81" s="83" t="s">
        <v>163</v>
      </c>
      <c r="D81" s="137">
        <v>725914</v>
      </c>
      <c r="E81" s="137">
        <v>754466</v>
      </c>
      <c r="F81" s="137">
        <v>764971</v>
      </c>
      <c r="G81" s="137">
        <v>828639</v>
      </c>
      <c r="H81" s="137">
        <f t="shared" si="15"/>
        <v>3073990</v>
      </c>
      <c r="J81" s="137">
        <v>184233</v>
      </c>
      <c r="K81" s="137">
        <v>181607</v>
      </c>
      <c r="L81" s="137">
        <v>172520</v>
      </c>
      <c r="M81" s="137">
        <v>202309</v>
      </c>
      <c r="N81" s="137">
        <f t="shared" si="16"/>
        <v>740669</v>
      </c>
      <c r="P81" s="84">
        <f t="shared" si="17"/>
        <v>0.25379452662436597</v>
      </c>
      <c r="Q81" s="84">
        <f t="shared" si="18"/>
        <v>0.24070932288532551</v>
      </c>
      <c r="R81" s="84">
        <f t="shared" si="19"/>
        <v>0.22552488917880548</v>
      </c>
      <c r="S81" s="84">
        <f t="shared" si="20"/>
        <v>0.24414612394540927</v>
      </c>
      <c r="T81" s="84" t="str">
        <f>+IFERROR(#REF!/#REF!,"")</f>
        <v/>
      </c>
      <c r="U81" s="84" t="str">
        <f>+IFERROR(#REF!/#REF!,"")</f>
        <v/>
      </c>
      <c r="V81" s="84" t="str">
        <f>+IFERROR(#REF!/#REF!,"")</f>
        <v/>
      </c>
      <c r="W81" s="84" t="str">
        <f>+IFERROR(#REF!/#REF!,"")</f>
        <v/>
      </c>
      <c r="X81" s="84" t="str">
        <f>+IFERROR(#REF!/#REF!,"")</f>
        <v/>
      </c>
      <c r="Y81" s="84" t="str">
        <f>+IFERROR(#REF!/#REF!,"")</f>
        <v/>
      </c>
      <c r="Z81" s="84" t="str">
        <f>+IFERROR(#REF!/#REF!,"")</f>
        <v/>
      </c>
      <c r="AA81" s="84" t="str">
        <f>+IFERROR(#REF!/#REF!,"")</f>
        <v/>
      </c>
      <c r="AB81" s="84">
        <f t="shared" si="21"/>
        <v>0.24094710783053946</v>
      </c>
      <c r="AD81" s="139">
        <f t="shared" si="14"/>
        <v>-1.3085203739040457E-2</v>
      </c>
      <c r="AE81" s="139">
        <f t="shared" si="14"/>
        <v>-1.5184433706520034E-2</v>
      </c>
      <c r="AF81" s="139">
        <f t="shared" si="14"/>
        <v>1.8621234766603795E-2</v>
      </c>
      <c r="AG81" s="139" t="str">
        <f t="shared" si="14"/>
        <v/>
      </c>
      <c r="AH81" s="139" t="str">
        <f t="shared" si="14"/>
        <v/>
      </c>
      <c r="AI81" s="139" t="str">
        <f t="shared" si="13"/>
        <v/>
      </c>
      <c r="AJ81" s="139" t="str">
        <f t="shared" si="13"/>
        <v/>
      </c>
      <c r="AK81" s="139" t="str">
        <f t="shared" si="13"/>
        <v/>
      </c>
      <c r="AL81" s="139" t="str">
        <f t="shared" si="13"/>
        <v/>
      </c>
      <c r="AM81" s="139" t="str">
        <f t="shared" si="13"/>
        <v/>
      </c>
      <c r="AN81" s="139" t="str">
        <f t="shared" si="13"/>
        <v/>
      </c>
      <c r="AP81" s="82">
        <f t="shared" si="22"/>
        <v>6.9332021108838026E-4</v>
      </c>
      <c r="AQ81" s="82">
        <f t="shared" si="23"/>
        <v>0.93709138912443268</v>
      </c>
    </row>
    <row r="82" spans="2:43" x14ac:dyDescent="0.35">
      <c r="B82" s="83" t="s">
        <v>164</v>
      </c>
      <c r="D82" s="137">
        <v>1102048</v>
      </c>
      <c r="E82" s="137">
        <v>983588</v>
      </c>
      <c r="F82" s="137">
        <v>955650</v>
      </c>
      <c r="G82" s="137">
        <v>909878</v>
      </c>
      <c r="H82" s="137">
        <f t="shared" si="15"/>
        <v>3951164</v>
      </c>
      <c r="J82" s="137">
        <v>285336</v>
      </c>
      <c r="K82" s="137">
        <v>307950</v>
      </c>
      <c r="L82" s="137">
        <v>215959</v>
      </c>
      <c r="M82" s="137">
        <v>193859</v>
      </c>
      <c r="N82" s="137">
        <f t="shared" si="16"/>
        <v>1003104</v>
      </c>
      <c r="P82" s="84">
        <f t="shared" si="17"/>
        <v>0.2589143122622608</v>
      </c>
      <c r="Q82" s="84">
        <f t="shared" si="18"/>
        <v>0.31308840693461082</v>
      </c>
      <c r="R82" s="84">
        <f t="shared" si="19"/>
        <v>0.22598126929315127</v>
      </c>
      <c r="S82" s="84">
        <f t="shared" si="20"/>
        <v>0.21306043227773394</v>
      </c>
      <c r="T82" s="84" t="str">
        <f>+IFERROR(#REF!/#REF!,"")</f>
        <v/>
      </c>
      <c r="U82" s="84" t="str">
        <f>+IFERROR(#REF!/#REF!,"")</f>
        <v/>
      </c>
      <c r="V82" s="84" t="str">
        <f>+IFERROR(#REF!/#REF!,"")</f>
        <v/>
      </c>
      <c r="W82" s="84" t="str">
        <f>+IFERROR(#REF!/#REF!,"")</f>
        <v/>
      </c>
      <c r="X82" s="84" t="str">
        <f>+IFERROR(#REF!/#REF!,"")</f>
        <v/>
      </c>
      <c r="Y82" s="84" t="str">
        <f>+IFERROR(#REF!/#REF!,"")</f>
        <v/>
      </c>
      <c r="Z82" s="84" t="str">
        <f>+IFERROR(#REF!/#REF!,"")</f>
        <v/>
      </c>
      <c r="AA82" s="84" t="str">
        <f>+IFERROR(#REF!/#REF!,"")</f>
        <v/>
      </c>
      <c r="AB82" s="84">
        <f t="shared" si="21"/>
        <v>0.25387556679500017</v>
      </c>
      <c r="AD82" s="139">
        <f t="shared" si="14"/>
        <v>5.4174094672350015E-2</v>
      </c>
      <c r="AE82" s="139">
        <f t="shared" si="14"/>
        <v>-8.7107137641459553E-2</v>
      </c>
      <c r="AF82" s="139">
        <f t="shared" si="14"/>
        <v>-1.2920837015417325E-2</v>
      </c>
      <c r="AG82" s="139" t="str">
        <f t="shared" si="14"/>
        <v/>
      </c>
      <c r="AH82" s="139" t="str">
        <f t="shared" si="14"/>
        <v/>
      </c>
      <c r="AI82" s="139" t="str">
        <f t="shared" si="13"/>
        <v/>
      </c>
      <c r="AJ82" s="139" t="str">
        <f t="shared" si="13"/>
        <v/>
      </c>
      <c r="AK82" s="139" t="str">
        <f t="shared" si="13"/>
        <v/>
      </c>
      <c r="AL82" s="139" t="str">
        <f t="shared" si="13"/>
        <v/>
      </c>
      <c r="AM82" s="139" t="str">
        <f t="shared" si="13"/>
        <v/>
      </c>
      <c r="AN82" s="139" t="str">
        <f t="shared" si="13"/>
        <v/>
      </c>
      <c r="AP82" s="82">
        <f t="shared" si="22"/>
        <v>9.3897851405094399E-4</v>
      </c>
      <c r="AQ82" s="82">
        <f t="shared" si="23"/>
        <v>0.93803036763848358</v>
      </c>
    </row>
    <row r="83" spans="2:43" x14ac:dyDescent="0.35">
      <c r="B83" s="83" t="s">
        <v>165</v>
      </c>
      <c r="D83" s="137">
        <v>782363</v>
      </c>
      <c r="E83" s="137">
        <v>786072</v>
      </c>
      <c r="F83" s="137">
        <v>935610</v>
      </c>
      <c r="G83" s="137">
        <v>1042952</v>
      </c>
      <c r="H83" s="137">
        <f t="shared" si="15"/>
        <v>3546997</v>
      </c>
      <c r="J83" s="137">
        <v>269334</v>
      </c>
      <c r="K83" s="137">
        <v>261568</v>
      </c>
      <c r="L83" s="137">
        <v>256893</v>
      </c>
      <c r="M83" s="137">
        <v>290635</v>
      </c>
      <c r="N83" s="137">
        <f t="shared" si="16"/>
        <v>1078430</v>
      </c>
      <c r="P83" s="84">
        <f t="shared" si="17"/>
        <v>0.34425707759697227</v>
      </c>
      <c r="Q83" s="84">
        <f t="shared" si="18"/>
        <v>0.33275323380046612</v>
      </c>
      <c r="R83" s="84">
        <f t="shared" si="19"/>
        <v>0.27457273864110043</v>
      </c>
      <c r="S83" s="84">
        <f t="shared" si="20"/>
        <v>0.27866574875929095</v>
      </c>
      <c r="T83" s="84" t="str">
        <f>+IFERROR(#REF!/#REF!,"")</f>
        <v/>
      </c>
      <c r="U83" s="84" t="str">
        <f>+IFERROR(#REF!/#REF!,"")</f>
        <v/>
      </c>
      <c r="V83" s="84" t="str">
        <f>+IFERROR(#REF!/#REF!,"")</f>
        <v/>
      </c>
      <c r="W83" s="84" t="str">
        <f>+IFERROR(#REF!/#REF!,"")</f>
        <v/>
      </c>
      <c r="X83" s="84" t="str">
        <f>+IFERROR(#REF!/#REF!,"")</f>
        <v/>
      </c>
      <c r="Y83" s="84" t="str">
        <f>+IFERROR(#REF!/#REF!,"")</f>
        <v/>
      </c>
      <c r="Z83" s="84" t="str">
        <f>+IFERROR(#REF!/#REF!,"")</f>
        <v/>
      </c>
      <c r="AA83" s="84" t="str">
        <f>+IFERROR(#REF!/#REF!,"")</f>
        <v/>
      </c>
      <c r="AB83" s="84">
        <f t="shared" si="21"/>
        <v>0.30404029098417618</v>
      </c>
      <c r="AD83" s="139">
        <f t="shared" si="14"/>
        <v>-1.1503843796506152E-2</v>
      </c>
      <c r="AE83" s="139">
        <f t="shared" si="14"/>
        <v>-5.8180495159365686E-2</v>
      </c>
      <c r="AF83" s="139">
        <f t="shared" si="14"/>
        <v>4.093010118190521E-3</v>
      </c>
      <c r="AG83" s="139" t="str">
        <f t="shared" si="14"/>
        <v/>
      </c>
      <c r="AH83" s="139" t="str">
        <f t="shared" si="14"/>
        <v/>
      </c>
      <c r="AI83" s="139" t="str">
        <f t="shared" si="13"/>
        <v/>
      </c>
      <c r="AJ83" s="139" t="str">
        <f t="shared" si="13"/>
        <v/>
      </c>
      <c r="AK83" s="139" t="str">
        <f t="shared" si="13"/>
        <v/>
      </c>
      <c r="AL83" s="139" t="str">
        <f t="shared" si="13"/>
        <v/>
      </c>
      <c r="AM83" s="139" t="str">
        <f t="shared" si="13"/>
        <v/>
      </c>
      <c r="AN83" s="139" t="str">
        <f t="shared" si="13"/>
        <v/>
      </c>
      <c r="AP83" s="82">
        <f t="shared" si="22"/>
        <v>1.0094891446031115E-3</v>
      </c>
      <c r="AQ83" s="82">
        <f t="shared" si="23"/>
        <v>0.93903985678308666</v>
      </c>
    </row>
    <row r="84" spans="2:43" x14ac:dyDescent="0.35">
      <c r="B84" s="83" t="s">
        <v>166</v>
      </c>
      <c r="D84" s="137">
        <v>2631011</v>
      </c>
      <c r="E84" s="137">
        <v>1566702</v>
      </c>
      <c r="F84" s="137">
        <v>1571765</v>
      </c>
      <c r="G84" s="137">
        <v>1397093</v>
      </c>
      <c r="H84" s="137">
        <f t="shared" si="15"/>
        <v>7166571</v>
      </c>
      <c r="J84" s="137">
        <v>439730</v>
      </c>
      <c r="K84" s="137">
        <v>221192</v>
      </c>
      <c r="L84" s="137">
        <v>248987</v>
      </c>
      <c r="M84" s="137">
        <v>177261</v>
      </c>
      <c r="N84" s="137">
        <f t="shared" si="16"/>
        <v>1087170</v>
      </c>
      <c r="P84" s="84">
        <f t="shared" si="17"/>
        <v>0.16713347074565632</v>
      </c>
      <c r="Q84" s="84">
        <f t="shared" si="18"/>
        <v>0.14118319884700473</v>
      </c>
      <c r="R84" s="84">
        <f t="shared" si="19"/>
        <v>0.15841235808151982</v>
      </c>
      <c r="S84" s="84">
        <f t="shared" si="20"/>
        <v>0.12687845404708206</v>
      </c>
      <c r="T84" s="84" t="str">
        <f>+IFERROR(#REF!/#REF!,"")</f>
        <v/>
      </c>
      <c r="U84" s="84" t="str">
        <f>+IFERROR(#REF!/#REF!,"")</f>
        <v/>
      </c>
      <c r="V84" s="84" t="str">
        <f>+IFERROR(#REF!/#REF!,"")</f>
        <v/>
      </c>
      <c r="W84" s="84" t="str">
        <f>+IFERROR(#REF!/#REF!,"")</f>
        <v/>
      </c>
      <c r="X84" s="84" t="str">
        <f>+IFERROR(#REF!/#REF!,"")</f>
        <v/>
      </c>
      <c r="Y84" s="84" t="str">
        <f>+IFERROR(#REF!/#REF!,"")</f>
        <v/>
      </c>
      <c r="Z84" s="84" t="str">
        <f>+IFERROR(#REF!/#REF!,"")</f>
        <v/>
      </c>
      <c r="AA84" s="84" t="str">
        <f>+IFERROR(#REF!/#REF!,"")</f>
        <v/>
      </c>
      <c r="AB84" s="84">
        <f t="shared" si="21"/>
        <v>0.151700164555685</v>
      </c>
      <c r="AD84" s="139">
        <f t="shared" si="14"/>
        <v>-2.5950271898651595E-2</v>
      </c>
      <c r="AE84" s="139">
        <f t="shared" si="14"/>
        <v>1.7229159234515096E-2</v>
      </c>
      <c r="AF84" s="139">
        <f t="shared" si="14"/>
        <v>-3.153390403443776E-2</v>
      </c>
      <c r="AG84" s="139" t="str">
        <f t="shared" si="14"/>
        <v/>
      </c>
      <c r="AH84" s="139" t="str">
        <f t="shared" si="14"/>
        <v/>
      </c>
      <c r="AI84" s="139" t="str">
        <f t="shared" si="13"/>
        <v/>
      </c>
      <c r="AJ84" s="139" t="str">
        <f t="shared" si="13"/>
        <v/>
      </c>
      <c r="AK84" s="139" t="str">
        <f t="shared" si="13"/>
        <v/>
      </c>
      <c r="AL84" s="139" t="str">
        <f t="shared" si="13"/>
        <v/>
      </c>
      <c r="AM84" s="139" t="str">
        <f t="shared" si="13"/>
        <v/>
      </c>
      <c r="AN84" s="139" t="str">
        <f t="shared" si="13"/>
        <v/>
      </c>
      <c r="AP84" s="82">
        <f t="shared" si="22"/>
        <v>1.0176704221304719E-3</v>
      </c>
      <c r="AQ84" s="82">
        <f t="shared" si="23"/>
        <v>0.94005752720521718</v>
      </c>
    </row>
    <row r="85" spans="2:43" x14ac:dyDescent="0.35">
      <c r="B85" s="83" t="s">
        <v>167</v>
      </c>
      <c r="D85" s="137">
        <v>406807</v>
      </c>
      <c r="E85" s="137">
        <v>338113</v>
      </c>
      <c r="F85" s="137">
        <v>486398</v>
      </c>
      <c r="G85" s="137">
        <v>452459</v>
      </c>
      <c r="H85" s="137">
        <f t="shared" si="15"/>
        <v>1683777</v>
      </c>
      <c r="J85" s="137">
        <v>71941</v>
      </c>
      <c r="K85" s="137">
        <v>54305</v>
      </c>
      <c r="L85" s="137">
        <v>58356</v>
      </c>
      <c r="M85" s="137">
        <v>58563</v>
      </c>
      <c r="N85" s="137">
        <f t="shared" si="16"/>
        <v>243165</v>
      </c>
      <c r="P85" s="84">
        <f t="shared" si="17"/>
        <v>0.1768430730051351</v>
      </c>
      <c r="Q85" s="84">
        <f t="shared" si="18"/>
        <v>0.16061198475066027</v>
      </c>
      <c r="R85" s="84">
        <f t="shared" si="19"/>
        <v>0.11997582226900604</v>
      </c>
      <c r="S85" s="84">
        <f t="shared" si="20"/>
        <v>0.12943272208089573</v>
      </c>
      <c r="T85" s="84" t="str">
        <f>+IFERROR(#REF!/#REF!,"")</f>
        <v/>
      </c>
      <c r="U85" s="84" t="str">
        <f>+IFERROR(#REF!/#REF!,"")</f>
        <v/>
      </c>
      <c r="V85" s="84" t="str">
        <f>+IFERROR(#REF!/#REF!,"")</f>
        <v/>
      </c>
      <c r="W85" s="84" t="str">
        <f>+IFERROR(#REF!/#REF!,"")</f>
        <v/>
      </c>
      <c r="X85" s="84" t="str">
        <f>+IFERROR(#REF!/#REF!,"")</f>
        <v/>
      </c>
      <c r="Y85" s="84" t="str">
        <f>+IFERROR(#REF!/#REF!,"")</f>
        <v/>
      </c>
      <c r="Z85" s="84" t="str">
        <f>+IFERROR(#REF!/#REF!,"")</f>
        <v/>
      </c>
      <c r="AA85" s="84" t="str">
        <f>+IFERROR(#REF!/#REF!,"")</f>
        <v/>
      </c>
      <c r="AB85" s="84">
        <f t="shared" si="21"/>
        <v>0.14441639243201446</v>
      </c>
      <c r="AD85" s="139">
        <f t="shared" si="14"/>
        <v>-1.6231088254474835E-2</v>
      </c>
      <c r="AE85" s="139">
        <f t="shared" si="14"/>
        <v>-4.0636162481654234E-2</v>
      </c>
      <c r="AF85" s="139">
        <f t="shared" si="14"/>
        <v>9.4568998118896991E-3</v>
      </c>
      <c r="AG85" s="139" t="str">
        <f t="shared" si="14"/>
        <v/>
      </c>
      <c r="AH85" s="139" t="str">
        <f t="shared" si="14"/>
        <v/>
      </c>
      <c r="AI85" s="139" t="str">
        <f t="shared" si="13"/>
        <v/>
      </c>
      <c r="AJ85" s="139" t="str">
        <f t="shared" si="13"/>
        <v/>
      </c>
      <c r="AK85" s="139" t="str">
        <f t="shared" si="13"/>
        <v/>
      </c>
      <c r="AL85" s="139" t="str">
        <f t="shared" si="13"/>
        <v/>
      </c>
      <c r="AM85" s="139" t="str">
        <f t="shared" si="13"/>
        <v/>
      </c>
      <c r="AN85" s="139" t="str">
        <f t="shared" si="13"/>
        <v/>
      </c>
      <c r="AP85" s="82">
        <f t="shared" si="22"/>
        <v>2.2762017733873836E-4</v>
      </c>
      <c r="AQ85" s="82">
        <f t="shared" si="23"/>
        <v>0.94028514738255586</v>
      </c>
    </row>
    <row r="86" spans="2:43" x14ac:dyDescent="0.35">
      <c r="B86" s="83" t="s">
        <v>168</v>
      </c>
      <c r="D86" s="137">
        <v>1110855</v>
      </c>
      <c r="E86" s="137">
        <v>1012071</v>
      </c>
      <c r="F86" s="137">
        <v>1138293</v>
      </c>
      <c r="G86" s="137">
        <v>1085305</v>
      </c>
      <c r="H86" s="137">
        <f t="shared" si="15"/>
        <v>4346524</v>
      </c>
      <c r="J86" s="137">
        <v>188586</v>
      </c>
      <c r="K86" s="137">
        <v>168895</v>
      </c>
      <c r="L86" s="137">
        <v>179749</v>
      </c>
      <c r="M86" s="137">
        <v>174610</v>
      </c>
      <c r="N86" s="137">
        <f t="shared" si="16"/>
        <v>711840</v>
      </c>
      <c r="P86" s="84">
        <f t="shared" si="17"/>
        <v>0.16976653118543825</v>
      </c>
      <c r="Q86" s="84">
        <f t="shared" si="18"/>
        <v>0.1668805844649239</v>
      </c>
      <c r="R86" s="84">
        <f t="shared" si="19"/>
        <v>0.15791101236676322</v>
      </c>
      <c r="S86" s="84">
        <f t="shared" si="20"/>
        <v>0.16088564965608745</v>
      </c>
      <c r="T86" s="84" t="str">
        <f>+IFERROR(#REF!/#REF!,"")</f>
        <v/>
      </c>
      <c r="U86" s="84" t="str">
        <f>+IFERROR(#REF!/#REF!,"")</f>
        <v/>
      </c>
      <c r="V86" s="84" t="str">
        <f>+IFERROR(#REF!/#REF!,"")</f>
        <v/>
      </c>
      <c r="W86" s="84" t="str">
        <f>+IFERROR(#REF!/#REF!,"")</f>
        <v/>
      </c>
      <c r="X86" s="84" t="str">
        <f>+IFERROR(#REF!/#REF!,"")</f>
        <v/>
      </c>
      <c r="Y86" s="84" t="str">
        <f>+IFERROR(#REF!/#REF!,"")</f>
        <v/>
      </c>
      <c r="Z86" s="84" t="str">
        <f>+IFERROR(#REF!/#REF!,"")</f>
        <v/>
      </c>
      <c r="AA86" s="84" t="str">
        <f>+IFERROR(#REF!/#REF!,"")</f>
        <v/>
      </c>
      <c r="AB86" s="84">
        <f t="shared" si="21"/>
        <v>0.16377224651238553</v>
      </c>
      <c r="AD86" s="139">
        <f t="shared" si="14"/>
        <v>-2.885946720514343E-3</v>
      </c>
      <c r="AE86" s="139">
        <f t="shared" si="14"/>
        <v>-8.969572098160683E-3</v>
      </c>
      <c r="AF86" s="139">
        <f t="shared" si="14"/>
        <v>2.9746372893242334E-3</v>
      </c>
      <c r="AG86" s="139" t="str">
        <f t="shared" si="14"/>
        <v/>
      </c>
      <c r="AH86" s="139" t="str">
        <f t="shared" si="14"/>
        <v/>
      </c>
      <c r="AI86" s="139" t="str">
        <f t="shared" si="13"/>
        <v/>
      </c>
      <c r="AJ86" s="139" t="str">
        <f t="shared" si="13"/>
        <v/>
      </c>
      <c r="AK86" s="139" t="str">
        <f t="shared" si="13"/>
        <v/>
      </c>
      <c r="AL86" s="139" t="str">
        <f t="shared" si="13"/>
        <v/>
      </c>
      <c r="AM86" s="139" t="str">
        <f t="shared" si="13"/>
        <v/>
      </c>
      <c r="AN86" s="139" t="str">
        <f t="shared" si="13"/>
        <v/>
      </c>
      <c r="AP86" s="82">
        <f t="shared" si="22"/>
        <v>6.6633416419635842E-4</v>
      </c>
      <c r="AQ86" s="82">
        <f t="shared" si="23"/>
        <v>0.94095148154675223</v>
      </c>
    </row>
    <row r="87" spans="2:43" x14ac:dyDescent="0.35">
      <c r="B87" s="83" t="s">
        <v>169</v>
      </c>
      <c r="D87" s="137">
        <v>1465022</v>
      </c>
      <c r="E87" s="137">
        <v>1038601</v>
      </c>
      <c r="F87" s="137">
        <v>1485737</v>
      </c>
      <c r="G87" s="137">
        <v>1320689</v>
      </c>
      <c r="H87" s="137">
        <f t="shared" si="15"/>
        <v>5310049</v>
      </c>
      <c r="J87" s="137">
        <v>236763</v>
      </c>
      <c r="K87" s="137">
        <v>132569</v>
      </c>
      <c r="L87" s="137">
        <v>178887</v>
      </c>
      <c r="M87" s="137">
        <v>179304</v>
      </c>
      <c r="N87" s="137">
        <f t="shared" si="16"/>
        <v>727523</v>
      </c>
      <c r="P87" s="84">
        <f t="shared" si="17"/>
        <v>0.16161054236728187</v>
      </c>
      <c r="Q87" s="84">
        <f t="shared" si="18"/>
        <v>0.127641895203259</v>
      </c>
      <c r="R87" s="84">
        <f t="shared" si="19"/>
        <v>0.12040287076380275</v>
      </c>
      <c r="S87" s="84">
        <f t="shared" si="20"/>
        <v>0.1357654981604299</v>
      </c>
      <c r="T87" s="84" t="str">
        <f>+IFERROR(#REF!/#REF!,"")</f>
        <v/>
      </c>
      <c r="U87" s="84" t="str">
        <f>+IFERROR(#REF!/#REF!,"")</f>
        <v/>
      </c>
      <c r="V87" s="84" t="str">
        <f>+IFERROR(#REF!/#REF!,"")</f>
        <v/>
      </c>
      <c r="W87" s="84" t="str">
        <f>+IFERROR(#REF!/#REF!,"")</f>
        <v/>
      </c>
      <c r="X87" s="84" t="str">
        <f>+IFERROR(#REF!/#REF!,"")</f>
        <v/>
      </c>
      <c r="Y87" s="84" t="str">
        <f>+IFERROR(#REF!/#REF!,"")</f>
        <v/>
      </c>
      <c r="Z87" s="84" t="str">
        <f>+IFERROR(#REF!/#REF!,"")</f>
        <v/>
      </c>
      <c r="AA87" s="84" t="str">
        <f>+IFERROR(#REF!/#REF!,"")</f>
        <v/>
      </c>
      <c r="AB87" s="84">
        <f t="shared" si="21"/>
        <v>0.13700871686871438</v>
      </c>
      <c r="AD87" s="139">
        <f t="shared" si="14"/>
        <v>-3.3968647164022869E-2</v>
      </c>
      <c r="AE87" s="139">
        <f t="shared" si="14"/>
        <v>-7.2390244394562459E-3</v>
      </c>
      <c r="AF87" s="139">
        <f t="shared" si="14"/>
        <v>1.5362627396627151E-2</v>
      </c>
      <c r="AG87" s="139" t="str">
        <f t="shared" si="14"/>
        <v/>
      </c>
      <c r="AH87" s="139" t="str">
        <f t="shared" si="14"/>
        <v/>
      </c>
      <c r="AI87" s="139" t="str">
        <f t="shared" si="14"/>
        <v/>
      </c>
      <c r="AJ87" s="139" t="str">
        <f t="shared" si="14"/>
        <v/>
      </c>
      <c r="AK87" s="139" t="str">
        <f t="shared" si="14"/>
        <v/>
      </c>
      <c r="AL87" s="139" t="str">
        <f t="shared" si="14"/>
        <v/>
      </c>
      <c r="AM87" s="139" t="str">
        <f t="shared" si="14"/>
        <v/>
      </c>
      <c r="AN87" s="139" t="str">
        <f t="shared" si="14"/>
        <v/>
      </c>
      <c r="AP87" s="82">
        <f t="shared" si="22"/>
        <v>6.8101459617136897E-4</v>
      </c>
      <c r="AQ87" s="82">
        <f t="shared" si="23"/>
        <v>0.94163249614292355</v>
      </c>
    </row>
    <row r="88" spans="2:43" x14ac:dyDescent="0.35">
      <c r="B88" s="83" t="s">
        <v>170</v>
      </c>
      <c r="D88" s="137">
        <v>74629</v>
      </c>
      <c r="E88" s="137">
        <v>71594</v>
      </c>
      <c r="F88" s="137">
        <v>79837</v>
      </c>
      <c r="G88" s="137">
        <v>76886</v>
      </c>
      <c r="H88" s="137">
        <f t="shared" si="15"/>
        <v>302946</v>
      </c>
      <c r="J88" s="137">
        <v>11674</v>
      </c>
      <c r="K88" s="137">
        <v>12361</v>
      </c>
      <c r="L88" s="137">
        <v>11977</v>
      </c>
      <c r="M88" s="137">
        <v>13555</v>
      </c>
      <c r="N88" s="137">
        <f t="shared" si="16"/>
        <v>49567</v>
      </c>
      <c r="P88" s="84">
        <f t="shared" si="17"/>
        <v>0.15642712618419113</v>
      </c>
      <c r="Q88" s="84">
        <f t="shared" si="18"/>
        <v>0.17265413302790736</v>
      </c>
      <c r="R88" s="84">
        <f t="shared" si="19"/>
        <v>0.15001816200508536</v>
      </c>
      <c r="S88" s="84">
        <f t="shared" si="20"/>
        <v>0.17629997658871577</v>
      </c>
      <c r="T88" s="84" t="str">
        <f>+IFERROR(#REF!/#REF!,"")</f>
        <v/>
      </c>
      <c r="U88" s="84" t="str">
        <f>+IFERROR(#REF!/#REF!,"")</f>
        <v/>
      </c>
      <c r="V88" s="84" t="str">
        <f>+IFERROR(#REF!/#REF!,"")</f>
        <v/>
      </c>
      <c r="W88" s="84" t="str">
        <f>+IFERROR(#REF!/#REF!,"")</f>
        <v/>
      </c>
      <c r="X88" s="84" t="str">
        <f>+IFERROR(#REF!/#REF!,"")</f>
        <v/>
      </c>
      <c r="Y88" s="84" t="str">
        <f>+IFERROR(#REF!/#REF!,"")</f>
        <v/>
      </c>
      <c r="Z88" s="84" t="str">
        <f>+IFERROR(#REF!/#REF!,"")</f>
        <v/>
      </c>
      <c r="AA88" s="84" t="str">
        <f>+IFERROR(#REF!/#REF!,"")</f>
        <v/>
      </c>
      <c r="AB88" s="84">
        <f t="shared" si="21"/>
        <v>0.16361661814316744</v>
      </c>
      <c r="AD88" s="139">
        <f t="shared" si="14"/>
        <v>1.6227006843716224E-2</v>
      </c>
      <c r="AE88" s="139">
        <f t="shared" si="14"/>
        <v>-2.2635971022821999E-2</v>
      </c>
      <c r="AF88" s="139">
        <f t="shared" si="14"/>
        <v>2.6281814583630408E-2</v>
      </c>
      <c r="AG88" s="139" t="str">
        <f t="shared" si="14"/>
        <v/>
      </c>
      <c r="AH88" s="139" t="str">
        <f t="shared" si="14"/>
        <v/>
      </c>
      <c r="AI88" s="139" t="str">
        <f t="shared" si="14"/>
        <v/>
      </c>
      <c r="AJ88" s="139" t="str">
        <f t="shared" si="14"/>
        <v/>
      </c>
      <c r="AK88" s="139" t="str">
        <f t="shared" si="14"/>
        <v/>
      </c>
      <c r="AL88" s="139" t="str">
        <f t="shared" si="14"/>
        <v/>
      </c>
      <c r="AM88" s="139" t="str">
        <f t="shared" si="14"/>
        <v/>
      </c>
      <c r="AN88" s="139" t="str">
        <f t="shared" si="14"/>
        <v/>
      </c>
      <c r="AP88" s="82">
        <f t="shared" si="22"/>
        <v>4.6398327597101734E-5</v>
      </c>
      <c r="AQ88" s="82">
        <f t="shared" si="23"/>
        <v>0.94167889447052067</v>
      </c>
    </row>
    <row r="89" spans="2:43" x14ac:dyDescent="0.35">
      <c r="B89" s="83" t="s">
        <v>171</v>
      </c>
      <c r="D89" s="137">
        <v>1016037</v>
      </c>
      <c r="E89" s="137">
        <v>942007</v>
      </c>
      <c r="F89" s="137">
        <v>896956</v>
      </c>
      <c r="G89" s="137">
        <v>942511</v>
      </c>
      <c r="H89" s="137">
        <f t="shared" si="15"/>
        <v>3797511</v>
      </c>
      <c r="J89" s="137">
        <v>231058</v>
      </c>
      <c r="K89" s="137">
        <v>177660</v>
      </c>
      <c r="L89" s="137">
        <v>171782</v>
      </c>
      <c r="M89" s="137">
        <v>206983</v>
      </c>
      <c r="N89" s="137">
        <f t="shared" si="16"/>
        <v>787483</v>
      </c>
      <c r="P89" s="84">
        <f t="shared" si="17"/>
        <v>0.22741100963842853</v>
      </c>
      <c r="Q89" s="84">
        <f t="shared" si="18"/>
        <v>0.18859732464833065</v>
      </c>
      <c r="R89" s="84">
        <f t="shared" si="19"/>
        <v>0.19151664072708138</v>
      </c>
      <c r="S89" s="84">
        <f t="shared" si="20"/>
        <v>0.21960804701483591</v>
      </c>
      <c r="T89" s="84" t="str">
        <f>+IFERROR(#REF!/#REF!,"")</f>
        <v/>
      </c>
      <c r="U89" s="84" t="str">
        <f>+IFERROR(#REF!/#REF!,"")</f>
        <v/>
      </c>
      <c r="V89" s="84" t="str">
        <f>+IFERROR(#REF!/#REF!,"")</f>
        <v/>
      </c>
      <c r="W89" s="84" t="str">
        <f>+IFERROR(#REF!/#REF!,"")</f>
        <v/>
      </c>
      <c r="X89" s="84" t="str">
        <f>+IFERROR(#REF!/#REF!,"")</f>
        <v/>
      </c>
      <c r="Y89" s="84" t="str">
        <f>+IFERROR(#REF!/#REF!,"")</f>
        <v/>
      </c>
      <c r="Z89" s="84" t="str">
        <f>+IFERROR(#REF!/#REF!,"")</f>
        <v/>
      </c>
      <c r="AA89" s="84" t="str">
        <f>+IFERROR(#REF!/#REF!,"")</f>
        <v/>
      </c>
      <c r="AB89" s="84">
        <f t="shared" si="21"/>
        <v>0.20736819458850811</v>
      </c>
      <c r="AD89" s="139">
        <f t="shared" si="14"/>
        <v>-3.881368499009788E-2</v>
      </c>
      <c r="AE89" s="139">
        <f t="shared" si="14"/>
        <v>2.9193160787507333E-3</v>
      </c>
      <c r="AF89" s="139">
        <f t="shared" si="14"/>
        <v>2.8091406287754528E-2</v>
      </c>
      <c r="AG89" s="139" t="str">
        <f t="shared" si="14"/>
        <v/>
      </c>
      <c r="AH89" s="139" t="str">
        <f t="shared" si="14"/>
        <v/>
      </c>
      <c r="AI89" s="139" t="str">
        <f t="shared" si="14"/>
        <v/>
      </c>
      <c r="AJ89" s="139" t="str">
        <f t="shared" si="14"/>
        <v/>
      </c>
      <c r="AK89" s="139" t="str">
        <f t="shared" si="14"/>
        <v/>
      </c>
      <c r="AL89" s="139" t="str">
        <f t="shared" si="14"/>
        <v/>
      </c>
      <c r="AM89" s="139" t="str">
        <f t="shared" si="14"/>
        <v/>
      </c>
      <c r="AN89" s="139" t="str">
        <f t="shared" si="14"/>
        <v/>
      </c>
      <c r="AP89" s="82">
        <f t="shared" si="22"/>
        <v>7.3714152987165791E-4</v>
      </c>
      <c r="AQ89" s="82">
        <f t="shared" si="23"/>
        <v>0.94241603600039237</v>
      </c>
    </row>
    <row r="90" spans="2:43" x14ac:dyDescent="0.35">
      <c r="B90" s="83" t="s">
        <v>172</v>
      </c>
      <c r="D90" s="137">
        <v>496849</v>
      </c>
      <c r="E90" s="137">
        <v>450197</v>
      </c>
      <c r="F90" s="137">
        <v>590632</v>
      </c>
      <c r="G90" s="137">
        <v>556046</v>
      </c>
      <c r="H90" s="137">
        <f t="shared" si="15"/>
        <v>2093724</v>
      </c>
      <c r="J90" s="137">
        <v>121983</v>
      </c>
      <c r="K90" s="137">
        <v>128143</v>
      </c>
      <c r="L90" s="137">
        <v>151154</v>
      </c>
      <c r="M90" s="137">
        <v>185301</v>
      </c>
      <c r="N90" s="137">
        <f t="shared" si="16"/>
        <v>586581</v>
      </c>
      <c r="P90" s="84">
        <f t="shared" si="17"/>
        <v>0.24551322433978937</v>
      </c>
      <c r="Q90" s="84">
        <f t="shared" si="18"/>
        <v>0.28463761420000577</v>
      </c>
      <c r="R90" s="84">
        <f t="shared" si="19"/>
        <v>0.2559190832870552</v>
      </c>
      <c r="S90" s="84">
        <f t="shared" si="20"/>
        <v>0.33324760901076528</v>
      </c>
      <c r="T90" s="84" t="str">
        <f>+IFERROR(#REF!/#REF!,"")</f>
        <v/>
      </c>
      <c r="U90" s="84" t="str">
        <f>+IFERROR(#REF!/#REF!,"")</f>
        <v/>
      </c>
      <c r="V90" s="84" t="str">
        <f>+IFERROR(#REF!/#REF!,"")</f>
        <v/>
      </c>
      <c r="W90" s="84" t="str">
        <f>+IFERROR(#REF!/#REF!,"")</f>
        <v/>
      </c>
      <c r="X90" s="84" t="str">
        <f>+IFERROR(#REF!/#REF!,"")</f>
        <v/>
      </c>
      <c r="Y90" s="84" t="str">
        <f>+IFERROR(#REF!/#REF!,"")</f>
        <v/>
      </c>
      <c r="Z90" s="84" t="str">
        <f>+IFERROR(#REF!/#REF!,"")</f>
        <v/>
      </c>
      <c r="AA90" s="84" t="str">
        <f>+IFERROR(#REF!/#REF!,"")</f>
        <v/>
      </c>
      <c r="AB90" s="84">
        <f t="shared" si="21"/>
        <v>0.28016156857350827</v>
      </c>
      <c r="AD90" s="139">
        <f t="shared" si="14"/>
        <v>3.9124389860216408E-2</v>
      </c>
      <c r="AE90" s="139">
        <f t="shared" si="14"/>
        <v>-2.8718530912950568E-2</v>
      </c>
      <c r="AF90" s="139">
        <f t="shared" si="14"/>
        <v>7.7328525723710073E-2</v>
      </c>
      <c r="AG90" s="139" t="str">
        <f t="shared" si="14"/>
        <v/>
      </c>
      <c r="AH90" s="139" t="str">
        <f t="shared" si="14"/>
        <v/>
      </c>
      <c r="AI90" s="139" t="str">
        <f t="shared" si="14"/>
        <v/>
      </c>
      <c r="AJ90" s="139" t="str">
        <f t="shared" si="14"/>
        <v/>
      </c>
      <c r="AK90" s="139" t="str">
        <f t="shared" si="14"/>
        <v/>
      </c>
      <c r="AL90" s="139" t="str">
        <f t="shared" si="14"/>
        <v/>
      </c>
      <c r="AM90" s="139" t="str">
        <f t="shared" si="14"/>
        <v/>
      </c>
      <c r="AN90" s="139" t="str">
        <f t="shared" si="14"/>
        <v/>
      </c>
      <c r="AP90" s="82">
        <f t="shared" si="22"/>
        <v>5.4908260334971925E-4</v>
      </c>
      <c r="AQ90" s="82">
        <f t="shared" si="23"/>
        <v>0.9429651186037421</v>
      </c>
    </row>
    <row r="91" spans="2:43" x14ac:dyDescent="0.35">
      <c r="B91" s="83" t="s">
        <v>173</v>
      </c>
      <c r="D91" s="137">
        <v>1201899</v>
      </c>
      <c r="E91" s="137">
        <v>1174312</v>
      </c>
      <c r="F91" s="137">
        <v>1629088</v>
      </c>
      <c r="G91" s="137">
        <v>1485137</v>
      </c>
      <c r="H91" s="137">
        <f t="shared" si="15"/>
        <v>5490436</v>
      </c>
      <c r="J91" s="137">
        <v>221845</v>
      </c>
      <c r="K91" s="137">
        <v>212160</v>
      </c>
      <c r="L91" s="137">
        <v>297039</v>
      </c>
      <c r="M91" s="137">
        <v>261303</v>
      </c>
      <c r="N91" s="137">
        <f t="shared" si="16"/>
        <v>992347</v>
      </c>
      <c r="P91" s="84">
        <f t="shared" si="17"/>
        <v>0.18457873748126921</v>
      </c>
      <c r="Q91" s="84">
        <f t="shared" si="18"/>
        <v>0.18066748870828195</v>
      </c>
      <c r="R91" s="84">
        <f t="shared" si="19"/>
        <v>0.1823345331866664</v>
      </c>
      <c r="S91" s="84">
        <f t="shared" si="20"/>
        <v>0.17594538416321187</v>
      </c>
      <c r="T91" s="84" t="str">
        <f>+IFERROR(#REF!/#REF!,"")</f>
        <v/>
      </c>
      <c r="U91" s="84" t="str">
        <f>+IFERROR(#REF!/#REF!,"")</f>
        <v/>
      </c>
      <c r="V91" s="84" t="str">
        <f>+IFERROR(#REF!/#REF!,"")</f>
        <v/>
      </c>
      <c r="W91" s="84" t="str">
        <f>+IFERROR(#REF!/#REF!,"")</f>
        <v/>
      </c>
      <c r="X91" s="84" t="str">
        <f>+IFERROR(#REF!/#REF!,"")</f>
        <v/>
      </c>
      <c r="Y91" s="84" t="str">
        <f>+IFERROR(#REF!/#REF!,"")</f>
        <v/>
      </c>
      <c r="Z91" s="84" t="str">
        <f>+IFERROR(#REF!/#REF!,"")</f>
        <v/>
      </c>
      <c r="AA91" s="84" t="str">
        <f>+IFERROR(#REF!/#REF!,"")</f>
        <v/>
      </c>
      <c r="AB91" s="84">
        <f t="shared" si="21"/>
        <v>0.18074101947459181</v>
      </c>
      <c r="AD91" s="139">
        <f t="shared" si="14"/>
        <v>-3.9112487729872636E-3</v>
      </c>
      <c r="AE91" s="139">
        <f t="shared" si="14"/>
        <v>1.6670444783844496E-3</v>
      </c>
      <c r="AF91" s="139">
        <f t="shared" si="14"/>
        <v>-6.3891490234545267E-3</v>
      </c>
      <c r="AG91" s="139" t="str">
        <f t="shared" si="14"/>
        <v/>
      </c>
      <c r="AH91" s="139" t="str">
        <f t="shared" si="14"/>
        <v/>
      </c>
      <c r="AI91" s="139" t="str">
        <f t="shared" si="14"/>
        <v/>
      </c>
      <c r="AJ91" s="139" t="str">
        <f t="shared" si="14"/>
        <v/>
      </c>
      <c r="AK91" s="139" t="str">
        <f t="shared" si="14"/>
        <v/>
      </c>
      <c r="AL91" s="139" t="str">
        <f t="shared" si="14"/>
        <v/>
      </c>
      <c r="AM91" s="139" t="str">
        <f t="shared" si="14"/>
        <v/>
      </c>
      <c r="AN91" s="139" t="str">
        <f t="shared" si="14"/>
        <v/>
      </c>
      <c r="AP91" s="82">
        <f t="shared" si="22"/>
        <v>9.2890917739627411E-4</v>
      </c>
      <c r="AQ91" s="82">
        <f t="shared" si="23"/>
        <v>0.9438940277811384</v>
      </c>
    </row>
    <row r="92" spans="2:43" x14ac:dyDescent="0.35">
      <c r="B92" s="83" t="s">
        <v>174</v>
      </c>
      <c r="D92" s="137">
        <v>2327681</v>
      </c>
      <c r="E92" s="137">
        <v>2027813</v>
      </c>
      <c r="F92" s="137">
        <v>1880338</v>
      </c>
      <c r="G92" s="137">
        <v>1661334</v>
      </c>
      <c r="H92" s="137">
        <f t="shared" si="15"/>
        <v>7897166</v>
      </c>
      <c r="J92" s="137">
        <v>369406</v>
      </c>
      <c r="K92" s="137">
        <v>306548</v>
      </c>
      <c r="L92" s="137">
        <v>302439</v>
      </c>
      <c r="M92" s="137">
        <v>287954</v>
      </c>
      <c r="N92" s="137">
        <f t="shared" si="16"/>
        <v>1266347</v>
      </c>
      <c r="P92" s="84">
        <f t="shared" si="17"/>
        <v>0.1587012997055868</v>
      </c>
      <c r="Q92" s="84">
        <f t="shared" si="18"/>
        <v>0.15117173033213616</v>
      </c>
      <c r="R92" s="84">
        <f t="shared" si="19"/>
        <v>0.16084289101214783</v>
      </c>
      <c r="S92" s="84">
        <f t="shared" si="20"/>
        <v>0.1733269769955951</v>
      </c>
      <c r="T92" s="84" t="str">
        <f>+IFERROR(#REF!/#REF!,"")</f>
        <v/>
      </c>
      <c r="U92" s="84" t="str">
        <f>+IFERROR(#REF!/#REF!,"")</f>
        <v/>
      </c>
      <c r="V92" s="84" t="str">
        <f>+IFERROR(#REF!/#REF!,"")</f>
        <v/>
      </c>
      <c r="W92" s="84" t="str">
        <f>+IFERROR(#REF!/#REF!,"")</f>
        <v/>
      </c>
      <c r="X92" s="84" t="str">
        <f>+IFERROR(#REF!/#REF!,"")</f>
        <v/>
      </c>
      <c r="Y92" s="84" t="str">
        <f>+IFERROR(#REF!/#REF!,"")</f>
        <v/>
      </c>
      <c r="Z92" s="84" t="str">
        <f>+IFERROR(#REF!/#REF!,"")</f>
        <v/>
      </c>
      <c r="AA92" s="84" t="str">
        <f>+IFERROR(#REF!/#REF!,"")</f>
        <v/>
      </c>
      <c r="AB92" s="84">
        <f t="shared" si="21"/>
        <v>0.16035461328785541</v>
      </c>
      <c r="AD92" s="139">
        <f t="shared" ref="AD92:AN115" si="24">+IFERROR(Q92-P92,"")</f>
        <v>-7.5295693734506453E-3</v>
      </c>
      <c r="AE92" s="139">
        <f t="shared" si="24"/>
        <v>9.6711606800116701E-3</v>
      </c>
      <c r="AF92" s="139">
        <f t="shared" si="24"/>
        <v>1.2484085983447274E-2</v>
      </c>
      <c r="AG92" s="139" t="str">
        <f t="shared" si="24"/>
        <v/>
      </c>
      <c r="AH92" s="139" t="str">
        <f t="shared" si="24"/>
        <v/>
      </c>
      <c r="AI92" s="139" t="str">
        <f t="shared" si="24"/>
        <v/>
      </c>
      <c r="AJ92" s="139" t="str">
        <f t="shared" si="24"/>
        <v/>
      </c>
      <c r="AK92" s="139" t="str">
        <f t="shared" si="24"/>
        <v/>
      </c>
      <c r="AL92" s="139" t="str">
        <f t="shared" si="24"/>
        <v/>
      </c>
      <c r="AM92" s="139" t="str">
        <f t="shared" si="24"/>
        <v/>
      </c>
      <c r="AN92" s="139" t="str">
        <f t="shared" si="24"/>
        <v/>
      </c>
      <c r="AP92" s="82">
        <f t="shared" si="22"/>
        <v>1.1853931639519638E-3</v>
      </c>
      <c r="AQ92" s="82">
        <f t="shared" si="23"/>
        <v>0.94507942094509034</v>
      </c>
    </row>
    <row r="93" spans="2:43" x14ac:dyDescent="0.35">
      <c r="B93" s="83" t="s">
        <v>175</v>
      </c>
      <c r="D93" s="137">
        <v>986067</v>
      </c>
      <c r="E93" s="137">
        <v>1073874</v>
      </c>
      <c r="F93" s="137">
        <v>1218728</v>
      </c>
      <c r="G93" s="137">
        <v>1143681</v>
      </c>
      <c r="H93" s="137">
        <f t="shared" si="15"/>
        <v>4422350</v>
      </c>
      <c r="J93" s="137">
        <v>342042</v>
      </c>
      <c r="K93" s="137">
        <v>413502</v>
      </c>
      <c r="L93" s="137">
        <v>466479</v>
      </c>
      <c r="M93" s="137">
        <v>472233</v>
      </c>
      <c r="N93" s="137">
        <f t="shared" si="16"/>
        <v>1694256</v>
      </c>
      <c r="P93" s="84">
        <f t="shared" si="17"/>
        <v>0.34687500950746752</v>
      </c>
      <c r="Q93" s="84">
        <f t="shared" si="18"/>
        <v>0.38505634739271088</v>
      </c>
      <c r="R93" s="84">
        <f t="shared" si="19"/>
        <v>0.38275890928902923</v>
      </c>
      <c r="S93" s="84">
        <f t="shared" si="20"/>
        <v>0.41290622122777243</v>
      </c>
      <c r="T93" s="84" t="str">
        <f>+IFERROR(#REF!/#REF!,"")</f>
        <v/>
      </c>
      <c r="U93" s="84" t="str">
        <f>+IFERROR(#REF!/#REF!,"")</f>
        <v/>
      </c>
      <c r="V93" s="84" t="str">
        <f>+IFERROR(#REF!/#REF!,"")</f>
        <v/>
      </c>
      <c r="W93" s="84" t="str">
        <f>+IFERROR(#REF!/#REF!,"")</f>
        <v/>
      </c>
      <c r="X93" s="84" t="str">
        <f>+IFERROR(#REF!/#REF!,"")</f>
        <v/>
      </c>
      <c r="Y93" s="84" t="str">
        <f>+IFERROR(#REF!/#REF!,"")</f>
        <v/>
      </c>
      <c r="Z93" s="84" t="str">
        <f>+IFERROR(#REF!/#REF!,"")</f>
        <v/>
      </c>
      <c r="AA93" s="84" t="str">
        <f>+IFERROR(#REF!/#REF!,"")</f>
        <v/>
      </c>
      <c r="AB93" s="84">
        <f t="shared" si="21"/>
        <v>0.38311214625708051</v>
      </c>
      <c r="AD93" s="139">
        <f t="shared" si="24"/>
        <v>3.818133788524336E-2</v>
      </c>
      <c r="AE93" s="139">
        <f t="shared" si="24"/>
        <v>-2.2974381036816593E-3</v>
      </c>
      <c r="AF93" s="139">
        <f t="shared" si="24"/>
        <v>3.0147311938743204E-2</v>
      </c>
      <c r="AG93" s="139" t="str">
        <f t="shared" si="24"/>
        <v/>
      </c>
      <c r="AH93" s="139" t="str">
        <f t="shared" si="24"/>
        <v/>
      </c>
      <c r="AI93" s="139" t="str">
        <f t="shared" si="24"/>
        <v/>
      </c>
      <c r="AJ93" s="139" t="str">
        <f t="shared" si="24"/>
        <v/>
      </c>
      <c r="AK93" s="139" t="str">
        <f t="shared" si="24"/>
        <v/>
      </c>
      <c r="AL93" s="139" t="str">
        <f t="shared" si="24"/>
        <v/>
      </c>
      <c r="AM93" s="139" t="str">
        <f t="shared" si="24"/>
        <v/>
      </c>
      <c r="AN93" s="139" t="str">
        <f t="shared" si="24"/>
        <v/>
      </c>
      <c r="AP93" s="82">
        <f t="shared" si="22"/>
        <v>1.5859472011894042E-3</v>
      </c>
      <c r="AQ93" s="82">
        <f t="shared" si="23"/>
        <v>0.94666536814627977</v>
      </c>
    </row>
    <row r="94" spans="2:43" x14ac:dyDescent="0.35">
      <c r="B94" s="83" t="s">
        <v>176</v>
      </c>
      <c r="D94" s="137">
        <v>4710733</v>
      </c>
      <c r="E94" s="137">
        <v>4418482</v>
      </c>
      <c r="F94" s="137">
        <v>4966124</v>
      </c>
      <c r="G94" s="137">
        <v>4752819</v>
      </c>
      <c r="H94" s="137">
        <f t="shared" si="15"/>
        <v>18848158</v>
      </c>
      <c r="J94" s="137">
        <v>571170</v>
      </c>
      <c r="K94" s="137">
        <v>539219</v>
      </c>
      <c r="L94" s="137">
        <v>595216</v>
      </c>
      <c r="M94" s="137">
        <v>569176</v>
      </c>
      <c r="N94" s="137">
        <f t="shared" si="16"/>
        <v>2274781</v>
      </c>
      <c r="P94" s="84">
        <f t="shared" si="17"/>
        <v>0.12124864644207176</v>
      </c>
      <c r="Q94" s="84">
        <f t="shared" si="18"/>
        <v>0.12203716117888451</v>
      </c>
      <c r="R94" s="84">
        <f t="shared" si="19"/>
        <v>0.11985524324402694</v>
      </c>
      <c r="S94" s="84">
        <f t="shared" si="20"/>
        <v>0.11975545460494078</v>
      </c>
      <c r="T94" s="84" t="str">
        <f>+IFERROR(#REF!/#REF!,"")</f>
        <v/>
      </c>
      <c r="U94" s="84" t="str">
        <f>+IFERROR(#REF!/#REF!,"")</f>
        <v/>
      </c>
      <c r="V94" s="84" t="str">
        <f>+IFERROR(#REF!/#REF!,"")</f>
        <v/>
      </c>
      <c r="W94" s="84" t="str">
        <f>+IFERROR(#REF!/#REF!,"")</f>
        <v/>
      </c>
      <c r="X94" s="84" t="str">
        <f>+IFERROR(#REF!/#REF!,"")</f>
        <v/>
      </c>
      <c r="Y94" s="84" t="str">
        <f>+IFERROR(#REF!/#REF!,"")</f>
        <v/>
      </c>
      <c r="Z94" s="84" t="str">
        <f>+IFERROR(#REF!/#REF!,"")</f>
        <v/>
      </c>
      <c r="AA94" s="84" t="str">
        <f>+IFERROR(#REF!/#REF!,"")</f>
        <v/>
      </c>
      <c r="AB94" s="84">
        <f t="shared" si="21"/>
        <v>0.12068983080468659</v>
      </c>
      <c r="AD94" s="139">
        <f t="shared" si="24"/>
        <v>7.8851473681275375E-4</v>
      </c>
      <c r="AE94" s="139">
        <f t="shared" si="24"/>
        <v>-2.1819179348575718E-3</v>
      </c>
      <c r="AF94" s="139">
        <f t="shared" si="24"/>
        <v>-9.9788639086162423E-5</v>
      </c>
      <c r="AG94" s="139" t="str">
        <f t="shared" si="24"/>
        <v/>
      </c>
      <c r="AH94" s="139" t="str">
        <f t="shared" si="24"/>
        <v/>
      </c>
      <c r="AI94" s="139" t="str">
        <f t="shared" si="24"/>
        <v/>
      </c>
      <c r="AJ94" s="139" t="str">
        <f t="shared" si="24"/>
        <v/>
      </c>
      <c r="AK94" s="139" t="str">
        <f t="shared" si="24"/>
        <v/>
      </c>
      <c r="AL94" s="139" t="str">
        <f t="shared" si="24"/>
        <v/>
      </c>
      <c r="AM94" s="139" t="str">
        <f t="shared" si="24"/>
        <v/>
      </c>
      <c r="AN94" s="139" t="str">
        <f t="shared" si="24"/>
        <v/>
      </c>
      <c r="AP94" s="82">
        <f t="shared" si="22"/>
        <v>2.1293609467924767E-3</v>
      </c>
      <c r="AQ94" s="82">
        <f t="shared" si="23"/>
        <v>0.94879472909307228</v>
      </c>
    </row>
    <row r="95" spans="2:43" x14ac:dyDescent="0.35">
      <c r="B95" s="83" t="s">
        <v>177</v>
      </c>
      <c r="D95" s="137">
        <v>883466</v>
      </c>
      <c r="E95" s="137">
        <v>745543</v>
      </c>
      <c r="F95" s="137">
        <v>918132</v>
      </c>
      <c r="G95" s="137">
        <v>1013872</v>
      </c>
      <c r="H95" s="137">
        <f t="shared" si="15"/>
        <v>3561013</v>
      </c>
      <c r="J95" s="137">
        <v>149206</v>
      </c>
      <c r="K95" s="137">
        <v>116662</v>
      </c>
      <c r="L95" s="137">
        <v>179751</v>
      </c>
      <c r="M95" s="137">
        <v>235074</v>
      </c>
      <c r="N95" s="137">
        <f t="shared" si="16"/>
        <v>680693</v>
      </c>
      <c r="P95" s="84">
        <f t="shared" si="17"/>
        <v>0.16888708790151516</v>
      </c>
      <c r="Q95" s="84">
        <f t="shared" si="18"/>
        <v>0.15647923728074706</v>
      </c>
      <c r="R95" s="84">
        <f t="shared" si="19"/>
        <v>0.19577903830821711</v>
      </c>
      <c r="S95" s="84">
        <f t="shared" si="20"/>
        <v>0.23185767039626304</v>
      </c>
      <c r="T95" s="84" t="str">
        <f>+IFERROR(#REF!/#REF!,"")</f>
        <v/>
      </c>
      <c r="U95" s="84" t="str">
        <f>+IFERROR(#REF!/#REF!,"")</f>
        <v/>
      </c>
      <c r="V95" s="84" t="str">
        <f>+IFERROR(#REF!/#REF!,"")</f>
        <v/>
      </c>
      <c r="W95" s="84" t="str">
        <f>+IFERROR(#REF!/#REF!,"")</f>
        <v/>
      </c>
      <c r="X95" s="84" t="str">
        <f>+IFERROR(#REF!/#REF!,"")</f>
        <v/>
      </c>
      <c r="Y95" s="84" t="str">
        <f>+IFERROR(#REF!/#REF!,"")</f>
        <v/>
      </c>
      <c r="Z95" s="84" t="str">
        <f>+IFERROR(#REF!/#REF!,"")</f>
        <v/>
      </c>
      <c r="AA95" s="84" t="str">
        <f>+IFERROR(#REF!/#REF!,"")</f>
        <v/>
      </c>
      <c r="AB95" s="84">
        <f t="shared" si="21"/>
        <v>0.19115150660781074</v>
      </c>
      <c r="AD95" s="139">
        <f t="shared" si="24"/>
        <v>-1.2407850620768102E-2</v>
      </c>
      <c r="AE95" s="139">
        <f t="shared" si="24"/>
        <v>3.9299801027470049E-2</v>
      </c>
      <c r="AF95" s="139">
        <f t="shared" si="24"/>
        <v>3.6078632088045931E-2</v>
      </c>
      <c r="AG95" s="139" t="str">
        <f t="shared" si="24"/>
        <v/>
      </c>
      <c r="AH95" s="139" t="str">
        <f t="shared" si="24"/>
        <v/>
      </c>
      <c r="AI95" s="139" t="str">
        <f t="shared" si="24"/>
        <v/>
      </c>
      <c r="AJ95" s="139" t="str">
        <f t="shared" si="24"/>
        <v/>
      </c>
      <c r="AK95" s="139" t="str">
        <f t="shared" si="24"/>
        <v/>
      </c>
      <c r="AL95" s="139" t="str">
        <f t="shared" si="24"/>
        <v/>
      </c>
      <c r="AM95" s="139" t="str">
        <f t="shared" si="24"/>
        <v/>
      </c>
      <c r="AN95" s="139" t="str">
        <f t="shared" si="24"/>
        <v/>
      </c>
      <c r="AP95" s="82">
        <f t="shared" si="22"/>
        <v>6.3717830022099321E-4</v>
      </c>
      <c r="AQ95" s="82">
        <f t="shared" si="23"/>
        <v>0.94943190739329331</v>
      </c>
    </row>
    <row r="96" spans="2:43" x14ac:dyDescent="0.35">
      <c r="B96" s="83" t="s">
        <v>178</v>
      </c>
      <c r="D96" s="137">
        <v>2123549</v>
      </c>
      <c r="E96" s="137">
        <v>1702450</v>
      </c>
      <c r="F96" s="137">
        <v>1538257</v>
      </c>
      <c r="G96" s="137">
        <v>1210863</v>
      </c>
      <c r="H96" s="137">
        <f t="shared" si="15"/>
        <v>6575119</v>
      </c>
      <c r="J96" s="137">
        <v>298855</v>
      </c>
      <c r="K96" s="137">
        <v>245588</v>
      </c>
      <c r="L96" s="137">
        <v>228133</v>
      </c>
      <c r="M96" s="137">
        <v>190276</v>
      </c>
      <c r="N96" s="137">
        <f t="shared" si="16"/>
        <v>962852</v>
      </c>
      <c r="P96" s="84">
        <f t="shared" si="17"/>
        <v>0.14073374337017888</v>
      </c>
      <c r="Q96" s="84">
        <f t="shared" si="18"/>
        <v>0.14425563158976767</v>
      </c>
      <c r="R96" s="84">
        <f t="shared" si="19"/>
        <v>0.1483061673049432</v>
      </c>
      <c r="S96" s="84">
        <f t="shared" si="20"/>
        <v>0.15714081609562766</v>
      </c>
      <c r="T96" s="84" t="str">
        <f>+IFERROR(#REF!/#REF!,"")</f>
        <v/>
      </c>
      <c r="U96" s="84" t="str">
        <f>+IFERROR(#REF!/#REF!,"")</f>
        <v/>
      </c>
      <c r="V96" s="84" t="str">
        <f>+IFERROR(#REF!/#REF!,"")</f>
        <v/>
      </c>
      <c r="W96" s="84" t="str">
        <f>+IFERROR(#REF!/#REF!,"")</f>
        <v/>
      </c>
      <c r="X96" s="84" t="str">
        <f>+IFERROR(#REF!/#REF!,"")</f>
        <v/>
      </c>
      <c r="Y96" s="84" t="str">
        <f>+IFERROR(#REF!/#REF!,"")</f>
        <v/>
      </c>
      <c r="Z96" s="84" t="str">
        <f>+IFERROR(#REF!/#REF!,"")</f>
        <v/>
      </c>
      <c r="AA96" s="84" t="str">
        <f>+IFERROR(#REF!/#REF!,"")</f>
        <v/>
      </c>
      <c r="AB96" s="84">
        <f t="shared" si="21"/>
        <v>0.14643871844752923</v>
      </c>
      <c r="AD96" s="139">
        <f t="shared" si="24"/>
        <v>3.5218882195887924E-3</v>
      </c>
      <c r="AE96" s="139">
        <f t="shared" si="24"/>
        <v>4.0505357151755239E-3</v>
      </c>
      <c r="AF96" s="139">
        <f t="shared" si="24"/>
        <v>8.8346487906844628E-3</v>
      </c>
      <c r="AG96" s="139" t="str">
        <f t="shared" si="24"/>
        <v/>
      </c>
      <c r="AH96" s="139" t="str">
        <f t="shared" si="24"/>
        <v/>
      </c>
      <c r="AI96" s="139" t="str">
        <f t="shared" si="24"/>
        <v/>
      </c>
      <c r="AJ96" s="139" t="str">
        <f t="shared" si="24"/>
        <v/>
      </c>
      <c r="AK96" s="139" t="str">
        <f t="shared" si="24"/>
        <v/>
      </c>
      <c r="AL96" s="139" t="str">
        <f t="shared" si="24"/>
        <v/>
      </c>
      <c r="AM96" s="139" t="str">
        <f t="shared" si="24"/>
        <v/>
      </c>
      <c r="AN96" s="139" t="str">
        <f t="shared" si="24"/>
        <v/>
      </c>
      <c r="AP96" s="82">
        <f t="shared" si="22"/>
        <v>9.0129970592379201E-4</v>
      </c>
      <c r="AQ96" s="82">
        <f t="shared" si="23"/>
        <v>0.95033320709921709</v>
      </c>
    </row>
    <row r="97" spans="2:43" x14ac:dyDescent="0.35">
      <c r="B97" s="83" t="s">
        <v>179</v>
      </c>
      <c r="D97" s="137">
        <v>499843</v>
      </c>
      <c r="E97" s="137">
        <v>513786</v>
      </c>
      <c r="F97" s="137">
        <v>486372</v>
      </c>
      <c r="G97" s="137">
        <v>462853</v>
      </c>
      <c r="H97" s="137">
        <f t="shared" si="15"/>
        <v>1962854</v>
      </c>
      <c r="J97" s="137">
        <v>96810</v>
      </c>
      <c r="K97" s="137">
        <v>92280</v>
      </c>
      <c r="L97" s="137">
        <v>105179</v>
      </c>
      <c r="M97" s="137">
        <v>81804</v>
      </c>
      <c r="N97" s="137">
        <f t="shared" si="16"/>
        <v>376073</v>
      </c>
      <c r="P97" s="84">
        <f t="shared" si="17"/>
        <v>0.1936808157761537</v>
      </c>
      <c r="Q97" s="84">
        <f t="shared" si="18"/>
        <v>0.17960785229648141</v>
      </c>
      <c r="R97" s="84">
        <f t="shared" si="19"/>
        <v>0.21625216912157771</v>
      </c>
      <c r="S97" s="84">
        <f t="shared" si="20"/>
        <v>0.17673861895677462</v>
      </c>
      <c r="T97" s="84" t="str">
        <f>+IFERROR(#REF!/#REF!,"")</f>
        <v/>
      </c>
      <c r="U97" s="84" t="str">
        <f>+IFERROR(#REF!/#REF!,"")</f>
        <v/>
      </c>
      <c r="V97" s="84" t="str">
        <f>+IFERROR(#REF!/#REF!,"")</f>
        <v/>
      </c>
      <c r="W97" s="84" t="str">
        <f>+IFERROR(#REF!/#REF!,"")</f>
        <v/>
      </c>
      <c r="X97" s="84" t="str">
        <f>+IFERROR(#REF!/#REF!,"")</f>
        <v/>
      </c>
      <c r="Y97" s="84" t="str">
        <f>+IFERROR(#REF!/#REF!,"")</f>
        <v/>
      </c>
      <c r="Z97" s="84" t="str">
        <f>+IFERROR(#REF!/#REF!,"")</f>
        <v/>
      </c>
      <c r="AA97" s="84" t="str">
        <f>+IFERROR(#REF!/#REF!,"")</f>
        <v/>
      </c>
      <c r="AB97" s="84">
        <f t="shared" si="21"/>
        <v>0.19159499382022299</v>
      </c>
      <c r="AD97" s="139">
        <f t="shared" si="24"/>
        <v>-1.4072963479672296E-2</v>
      </c>
      <c r="AE97" s="139">
        <f t="shared" si="24"/>
        <v>3.6644316825096307E-2</v>
      </c>
      <c r="AF97" s="139">
        <f t="shared" si="24"/>
        <v>-3.9513550164803096E-2</v>
      </c>
      <c r="AG97" s="139" t="str">
        <f t="shared" si="24"/>
        <v/>
      </c>
      <c r="AH97" s="139" t="str">
        <f t="shared" si="24"/>
        <v/>
      </c>
      <c r="AI97" s="139" t="str">
        <f t="shared" si="24"/>
        <v/>
      </c>
      <c r="AJ97" s="139" t="str">
        <f t="shared" si="24"/>
        <v/>
      </c>
      <c r="AK97" s="139" t="str">
        <f t="shared" si="24"/>
        <v/>
      </c>
      <c r="AL97" s="139" t="str">
        <f t="shared" si="24"/>
        <v/>
      </c>
      <c r="AM97" s="139" t="str">
        <f t="shared" si="24"/>
        <v/>
      </c>
      <c r="AN97" s="139" t="str">
        <f t="shared" si="24"/>
        <v/>
      </c>
      <c r="AP97" s="82">
        <f t="shared" si="22"/>
        <v>3.5203176013123328E-4</v>
      </c>
      <c r="AQ97" s="82">
        <f t="shared" si="23"/>
        <v>0.9506852388593483</v>
      </c>
    </row>
    <row r="98" spans="2:43" x14ac:dyDescent="0.35">
      <c r="B98" s="83" t="s">
        <v>180</v>
      </c>
      <c r="D98" s="137">
        <v>14204997</v>
      </c>
      <c r="E98" s="137">
        <v>12401195</v>
      </c>
      <c r="F98" s="137">
        <v>14730868</v>
      </c>
      <c r="G98" s="137">
        <v>14251764</v>
      </c>
      <c r="H98" s="137">
        <f t="shared" si="15"/>
        <v>55588824</v>
      </c>
      <c r="J98" s="137">
        <v>2077260</v>
      </c>
      <c r="K98" s="137">
        <v>1956357</v>
      </c>
      <c r="L98" s="137">
        <v>2066064</v>
      </c>
      <c r="M98" s="137">
        <v>2317400</v>
      </c>
      <c r="N98" s="137">
        <f t="shared" si="16"/>
        <v>8417081</v>
      </c>
      <c r="P98" s="84">
        <f t="shared" si="17"/>
        <v>0.14623445538214475</v>
      </c>
      <c r="Q98" s="84">
        <f t="shared" si="18"/>
        <v>0.15775552275405716</v>
      </c>
      <c r="R98" s="84">
        <f t="shared" si="19"/>
        <v>0.14025405699107479</v>
      </c>
      <c r="S98" s="84">
        <f t="shared" si="20"/>
        <v>0.16260443268636782</v>
      </c>
      <c r="T98" s="84" t="str">
        <f>+IFERROR(#REF!/#REF!,"")</f>
        <v/>
      </c>
      <c r="U98" s="84" t="str">
        <f>+IFERROR(#REF!/#REF!,"")</f>
        <v/>
      </c>
      <c r="V98" s="84" t="str">
        <f>+IFERROR(#REF!/#REF!,"")</f>
        <v/>
      </c>
      <c r="W98" s="84" t="str">
        <f>+IFERROR(#REF!/#REF!,"")</f>
        <v/>
      </c>
      <c r="X98" s="84" t="str">
        <f>+IFERROR(#REF!/#REF!,"")</f>
        <v/>
      </c>
      <c r="Y98" s="84" t="str">
        <f>+IFERROR(#REF!/#REF!,"")</f>
        <v/>
      </c>
      <c r="Z98" s="84" t="str">
        <f>+IFERROR(#REF!/#REF!,"")</f>
        <v/>
      </c>
      <c r="AA98" s="84" t="str">
        <f>+IFERROR(#REF!/#REF!,"")</f>
        <v/>
      </c>
      <c r="AB98" s="84">
        <f t="shared" si="21"/>
        <v>0.15141678478393428</v>
      </c>
      <c r="AD98" s="139">
        <f t="shared" si="24"/>
        <v>1.1521067371912413E-2</v>
      </c>
      <c r="AE98" s="139">
        <f t="shared" si="24"/>
        <v>-1.7501465762982366E-2</v>
      </c>
      <c r="AF98" s="139">
        <f t="shared" si="24"/>
        <v>2.2350375695293023E-2</v>
      </c>
      <c r="AG98" s="139" t="str">
        <f t="shared" si="24"/>
        <v/>
      </c>
      <c r="AH98" s="139" t="str">
        <f t="shared" si="24"/>
        <v/>
      </c>
      <c r="AI98" s="139" t="str">
        <f t="shared" si="24"/>
        <v/>
      </c>
      <c r="AJ98" s="139" t="str">
        <f t="shared" si="24"/>
        <v/>
      </c>
      <c r="AK98" s="139" t="str">
        <f t="shared" si="24"/>
        <v/>
      </c>
      <c r="AL98" s="139" t="str">
        <f t="shared" si="24"/>
        <v/>
      </c>
      <c r="AM98" s="139" t="str">
        <f t="shared" si="24"/>
        <v/>
      </c>
      <c r="AN98" s="139" t="str">
        <f t="shared" si="24"/>
        <v/>
      </c>
      <c r="AP98" s="82">
        <f t="shared" si="22"/>
        <v>7.8790017884750076E-3</v>
      </c>
      <c r="AQ98" s="82">
        <f t="shared" si="23"/>
        <v>0.95856424064782331</v>
      </c>
    </row>
    <row r="99" spans="2:43" x14ac:dyDescent="0.35">
      <c r="B99" s="83" t="s">
        <v>181</v>
      </c>
      <c r="D99" s="137">
        <v>2914347</v>
      </c>
      <c r="E99" s="137">
        <v>2293418</v>
      </c>
      <c r="F99" s="137">
        <v>3358003</v>
      </c>
      <c r="G99" s="137">
        <v>1930291</v>
      </c>
      <c r="H99" s="137">
        <f t="shared" si="15"/>
        <v>10496059</v>
      </c>
      <c r="J99" s="137">
        <v>500945</v>
      </c>
      <c r="K99" s="137">
        <v>448120</v>
      </c>
      <c r="L99" s="137">
        <v>492479</v>
      </c>
      <c r="M99" s="137">
        <v>304751</v>
      </c>
      <c r="N99" s="137">
        <f t="shared" si="16"/>
        <v>1746295</v>
      </c>
      <c r="P99" s="84">
        <f t="shared" si="17"/>
        <v>0.17188927742646981</v>
      </c>
      <c r="Q99" s="84">
        <f t="shared" si="18"/>
        <v>0.19539394911873892</v>
      </c>
      <c r="R99" s="84">
        <f t="shared" si="19"/>
        <v>0.1466582966125998</v>
      </c>
      <c r="S99" s="84">
        <f t="shared" si="20"/>
        <v>0.15787826809532862</v>
      </c>
      <c r="T99" s="84" t="str">
        <f>+IFERROR(#REF!/#REF!,"")</f>
        <v/>
      </c>
      <c r="U99" s="84" t="str">
        <f>+IFERROR(#REF!/#REF!,"")</f>
        <v/>
      </c>
      <c r="V99" s="84" t="str">
        <f>+IFERROR(#REF!/#REF!,"")</f>
        <v/>
      </c>
      <c r="W99" s="84" t="str">
        <f>+IFERROR(#REF!/#REF!,"")</f>
        <v/>
      </c>
      <c r="X99" s="84" t="str">
        <f>+IFERROR(#REF!/#REF!,"")</f>
        <v/>
      </c>
      <c r="Y99" s="84" t="str">
        <f>+IFERROR(#REF!/#REF!,"")</f>
        <v/>
      </c>
      <c r="Z99" s="84" t="str">
        <f>+IFERROR(#REF!/#REF!,"")</f>
        <v/>
      </c>
      <c r="AA99" s="84" t="str">
        <f>+IFERROR(#REF!/#REF!,"")</f>
        <v/>
      </c>
      <c r="AB99" s="84">
        <f t="shared" si="21"/>
        <v>0.16637625607859102</v>
      </c>
      <c r="AD99" s="139">
        <f t="shared" si="24"/>
        <v>2.3504671692269108E-2</v>
      </c>
      <c r="AE99" s="139">
        <f t="shared" si="24"/>
        <v>-4.8735652506139121E-2</v>
      </c>
      <c r="AF99" s="139">
        <f t="shared" si="24"/>
        <v>1.1219971482728824E-2</v>
      </c>
      <c r="AG99" s="139" t="str">
        <f t="shared" si="24"/>
        <v/>
      </c>
      <c r="AH99" s="139" t="str">
        <f t="shared" si="24"/>
        <v/>
      </c>
      <c r="AI99" s="139" t="str">
        <f t="shared" si="24"/>
        <v/>
      </c>
      <c r="AJ99" s="139" t="str">
        <f t="shared" si="24"/>
        <v/>
      </c>
      <c r="AK99" s="139" t="str">
        <f t="shared" si="24"/>
        <v/>
      </c>
      <c r="AL99" s="139" t="str">
        <f t="shared" si="24"/>
        <v/>
      </c>
      <c r="AM99" s="139" t="str">
        <f t="shared" si="24"/>
        <v/>
      </c>
      <c r="AN99" s="139" t="str">
        <f t="shared" si="24"/>
        <v/>
      </c>
      <c r="AP99" s="82">
        <f t="shared" si="22"/>
        <v>1.6346595011031691E-3</v>
      </c>
      <c r="AQ99" s="82">
        <f t="shared" si="23"/>
        <v>0.9601989001489265</v>
      </c>
    </row>
    <row r="100" spans="2:43" x14ac:dyDescent="0.35">
      <c r="B100" s="83" t="s">
        <v>182</v>
      </c>
      <c r="D100" s="137">
        <v>970881</v>
      </c>
      <c r="E100" s="137">
        <v>724083</v>
      </c>
      <c r="F100" s="137">
        <v>829531</v>
      </c>
      <c r="G100" s="137">
        <v>982233</v>
      </c>
      <c r="H100" s="137">
        <f t="shared" si="15"/>
        <v>3506728</v>
      </c>
      <c r="J100" s="137">
        <v>116396</v>
      </c>
      <c r="K100" s="137">
        <v>72589</v>
      </c>
      <c r="L100" s="137">
        <v>94065</v>
      </c>
      <c r="M100" s="137">
        <v>106908</v>
      </c>
      <c r="N100" s="137">
        <f t="shared" si="16"/>
        <v>389958</v>
      </c>
      <c r="P100" s="84">
        <f t="shared" si="17"/>
        <v>0.11988698923966995</v>
      </c>
      <c r="Q100" s="84">
        <f t="shared" si="18"/>
        <v>0.10024955702592106</v>
      </c>
      <c r="R100" s="84">
        <f t="shared" si="19"/>
        <v>0.1133954005335545</v>
      </c>
      <c r="S100" s="84">
        <f t="shared" si="20"/>
        <v>0.10884179212060682</v>
      </c>
      <c r="T100" s="84" t="str">
        <f>+IFERROR(#REF!/#REF!,"")</f>
        <v/>
      </c>
      <c r="U100" s="84" t="str">
        <f>+IFERROR(#REF!/#REF!,"")</f>
        <v/>
      </c>
      <c r="V100" s="84" t="str">
        <f>+IFERROR(#REF!/#REF!,"")</f>
        <v/>
      </c>
      <c r="W100" s="84" t="str">
        <f>+IFERROR(#REF!/#REF!,"")</f>
        <v/>
      </c>
      <c r="X100" s="84" t="str">
        <f>+IFERROR(#REF!/#REF!,"")</f>
        <v/>
      </c>
      <c r="Y100" s="84" t="str">
        <f>+IFERROR(#REF!/#REF!,"")</f>
        <v/>
      </c>
      <c r="Z100" s="84" t="str">
        <f>+IFERROR(#REF!/#REF!,"")</f>
        <v/>
      </c>
      <c r="AA100" s="84" t="str">
        <f>+IFERROR(#REF!/#REF!,"")</f>
        <v/>
      </c>
      <c r="AB100" s="84">
        <f t="shared" si="21"/>
        <v>0.11120280785963439</v>
      </c>
      <c r="AD100" s="139">
        <f t="shared" si="24"/>
        <v>-1.963743221374889E-2</v>
      </c>
      <c r="AE100" s="139">
        <f t="shared" si="24"/>
        <v>1.314584350763344E-2</v>
      </c>
      <c r="AF100" s="139">
        <f t="shared" si="24"/>
        <v>-4.5536084129476767E-3</v>
      </c>
      <c r="AG100" s="139" t="str">
        <f t="shared" si="24"/>
        <v/>
      </c>
      <c r="AH100" s="139" t="str">
        <f t="shared" si="24"/>
        <v/>
      </c>
      <c r="AI100" s="139" t="str">
        <f t="shared" si="24"/>
        <v/>
      </c>
      <c r="AJ100" s="139" t="str">
        <f t="shared" si="24"/>
        <v/>
      </c>
      <c r="AK100" s="139" t="str">
        <f t="shared" si="24"/>
        <v/>
      </c>
      <c r="AL100" s="139" t="str">
        <f t="shared" si="24"/>
        <v/>
      </c>
      <c r="AM100" s="139" t="str">
        <f t="shared" si="24"/>
        <v/>
      </c>
      <c r="AN100" s="139" t="str">
        <f t="shared" si="24"/>
        <v/>
      </c>
      <c r="AP100" s="82">
        <f t="shared" si="22"/>
        <v>3.6502913295359009E-4</v>
      </c>
      <c r="AQ100" s="82">
        <f t="shared" si="23"/>
        <v>0.96056392928188006</v>
      </c>
    </row>
    <row r="101" spans="2:43" x14ac:dyDescent="0.35">
      <c r="B101" s="83" t="s">
        <v>183</v>
      </c>
      <c r="D101" s="137">
        <v>546759</v>
      </c>
      <c r="E101" s="137">
        <v>454534</v>
      </c>
      <c r="F101" s="137">
        <v>425218</v>
      </c>
      <c r="G101" s="137">
        <v>307067</v>
      </c>
      <c r="H101" s="137">
        <f t="shared" si="15"/>
        <v>1733578</v>
      </c>
      <c r="J101" s="137">
        <v>91022</v>
      </c>
      <c r="K101" s="137">
        <v>120238</v>
      </c>
      <c r="L101" s="137">
        <v>58149</v>
      </c>
      <c r="M101" s="137">
        <v>42141</v>
      </c>
      <c r="N101" s="137">
        <f t="shared" si="16"/>
        <v>311550</v>
      </c>
      <c r="P101" s="84">
        <f t="shared" si="17"/>
        <v>0.16647554041177193</v>
      </c>
      <c r="Q101" s="84">
        <f t="shared" si="18"/>
        <v>0.26453026616270731</v>
      </c>
      <c r="R101" s="84">
        <f t="shared" si="19"/>
        <v>0.13675103123574261</v>
      </c>
      <c r="S101" s="84">
        <f t="shared" si="20"/>
        <v>0.13723715019849089</v>
      </c>
      <c r="T101" s="84" t="str">
        <f>+IFERROR(#REF!/#REF!,"")</f>
        <v/>
      </c>
      <c r="U101" s="84" t="str">
        <f>+IFERROR(#REF!/#REF!,"")</f>
        <v/>
      </c>
      <c r="V101" s="84" t="str">
        <f>+IFERROR(#REF!/#REF!,"")</f>
        <v/>
      </c>
      <c r="W101" s="84" t="str">
        <f>+IFERROR(#REF!/#REF!,"")</f>
        <v/>
      </c>
      <c r="X101" s="84" t="str">
        <f>+IFERROR(#REF!/#REF!,"")</f>
        <v/>
      </c>
      <c r="Y101" s="84" t="str">
        <f>+IFERROR(#REF!/#REF!,"")</f>
        <v/>
      </c>
      <c r="Z101" s="84" t="str">
        <f>+IFERROR(#REF!/#REF!,"")</f>
        <v/>
      </c>
      <c r="AA101" s="84" t="str">
        <f>+IFERROR(#REF!/#REF!,"")</f>
        <v/>
      </c>
      <c r="AB101" s="84">
        <f t="shared" si="21"/>
        <v>0.17971501714950236</v>
      </c>
      <c r="AD101" s="139">
        <f t="shared" si="24"/>
        <v>9.8054725750935379E-2</v>
      </c>
      <c r="AE101" s="139">
        <f t="shared" si="24"/>
        <v>-0.12777923492696469</v>
      </c>
      <c r="AF101" s="139">
        <f t="shared" si="24"/>
        <v>4.8611896274827759E-4</v>
      </c>
      <c r="AG101" s="139" t="str">
        <f t="shared" si="24"/>
        <v/>
      </c>
      <c r="AH101" s="139" t="str">
        <f t="shared" si="24"/>
        <v/>
      </c>
      <c r="AI101" s="139" t="str">
        <f t="shared" si="24"/>
        <v/>
      </c>
      <c r="AJ101" s="139" t="str">
        <f t="shared" si="24"/>
        <v/>
      </c>
      <c r="AK101" s="139" t="str">
        <f t="shared" si="24"/>
        <v/>
      </c>
      <c r="AL101" s="139" t="str">
        <f t="shared" si="24"/>
        <v/>
      </c>
      <c r="AM101" s="139" t="str">
        <f t="shared" si="24"/>
        <v/>
      </c>
      <c r="AN101" s="139" t="str">
        <f t="shared" si="24"/>
        <v/>
      </c>
      <c r="AP101" s="82">
        <f t="shared" ref="AP101:AP131" si="25">+N101/$N$235</f>
        <v>2.9163352558914292E-4</v>
      </c>
      <c r="AQ101" s="82">
        <f t="shared" si="23"/>
        <v>0.9608555628074692</v>
      </c>
    </row>
    <row r="102" spans="2:43" x14ac:dyDescent="0.35">
      <c r="B102" s="83" t="s">
        <v>184</v>
      </c>
      <c r="D102" s="137">
        <v>375574</v>
      </c>
      <c r="E102" s="137">
        <v>331622</v>
      </c>
      <c r="F102" s="137">
        <v>376431</v>
      </c>
      <c r="G102" s="137">
        <v>329335</v>
      </c>
      <c r="H102" s="137">
        <f t="shared" si="15"/>
        <v>1412962</v>
      </c>
      <c r="J102" s="137">
        <v>58643</v>
      </c>
      <c r="K102" s="137">
        <v>41597</v>
      </c>
      <c r="L102" s="137">
        <v>58993</v>
      </c>
      <c r="M102" s="137">
        <v>68975</v>
      </c>
      <c r="N102" s="137">
        <f t="shared" si="16"/>
        <v>228208</v>
      </c>
      <c r="P102" s="84">
        <f t="shared" si="17"/>
        <v>0.15614233147129461</v>
      </c>
      <c r="Q102" s="84">
        <f t="shared" si="18"/>
        <v>0.12543498320376814</v>
      </c>
      <c r="R102" s="84">
        <f t="shared" si="19"/>
        <v>0.15671663598375266</v>
      </c>
      <c r="S102" s="84">
        <f t="shared" si="20"/>
        <v>0.20943719920445747</v>
      </c>
      <c r="T102" s="84" t="str">
        <f>+IFERROR(#REF!/#REF!,"")</f>
        <v/>
      </c>
      <c r="U102" s="84" t="str">
        <f>+IFERROR(#REF!/#REF!,"")</f>
        <v/>
      </c>
      <c r="V102" s="84" t="str">
        <f>+IFERROR(#REF!/#REF!,"")</f>
        <v/>
      </c>
      <c r="W102" s="84" t="str">
        <f>+IFERROR(#REF!/#REF!,"")</f>
        <v/>
      </c>
      <c r="X102" s="84" t="str">
        <f>+IFERROR(#REF!/#REF!,"")</f>
        <v/>
      </c>
      <c r="Y102" s="84" t="str">
        <f>+IFERROR(#REF!/#REF!,"")</f>
        <v/>
      </c>
      <c r="Z102" s="84" t="str">
        <f>+IFERROR(#REF!/#REF!,"")</f>
        <v/>
      </c>
      <c r="AA102" s="84" t="str">
        <f>+IFERROR(#REF!/#REF!,"")</f>
        <v/>
      </c>
      <c r="AB102" s="84">
        <f t="shared" si="21"/>
        <v>0.16151035908962874</v>
      </c>
      <c r="AD102" s="139">
        <f t="shared" si="24"/>
        <v>-3.0707348267526469E-2</v>
      </c>
      <c r="AE102" s="139">
        <f t="shared" si="24"/>
        <v>3.1281652779984515E-2</v>
      </c>
      <c r="AF102" s="139">
        <f t="shared" si="24"/>
        <v>5.2720563220704814E-2</v>
      </c>
      <c r="AG102" s="139" t="str">
        <f t="shared" si="24"/>
        <v/>
      </c>
      <c r="AH102" s="139" t="str">
        <f t="shared" si="24"/>
        <v/>
      </c>
      <c r="AI102" s="139" t="str">
        <f t="shared" si="24"/>
        <v/>
      </c>
      <c r="AJ102" s="139" t="str">
        <f t="shared" si="24"/>
        <v/>
      </c>
      <c r="AK102" s="139" t="str">
        <f t="shared" si="24"/>
        <v/>
      </c>
      <c r="AL102" s="139" t="str">
        <f t="shared" si="24"/>
        <v/>
      </c>
      <c r="AM102" s="139" t="str">
        <f t="shared" si="24"/>
        <v/>
      </c>
      <c r="AN102" s="139" t="str">
        <f t="shared" si="24"/>
        <v/>
      </c>
      <c r="AP102" s="82">
        <f t="shared" si="25"/>
        <v>2.1361933432080605E-4</v>
      </c>
      <c r="AQ102" s="82">
        <f t="shared" si="23"/>
        <v>0.96106918214179005</v>
      </c>
    </row>
    <row r="103" spans="2:43" x14ac:dyDescent="0.35">
      <c r="B103" s="83" t="s">
        <v>185</v>
      </c>
      <c r="D103" s="137">
        <v>338407</v>
      </c>
      <c r="E103" s="137">
        <v>347515</v>
      </c>
      <c r="F103" s="137">
        <v>329209</v>
      </c>
      <c r="G103" s="137">
        <v>323252</v>
      </c>
      <c r="H103" s="137">
        <f t="shared" si="15"/>
        <v>1338383</v>
      </c>
      <c r="J103" s="137">
        <v>85895</v>
      </c>
      <c r="K103" s="137">
        <v>55886</v>
      </c>
      <c r="L103" s="137">
        <v>62067</v>
      </c>
      <c r="M103" s="137">
        <v>52852</v>
      </c>
      <c r="N103" s="137">
        <f t="shared" si="16"/>
        <v>256700</v>
      </c>
      <c r="P103" s="84">
        <f t="shared" si="17"/>
        <v>0.25382158170487018</v>
      </c>
      <c r="Q103" s="84">
        <f t="shared" si="18"/>
        <v>0.16081607988144397</v>
      </c>
      <c r="R103" s="84">
        <f t="shared" si="19"/>
        <v>0.18853372781424566</v>
      </c>
      <c r="S103" s="84">
        <f t="shared" si="20"/>
        <v>0.16350092188138046</v>
      </c>
      <c r="T103" s="84" t="str">
        <f>+IFERROR(#REF!/#REF!,"")</f>
        <v/>
      </c>
      <c r="U103" s="84" t="str">
        <f>+IFERROR(#REF!/#REF!,"")</f>
        <v/>
      </c>
      <c r="V103" s="84" t="str">
        <f>+IFERROR(#REF!/#REF!,"")</f>
        <v/>
      </c>
      <c r="W103" s="84" t="str">
        <f>+IFERROR(#REF!/#REF!,"")</f>
        <v/>
      </c>
      <c r="X103" s="84" t="str">
        <f>+IFERROR(#REF!/#REF!,"")</f>
        <v/>
      </c>
      <c r="Y103" s="84" t="str">
        <f>+IFERROR(#REF!/#REF!,"")</f>
        <v/>
      </c>
      <c r="Z103" s="84" t="str">
        <f>+IFERROR(#REF!/#REF!,"")</f>
        <v/>
      </c>
      <c r="AA103" s="84" t="str">
        <f>+IFERROR(#REF!/#REF!,"")</f>
        <v/>
      </c>
      <c r="AB103" s="84">
        <f t="shared" si="21"/>
        <v>0.19179861071158255</v>
      </c>
      <c r="AD103" s="139">
        <f t="shared" si="24"/>
        <v>-9.3005501823426207E-2</v>
      </c>
      <c r="AE103" s="139">
        <f t="shared" si="24"/>
        <v>2.7717647932801681E-2</v>
      </c>
      <c r="AF103" s="139">
        <f t="shared" si="24"/>
        <v>-2.5032805932865193E-2</v>
      </c>
      <c r="AG103" s="139" t="str">
        <f t="shared" si="24"/>
        <v/>
      </c>
      <c r="AH103" s="139" t="str">
        <f t="shared" si="24"/>
        <v/>
      </c>
      <c r="AI103" s="139" t="str">
        <f t="shared" si="24"/>
        <v/>
      </c>
      <c r="AJ103" s="139" t="str">
        <f t="shared" si="24"/>
        <v/>
      </c>
      <c r="AK103" s="139" t="str">
        <f t="shared" si="24"/>
        <v/>
      </c>
      <c r="AL103" s="139" t="str">
        <f t="shared" si="24"/>
        <v/>
      </c>
      <c r="AM103" s="139" t="str">
        <f t="shared" si="24"/>
        <v/>
      </c>
      <c r="AN103" s="139" t="str">
        <f t="shared" si="24"/>
        <v/>
      </c>
      <c r="AP103" s="82">
        <f t="shared" si="25"/>
        <v>2.4028992463082324E-4</v>
      </c>
      <c r="AQ103" s="82">
        <f t="shared" si="23"/>
        <v>0.96130947206642092</v>
      </c>
    </row>
    <row r="104" spans="2:43" x14ac:dyDescent="0.35">
      <c r="B104" s="83" t="s">
        <v>186</v>
      </c>
      <c r="D104" s="137">
        <v>505261</v>
      </c>
      <c r="E104" s="137">
        <v>471447</v>
      </c>
      <c r="F104" s="137">
        <v>509399</v>
      </c>
      <c r="G104" s="137">
        <v>579282</v>
      </c>
      <c r="H104" s="137">
        <f t="shared" si="15"/>
        <v>2065389</v>
      </c>
      <c r="J104" s="137">
        <v>134365</v>
      </c>
      <c r="K104" s="137">
        <v>125782</v>
      </c>
      <c r="L104" s="137">
        <v>169144</v>
      </c>
      <c r="M104" s="137">
        <v>196383</v>
      </c>
      <c r="N104" s="137">
        <f t="shared" si="16"/>
        <v>625674</v>
      </c>
      <c r="P104" s="84">
        <f t="shared" si="17"/>
        <v>0.26593186491733978</v>
      </c>
      <c r="Q104" s="84">
        <f t="shared" si="18"/>
        <v>0.2667998735806994</v>
      </c>
      <c r="R104" s="84">
        <f t="shared" si="19"/>
        <v>0.3320461956148324</v>
      </c>
      <c r="S104" s="84">
        <f t="shared" si="20"/>
        <v>0.33901105161216816</v>
      </c>
      <c r="T104" s="84" t="str">
        <f>+IFERROR(#REF!/#REF!,"")</f>
        <v/>
      </c>
      <c r="U104" s="84" t="str">
        <f>+IFERROR(#REF!/#REF!,"")</f>
        <v/>
      </c>
      <c r="V104" s="84" t="str">
        <f>+IFERROR(#REF!/#REF!,"")</f>
        <v/>
      </c>
      <c r="W104" s="84" t="str">
        <f>+IFERROR(#REF!/#REF!,"")</f>
        <v/>
      </c>
      <c r="X104" s="84" t="str">
        <f>+IFERROR(#REF!/#REF!,"")</f>
        <v/>
      </c>
      <c r="Y104" s="84" t="str">
        <f>+IFERROR(#REF!/#REF!,"")</f>
        <v/>
      </c>
      <c r="Z104" s="84" t="str">
        <f>+IFERROR(#REF!/#REF!,"")</f>
        <v/>
      </c>
      <c r="AA104" s="84" t="str">
        <f>+IFERROR(#REF!/#REF!,"")</f>
        <v/>
      </c>
      <c r="AB104" s="84">
        <f t="shared" si="21"/>
        <v>0.3029327647237397</v>
      </c>
      <c r="AD104" s="139">
        <f t="shared" si="24"/>
        <v>8.6800866335962068E-4</v>
      </c>
      <c r="AE104" s="139">
        <f t="shared" si="24"/>
        <v>6.5246322034132997E-2</v>
      </c>
      <c r="AF104" s="139">
        <f t="shared" si="24"/>
        <v>6.9648559973357616E-3</v>
      </c>
      <c r="AG104" s="139" t="str">
        <f t="shared" si="24"/>
        <v/>
      </c>
      <c r="AH104" s="139" t="str">
        <f t="shared" si="24"/>
        <v/>
      </c>
      <c r="AI104" s="139" t="str">
        <f t="shared" si="24"/>
        <v/>
      </c>
      <c r="AJ104" s="139" t="str">
        <f t="shared" si="24"/>
        <v/>
      </c>
      <c r="AK104" s="139" t="str">
        <f t="shared" si="24"/>
        <v/>
      </c>
      <c r="AL104" s="139" t="str">
        <f t="shared" si="24"/>
        <v/>
      </c>
      <c r="AM104" s="139" t="str">
        <f t="shared" si="24"/>
        <v/>
      </c>
      <c r="AN104" s="139" t="str">
        <f t="shared" si="24"/>
        <v/>
      </c>
      <c r="AP104" s="82">
        <f t="shared" si="25"/>
        <v>5.8567650293519949E-4</v>
      </c>
      <c r="AQ104" s="82">
        <f t="shared" si="23"/>
        <v>0.9618951485693561</v>
      </c>
    </row>
    <row r="105" spans="2:43" x14ac:dyDescent="0.35">
      <c r="B105" s="83" t="s">
        <v>187</v>
      </c>
      <c r="D105" s="137">
        <v>364999</v>
      </c>
      <c r="E105" s="137">
        <v>337489</v>
      </c>
      <c r="F105" s="137">
        <v>450729</v>
      </c>
      <c r="G105" s="137">
        <v>433803</v>
      </c>
      <c r="H105" s="137">
        <f t="shared" si="15"/>
        <v>1587020</v>
      </c>
      <c r="J105" s="137">
        <v>68687</v>
      </c>
      <c r="K105" s="137">
        <v>67429</v>
      </c>
      <c r="L105" s="137">
        <v>81057</v>
      </c>
      <c r="M105" s="137">
        <v>91564</v>
      </c>
      <c r="N105" s="137">
        <f t="shared" si="16"/>
        <v>308737</v>
      </c>
      <c r="P105" s="84">
        <f t="shared" si="17"/>
        <v>0.1881840772166499</v>
      </c>
      <c r="Q105" s="84">
        <f t="shared" si="18"/>
        <v>0.19979614150387123</v>
      </c>
      <c r="R105" s="84">
        <f t="shared" si="19"/>
        <v>0.1798353334265157</v>
      </c>
      <c r="S105" s="84">
        <f t="shared" si="20"/>
        <v>0.21107276805370179</v>
      </c>
      <c r="T105" s="84" t="str">
        <f>+IFERROR(#REF!/#REF!,"")</f>
        <v/>
      </c>
      <c r="U105" s="84" t="str">
        <f>+IFERROR(#REF!/#REF!,"")</f>
        <v/>
      </c>
      <c r="V105" s="84" t="str">
        <f>+IFERROR(#REF!/#REF!,"")</f>
        <v/>
      </c>
      <c r="W105" s="84" t="str">
        <f>+IFERROR(#REF!/#REF!,"")</f>
        <v/>
      </c>
      <c r="X105" s="84" t="str">
        <f>+IFERROR(#REF!/#REF!,"")</f>
        <v/>
      </c>
      <c r="Y105" s="84" t="str">
        <f>+IFERROR(#REF!/#REF!,"")</f>
        <v/>
      </c>
      <c r="Z105" s="84" t="str">
        <f>+IFERROR(#REF!/#REF!,"")</f>
        <v/>
      </c>
      <c r="AA105" s="84" t="str">
        <f>+IFERROR(#REF!/#REF!,"")</f>
        <v/>
      </c>
      <c r="AB105" s="84">
        <f t="shared" si="21"/>
        <v>0.19453882118687854</v>
      </c>
      <c r="AD105" s="139">
        <f t="shared" si="24"/>
        <v>1.1612064287221335E-2</v>
      </c>
      <c r="AE105" s="139">
        <f t="shared" si="24"/>
        <v>-1.9960808077355535E-2</v>
      </c>
      <c r="AF105" s="139">
        <f t="shared" si="24"/>
        <v>3.1237434627186089E-2</v>
      </c>
      <c r="AG105" s="139" t="str">
        <f t="shared" si="24"/>
        <v/>
      </c>
      <c r="AH105" s="139" t="str">
        <f t="shared" si="24"/>
        <v/>
      </c>
      <c r="AI105" s="139" t="str">
        <f t="shared" si="24"/>
        <v/>
      </c>
      <c r="AJ105" s="139" t="str">
        <f t="shared" si="24"/>
        <v/>
      </c>
      <c r="AK105" s="139" t="str">
        <f t="shared" si="24"/>
        <v/>
      </c>
      <c r="AL105" s="139" t="str">
        <f t="shared" si="24"/>
        <v/>
      </c>
      <c r="AM105" s="139" t="str">
        <f t="shared" si="24"/>
        <v/>
      </c>
      <c r="AN105" s="139" t="str">
        <f t="shared" si="24"/>
        <v/>
      </c>
      <c r="AP105" s="82">
        <f t="shared" si="25"/>
        <v>2.8900035239870075E-4</v>
      </c>
      <c r="AQ105" s="82">
        <f t="shared" si="23"/>
        <v>0.96218414892175474</v>
      </c>
    </row>
    <row r="106" spans="2:43" x14ac:dyDescent="0.35">
      <c r="B106" s="83" t="s">
        <v>188</v>
      </c>
      <c r="D106" s="137">
        <v>145313</v>
      </c>
      <c r="E106" s="137">
        <v>133473</v>
      </c>
      <c r="F106" s="137">
        <v>172819</v>
      </c>
      <c r="G106" s="137">
        <v>170283</v>
      </c>
      <c r="H106" s="137">
        <f t="shared" si="15"/>
        <v>621888</v>
      </c>
      <c r="J106" s="137">
        <v>22394</v>
      </c>
      <c r="K106" s="137">
        <v>31961</v>
      </c>
      <c r="L106" s="137">
        <v>23614</v>
      </c>
      <c r="M106" s="137">
        <v>10612</v>
      </c>
      <c r="N106" s="137">
        <f t="shared" si="16"/>
        <v>88581</v>
      </c>
      <c r="P106" s="84">
        <f t="shared" si="17"/>
        <v>0.15410871704527468</v>
      </c>
      <c r="Q106" s="84">
        <f t="shared" si="18"/>
        <v>0.23945666913907682</v>
      </c>
      <c r="R106" s="84">
        <f t="shared" si="19"/>
        <v>0.13664006851098548</v>
      </c>
      <c r="S106" s="84">
        <f t="shared" si="20"/>
        <v>6.2319785298591168E-2</v>
      </c>
      <c r="T106" s="84" t="str">
        <f>+IFERROR(#REF!/#REF!,"")</f>
        <v/>
      </c>
      <c r="U106" s="84" t="str">
        <f>+IFERROR(#REF!/#REF!,"")</f>
        <v/>
      </c>
      <c r="V106" s="84" t="str">
        <f>+IFERROR(#REF!/#REF!,"")</f>
        <v/>
      </c>
      <c r="W106" s="84" t="str">
        <f>+IFERROR(#REF!/#REF!,"")</f>
        <v/>
      </c>
      <c r="X106" s="84" t="str">
        <f>+IFERROR(#REF!/#REF!,"")</f>
        <v/>
      </c>
      <c r="Y106" s="84" t="str">
        <f>+IFERROR(#REF!/#REF!,"")</f>
        <v/>
      </c>
      <c r="Z106" s="84" t="str">
        <f>+IFERROR(#REF!/#REF!,"")</f>
        <v/>
      </c>
      <c r="AA106" s="84" t="str">
        <f>+IFERROR(#REF!/#REF!,"")</f>
        <v/>
      </c>
      <c r="AB106" s="84">
        <f t="shared" si="21"/>
        <v>0.14243883142945354</v>
      </c>
      <c r="AD106" s="139">
        <f t="shared" si="24"/>
        <v>8.5347952093802137E-2</v>
      </c>
      <c r="AE106" s="139">
        <f t="shared" si="24"/>
        <v>-0.10281660062809134</v>
      </c>
      <c r="AF106" s="139">
        <f t="shared" si="24"/>
        <v>-7.4320283212394311E-2</v>
      </c>
      <c r="AG106" s="139" t="str">
        <f t="shared" si="24"/>
        <v/>
      </c>
      <c r="AH106" s="139" t="str">
        <f t="shared" si="24"/>
        <v/>
      </c>
      <c r="AI106" s="139" t="str">
        <f t="shared" si="24"/>
        <v/>
      </c>
      <c r="AJ106" s="139" t="str">
        <f t="shared" si="24"/>
        <v/>
      </c>
      <c r="AK106" s="139" t="str">
        <f t="shared" si="24"/>
        <v/>
      </c>
      <c r="AL106" s="139" t="str">
        <f t="shared" si="24"/>
        <v/>
      </c>
      <c r="AM106" s="139" t="str">
        <f t="shared" si="24"/>
        <v/>
      </c>
      <c r="AN106" s="139" t="str">
        <f t="shared" si="24"/>
        <v/>
      </c>
      <c r="AP106" s="82">
        <f t="shared" si="25"/>
        <v>8.2918277420034883E-5</v>
      </c>
      <c r="AQ106" s="82">
        <f t="shared" si="23"/>
        <v>0.96226706719917476</v>
      </c>
    </row>
    <row r="107" spans="2:43" x14ac:dyDescent="0.35">
      <c r="B107" s="83" t="s">
        <v>189</v>
      </c>
      <c r="D107" s="137">
        <v>421715</v>
      </c>
      <c r="E107" s="137">
        <v>510053</v>
      </c>
      <c r="F107" s="137">
        <v>435691</v>
      </c>
      <c r="G107" s="137">
        <v>408360</v>
      </c>
      <c r="H107" s="137">
        <f t="shared" si="15"/>
        <v>1775819</v>
      </c>
      <c r="J107" s="137">
        <v>68274</v>
      </c>
      <c r="K107" s="137">
        <v>93533</v>
      </c>
      <c r="L107" s="137">
        <v>78433</v>
      </c>
      <c r="M107" s="137">
        <v>67975</v>
      </c>
      <c r="N107" s="137">
        <f t="shared" si="16"/>
        <v>308215</v>
      </c>
      <c r="P107" s="84">
        <f t="shared" si="17"/>
        <v>0.16189606724920858</v>
      </c>
      <c r="Q107" s="84">
        <f t="shared" si="18"/>
        <v>0.1833789821842044</v>
      </c>
      <c r="R107" s="84">
        <f t="shared" si="19"/>
        <v>0.1800197846639017</v>
      </c>
      <c r="S107" s="84">
        <f t="shared" si="20"/>
        <v>0.16645851699480851</v>
      </c>
      <c r="T107" s="84" t="str">
        <f>+IFERROR(#REF!/#REF!,"")</f>
        <v/>
      </c>
      <c r="U107" s="84" t="str">
        <f>+IFERROR(#REF!/#REF!,"")</f>
        <v/>
      </c>
      <c r="V107" s="84" t="str">
        <f>+IFERROR(#REF!/#REF!,"")</f>
        <v/>
      </c>
      <c r="W107" s="84" t="str">
        <f>+IFERROR(#REF!/#REF!,"")</f>
        <v/>
      </c>
      <c r="X107" s="84" t="str">
        <f>+IFERROR(#REF!/#REF!,"")</f>
        <v/>
      </c>
      <c r="Y107" s="84" t="str">
        <f>+IFERROR(#REF!/#REF!,"")</f>
        <v/>
      </c>
      <c r="Z107" s="84" t="str">
        <f>+IFERROR(#REF!/#REF!,"")</f>
        <v/>
      </c>
      <c r="AA107" s="84" t="str">
        <f>+IFERROR(#REF!/#REF!,"")</f>
        <v/>
      </c>
      <c r="AB107" s="84">
        <f t="shared" si="21"/>
        <v>0.17356217046894981</v>
      </c>
      <c r="AD107" s="139">
        <f t="shared" si="24"/>
        <v>2.1482914934995823E-2</v>
      </c>
      <c r="AE107" s="139">
        <f t="shared" si="24"/>
        <v>-3.359197520302698E-3</v>
      </c>
      <c r="AF107" s="139">
        <f t="shared" si="24"/>
        <v>-1.3561267669093185E-2</v>
      </c>
      <c r="AG107" s="139" t="str">
        <f t="shared" si="24"/>
        <v/>
      </c>
      <c r="AH107" s="139" t="str">
        <f t="shared" si="24"/>
        <v/>
      </c>
      <c r="AI107" s="139" t="str">
        <f t="shared" si="24"/>
        <v/>
      </c>
      <c r="AJ107" s="139" t="str">
        <f t="shared" si="24"/>
        <v/>
      </c>
      <c r="AK107" s="139" t="str">
        <f t="shared" si="24"/>
        <v/>
      </c>
      <c r="AL107" s="139" t="str">
        <f t="shared" si="24"/>
        <v/>
      </c>
      <c r="AM107" s="139" t="str">
        <f t="shared" si="24"/>
        <v/>
      </c>
      <c r="AN107" s="139" t="str">
        <f t="shared" si="24"/>
        <v/>
      </c>
      <c r="AP107" s="82">
        <f t="shared" si="25"/>
        <v>2.885117223221238E-4</v>
      </c>
      <c r="AQ107" s="82">
        <f t="shared" si="23"/>
        <v>0.9625555789214969</v>
      </c>
    </row>
    <row r="108" spans="2:43" x14ac:dyDescent="0.35">
      <c r="B108" s="83" t="s">
        <v>190</v>
      </c>
      <c r="D108" s="137">
        <v>1264736</v>
      </c>
      <c r="E108" s="137">
        <v>879654</v>
      </c>
      <c r="F108" s="137">
        <v>973946</v>
      </c>
      <c r="G108" s="137">
        <v>1200931</v>
      </c>
      <c r="H108" s="137">
        <f t="shared" si="15"/>
        <v>4319267</v>
      </c>
      <c r="J108" s="137">
        <v>154135</v>
      </c>
      <c r="K108" s="137">
        <v>100495</v>
      </c>
      <c r="L108" s="137">
        <v>113255</v>
      </c>
      <c r="M108" s="137">
        <v>137576</v>
      </c>
      <c r="N108" s="137">
        <f t="shared" si="16"/>
        <v>505461</v>
      </c>
      <c r="P108" s="84">
        <f t="shared" si="17"/>
        <v>0.12187128380942742</v>
      </c>
      <c r="Q108" s="84">
        <f t="shared" si="18"/>
        <v>0.11424378221437065</v>
      </c>
      <c r="R108" s="84">
        <f t="shared" si="19"/>
        <v>0.11628468108088127</v>
      </c>
      <c r="S108" s="84">
        <f t="shared" si="20"/>
        <v>0.11455778891543311</v>
      </c>
      <c r="T108" s="84" t="str">
        <f>+IFERROR(#REF!/#REF!,"")</f>
        <v/>
      </c>
      <c r="U108" s="84" t="str">
        <f>+IFERROR(#REF!/#REF!,"")</f>
        <v/>
      </c>
      <c r="V108" s="84" t="str">
        <f>+IFERROR(#REF!/#REF!,"")</f>
        <v/>
      </c>
      <c r="W108" s="84" t="str">
        <f>+IFERROR(#REF!/#REF!,"")</f>
        <v/>
      </c>
      <c r="X108" s="84" t="str">
        <f>+IFERROR(#REF!/#REF!,"")</f>
        <v/>
      </c>
      <c r="Y108" s="84" t="str">
        <f>+IFERROR(#REF!/#REF!,"")</f>
        <v/>
      </c>
      <c r="Z108" s="84" t="str">
        <f>+IFERROR(#REF!/#REF!,"")</f>
        <v/>
      </c>
      <c r="AA108" s="84" t="str">
        <f>+IFERROR(#REF!/#REF!,"")</f>
        <v/>
      </c>
      <c r="AB108" s="84">
        <f t="shared" si="21"/>
        <v>0.11702471738839021</v>
      </c>
      <c r="AD108" s="139">
        <f t="shared" si="24"/>
        <v>-7.6275015950567765E-3</v>
      </c>
      <c r="AE108" s="139">
        <f t="shared" si="24"/>
        <v>2.0408988665106265E-3</v>
      </c>
      <c r="AF108" s="139">
        <f t="shared" si="24"/>
        <v>-1.7268921654481628E-3</v>
      </c>
      <c r="AG108" s="139" t="str">
        <f t="shared" si="24"/>
        <v/>
      </c>
      <c r="AH108" s="139" t="str">
        <f t="shared" si="24"/>
        <v/>
      </c>
      <c r="AI108" s="139" t="str">
        <f t="shared" si="24"/>
        <v/>
      </c>
      <c r="AJ108" s="139" t="str">
        <f t="shared" si="24"/>
        <v/>
      </c>
      <c r="AK108" s="139" t="str">
        <f t="shared" si="24"/>
        <v/>
      </c>
      <c r="AL108" s="139" t="str">
        <f t="shared" si="24"/>
        <v/>
      </c>
      <c r="AM108" s="139" t="str">
        <f t="shared" si="24"/>
        <v/>
      </c>
      <c r="AN108" s="139" t="str">
        <f t="shared" si="24"/>
        <v/>
      </c>
      <c r="AP108" s="82">
        <f t="shared" si="25"/>
        <v>4.7314836616213691E-4</v>
      </c>
      <c r="AQ108" s="82">
        <f t="shared" si="23"/>
        <v>0.96302872728765909</v>
      </c>
    </row>
    <row r="109" spans="2:43" x14ac:dyDescent="0.35">
      <c r="B109" s="83" t="s">
        <v>191</v>
      </c>
      <c r="D109" s="137"/>
      <c r="E109" s="137"/>
      <c r="F109" s="137"/>
      <c r="G109" s="137"/>
      <c r="H109" s="137">
        <f t="shared" si="15"/>
        <v>0</v>
      </c>
      <c r="J109" s="137"/>
      <c r="K109" s="137"/>
      <c r="L109" s="137"/>
      <c r="M109" s="137"/>
      <c r="N109" s="137">
        <f t="shared" si="16"/>
        <v>0</v>
      </c>
      <c r="P109" s="84" t="str">
        <f t="shared" si="17"/>
        <v/>
      </c>
      <c r="Q109" s="84" t="str">
        <f t="shared" si="18"/>
        <v/>
      </c>
      <c r="R109" s="84" t="str">
        <f t="shared" si="19"/>
        <v/>
      </c>
      <c r="S109" s="84" t="str">
        <f t="shared" si="20"/>
        <v/>
      </c>
      <c r="T109" s="84" t="str">
        <f>+IFERROR(#REF!/#REF!,"")</f>
        <v/>
      </c>
      <c r="U109" s="84" t="str">
        <f>+IFERROR(#REF!/#REF!,"")</f>
        <v/>
      </c>
      <c r="V109" s="84" t="str">
        <f>+IFERROR(#REF!/#REF!,"")</f>
        <v/>
      </c>
      <c r="W109" s="84" t="str">
        <f>+IFERROR(#REF!/#REF!,"")</f>
        <v/>
      </c>
      <c r="X109" s="84" t="str">
        <f>+IFERROR(#REF!/#REF!,"")</f>
        <v/>
      </c>
      <c r="Y109" s="84" t="str">
        <f>+IFERROR(#REF!/#REF!,"")</f>
        <v/>
      </c>
      <c r="Z109" s="84" t="str">
        <f>+IFERROR(#REF!/#REF!,"")</f>
        <v/>
      </c>
      <c r="AA109" s="84" t="str">
        <f>+IFERROR(#REF!/#REF!,"")</f>
        <v/>
      </c>
      <c r="AB109" s="84" t="str">
        <f t="shared" si="21"/>
        <v/>
      </c>
      <c r="AD109" s="139" t="str">
        <f t="shared" si="24"/>
        <v/>
      </c>
      <c r="AE109" s="139" t="str">
        <f t="shared" si="24"/>
        <v/>
      </c>
      <c r="AF109" s="139" t="str">
        <f t="shared" si="24"/>
        <v/>
      </c>
      <c r="AG109" s="139" t="str">
        <f t="shared" si="24"/>
        <v/>
      </c>
      <c r="AH109" s="139" t="str">
        <f t="shared" si="24"/>
        <v/>
      </c>
      <c r="AI109" s="139" t="str">
        <f t="shared" si="24"/>
        <v/>
      </c>
      <c r="AJ109" s="139" t="str">
        <f t="shared" si="24"/>
        <v/>
      </c>
      <c r="AK109" s="139" t="str">
        <f t="shared" si="24"/>
        <v/>
      </c>
      <c r="AL109" s="139" t="str">
        <f t="shared" si="24"/>
        <v/>
      </c>
      <c r="AM109" s="139" t="str">
        <f t="shared" si="24"/>
        <v/>
      </c>
      <c r="AN109" s="139" t="str">
        <f t="shared" si="24"/>
        <v/>
      </c>
      <c r="AP109" s="82">
        <f t="shared" si="25"/>
        <v>0</v>
      </c>
      <c r="AQ109" s="82">
        <f t="shared" si="23"/>
        <v>0.96302872728765909</v>
      </c>
    </row>
    <row r="110" spans="2:43" x14ac:dyDescent="0.35">
      <c r="B110" s="83" t="s">
        <v>192</v>
      </c>
      <c r="D110" s="137">
        <v>462963</v>
      </c>
      <c r="E110" s="137">
        <v>904492</v>
      </c>
      <c r="F110" s="137">
        <v>667775</v>
      </c>
      <c r="G110" s="137">
        <v>579138</v>
      </c>
      <c r="H110" s="137">
        <f t="shared" si="15"/>
        <v>2614368</v>
      </c>
      <c r="J110" s="137">
        <v>71447</v>
      </c>
      <c r="K110" s="137">
        <v>149154</v>
      </c>
      <c r="L110" s="137">
        <v>102366</v>
      </c>
      <c r="M110" s="137">
        <v>78296</v>
      </c>
      <c r="N110" s="137">
        <f t="shared" si="16"/>
        <v>401263</v>
      </c>
      <c r="P110" s="84">
        <f t="shared" si="17"/>
        <v>0.15432550765395939</v>
      </c>
      <c r="Q110" s="84">
        <f t="shared" si="18"/>
        <v>0.16490361440454973</v>
      </c>
      <c r="R110" s="84">
        <f t="shared" si="19"/>
        <v>0.15329414847815506</v>
      </c>
      <c r="S110" s="84">
        <f t="shared" si="20"/>
        <v>0.13519402974765946</v>
      </c>
      <c r="T110" s="84" t="str">
        <f>+IFERROR(#REF!/#REF!,"")</f>
        <v/>
      </c>
      <c r="U110" s="84" t="str">
        <f>+IFERROR(#REF!/#REF!,"")</f>
        <v/>
      </c>
      <c r="V110" s="84" t="str">
        <f>+IFERROR(#REF!/#REF!,"")</f>
        <v/>
      </c>
      <c r="W110" s="84" t="str">
        <f>+IFERROR(#REF!/#REF!,"")</f>
        <v/>
      </c>
      <c r="X110" s="84" t="str">
        <f>+IFERROR(#REF!/#REF!,"")</f>
        <v/>
      </c>
      <c r="Y110" s="84" t="str">
        <f>+IFERROR(#REF!/#REF!,"")</f>
        <v/>
      </c>
      <c r="Z110" s="84" t="str">
        <f>+IFERROR(#REF!/#REF!,"")</f>
        <v/>
      </c>
      <c r="AA110" s="84" t="str">
        <f>+IFERROR(#REF!/#REF!,"")</f>
        <v/>
      </c>
      <c r="AB110" s="84">
        <f t="shared" si="21"/>
        <v>0.15348374827109268</v>
      </c>
      <c r="AD110" s="139">
        <f t="shared" si="24"/>
        <v>1.0578106750590344E-2</v>
      </c>
      <c r="AE110" s="139">
        <f t="shared" si="24"/>
        <v>-1.1609465926394669E-2</v>
      </c>
      <c r="AF110" s="139">
        <f t="shared" si="24"/>
        <v>-1.8100118730495607E-2</v>
      </c>
      <c r="AG110" s="139" t="str">
        <f t="shared" si="24"/>
        <v/>
      </c>
      <c r="AH110" s="139" t="str">
        <f t="shared" si="24"/>
        <v/>
      </c>
      <c r="AI110" s="139" t="str">
        <f t="shared" si="24"/>
        <v/>
      </c>
      <c r="AJ110" s="139" t="str">
        <f t="shared" si="24"/>
        <v/>
      </c>
      <c r="AK110" s="139" t="str">
        <f t="shared" si="24"/>
        <v/>
      </c>
      <c r="AL110" s="139" t="str">
        <f t="shared" si="24"/>
        <v/>
      </c>
      <c r="AM110" s="139" t="str">
        <f t="shared" si="24"/>
        <v/>
      </c>
      <c r="AN110" s="139" t="str">
        <f t="shared" si="24"/>
        <v/>
      </c>
      <c r="AP110" s="82">
        <f t="shared" si="25"/>
        <v>3.7561143758137134E-4</v>
      </c>
      <c r="AQ110" s="82">
        <f t="shared" si="23"/>
        <v>0.96340433872524045</v>
      </c>
    </row>
    <row r="111" spans="2:43" x14ac:dyDescent="0.35">
      <c r="B111" s="83" t="s">
        <v>193</v>
      </c>
      <c r="D111" s="137">
        <v>244170</v>
      </c>
      <c r="E111" s="137">
        <v>222784</v>
      </c>
      <c r="F111" s="137">
        <v>243500</v>
      </c>
      <c r="G111" s="137">
        <v>251601</v>
      </c>
      <c r="H111" s="137">
        <f t="shared" si="15"/>
        <v>962055</v>
      </c>
      <c r="J111" s="137">
        <v>43714</v>
      </c>
      <c r="K111" s="137">
        <v>33360</v>
      </c>
      <c r="L111" s="137">
        <v>31676</v>
      </c>
      <c r="M111" s="137">
        <v>39950</v>
      </c>
      <c r="N111" s="137">
        <f t="shared" si="16"/>
        <v>148700</v>
      </c>
      <c r="P111" s="84">
        <f t="shared" si="17"/>
        <v>0.17903100298972027</v>
      </c>
      <c r="Q111" s="84">
        <f t="shared" si="18"/>
        <v>0.14974145360528585</v>
      </c>
      <c r="R111" s="84">
        <f t="shared" si="19"/>
        <v>0.13008624229979465</v>
      </c>
      <c r="S111" s="84">
        <f t="shared" si="20"/>
        <v>0.15878315269017212</v>
      </c>
      <c r="T111" s="84" t="str">
        <f>+IFERROR(#REF!/#REF!,"")</f>
        <v/>
      </c>
      <c r="U111" s="84" t="str">
        <f>+IFERROR(#REF!/#REF!,"")</f>
        <v/>
      </c>
      <c r="V111" s="84" t="str">
        <f>+IFERROR(#REF!/#REF!,"")</f>
        <v/>
      </c>
      <c r="W111" s="84" t="str">
        <f>+IFERROR(#REF!/#REF!,"")</f>
        <v/>
      </c>
      <c r="X111" s="84" t="str">
        <f>+IFERROR(#REF!/#REF!,"")</f>
        <v/>
      </c>
      <c r="Y111" s="84" t="str">
        <f>+IFERROR(#REF!/#REF!,"")</f>
        <v/>
      </c>
      <c r="Z111" s="84" t="str">
        <f>+IFERROR(#REF!/#REF!,"")</f>
        <v/>
      </c>
      <c r="AA111" s="84" t="str">
        <f>+IFERROR(#REF!/#REF!,"")</f>
        <v/>
      </c>
      <c r="AB111" s="84">
        <f t="shared" si="21"/>
        <v>0.15456496769935191</v>
      </c>
      <c r="AD111" s="139">
        <f t="shared" si="24"/>
        <v>-2.9289549384434427E-2</v>
      </c>
      <c r="AE111" s="139">
        <f t="shared" si="24"/>
        <v>-1.9655211305491194E-2</v>
      </c>
      <c r="AF111" s="139">
        <f t="shared" si="24"/>
        <v>2.8696910390377472E-2</v>
      </c>
      <c r="AG111" s="139" t="str">
        <f t="shared" si="24"/>
        <v/>
      </c>
      <c r="AH111" s="139" t="str">
        <f t="shared" si="24"/>
        <v/>
      </c>
      <c r="AI111" s="139" t="str">
        <f t="shared" si="24"/>
        <v/>
      </c>
      <c r="AJ111" s="139" t="str">
        <f t="shared" si="24"/>
        <v/>
      </c>
      <c r="AK111" s="139" t="str">
        <f t="shared" si="24"/>
        <v/>
      </c>
      <c r="AL111" s="139" t="str">
        <f t="shared" si="24"/>
        <v/>
      </c>
      <c r="AM111" s="139" t="str">
        <f t="shared" si="24"/>
        <v/>
      </c>
      <c r="AN111" s="139" t="str">
        <f t="shared" si="24"/>
        <v/>
      </c>
      <c r="AP111" s="82">
        <f t="shared" si="25"/>
        <v>1.3919404671836158E-4</v>
      </c>
      <c r="AQ111" s="82">
        <f t="shared" si="23"/>
        <v>0.96354353277195881</v>
      </c>
    </row>
    <row r="112" spans="2:43" x14ac:dyDescent="0.35">
      <c r="B112" s="83" t="s">
        <v>194</v>
      </c>
      <c r="D112" s="137">
        <v>859089</v>
      </c>
      <c r="E112" s="137">
        <v>928078</v>
      </c>
      <c r="F112" s="137">
        <v>1262312</v>
      </c>
      <c r="G112" s="137">
        <v>1866676</v>
      </c>
      <c r="H112" s="137">
        <f t="shared" si="15"/>
        <v>4916155</v>
      </c>
      <c r="J112" s="137">
        <v>101192</v>
      </c>
      <c r="K112" s="137">
        <v>156537</v>
      </c>
      <c r="L112" s="137">
        <v>130070</v>
      </c>
      <c r="M112" s="137">
        <v>153111</v>
      </c>
      <c r="N112" s="137">
        <f t="shared" si="16"/>
        <v>540910</v>
      </c>
      <c r="P112" s="84">
        <f t="shared" si="17"/>
        <v>0.11778989138494382</v>
      </c>
      <c r="Q112" s="84">
        <f t="shared" si="18"/>
        <v>0.16866793523820195</v>
      </c>
      <c r="R112" s="84">
        <f t="shared" si="19"/>
        <v>0.10304108651426906</v>
      </c>
      <c r="S112" s="84">
        <f t="shared" si="20"/>
        <v>8.2023339883300586E-2</v>
      </c>
      <c r="T112" s="84" t="str">
        <f>+IFERROR(#REF!/#REF!,"")</f>
        <v/>
      </c>
      <c r="U112" s="84" t="str">
        <f>+IFERROR(#REF!/#REF!,"")</f>
        <v/>
      </c>
      <c r="V112" s="84" t="str">
        <f>+IFERROR(#REF!/#REF!,"")</f>
        <v/>
      </c>
      <c r="W112" s="84" t="str">
        <f>+IFERROR(#REF!/#REF!,"")</f>
        <v/>
      </c>
      <c r="X112" s="84" t="str">
        <f>+IFERROR(#REF!/#REF!,"")</f>
        <v/>
      </c>
      <c r="Y112" s="84" t="str">
        <f>+IFERROR(#REF!/#REF!,"")</f>
        <v/>
      </c>
      <c r="Z112" s="84" t="str">
        <f>+IFERROR(#REF!/#REF!,"")</f>
        <v/>
      </c>
      <c r="AA112" s="84" t="str">
        <f>+IFERROR(#REF!/#REF!,"")</f>
        <v/>
      </c>
      <c r="AB112" s="84">
        <f t="shared" si="21"/>
        <v>0.11002704349232276</v>
      </c>
      <c r="AD112" s="139">
        <f t="shared" si="24"/>
        <v>5.0878043853258129E-2</v>
      </c>
      <c r="AE112" s="139">
        <f t="shared" si="24"/>
        <v>-6.5626848723932887E-2</v>
      </c>
      <c r="AF112" s="139">
        <f t="shared" si="24"/>
        <v>-2.1017746630968476E-2</v>
      </c>
      <c r="AG112" s="139" t="str">
        <f t="shared" si="24"/>
        <v/>
      </c>
      <c r="AH112" s="139" t="str">
        <f t="shared" si="24"/>
        <v/>
      </c>
      <c r="AI112" s="139" t="str">
        <f t="shared" si="24"/>
        <v/>
      </c>
      <c r="AJ112" s="139" t="str">
        <f t="shared" si="24"/>
        <v/>
      </c>
      <c r="AK112" s="139" t="str">
        <f t="shared" si="24"/>
        <v/>
      </c>
      <c r="AL112" s="139" t="str">
        <f t="shared" si="24"/>
        <v/>
      </c>
      <c r="AM112" s="139" t="str">
        <f t="shared" si="24"/>
        <v/>
      </c>
      <c r="AN112" s="139" t="str">
        <f t="shared" si="24"/>
        <v/>
      </c>
      <c r="AP112" s="82">
        <f t="shared" si="25"/>
        <v>5.0633121594101523E-4</v>
      </c>
      <c r="AQ112" s="82">
        <f t="shared" si="23"/>
        <v>0.96404986398789982</v>
      </c>
    </row>
    <row r="113" spans="2:43" x14ac:dyDescent="0.35">
      <c r="B113" s="83" t="s">
        <v>195</v>
      </c>
      <c r="D113" s="137">
        <v>453213</v>
      </c>
      <c r="E113" s="137">
        <v>329465</v>
      </c>
      <c r="F113" s="137">
        <v>277591</v>
      </c>
      <c r="G113" s="137">
        <v>256582</v>
      </c>
      <c r="H113" s="137">
        <f t="shared" si="15"/>
        <v>1316851</v>
      </c>
      <c r="J113" s="137">
        <v>69686</v>
      </c>
      <c r="K113" s="137">
        <v>49792</v>
      </c>
      <c r="L113" s="137">
        <v>40668</v>
      </c>
      <c r="M113" s="137">
        <v>36467</v>
      </c>
      <c r="N113" s="137">
        <f t="shared" si="16"/>
        <v>196613</v>
      </c>
      <c r="P113" s="84">
        <f t="shared" si="17"/>
        <v>0.15375993186426692</v>
      </c>
      <c r="Q113" s="84">
        <f t="shared" si="18"/>
        <v>0.15112986204907958</v>
      </c>
      <c r="R113" s="84">
        <f t="shared" si="19"/>
        <v>0.14650330882485382</v>
      </c>
      <c r="S113" s="84">
        <f t="shared" si="20"/>
        <v>0.14212610393558395</v>
      </c>
      <c r="T113" s="84" t="str">
        <f>+IFERROR(#REF!/#REF!,"")</f>
        <v/>
      </c>
      <c r="U113" s="84" t="str">
        <f>+IFERROR(#REF!/#REF!,"")</f>
        <v/>
      </c>
      <c r="V113" s="84" t="str">
        <f>+IFERROR(#REF!/#REF!,"")</f>
        <v/>
      </c>
      <c r="W113" s="84" t="str">
        <f>+IFERROR(#REF!/#REF!,"")</f>
        <v/>
      </c>
      <c r="X113" s="84" t="str">
        <f>+IFERROR(#REF!/#REF!,"")</f>
        <v/>
      </c>
      <c r="Y113" s="84" t="str">
        <f>+IFERROR(#REF!/#REF!,"")</f>
        <v/>
      </c>
      <c r="Z113" s="84" t="str">
        <f>+IFERROR(#REF!/#REF!,"")</f>
        <v/>
      </c>
      <c r="AA113" s="84" t="str">
        <f>+IFERROR(#REF!/#REF!,"")</f>
        <v/>
      </c>
      <c r="AB113" s="84">
        <f t="shared" si="21"/>
        <v>0.14930542635423447</v>
      </c>
      <c r="AD113" s="139">
        <f t="shared" si="24"/>
        <v>-2.6300698151873469E-3</v>
      </c>
      <c r="AE113" s="139">
        <f t="shared" si="24"/>
        <v>-4.6265532242257545E-3</v>
      </c>
      <c r="AF113" s="139">
        <f t="shared" si="24"/>
        <v>-4.3772048892698756E-3</v>
      </c>
      <c r="AG113" s="139" t="str">
        <f t="shared" si="24"/>
        <v/>
      </c>
      <c r="AH113" s="139" t="str">
        <f t="shared" si="24"/>
        <v/>
      </c>
      <c r="AI113" s="139" t="str">
        <f t="shared" si="24"/>
        <v/>
      </c>
      <c r="AJ113" s="139" t="str">
        <f t="shared" si="24"/>
        <v/>
      </c>
      <c r="AK113" s="139" t="str">
        <f t="shared" si="24"/>
        <v/>
      </c>
      <c r="AL113" s="139" t="str">
        <f t="shared" si="24"/>
        <v/>
      </c>
      <c r="AM113" s="139" t="str">
        <f t="shared" si="24"/>
        <v/>
      </c>
      <c r="AN113" s="139" t="str">
        <f t="shared" si="24"/>
        <v/>
      </c>
      <c r="AP113" s="82">
        <f t="shared" si="25"/>
        <v>1.8404410966669284E-4</v>
      </c>
      <c r="AQ113" s="82">
        <f t="shared" si="23"/>
        <v>0.96423390809756648</v>
      </c>
    </row>
    <row r="114" spans="2:43" x14ac:dyDescent="0.35">
      <c r="B114" s="83" t="s">
        <v>196</v>
      </c>
      <c r="D114" s="137">
        <v>283166</v>
      </c>
      <c r="E114" s="137">
        <v>310461</v>
      </c>
      <c r="F114" s="137">
        <v>430300</v>
      </c>
      <c r="G114" s="137">
        <v>275314</v>
      </c>
      <c r="H114" s="137">
        <f t="shared" si="15"/>
        <v>1299241</v>
      </c>
      <c r="J114" s="137">
        <v>45713</v>
      </c>
      <c r="K114" s="137">
        <v>53527</v>
      </c>
      <c r="L114" s="137">
        <v>60637</v>
      </c>
      <c r="M114" s="137">
        <v>52483</v>
      </c>
      <c r="N114" s="137">
        <f t="shared" si="16"/>
        <v>212360</v>
      </c>
      <c r="P114" s="84">
        <f t="shared" si="17"/>
        <v>0.16143534181363581</v>
      </c>
      <c r="Q114" s="84">
        <f t="shared" si="18"/>
        <v>0.17241134957369847</v>
      </c>
      <c r="R114" s="84">
        <f t="shared" si="19"/>
        <v>0.14091796421101557</v>
      </c>
      <c r="S114" s="84">
        <f t="shared" si="20"/>
        <v>0.1906296083744379</v>
      </c>
      <c r="T114" s="84" t="str">
        <f>+IFERROR(#REF!/#REF!,"")</f>
        <v/>
      </c>
      <c r="U114" s="84" t="str">
        <f>+IFERROR(#REF!/#REF!,"")</f>
        <v/>
      </c>
      <c r="V114" s="84" t="str">
        <f>+IFERROR(#REF!/#REF!,"")</f>
        <v/>
      </c>
      <c r="W114" s="84" t="str">
        <f>+IFERROR(#REF!/#REF!,"")</f>
        <v/>
      </c>
      <c r="X114" s="84" t="str">
        <f>+IFERROR(#REF!/#REF!,"")</f>
        <v/>
      </c>
      <c r="Y114" s="84" t="str">
        <f>+IFERROR(#REF!/#REF!,"")</f>
        <v/>
      </c>
      <c r="Z114" s="84" t="str">
        <f>+IFERROR(#REF!/#REF!,"")</f>
        <v/>
      </c>
      <c r="AA114" s="84" t="str">
        <f>+IFERROR(#REF!/#REF!,"")</f>
        <v/>
      </c>
      <c r="AB114" s="84">
        <f t="shared" si="21"/>
        <v>0.16344927538462842</v>
      </c>
      <c r="AD114" s="139">
        <f t="shared" si="24"/>
        <v>1.0976007760062662E-2</v>
      </c>
      <c r="AE114" s="139">
        <f t="shared" si="24"/>
        <v>-3.1493385362682896E-2</v>
      </c>
      <c r="AF114" s="139">
        <f t="shared" si="24"/>
        <v>4.9711644163422331E-2</v>
      </c>
      <c r="AG114" s="139" t="str">
        <f t="shared" si="24"/>
        <v/>
      </c>
      <c r="AH114" s="139" t="str">
        <f t="shared" si="24"/>
        <v/>
      </c>
      <c r="AI114" s="139" t="str">
        <f t="shared" si="24"/>
        <v/>
      </c>
      <c r="AJ114" s="139" t="str">
        <f t="shared" si="24"/>
        <v/>
      </c>
      <c r="AK114" s="139" t="str">
        <f t="shared" si="24"/>
        <v/>
      </c>
      <c r="AL114" s="139" t="str">
        <f t="shared" si="24"/>
        <v/>
      </c>
      <c r="AM114" s="139" t="str">
        <f t="shared" si="24"/>
        <v/>
      </c>
      <c r="AN114" s="139" t="str">
        <f t="shared" si="24"/>
        <v/>
      </c>
      <c r="AP114" s="82">
        <f t="shared" si="25"/>
        <v>1.9878445031009593E-4</v>
      </c>
      <c r="AQ114" s="82">
        <f t="shared" si="23"/>
        <v>0.96443269254787656</v>
      </c>
    </row>
    <row r="115" spans="2:43" x14ac:dyDescent="0.35">
      <c r="B115" s="83" t="s">
        <v>197</v>
      </c>
      <c r="D115" s="137">
        <v>16843</v>
      </c>
      <c r="E115" s="137">
        <v>6101</v>
      </c>
      <c r="F115" s="137">
        <v>159975</v>
      </c>
      <c r="G115" s="137">
        <v>9926</v>
      </c>
      <c r="H115" s="137">
        <f t="shared" si="15"/>
        <v>192845</v>
      </c>
      <c r="J115" s="137">
        <v>731</v>
      </c>
      <c r="K115" s="137">
        <v>1653</v>
      </c>
      <c r="L115" s="137">
        <v>7464</v>
      </c>
      <c r="M115" s="137">
        <v>42</v>
      </c>
      <c r="N115" s="137">
        <f t="shared" si="16"/>
        <v>9890</v>
      </c>
      <c r="P115" s="84">
        <f t="shared" si="17"/>
        <v>4.3400819331473016E-2</v>
      </c>
      <c r="Q115" s="84">
        <f t="shared" si="18"/>
        <v>0.27093919029667268</v>
      </c>
      <c r="R115" s="84">
        <f t="shared" si="19"/>
        <v>4.6657290201594002E-2</v>
      </c>
      <c r="S115" s="84">
        <f t="shared" si="20"/>
        <v>4.2313117066290554E-3</v>
      </c>
      <c r="T115" s="84" t="str">
        <f>+IFERROR(#REF!/#REF!,"")</f>
        <v/>
      </c>
      <c r="U115" s="84" t="str">
        <f>+IFERROR(#REF!/#REF!,"")</f>
        <v/>
      </c>
      <c r="V115" s="84" t="str">
        <f>+IFERROR(#REF!/#REF!,"")</f>
        <v/>
      </c>
      <c r="W115" s="84" t="str">
        <f>+IFERROR(#REF!/#REF!,"")</f>
        <v/>
      </c>
      <c r="X115" s="84" t="str">
        <f>+IFERROR(#REF!/#REF!,"")</f>
        <v/>
      </c>
      <c r="Y115" s="84" t="str">
        <f>+IFERROR(#REF!/#REF!,"")</f>
        <v/>
      </c>
      <c r="Z115" s="84" t="str">
        <f>+IFERROR(#REF!/#REF!,"")</f>
        <v/>
      </c>
      <c r="AA115" s="84" t="str">
        <f>+IFERROR(#REF!/#REF!,"")</f>
        <v/>
      </c>
      <c r="AB115" s="84">
        <f t="shared" si="21"/>
        <v>5.1284710518810443E-2</v>
      </c>
      <c r="AD115" s="139">
        <f t="shared" si="24"/>
        <v>0.22753837096519966</v>
      </c>
      <c r="AE115" s="139">
        <f t="shared" si="24"/>
        <v>-0.22428190009507867</v>
      </c>
      <c r="AF115" s="139">
        <f t="shared" ref="AF115:AN143" si="26">+IFERROR(S115-R115,"")</f>
        <v>-4.2425978494964947E-2</v>
      </c>
      <c r="AG115" s="139" t="str">
        <f t="shared" si="26"/>
        <v/>
      </c>
      <c r="AH115" s="139" t="str">
        <f t="shared" si="26"/>
        <v/>
      </c>
      <c r="AI115" s="139" t="str">
        <f t="shared" si="26"/>
        <v/>
      </c>
      <c r="AJ115" s="139" t="str">
        <f t="shared" si="26"/>
        <v/>
      </c>
      <c r="AK115" s="139" t="str">
        <f t="shared" si="26"/>
        <v/>
      </c>
      <c r="AL115" s="139" t="str">
        <f t="shared" si="26"/>
        <v/>
      </c>
      <c r="AM115" s="139" t="str">
        <f t="shared" si="26"/>
        <v/>
      </c>
      <c r="AN115" s="139" t="str">
        <f t="shared" si="26"/>
        <v/>
      </c>
      <c r="AP115" s="82">
        <f t="shared" si="25"/>
        <v>9.2577614125393142E-6</v>
      </c>
      <c r="AQ115" s="82">
        <f t="shared" si="23"/>
        <v>0.96444195030928914</v>
      </c>
    </row>
    <row r="116" spans="2:43" x14ac:dyDescent="0.35">
      <c r="B116" s="83" t="s">
        <v>198</v>
      </c>
      <c r="D116" s="137">
        <v>803366</v>
      </c>
      <c r="E116" s="137">
        <v>761066</v>
      </c>
      <c r="F116" s="137">
        <v>649461</v>
      </c>
      <c r="G116" s="137">
        <v>603850</v>
      </c>
      <c r="H116" s="137">
        <f t="shared" si="15"/>
        <v>2817743</v>
      </c>
      <c r="J116" s="137">
        <v>134413</v>
      </c>
      <c r="K116" s="137">
        <v>117707</v>
      </c>
      <c r="L116" s="137">
        <v>140137</v>
      </c>
      <c r="M116" s="137">
        <v>117055</v>
      </c>
      <c r="N116" s="137">
        <f t="shared" si="16"/>
        <v>509312</v>
      </c>
      <c r="P116" s="84">
        <f t="shared" si="17"/>
        <v>0.16731228356689229</v>
      </c>
      <c r="Q116" s="84">
        <f t="shared" si="18"/>
        <v>0.15466069959766959</v>
      </c>
      <c r="R116" s="84">
        <f t="shared" si="19"/>
        <v>0.21577431131353539</v>
      </c>
      <c r="S116" s="84">
        <f t="shared" si="20"/>
        <v>0.19384780988656122</v>
      </c>
      <c r="T116" s="84" t="str">
        <f>+IFERROR(#REF!/#REF!,"")</f>
        <v/>
      </c>
      <c r="U116" s="84" t="str">
        <f>+IFERROR(#REF!/#REF!,"")</f>
        <v/>
      </c>
      <c r="V116" s="84" t="str">
        <f>+IFERROR(#REF!/#REF!,"")</f>
        <v/>
      </c>
      <c r="W116" s="84" t="str">
        <f>+IFERROR(#REF!/#REF!,"")</f>
        <v/>
      </c>
      <c r="X116" s="84" t="str">
        <f>+IFERROR(#REF!/#REF!,"")</f>
        <v/>
      </c>
      <c r="Y116" s="84" t="str">
        <f>+IFERROR(#REF!/#REF!,"")</f>
        <v/>
      </c>
      <c r="Z116" s="84" t="str">
        <f>+IFERROR(#REF!/#REF!,"")</f>
        <v/>
      </c>
      <c r="AA116" s="84" t="str">
        <f>+IFERROR(#REF!/#REF!,"")</f>
        <v/>
      </c>
      <c r="AB116" s="84">
        <f t="shared" si="21"/>
        <v>0.18075175770111043</v>
      </c>
      <c r="AD116" s="139">
        <f t="shared" ref="AD116:AH147" si="27">+IFERROR(Q116-P116,"")</f>
        <v>-1.2651583969222696E-2</v>
      </c>
      <c r="AE116" s="139">
        <f t="shared" si="27"/>
        <v>6.1113611715865795E-2</v>
      </c>
      <c r="AF116" s="139">
        <f t="shared" si="26"/>
        <v>-2.1926501426974165E-2</v>
      </c>
      <c r="AG116" s="139" t="str">
        <f t="shared" si="26"/>
        <v/>
      </c>
      <c r="AH116" s="139" t="str">
        <f t="shared" si="26"/>
        <v/>
      </c>
      <c r="AI116" s="139" t="str">
        <f t="shared" si="26"/>
        <v/>
      </c>
      <c r="AJ116" s="139" t="str">
        <f t="shared" si="26"/>
        <v/>
      </c>
      <c r="AK116" s="139" t="str">
        <f t="shared" si="26"/>
        <v/>
      </c>
      <c r="AL116" s="139" t="str">
        <f t="shared" si="26"/>
        <v/>
      </c>
      <c r="AM116" s="139" t="str">
        <f t="shared" si="26"/>
        <v/>
      </c>
      <c r="AN116" s="139" t="str">
        <f t="shared" si="26"/>
        <v/>
      </c>
      <c r="AP116" s="82">
        <f t="shared" si="25"/>
        <v>4.7675318306807107E-4</v>
      </c>
      <c r="AQ116" s="82">
        <f t="shared" si="23"/>
        <v>0.9649187034923572</v>
      </c>
    </row>
    <row r="117" spans="2:43" x14ac:dyDescent="0.35">
      <c r="B117" s="83" t="s">
        <v>199</v>
      </c>
      <c r="D117" s="137">
        <v>124305</v>
      </c>
      <c r="E117" s="137">
        <v>110018</v>
      </c>
      <c r="F117" s="137">
        <v>164387</v>
      </c>
      <c r="G117" s="137">
        <v>133325</v>
      </c>
      <c r="H117" s="137">
        <f t="shared" si="15"/>
        <v>532035</v>
      </c>
      <c r="J117" s="137">
        <v>24454</v>
      </c>
      <c r="K117" s="137">
        <v>24444</v>
      </c>
      <c r="L117" s="137">
        <v>21467</v>
      </c>
      <c r="M117" s="137">
        <v>35478</v>
      </c>
      <c r="N117" s="137">
        <f t="shared" si="16"/>
        <v>105843</v>
      </c>
      <c r="P117" s="84">
        <f t="shared" si="17"/>
        <v>0.19672579542254937</v>
      </c>
      <c r="Q117" s="84">
        <f t="shared" si="18"/>
        <v>0.22218182479230672</v>
      </c>
      <c r="R117" s="84">
        <f t="shared" si="19"/>
        <v>0.13058818519712628</v>
      </c>
      <c r="S117" s="84">
        <f t="shared" si="20"/>
        <v>0.26610163135195952</v>
      </c>
      <c r="T117" s="84" t="str">
        <f>+IFERROR(#REF!/#REF!,"")</f>
        <v/>
      </c>
      <c r="U117" s="84" t="str">
        <f>+IFERROR(#REF!/#REF!,"")</f>
        <v/>
      </c>
      <c r="V117" s="84" t="str">
        <f>+IFERROR(#REF!/#REF!,"")</f>
        <v/>
      </c>
      <c r="W117" s="84" t="str">
        <f>+IFERROR(#REF!/#REF!,"")</f>
        <v/>
      </c>
      <c r="X117" s="84" t="str">
        <f>+IFERROR(#REF!/#REF!,"")</f>
        <v/>
      </c>
      <c r="Y117" s="84" t="str">
        <f>+IFERROR(#REF!/#REF!,"")</f>
        <v/>
      </c>
      <c r="Z117" s="84" t="str">
        <f>+IFERROR(#REF!/#REF!,"")</f>
        <v/>
      </c>
      <c r="AA117" s="84" t="str">
        <f>+IFERROR(#REF!/#REF!,"")</f>
        <v/>
      </c>
      <c r="AB117" s="84">
        <f t="shared" si="21"/>
        <v>0.19893991936620711</v>
      </c>
      <c r="AD117" s="139">
        <f t="shared" si="27"/>
        <v>2.5456029369757355E-2</v>
      </c>
      <c r="AE117" s="139">
        <f t="shared" si="27"/>
        <v>-9.1593639595180437E-2</v>
      </c>
      <c r="AF117" s="139">
        <f t="shared" si="26"/>
        <v>0.13551344615483324</v>
      </c>
      <c r="AG117" s="139" t="str">
        <f t="shared" si="26"/>
        <v/>
      </c>
      <c r="AH117" s="139" t="str">
        <f t="shared" si="26"/>
        <v/>
      </c>
      <c r="AI117" s="139" t="str">
        <f t="shared" si="26"/>
        <v/>
      </c>
      <c r="AJ117" s="139" t="str">
        <f t="shared" si="26"/>
        <v/>
      </c>
      <c r="AK117" s="139" t="str">
        <f t="shared" si="26"/>
        <v/>
      </c>
      <c r="AL117" s="139" t="str">
        <f t="shared" si="26"/>
        <v/>
      </c>
      <c r="AM117" s="139" t="str">
        <f t="shared" si="26"/>
        <v/>
      </c>
      <c r="AN117" s="139" t="str">
        <f t="shared" si="26"/>
        <v/>
      </c>
      <c r="AP117" s="82">
        <f t="shared" si="25"/>
        <v>9.9076768573043341E-5</v>
      </c>
      <c r="AQ117" s="82">
        <f t="shared" si="23"/>
        <v>0.96501778026093021</v>
      </c>
    </row>
    <row r="118" spans="2:43" x14ac:dyDescent="0.35">
      <c r="B118" s="83" t="s">
        <v>200</v>
      </c>
      <c r="D118" s="137">
        <v>108958</v>
      </c>
      <c r="E118" s="137">
        <v>80843</v>
      </c>
      <c r="F118" s="137">
        <v>114212</v>
      </c>
      <c r="G118" s="137">
        <v>99634</v>
      </c>
      <c r="H118" s="137">
        <f t="shared" si="15"/>
        <v>403647</v>
      </c>
      <c r="J118" s="137">
        <v>15351</v>
      </c>
      <c r="K118" s="137">
        <v>10853</v>
      </c>
      <c r="L118" s="137">
        <v>24267</v>
      </c>
      <c r="M118" s="137">
        <v>15761</v>
      </c>
      <c r="N118" s="137">
        <f t="shared" si="16"/>
        <v>66232</v>
      </c>
      <c r="P118" s="84">
        <f t="shared" si="17"/>
        <v>0.14088914994768625</v>
      </c>
      <c r="Q118" s="84">
        <f t="shared" si="18"/>
        <v>0.13424786314213971</v>
      </c>
      <c r="R118" s="84">
        <f t="shared" si="19"/>
        <v>0.21247329527545267</v>
      </c>
      <c r="S118" s="84">
        <f t="shared" si="20"/>
        <v>0.15818897163618845</v>
      </c>
      <c r="T118" s="84" t="str">
        <f>+IFERROR(#REF!/#REF!,"")</f>
        <v/>
      </c>
      <c r="U118" s="84" t="str">
        <f>+IFERROR(#REF!/#REF!,"")</f>
        <v/>
      </c>
      <c r="V118" s="84" t="str">
        <f>+IFERROR(#REF!/#REF!,"")</f>
        <v/>
      </c>
      <c r="W118" s="84" t="str">
        <f>+IFERROR(#REF!/#REF!,"")</f>
        <v/>
      </c>
      <c r="X118" s="84" t="str">
        <f>+IFERROR(#REF!/#REF!,"")</f>
        <v/>
      </c>
      <c r="Y118" s="84" t="str">
        <f>+IFERROR(#REF!/#REF!,"")</f>
        <v/>
      </c>
      <c r="Z118" s="84" t="str">
        <f>+IFERROR(#REF!/#REF!,"")</f>
        <v/>
      </c>
      <c r="AA118" s="84" t="str">
        <f>+IFERROR(#REF!/#REF!,"")</f>
        <v/>
      </c>
      <c r="AB118" s="84">
        <f t="shared" si="21"/>
        <v>0.16408396445408985</v>
      </c>
      <c r="AD118" s="139">
        <f t="shared" si="27"/>
        <v>-6.6412868055465424E-3</v>
      </c>
      <c r="AE118" s="139">
        <f t="shared" si="27"/>
        <v>7.8225432133312955E-2</v>
      </c>
      <c r="AF118" s="139">
        <f t="shared" si="26"/>
        <v>-5.428432363926422E-2</v>
      </c>
      <c r="AG118" s="139" t="str">
        <f t="shared" si="26"/>
        <v/>
      </c>
      <c r="AH118" s="139" t="str">
        <f t="shared" si="26"/>
        <v/>
      </c>
      <c r="AI118" s="139" t="str">
        <f t="shared" si="26"/>
        <v/>
      </c>
      <c r="AJ118" s="139" t="str">
        <f t="shared" si="26"/>
        <v/>
      </c>
      <c r="AK118" s="139" t="str">
        <f t="shared" si="26"/>
        <v/>
      </c>
      <c r="AL118" s="139" t="str">
        <f t="shared" si="26"/>
        <v/>
      </c>
      <c r="AM118" s="139" t="str">
        <f t="shared" si="26"/>
        <v/>
      </c>
      <c r="AN118" s="139" t="str">
        <f t="shared" si="26"/>
        <v/>
      </c>
      <c r="AP118" s="82">
        <f t="shared" si="25"/>
        <v>6.1997983202760753E-5</v>
      </c>
      <c r="AQ118" s="82">
        <f t="shared" si="23"/>
        <v>0.96507977824413294</v>
      </c>
    </row>
    <row r="119" spans="2:43" x14ac:dyDescent="0.35">
      <c r="B119" s="83" t="s">
        <v>201</v>
      </c>
      <c r="D119" s="137">
        <v>119115</v>
      </c>
      <c r="E119" s="137">
        <v>94550</v>
      </c>
      <c r="F119" s="137">
        <v>97513</v>
      </c>
      <c r="G119" s="137">
        <v>109294</v>
      </c>
      <c r="H119" s="137">
        <f t="shared" si="15"/>
        <v>420472</v>
      </c>
      <c r="J119" s="137">
        <v>19883</v>
      </c>
      <c r="K119" s="137">
        <v>20370</v>
      </c>
      <c r="L119" s="137">
        <v>15571</v>
      </c>
      <c r="M119" s="137">
        <v>16703</v>
      </c>
      <c r="N119" s="137">
        <f t="shared" si="16"/>
        <v>72527</v>
      </c>
      <c r="P119" s="84">
        <f t="shared" si="17"/>
        <v>0.16692272173949543</v>
      </c>
      <c r="Q119" s="84">
        <f t="shared" si="18"/>
        <v>0.21544156530936012</v>
      </c>
      <c r="R119" s="84">
        <f t="shared" si="19"/>
        <v>0.15968127326612863</v>
      </c>
      <c r="S119" s="84">
        <f t="shared" si="20"/>
        <v>0.15282632166450125</v>
      </c>
      <c r="T119" s="84" t="str">
        <f>+IFERROR(#REF!/#REF!,"")</f>
        <v/>
      </c>
      <c r="U119" s="84" t="str">
        <f>+IFERROR(#REF!/#REF!,"")</f>
        <v/>
      </c>
      <c r="V119" s="84" t="str">
        <f>+IFERROR(#REF!/#REF!,"")</f>
        <v/>
      </c>
      <c r="W119" s="84" t="str">
        <f>+IFERROR(#REF!/#REF!,"")</f>
        <v/>
      </c>
      <c r="X119" s="84" t="str">
        <f>+IFERROR(#REF!/#REF!,"")</f>
        <v/>
      </c>
      <c r="Y119" s="84" t="str">
        <f>+IFERROR(#REF!/#REF!,"")</f>
        <v/>
      </c>
      <c r="Z119" s="84" t="str">
        <f>+IFERROR(#REF!/#REF!,"")</f>
        <v/>
      </c>
      <c r="AA119" s="84" t="str">
        <f>+IFERROR(#REF!/#REF!,"")</f>
        <v/>
      </c>
      <c r="AB119" s="84">
        <f t="shared" si="21"/>
        <v>0.17248948800395747</v>
      </c>
      <c r="AD119" s="139">
        <f t="shared" si="27"/>
        <v>4.8518843569864689E-2</v>
      </c>
      <c r="AE119" s="139">
        <f t="shared" si="27"/>
        <v>-5.5760292043231491E-2</v>
      </c>
      <c r="AF119" s="139">
        <f t="shared" si="26"/>
        <v>-6.8549516016273848E-3</v>
      </c>
      <c r="AG119" s="139" t="str">
        <f t="shared" si="26"/>
        <v/>
      </c>
      <c r="AH119" s="139" t="str">
        <f t="shared" si="26"/>
        <v/>
      </c>
      <c r="AI119" s="139" t="str">
        <f t="shared" si="26"/>
        <v/>
      </c>
      <c r="AJ119" s="139" t="str">
        <f t="shared" si="26"/>
        <v/>
      </c>
      <c r="AK119" s="139" t="str">
        <f t="shared" si="26"/>
        <v/>
      </c>
      <c r="AL119" s="139" t="str">
        <f t="shared" si="26"/>
        <v/>
      </c>
      <c r="AM119" s="139" t="str">
        <f t="shared" si="26"/>
        <v/>
      </c>
      <c r="AN119" s="139" t="str">
        <f t="shared" si="26"/>
        <v/>
      </c>
      <c r="AP119" s="82">
        <f t="shared" si="25"/>
        <v>6.7890562382936175E-5</v>
      </c>
      <c r="AQ119" s="82">
        <f t="shared" si="23"/>
        <v>0.96514766880651592</v>
      </c>
    </row>
    <row r="120" spans="2:43" x14ac:dyDescent="0.35">
      <c r="B120" s="83" t="s">
        <v>202</v>
      </c>
      <c r="D120" s="137">
        <v>273499</v>
      </c>
      <c r="E120" s="137">
        <v>257024</v>
      </c>
      <c r="F120" s="137">
        <v>362516</v>
      </c>
      <c r="G120" s="137">
        <v>379614</v>
      </c>
      <c r="H120" s="137">
        <f t="shared" si="15"/>
        <v>1272653</v>
      </c>
      <c r="J120" s="137">
        <v>69451</v>
      </c>
      <c r="K120" s="137">
        <v>65017</v>
      </c>
      <c r="L120" s="137">
        <v>61549</v>
      </c>
      <c r="M120" s="137">
        <v>97774</v>
      </c>
      <c r="N120" s="137">
        <f t="shared" si="16"/>
        <v>293791</v>
      </c>
      <c r="P120" s="84">
        <f t="shared" si="17"/>
        <v>0.25393511493643489</v>
      </c>
      <c r="Q120" s="84">
        <f t="shared" si="18"/>
        <v>0.25296081299800799</v>
      </c>
      <c r="R120" s="84">
        <f t="shared" si="19"/>
        <v>0.16978285096381954</v>
      </c>
      <c r="S120" s="84">
        <f t="shared" si="20"/>
        <v>0.25756162839094449</v>
      </c>
      <c r="T120" s="84" t="str">
        <f>+IFERROR(#REF!/#REF!,"")</f>
        <v/>
      </c>
      <c r="U120" s="84" t="str">
        <f>+IFERROR(#REF!/#REF!,"")</f>
        <v/>
      </c>
      <c r="V120" s="84" t="str">
        <f>+IFERROR(#REF!/#REF!,"")</f>
        <v/>
      </c>
      <c r="W120" s="84" t="str">
        <f>+IFERROR(#REF!/#REF!,"")</f>
        <v/>
      </c>
      <c r="X120" s="84" t="str">
        <f>+IFERROR(#REF!/#REF!,"")</f>
        <v/>
      </c>
      <c r="Y120" s="84" t="str">
        <f>+IFERROR(#REF!/#REF!,"")</f>
        <v/>
      </c>
      <c r="Z120" s="84" t="str">
        <f>+IFERROR(#REF!/#REF!,"")</f>
        <v/>
      </c>
      <c r="AA120" s="84" t="str">
        <f>+IFERROR(#REF!/#REF!,"")</f>
        <v/>
      </c>
      <c r="AB120" s="84">
        <f t="shared" si="21"/>
        <v>0.23084925741737927</v>
      </c>
      <c r="AD120" s="139">
        <f t="shared" si="27"/>
        <v>-9.7430193842690249E-4</v>
      </c>
      <c r="AE120" s="139">
        <f t="shared" si="27"/>
        <v>-8.3177962034188452E-2</v>
      </c>
      <c r="AF120" s="139">
        <f t="shared" si="26"/>
        <v>8.7778777427124949E-2</v>
      </c>
      <c r="AG120" s="139" t="str">
        <f t="shared" si="26"/>
        <v/>
      </c>
      <c r="AH120" s="139" t="str">
        <f t="shared" si="26"/>
        <v/>
      </c>
      <c r="AI120" s="139" t="str">
        <f t="shared" si="26"/>
        <v/>
      </c>
      <c r="AJ120" s="139" t="str">
        <f t="shared" si="26"/>
        <v/>
      </c>
      <c r="AK120" s="139" t="str">
        <f t="shared" si="26"/>
        <v/>
      </c>
      <c r="AL120" s="139" t="str">
        <f t="shared" si="26"/>
        <v/>
      </c>
      <c r="AM120" s="139" t="str">
        <f t="shared" si="26"/>
        <v/>
      </c>
      <c r="AN120" s="139" t="str">
        <f t="shared" si="26"/>
        <v/>
      </c>
      <c r="AP120" s="82">
        <f t="shared" si="25"/>
        <v>2.7500980618314839E-4</v>
      </c>
      <c r="AQ120" s="82">
        <f t="shared" si="23"/>
        <v>0.96542267861269904</v>
      </c>
    </row>
    <row r="121" spans="2:43" x14ac:dyDescent="0.35">
      <c r="B121" s="83" t="s">
        <v>203</v>
      </c>
      <c r="D121" s="137">
        <v>4576574</v>
      </c>
      <c r="E121" s="137">
        <v>4232054</v>
      </c>
      <c r="F121" s="137">
        <v>4306243</v>
      </c>
      <c r="G121" s="137">
        <v>3893133</v>
      </c>
      <c r="H121" s="137">
        <f t="shared" si="15"/>
        <v>17008004</v>
      </c>
      <c r="J121" s="137">
        <v>629199</v>
      </c>
      <c r="K121" s="137">
        <v>585066</v>
      </c>
      <c r="L121" s="137">
        <v>565930</v>
      </c>
      <c r="M121" s="137">
        <v>515490</v>
      </c>
      <c r="N121" s="137">
        <f t="shared" si="16"/>
        <v>2295685</v>
      </c>
      <c r="P121" s="84">
        <f t="shared" si="17"/>
        <v>0.13748253606300259</v>
      </c>
      <c r="Q121" s="84">
        <f t="shared" si="18"/>
        <v>0.13824634562791496</v>
      </c>
      <c r="R121" s="84">
        <f t="shared" si="19"/>
        <v>0.13142082320946588</v>
      </c>
      <c r="S121" s="84">
        <f t="shared" si="20"/>
        <v>0.13241006664812119</v>
      </c>
      <c r="T121" s="84" t="str">
        <f>+IFERROR(#REF!/#REF!,"")</f>
        <v/>
      </c>
      <c r="U121" s="84" t="str">
        <f>+IFERROR(#REF!/#REF!,"")</f>
        <v/>
      </c>
      <c r="V121" s="84" t="str">
        <f>+IFERROR(#REF!/#REF!,"")</f>
        <v/>
      </c>
      <c r="W121" s="84" t="str">
        <f>+IFERROR(#REF!/#REF!,"")</f>
        <v/>
      </c>
      <c r="X121" s="84" t="str">
        <f>+IFERROR(#REF!/#REF!,"")</f>
        <v/>
      </c>
      <c r="Y121" s="84" t="str">
        <f>+IFERROR(#REF!/#REF!,"")</f>
        <v/>
      </c>
      <c r="Z121" s="84" t="str">
        <f>+IFERROR(#REF!/#REF!,"")</f>
        <v/>
      </c>
      <c r="AA121" s="84" t="str">
        <f>+IFERROR(#REF!/#REF!,"")</f>
        <v/>
      </c>
      <c r="AB121" s="84">
        <f t="shared" si="21"/>
        <v>0.13497674389069994</v>
      </c>
      <c r="AD121" s="139">
        <f t="shared" si="27"/>
        <v>7.6380956491237106E-4</v>
      </c>
      <c r="AE121" s="139">
        <f t="shared" si="27"/>
        <v>-6.8255224184490815E-3</v>
      </c>
      <c r="AF121" s="139">
        <f t="shared" si="26"/>
        <v>9.8924343865530728E-4</v>
      </c>
      <c r="AG121" s="139" t="str">
        <f t="shared" si="26"/>
        <v/>
      </c>
      <c r="AH121" s="139" t="str">
        <f t="shared" si="26"/>
        <v/>
      </c>
      <c r="AI121" s="139" t="str">
        <f t="shared" si="26"/>
        <v/>
      </c>
      <c r="AJ121" s="139" t="str">
        <f t="shared" si="26"/>
        <v/>
      </c>
      <c r="AK121" s="139" t="str">
        <f t="shared" si="26"/>
        <v/>
      </c>
      <c r="AL121" s="139" t="str">
        <f t="shared" si="26"/>
        <v/>
      </c>
      <c r="AM121" s="139" t="str">
        <f t="shared" si="26"/>
        <v/>
      </c>
      <c r="AN121" s="139" t="str">
        <f t="shared" si="26"/>
        <v/>
      </c>
      <c r="AP121" s="82">
        <f t="shared" si="25"/>
        <v>2.1489286156061997E-3</v>
      </c>
      <c r="AQ121" s="82">
        <f t="shared" si="23"/>
        <v>0.96757160722830526</v>
      </c>
    </row>
    <row r="122" spans="2:43" x14ac:dyDescent="0.35">
      <c r="B122" s="83" t="s">
        <v>204</v>
      </c>
      <c r="D122" s="137">
        <v>6549604</v>
      </c>
      <c r="E122" s="137">
        <v>4988517</v>
      </c>
      <c r="F122" s="137">
        <v>6289361</v>
      </c>
      <c r="G122" s="137">
        <v>11584029</v>
      </c>
      <c r="H122" s="137">
        <f t="shared" si="15"/>
        <v>29411511</v>
      </c>
      <c r="J122" s="137">
        <v>1134185</v>
      </c>
      <c r="K122" s="137">
        <v>834390</v>
      </c>
      <c r="L122" s="137">
        <v>1052510</v>
      </c>
      <c r="M122" s="137">
        <v>1868534</v>
      </c>
      <c r="N122" s="137">
        <f t="shared" si="16"/>
        <v>4889619</v>
      </c>
      <c r="P122" s="84">
        <f t="shared" si="17"/>
        <v>0.17316848469006677</v>
      </c>
      <c r="Q122" s="84">
        <f t="shared" si="18"/>
        <v>0.16726213421744379</v>
      </c>
      <c r="R122" s="84">
        <f t="shared" si="19"/>
        <v>0.16734768444679834</v>
      </c>
      <c r="S122" s="84">
        <f t="shared" si="20"/>
        <v>0.16130260033016147</v>
      </c>
      <c r="T122" s="84" t="str">
        <f>+IFERROR(#REF!/#REF!,"")</f>
        <v/>
      </c>
      <c r="U122" s="84" t="str">
        <f>+IFERROR(#REF!/#REF!,"")</f>
        <v/>
      </c>
      <c r="V122" s="84" t="str">
        <f>+IFERROR(#REF!/#REF!,"")</f>
        <v/>
      </c>
      <c r="W122" s="84" t="str">
        <f>+IFERROR(#REF!/#REF!,"")</f>
        <v/>
      </c>
      <c r="X122" s="84" t="str">
        <f>+IFERROR(#REF!/#REF!,"")</f>
        <v/>
      </c>
      <c r="Y122" s="84" t="str">
        <f>+IFERROR(#REF!/#REF!,"")</f>
        <v/>
      </c>
      <c r="Z122" s="84" t="str">
        <f>+IFERROR(#REF!/#REF!,"")</f>
        <v/>
      </c>
      <c r="AA122" s="84" t="str">
        <f>+IFERROR(#REF!/#REF!,"")</f>
        <v/>
      </c>
      <c r="AB122" s="84">
        <f t="shared" si="21"/>
        <v>0.166248480059389</v>
      </c>
      <c r="AD122" s="139">
        <f t="shared" si="27"/>
        <v>-5.9063504726229732E-3</v>
      </c>
      <c r="AE122" s="139">
        <f t="shared" si="27"/>
        <v>8.555022935455292E-5</v>
      </c>
      <c r="AF122" s="139">
        <f t="shared" si="26"/>
        <v>-6.045084116636873E-3</v>
      </c>
      <c r="AG122" s="139" t="str">
        <f t="shared" si="26"/>
        <v/>
      </c>
      <c r="AH122" s="139" t="str">
        <f t="shared" si="26"/>
        <v/>
      </c>
      <c r="AI122" s="139" t="str">
        <f t="shared" si="26"/>
        <v/>
      </c>
      <c r="AJ122" s="139" t="str">
        <f t="shared" si="26"/>
        <v/>
      </c>
      <c r="AK122" s="139" t="str">
        <f t="shared" si="26"/>
        <v/>
      </c>
      <c r="AL122" s="139" t="str">
        <f t="shared" si="26"/>
        <v/>
      </c>
      <c r="AM122" s="139" t="str">
        <f t="shared" si="26"/>
        <v/>
      </c>
      <c r="AN122" s="139" t="str">
        <f t="shared" si="26"/>
        <v/>
      </c>
      <c r="AP122" s="82">
        <f t="shared" si="25"/>
        <v>4.5770400505782674E-3</v>
      </c>
      <c r="AQ122" s="82">
        <f t="shared" si="23"/>
        <v>0.9721486472788835</v>
      </c>
    </row>
    <row r="123" spans="2:43" x14ac:dyDescent="0.35">
      <c r="B123" s="83" t="s">
        <v>205</v>
      </c>
      <c r="D123" s="137">
        <v>349711</v>
      </c>
      <c r="E123" s="137">
        <v>354363</v>
      </c>
      <c r="F123" s="137">
        <v>380050</v>
      </c>
      <c r="G123" s="137">
        <v>333217</v>
      </c>
      <c r="H123" s="137">
        <f t="shared" si="15"/>
        <v>1417341</v>
      </c>
      <c r="J123" s="137">
        <v>50465</v>
      </c>
      <c r="K123" s="137">
        <v>62576</v>
      </c>
      <c r="L123" s="137">
        <v>54277</v>
      </c>
      <c r="M123" s="137">
        <v>51629</v>
      </c>
      <c r="N123" s="137">
        <f t="shared" si="16"/>
        <v>218947</v>
      </c>
      <c r="P123" s="84">
        <f t="shared" si="17"/>
        <v>0.14430486887744451</v>
      </c>
      <c r="Q123" s="84">
        <f t="shared" si="18"/>
        <v>0.17658728478989058</v>
      </c>
      <c r="R123" s="84">
        <f t="shared" si="19"/>
        <v>0.14281541902381265</v>
      </c>
      <c r="S123" s="84">
        <f t="shared" si="20"/>
        <v>0.15494107443497782</v>
      </c>
      <c r="T123" s="84" t="str">
        <f>+IFERROR(#REF!/#REF!,"")</f>
        <v/>
      </c>
      <c r="U123" s="84" t="str">
        <f>+IFERROR(#REF!/#REF!,"")</f>
        <v/>
      </c>
      <c r="V123" s="84" t="str">
        <f>+IFERROR(#REF!/#REF!,"")</f>
        <v/>
      </c>
      <c r="W123" s="84" t="str">
        <f>+IFERROR(#REF!/#REF!,"")</f>
        <v/>
      </c>
      <c r="X123" s="84" t="str">
        <f>+IFERROR(#REF!/#REF!,"")</f>
        <v/>
      </c>
      <c r="Y123" s="84" t="str">
        <f>+IFERROR(#REF!/#REF!,"")</f>
        <v/>
      </c>
      <c r="Z123" s="84" t="str">
        <f>+IFERROR(#REF!/#REF!,"")</f>
        <v/>
      </c>
      <c r="AA123" s="84" t="str">
        <f>+IFERROR(#REF!/#REF!,"")</f>
        <v/>
      </c>
      <c r="AB123" s="84">
        <f t="shared" si="21"/>
        <v>0.15447729233825874</v>
      </c>
      <c r="AD123" s="139">
        <f t="shared" si="27"/>
        <v>3.2282415912446072E-2</v>
      </c>
      <c r="AE123" s="139">
        <f t="shared" si="27"/>
        <v>-3.3771865766077935E-2</v>
      </c>
      <c r="AF123" s="139">
        <f t="shared" si="26"/>
        <v>1.212565541116517E-2</v>
      </c>
      <c r="AG123" s="139" t="str">
        <f t="shared" si="26"/>
        <v/>
      </c>
      <c r="AH123" s="139" t="str">
        <f t="shared" si="26"/>
        <v/>
      </c>
      <c r="AI123" s="139" t="str">
        <f t="shared" si="26"/>
        <v/>
      </c>
      <c r="AJ123" s="139" t="str">
        <f t="shared" si="26"/>
        <v/>
      </c>
      <c r="AK123" s="139" t="str">
        <f t="shared" si="26"/>
        <v/>
      </c>
      <c r="AL123" s="139" t="str">
        <f t="shared" si="26"/>
        <v/>
      </c>
      <c r="AM123" s="139" t="str">
        <f t="shared" si="26"/>
        <v/>
      </c>
      <c r="AN123" s="139" t="str">
        <f t="shared" si="26"/>
        <v/>
      </c>
      <c r="AP123" s="82">
        <f t="shared" si="25"/>
        <v>2.0495036278981245E-4</v>
      </c>
      <c r="AQ123" s="82">
        <f t="shared" si="23"/>
        <v>0.97235359764167328</v>
      </c>
    </row>
    <row r="124" spans="2:43" x14ac:dyDescent="0.35">
      <c r="B124" s="83" t="s">
        <v>206</v>
      </c>
      <c r="D124" s="137">
        <v>645788</v>
      </c>
      <c r="E124" s="137">
        <v>610496</v>
      </c>
      <c r="F124" s="137">
        <v>772417</v>
      </c>
      <c r="G124" s="137">
        <v>800101</v>
      </c>
      <c r="H124" s="137">
        <f t="shared" si="15"/>
        <v>2828802</v>
      </c>
      <c r="J124" s="137">
        <v>112236</v>
      </c>
      <c r="K124" s="137">
        <v>109647</v>
      </c>
      <c r="L124" s="137">
        <v>135682</v>
      </c>
      <c r="M124" s="137">
        <v>116834</v>
      </c>
      <c r="N124" s="137">
        <f t="shared" si="16"/>
        <v>474399</v>
      </c>
      <c r="P124" s="84">
        <f t="shared" si="17"/>
        <v>0.17379697361982571</v>
      </c>
      <c r="Q124" s="84">
        <f t="shared" si="18"/>
        <v>0.17960314236293112</v>
      </c>
      <c r="R124" s="84">
        <f t="shared" si="19"/>
        <v>0.17565900284431854</v>
      </c>
      <c r="S124" s="84">
        <f t="shared" si="20"/>
        <v>0.1460240644618617</v>
      </c>
      <c r="T124" s="84" t="str">
        <f>+IFERROR(#REF!/#REF!,"")</f>
        <v/>
      </c>
      <c r="U124" s="84" t="str">
        <f>+IFERROR(#REF!/#REF!,"")</f>
        <v/>
      </c>
      <c r="V124" s="84" t="str">
        <f>+IFERROR(#REF!/#REF!,"")</f>
        <v/>
      </c>
      <c r="W124" s="84" t="str">
        <f>+IFERROR(#REF!/#REF!,"")</f>
        <v/>
      </c>
      <c r="X124" s="84" t="str">
        <f>+IFERROR(#REF!/#REF!,"")</f>
        <v/>
      </c>
      <c r="Y124" s="84" t="str">
        <f>+IFERROR(#REF!/#REF!,"")</f>
        <v/>
      </c>
      <c r="Z124" s="84" t="str">
        <f>+IFERROR(#REF!/#REF!,"")</f>
        <v/>
      </c>
      <c r="AA124" s="84" t="str">
        <f>+IFERROR(#REF!/#REF!,"")</f>
        <v/>
      </c>
      <c r="AB124" s="84">
        <f t="shared" si="21"/>
        <v>0.16770314783431289</v>
      </c>
      <c r="AD124" s="139">
        <f t="shared" si="27"/>
        <v>5.806168743105411E-3</v>
      </c>
      <c r="AE124" s="139">
        <f t="shared" si="27"/>
        <v>-3.9441395186125827E-3</v>
      </c>
      <c r="AF124" s="139">
        <f t="shared" si="26"/>
        <v>-2.9634938382456844E-2</v>
      </c>
      <c r="AG124" s="139" t="str">
        <f t="shared" si="26"/>
        <v/>
      </c>
      <c r="AH124" s="139" t="str">
        <f t="shared" si="26"/>
        <v/>
      </c>
      <c r="AI124" s="139" t="str">
        <f t="shared" si="26"/>
        <v/>
      </c>
      <c r="AJ124" s="139" t="str">
        <f t="shared" si="26"/>
        <v/>
      </c>
      <c r="AK124" s="139" t="str">
        <f t="shared" si="26"/>
        <v/>
      </c>
      <c r="AL124" s="139" t="str">
        <f t="shared" si="26"/>
        <v/>
      </c>
      <c r="AM124" s="139" t="str">
        <f t="shared" si="26"/>
        <v/>
      </c>
      <c r="AN124" s="139" t="str">
        <f t="shared" si="26"/>
        <v/>
      </c>
      <c r="AP124" s="82">
        <f t="shared" si="25"/>
        <v>4.4407206838698059E-4</v>
      </c>
      <c r="AQ124" s="82">
        <f t="shared" si="23"/>
        <v>0.97279766971006032</v>
      </c>
    </row>
    <row r="125" spans="2:43" x14ac:dyDescent="0.35">
      <c r="B125" s="83" t="s">
        <v>207</v>
      </c>
      <c r="D125" s="137">
        <v>218867</v>
      </c>
      <c r="E125" s="137">
        <v>182725</v>
      </c>
      <c r="F125" s="137">
        <v>206193</v>
      </c>
      <c r="G125" s="137">
        <v>133849</v>
      </c>
      <c r="H125" s="137">
        <f t="shared" si="15"/>
        <v>741634</v>
      </c>
      <c r="J125" s="137">
        <v>76265</v>
      </c>
      <c r="K125" s="137">
        <v>30282</v>
      </c>
      <c r="L125" s="137">
        <v>23721</v>
      </c>
      <c r="M125" s="137">
        <v>21067</v>
      </c>
      <c r="N125" s="137">
        <f t="shared" si="16"/>
        <v>151335</v>
      </c>
      <c r="P125" s="84">
        <f t="shared" si="17"/>
        <v>0.34845362708859717</v>
      </c>
      <c r="Q125" s="84">
        <f t="shared" si="18"/>
        <v>0.16572444930907101</v>
      </c>
      <c r="R125" s="84">
        <f t="shared" si="19"/>
        <v>0.11504270271056728</v>
      </c>
      <c r="S125" s="84">
        <f t="shared" si="20"/>
        <v>0.15739377955756112</v>
      </c>
      <c r="T125" s="84" t="str">
        <f>+IFERROR(#REF!/#REF!,"")</f>
        <v/>
      </c>
      <c r="U125" s="84" t="str">
        <f>+IFERROR(#REF!/#REF!,"")</f>
        <v/>
      </c>
      <c r="V125" s="84" t="str">
        <f>+IFERROR(#REF!/#REF!,"")</f>
        <v/>
      </c>
      <c r="W125" s="84" t="str">
        <f>+IFERROR(#REF!/#REF!,"")</f>
        <v/>
      </c>
      <c r="X125" s="84" t="str">
        <f>+IFERROR(#REF!/#REF!,"")</f>
        <v/>
      </c>
      <c r="Y125" s="84" t="str">
        <f>+IFERROR(#REF!/#REF!,"")</f>
        <v/>
      </c>
      <c r="Z125" s="84" t="str">
        <f>+IFERROR(#REF!/#REF!,"")</f>
        <v/>
      </c>
      <c r="AA125" s="84" t="str">
        <f>+IFERROR(#REF!/#REF!,"")</f>
        <v/>
      </c>
      <c r="AB125" s="84">
        <f t="shared" si="21"/>
        <v>0.20405617865416095</v>
      </c>
      <c r="AD125" s="139">
        <f t="shared" si="27"/>
        <v>-0.18272917777952616</v>
      </c>
      <c r="AE125" s="139">
        <f t="shared" si="27"/>
        <v>-5.0681746598503732E-2</v>
      </c>
      <c r="AF125" s="139">
        <f t="shared" si="26"/>
        <v>4.2351076846993838E-2</v>
      </c>
      <c r="AG125" s="139" t="str">
        <f t="shared" si="26"/>
        <v/>
      </c>
      <c r="AH125" s="139" t="str">
        <f t="shared" si="26"/>
        <v/>
      </c>
      <c r="AI125" s="139" t="str">
        <f t="shared" si="26"/>
        <v/>
      </c>
      <c r="AJ125" s="139" t="str">
        <f t="shared" si="26"/>
        <v/>
      </c>
      <c r="AK125" s="139" t="str">
        <f t="shared" si="26"/>
        <v/>
      </c>
      <c r="AL125" s="139" t="str">
        <f t="shared" si="26"/>
        <v/>
      </c>
      <c r="AM125" s="139" t="str">
        <f t="shared" si="26"/>
        <v/>
      </c>
      <c r="AN125" s="139" t="str">
        <f t="shared" si="26"/>
        <v/>
      </c>
      <c r="AP125" s="82">
        <f t="shared" si="25"/>
        <v>1.4166059892483691E-4</v>
      </c>
      <c r="AQ125" s="82">
        <f t="shared" si="23"/>
        <v>0.97293933030898516</v>
      </c>
    </row>
    <row r="126" spans="2:43" x14ac:dyDescent="0.35">
      <c r="B126" s="83" t="s">
        <v>208</v>
      </c>
      <c r="D126" s="137">
        <v>200213</v>
      </c>
      <c r="E126" s="137">
        <v>187036</v>
      </c>
      <c r="F126" s="137">
        <v>237075</v>
      </c>
      <c r="G126" s="137">
        <v>212324</v>
      </c>
      <c r="H126" s="137">
        <f t="shared" si="15"/>
        <v>836648</v>
      </c>
      <c r="J126" s="137">
        <v>41799</v>
      </c>
      <c r="K126" s="137">
        <v>35556</v>
      </c>
      <c r="L126" s="137">
        <v>60899</v>
      </c>
      <c r="M126" s="137">
        <v>50528</v>
      </c>
      <c r="N126" s="137">
        <f t="shared" si="16"/>
        <v>188782</v>
      </c>
      <c r="P126" s="84">
        <f t="shared" si="17"/>
        <v>0.20877265712016702</v>
      </c>
      <c r="Q126" s="84">
        <f t="shared" si="18"/>
        <v>0.1901024401719455</v>
      </c>
      <c r="R126" s="84">
        <f t="shared" si="19"/>
        <v>0.25687651587050514</v>
      </c>
      <c r="S126" s="84">
        <f t="shared" si="20"/>
        <v>0.23797592358847799</v>
      </c>
      <c r="T126" s="84" t="str">
        <f>+IFERROR(#REF!/#REF!,"")</f>
        <v/>
      </c>
      <c r="U126" s="84" t="str">
        <f>+IFERROR(#REF!/#REF!,"")</f>
        <v/>
      </c>
      <c r="V126" s="84" t="str">
        <f>+IFERROR(#REF!/#REF!,"")</f>
        <v/>
      </c>
      <c r="W126" s="84" t="str">
        <f>+IFERROR(#REF!/#REF!,"")</f>
        <v/>
      </c>
      <c r="X126" s="84" t="str">
        <f>+IFERROR(#REF!/#REF!,"")</f>
        <v/>
      </c>
      <c r="Y126" s="84" t="str">
        <f>+IFERROR(#REF!/#REF!,"")</f>
        <v/>
      </c>
      <c r="Z126" s="84" t="str">
        <f>+IFERROR(#REF!/#REF!,"")</f>
        <v/>
      </c>
      <c r="AA126" s="84" t="str">
        <f>+IFERROR(#REF!/#REF!,"")</f>
        <v/>
      </c>
      <c r="AB126" s="84">
        <f t="shared" si="21"/>
        <v>0.22564089079278263</v>
      </c>
      <c r="AD126" s="139">
        <f t="shared" si="27"/>
        <v>-1.8670216948221519E-2</v>
      </c>
      <c r="AE126" s="139">
        <f t="shared" si="27"/>
        <v>6.6774075698559643E-2</v>
      </c>
      <c r="AF126" s="139">
        <f t="shared" si="26"/>
        <v>-1.8900592282027145E-2</v>
      </c>
      <c r="AG126" s="139" t="str">
        <f t="shared" si="26"/>
        <v/>
      </c>
      <c r="AH126" s="139" t="str">
        <f t="shared" si="26"/>
        <v/>
      </c>
      <c r="AI126" s="139" t="str">
        <f t="shared" si="26"/>
        <v/>
      </c>
      <c r="AJ126" s="139" t="str">
        <f t="shared" si="26"/>
        <v/>
      </c>
      <c r="AK126" s="139" t="str">
        <f t="shared" si="26"/>
        <v/>
      </c>
      <c r="AL126" s="139" t="str">
        <f t="shared" si="26"/>
        <v/>
      </c>
      <c r="AM126" s="139" t="str">
        <f t="shared" si="26"/>
        <v/>
      </c>
      <c r="AN126" s="139" t="str">
        <f t="shared" si="26"/>
        <v/>
      </c>
      <c r="AP126" s="82">
        <f t="shared" si="25"/>
        <v>1.7671372244509572E-4</v>
      </c>
      <c r="AQ126" s="82">
        <f t="shared" si="23"/>
        <v>0.97311604403143026</v>
      </c>
    </row>
    <row r="127" spans="2:43" x14ac:dyDescent="0.35">
      <c r="B127" s="83" t="s">
        <v>209</v>
      </c>
      <c r="D127" s="137">
        <v>559167</v>
      </c>
      <c r="E127" s="137">
        <v>423395</v>
      </c>
      <c r="F127" s="137">
        <v>411799</v>
      </c>
      <c r="G127" s="137">
        <v>327485</v>
      </c>
      <c r="H127" s="137">
        <f t="shared" si="15"/>
        <v>1721846</v>
      </c>
      <c r="J127" s="137">
        <v>78416</v>
      </c>
      <c r="K127" s="137">
        <v>66042</v>
      </c>
      <c r="L127" s="137">
        <v>79131</v>
      </c>
      <c r="M127" s="137">
        <v>38182</v>
      </c>
      <c r="N127" s="137">
        <f t="shared" si="16"/>
        <v>261771</v>
      </c>
      <c r="P127" s="84">
        <f t="shared" si="17"/>
        <v>0.14023717422523146</v>
      </c>
      <c r="Q127" s="84">
        <f t="shared" si="18"/>
        <v>0.15598200262166534</v>
      </c>
      <c r="R127" s="84">
        <f t="shared" si="19"/>
        <v>0.19215928159126175</v>
      </c>
      <c r="S127" s="84">
        <f t="shared" si="20"/>
        <v>0.11659159961524955</v>
      </c>
      <c r="T127" s="84" t="str">
        <f>+IFERROR(#REF!/#REF!,"")</f>
        <v/>
      </c>
      <c r="U127" s="84" t="str">
        <f>+IFERROR(#REF!/#REF!,"")</f>
        <v/>
      </c>
      <c r="V127" s="84" t="str">
        <f>+IFERROR(#REF!/#REF!,"")</f>
        <v/>
      </c>
      <c r="W127" s="84" t="str">
        <f>+IFERROR(#REF!/#REF!,"")</f>
        <v/>
      </c>
      <c r="X127" s="84" t="str">
        <f>+IFERROR(#REF!/#REF!,"")</f>
        <v/>
      </c>
      <c r="Y127" s="84" t="str">
        <f>+IFERROR(#REF!/#REF!,"")</f>
        <v/>
      </c>
      <c r="Z127" s="84" t="str">
        <f>+IFERROR(#REF!/#REF!,"")</f>
        <v/>
      </c>
      <c r="AA127" s="84" t="str">
        <f>+IFERROR(#REF!/#REF!,"")</f>
        <v/>
      </c>
      <c r="AB127" s="84">
        <f t="shared" si="21"/>
        <v>0.15202927555658288</v>
      </c>
      <c r="AD127" s="139">
        <f t="shared" si="27"/>
        <v>1.5744828396433874E-2</v>
      </c>
      <c r="AE127" s="139">
        <f t="shared" si="27"/>
        <v>3.617727896959641E-2</v>
      </c>
      <c r="AF127" s="139">
        <f t="shared" si="26"/>
        <v>-7.5567681976012199E-2</v>
      </c>
      <c r="AG127" s="139" t="str">
        <f t="shared" si="26"/>
        <v/>
      </c>
      <c r="AH127" s="139" t="str">
        <f t="shared" si="26"/>
        <v/>
      </c>
      <c r="AI127" s="139" t="str">
        <f t="shared" si="26"/>
        <v/>
      </c>
      <c r="AJ127" s="139" t="str">
        <f t="shared" si="26"/>
        <v/>
      </c>
      <c r="AK127" s="139" t="str">
        <f t="shared" si="26"/>
        <v/>
      </c>
      <c r="AL127" s="139" t="str">
        <f t="shared" si="26"/>
        <v/>
      </c>
      <c r="AM127" s="139" t="str">
        <f t="shared" si="26"/>
        <v/>
      </c>
      <c r="AN127" s="139" t="str">
        <f t="shared" si="26"/>
        <v/>
      </c>
      <c r="AP127" s="82">
        <f t="shared" si="25"/>
        <v>2.4503675052799079E-4</v>
      </c>
      <c r="AQ127" s="82">
        <f t="shared" si="23"/>
        <v>0.97336108078195827</v>
      </c>
    </row>
    <row r="128" spans="2:43" x14ac:dyDescent="0.35">
      <c r="B128" s="83" t="s">
        <v>210</v>
      </c>
      <c r="D128" s="137">
        <v>55321</v>
      </c>
      <c r="E128" s="137">
        <v>47764</v>
      </c>
      <c r="F128" s="137">
        <v>50587</v>
      </c>
      <c r="G128" s="137">
        <v>47116</v>
      </c>
      <c r="H128" s="137">
        <f t="shared" si="15"/>
        <v>200788</v>
      </c>
      <c r="J128" s="137">
        <v>12923</v>
      </c>
      <c r="K128" s="137">
        <v>7560</v>
      </c>
      <c r="L128" s="137">
        <v>10557</v>
      </c>
      <c r="M128" s="137">
        <v>8381</v>
      </c>
      <c r="N128" s="137">
        <f t="shared" si="16"/>
        <v>39421</v>
      </c>
      <c r="P128" s="84">
        <f t="shared" si="17"/>
        <v>0.23360026029898232</v>
      </c>
      <c r="Q128" s="84">
        <f t="shared" si="18"/>
        <v>0.15827820115568211</v>
      </c>
      <c r="R128" s="84">
        <f t="shared" si="19"/>
        <v>0.20868997963903771</v>
      </c>
      <c r="S128" s="84">
        <f t="shared" si="20"/>
        <v>0.17788012564733849</v>
      </c>
      <c r="T128" s="84" t="str">
        <f>+IFERROR(#REF!/#REF!,"")</f>
        <v/>
      </c>
      <c r="U128" s="84" t="str">
        <f>+IFERROR(#REF!/#REF!,"")</f>
        <v/>
      </c>
      <c r="V128" s="84" t="str">
        <f>+IFERROR(#REF!/#REF!,"")</f>
        <v/>
      </c>
      <c r="W128" s="84" t="str">
        <f>+IFERROR(#REF!/#REF!,"")</f>
        <v/>
      </c>
      <c r="X128" s="84" t="str">
        <f>+IFERROR(#REF!/#REF!,"")</f>
        <v/>
      </c>
      <c r="Y128" s="84" t="str">
        <f>+IFERROR(#REF!/#REF!,"")</f>
        <v/>
      </c>
      <c r="Z128" s="84" t="str">
        <f>+IFERROR(#REF!/#REF!,"")</f>
        <v/>
      </c>
      <c r="AA128" s="84" t="str">
        <f>+IFERROR(#REF!/#REF!,"")</f>
        <v/>
      </c>
      <c r="AB128" s="84">
        <f t="shared" si="21"/>
        <v>0.19633145407096042</v>
      </c>
      <c r="AD128" s="139">
        <f t="shared" si="27"/>
        <v>-7.5322059143300202E-2</v>
      </c>
      <c r="AE128" s="139">
        <f t="shared" si="27"/>
        <v>5.0411778483355596E-2</v>
      </c>
      <c r="AF128" s="139">
        <f t="shared" si="26"/>
        <v>-3.0809853991699221E-2</v>
      </c>
      <c r="AG128" s="139" t="str">
        <f t="shared" si="26"/>
        <v/>
      </c>
      <c r="AH128" s="139" t="str">
        <f t="shared" si="26"/>
        <v/>
      </c>
      <c r="AI128" s="139" t="str">
        <f t="shared" si="26"/>
        <v/>
      </c>
      <c r="AJ128" s="139" t="str">
        <f t="shared" si="26"/>
        <v/>
      </c>
      <c r="AK128" s="139" t="str">
        <f t="shared" si="26"/>
        <v/>
      </c>
      <c r="AL128" s="139" t="str">
        <f t="shared" si="26"/>
        <v/>
      </c>
      <c r="AM128" s="139" t="str">
        <f t="shared" si="26"/>
        <v/>
      </c>
      <c r="AN128" s="139" t="str">
        <f t="shared" si="26"/>
        <v/>
      </c>
      <c r="AP128" s="82">
        <f t="shared" si="25"/>
        <v>3.6900931510992144E-5</v>
      </c>
      <c r="AQ128" s="82">
        <f t="shared" si="23"/>
        <v>0.97339798171346925</v>
      </c>
    </row>
    <row r="129" spans="2:43" x14ac:dyDescent="0.35">
      <c r="B129" s="83" t="s">
        <v>211</v>
      </c>
      <c r="D129" s="137">
        <v>88598</v>
      </c>
      <c r="E129" s="137">
        <v>144259</v>
      </c>
      <c r="F129" s="137">
        <v>191221</v>
      </c>
      <c r="G129" s="137">
        <v>276344</v>
      </c>
      <c r="H129" s="137">
        <f t="shared" si="15"/>
        <v>700422</v>
      </c>
      <c r="J129" s="137">
        <v>13852</v>
      </c>
      <c r="K129" s="137">
        <v>52737</v>
      </c>
      <c r="L129" s="137">
        <v>33782</v>
      </c>
      <c r="M129" s="137">
        <v>71748</v>
      </c>
      <c r="N129" s="137">
        <f t="shared" si="16"/>
        <v>172119</v>
      </c>
      <c r="P129" s="84">
        <f t="shared" si="17"/>
        <v>0.15634664439377863</v>
      </c>
      <c r="Q129" s="84">
        <f t="shared" si="18"/>
        <v>0.36557164544326526</v>
      </c>
      <c r="R129" s="84">
        <f t="shared" si="19"/>
        <v>0.17666469686906772</v>
      </c>
      <c r="S129" s="84">
        <f t="shared" si="20"/>
        <v>0.25963292128651244</v>
      </c>
      <c r="T129" s="84" t="str">
        <f>+IFERROR(#REF!/#REF!,"")</f>
        <v/>
      </c>
      <c r="U129" s="84" t="str">
        <f>+IFERROR(#REF!/#REF!,"")</f>
        <v/>
      </c>
      <c r="V129" s="84" t="str">
        <f>+IFERROR(#REF!/#REF!,"")</f>
        <v/>
      </c>
      <c r="W129" s="84" t="str">
        <f>+IFERROR(#REF!/#REF!,"")</f>
        <v/>
      </c>
      <c r="X129" s="84" t="str">
        <f>+IFERROR(#REF!/#REF!,"")</f>
        <v/>
      </c>
      <c r="Y129" s="84" t="str">
        <f>+IFERROR(#REF!/#REF!,"")</f>
        <v/>
      </c>
      <c r="Z129" s="84" t="str">
        <f>+IFERROR(#REF!/#REF!,"")</f>
        <v/>
      </c>
      <c r="AA129" s="84" t="str">
        <f>+IFERROR(#REF!/#REF!,"")</f>
        <v/>
      </c>
      <c r="AB129" s="84">
        <f t="shared" si="21"/>
        <v>0.24573614192586754</v>
      </c>
      <c r="AD129" s="139">
        <f t="shared" si="27"/>
        <v>0.20922500104948663</v>
      </c>
      <c r="AE129" s="139">
        <f t="shared" si="27"/>
        <v>-0.18890694857419754</v>
      </c>
      <c r="AF129" s="139">
        <f t="shared" si="26"/>
        <v>8.2968224417444725E-2</v>
      </c>
      <c r="AG129" s="139" t="str">
        <f t="shared" si="26"/>
        <v/>
      </c>
      <c r="AH129" s="139" t="str">
        <f t="shared" si="26"/>
        <v/>
      </c>
      <c r="AI129" s="139" t="str">
        <f t="shared" si="26"/>
        <v/>
      </c>
      <c r="AJ129" s="139" t="str">
        <f t="shared" si="26"/>
        <v/>
      </c>
      <c r="AK129" s="139" t="str">
        <f t="shared" si="26"/>
        <v/>
      </c>
      <c r="AL129" s="139" t="str">
        <f t="shared" si="26"/>
        <v/>
      </c>
      <c r="AM129" s="139" t="str">
        <f t="shared" si="26"/>
        <v/>
      </c>
      <c r="AN129" s="139" t="str">
        <f t="shared" si="26"/>
        <v/>
      </c>
      <c r="AP129" s="82">
        <f t="shared" si="25"/>
        <v>1.6111593898532399E-4</v>
      </c>
      <c r="AQ129" s="82">
        <f t="shared" si="23"/>
        <v>0.97355909765245463</v>
      </c>
    </row>
    <row r="130" spans="2:43" x14ac:dyDescent="0.35">
      <c r="B130" s="83" t="s">
        <v>212</v>
      </c>
      <c r="D130" s="137">
        <v>2869438</v>
      </c>
      <c r="E130" s="137">
        <v>10355945</v>
      </c>
      <c r="F130" s="137">
        <v>10455768</v>
      </c>
      <c r="G130" s="137">
        <v>11320154</v>
      </c>
      <c r="H130" s="137">
        <f t="shared" si="15"/>
        <v>35001305</v>
      </c>
      <c r="J130" s="137">
        <v>678689</v>
      </c>
      <c r="K130" s="137">
        <v>4555506</v>
      </c>
      <c r="L130" s="137">
        <v>4342843</v>
      </c>
      <c r="M130" s="137">
        <v>3072112</v>
      </c>
      <c r="N130" s="137">
        <f t="shared" si="16"/>
        <v>12649150</v>
      </c>
      <c r="P130" s="84">
        <f t="shared" si="17"/>
        <v>0.23652331920048456</v>
      </c>
      <c r="Q130" s="84">
        <f t="shared" si="18"/>
        <v>0.43989283450230759</v>
      </c>
      <c r="R130" s="84">
        <f t="shared" si="19"/>
        <v>0.4153538028005212</v>
      </c>
      <c r="S130" s="84">
        <f t="shared" si="20"/>
        <v>0.27138429388858137</v>
      </c>
      <c r="T130" s="84" t="str">
        <f>+IFERROR(#REF!/#REF!,"")</f>
        <v/>
      </c>
      <c r="U130" s="84" t="str">
        <f>+IFERROR(#REF!/#REF!,"")</f>
        <v/>
      </c>
      <c r="V130" s="84" t="str">
        <f>+IFERROR(#REF!/#REF!,"")</f>
        <v/>
      </c>
      <c r="W130" s="84" t="str">
        <f>+IFERROR(#REF!/#REF!,"")</f>
        <v/>
      </c>
      <c r="X130" s="84" t="str">
        <f>+IFERROR(#REF!/#REF!,"")</f>
        <v/>
      </c>
      <c r="Y130" s="84" t="str">
        <f>+IFERROR(#REF!/#REF!,"")</f>
        <v/>
      </c>
      <c r="Z130" s="84" t="str">
        <f>+IFERROR(#REF!/#REF!,"")</f>
        <v/>
      </c>
      <c r="AA130" s="84" t="str">
        <f>+IFERROR(#REF!/#REF!,"")</f>
        <v/>
      </c>
      <c r="AB130" s="84">
        <f t="shared" si="21"/>
        <v>0.36139081099976128</v>
      </c>
      <c r="AD130" s="139">
        <f t="shared" si="27"/>
        <v>0.20336951530182304</v>
      </c>
      <c r="AE130" s="139">
        <f t="shared" si="27"/>
        <v>-2.4539031701786396E-2</v>
      </c>
      <c r="AF130" s="139">
        <f t="shared" si="26"/>
        <v>-0.14396950891193983</v>
      </c>
      <c r="AG130" s="139" t="str">
        <f t="shared" si="26"/>
        <v/>
      </c>
      <c r="AH130" s="139" t="str">
        <f t="shared" si="26"/>
        <v/>
      </c>
      <c r="AI130" s="139" t="str">
        <f t="shared" si="26"/>
        <v/>
      </c>
      <c r="AJ130" s="139" t="str">
        <f t="shared" si="26"/>
        <v/>
      </c>
      <c r="AK130" s="139" t="str">
        <f t="shared" si="26"/>
        <v/>
      </c>
      <c r="AL130" s="139" t="str">
        <f t="shared" si="26"/>
        <v/>
      </c>
      <c r="AM130" s="139" t="str">
        <f t="shared" si="26"/>
        <v/>
      </c>
      <c r="AN130" s="139" t="str">
        <f t="shared" si="26"/>
        <v/>
      </c>
      <c r="AP130" s="82">
        <f t="shared" si="25"/>
        <v>1.1840527074966802E-2</v>
      </c>
      <c r="AQ130" s="82">
        <f t="shared" si="23"/>
        <v>0.98539962472742149</v>
      </c>
    </row>
    <row r="131" spans="2:43" x14ac:dyDescent="0.35">
      <c r="B131" s="83" t="s">
        <v>213</v>
      </c>
      <c r="D131" s="137">
        <v>275029</v>
      </c>
      <c r="E131" s="137">
        <v>149955</v>
      </c>
      <c r="F131" s="137">
        <v>239250</v>
      </c>
      <c r="G131" s="137">
        <v>256921</v>
      </c>
      <c r="H131" s="137">
        <f t="shared" si="15"/>
        <v>921155</v>
      </c>
      <c r="J131" s="137">
        <v>75962</v>
      </c>
      <c r="K131" s="137">
        <v>59534</v>
      </c>
      <c r="L131" s="137">
        <v>49540</v>
      </c>
      <c r="M131" s="137">
        <v>99085</v>
      </c>
      <c r="N131" s="137">
        <f t="shared" si="16"/>
        <v>284121</v>
      </c>
      <c r="P131" s="84">
        <f t="shared" si="17"/>
        <v>0.27619632838718827</v>
      </c>
      <c r="Q131" s="84">
        <f t="shared" si="18"/>
        <v>0.39701243706445266</v>
      </c>
      <c r="R131" s="84">
        <f t="shared" si="19"/>
        <v>0.20706374085684431</v>
      </c>
      <c r="S131" s="84">
        <f t="shared" si="20"/>
        <v>0.38566329727815163</v>
      </c>
      <c r="T131" s="84" t="str">
        <f>+IFERROR(#REF!/#REF!,"")</f>
        <v/>
      </c>
      <c r="U131" s="84" t="str">
        <f>+IFERROR(#REF!/#REF!,"")</f>
        <v/>
      </c>
      <c r="V131" s="84" t="str">
        <f>+IFERROR(#REF!/#REF!,"")</f>
        <v/>
      </c>
      <c r="W131" s="84" t="str">
        <f>+IFERROR(#REF!/#REF!,"")</f>
        <v/>
      </c>
      <c r="X131" s="84" t="str">
        <f>+IFERROR(#REF!/#REF!,"")</f>
        <v/>
      </c>
      <c r="Y131" s="84" t="str">
        <f>+IFERROR(#REF!/#REF!,"")</f>
        <v/>
      </c>
      <c r="Z131" s="84" t="str">
        <f>+IFERROR(#REF!/#REF!,"")</f>
        <v/>
      </c>
      <c r="AA131" s="84" t="str">
        <f>+IFERROR(#REF!/#REF!,"")</f>
        <v/>
      </c>
      <c r="AB131" s="84">
        <f t="shared" si="21"/>
        <v>0.30843994767438704</v>
      </c>
      <c r="AD131" s="139">
        <f t="shared" si="27"/>
        <v>0.12081610867726439</v>
      </c>
      <c r="AE131" s="139">
        <f t="shared" si="27"/>
        <v>-0.18994869620760835</v>
      </c>
      <c r="AF131" s="139">
        <f t="shared" si="26"/>
        <v>0.17859955642130732</v>
      </c>
      <c r="AG131" s="139" t="str">
        <f t="shared" si="26"/>
        <v/>
      </c>
      <c r="AH131" s="139" t="str">
        <f t="shared" si="26"/>
        <v/>
      </c>
      <c r="AI131" s="139" t="str">
        <f t="shared" si="26"/>
        <v/>
      </c>
      <c r="AJ131" s="139" t="str">
        <f t="shared" si="26"/>
        <v/>
      </c>
      <c r="AK131" s="139" t="str">
        <f t="shared" si="26"/>
        <v/>
      </c>
      <c r="AL131" s="139" t="str">
        <f t="shared" si="26"/>
        <v/>
      </c>
      <c r="AM131" s="139" t="str">
        <f t="shared" si="26"/>
        <v/>
      </c>
      <c r="AN131" s="139" t="str">
        <f t="shared" si="26"/>
        <v/>
      </c>
      <c r="AP131" s="82">
        <f t="shared" si="25"/>
        <v>2.6595798081820854E-4</v>
      </c>
      <c r="AQ131" s="82">
        <f t="shared" si="23"/>
        <v>0.98566558270823967</v>
      </c>
    </row>
    <row r="132" spans="2:43" x14ac:dyDescent="0.35">
      <c r="B132" s="83" t="s">
        <v>214</v>
      </c>
      <c r="D132" s="137">
        <v>154241</v>
      </c>
      <c r="E132" s="137">
        <v>168558</v>
      </c>
      <c r="F132" s="137">
        <v>139616</v>
      </c>
      <c r="G132" s="137">
        <v>109331</v>
      </c>
      <c r="H132" s="137">
        <f t="shared" si="15"/>
        <v>571746</v>
      </c>
      <c r="J132" s="137">
        <v>17987</v>
      </c>
      <c r="K132" s="137">
        <v>31752</v>
      </c>
      <c r="L132" s="137">
        <v>22122</v>
      </c>
      <c r="M132" s="137">
        <v>7199</v>
      </c>
      <c r="N132" s="137">
        <f t="shared" si="16"/>
        <v>79060</v>
      </c>
      <c r="P132" s="84">
        <f t="shared" si="17"/>
        <v>0.1166162045111222</v>
      </c>
      <c r="Q132" s="84">
        <f t="shared" si="18"/>
        <v>0.18837432812444382</v>
      </c>
      <c r="R132" s="84">
        <f t="shared" si="19"/>
        <v>0.15844888837955534</v>
      </c>
      <c r="S132" s="84">
        <f t="shared" si="20"/>
        <v>6.5845917443360075E-2</v>
      </c>
      <c r="T132" s="84" t="str">
        <f>+IFERROR(#REF!/#REF!,"")</f>
        <v/>
      </c>
      <c r="U132" s="84" t="str">
        <f>+IFERROR(#REF!/#REF!,"")</f>
        <v/>
      </c>
      <c r="V132" s="84" t="str">
        <f>+IFERROR(#REF!/#REF!,"")</f>
        <v/>
      </c>
      <c r="W132" s="84" t="str">
        <f>+IFERROR(#REF!/#REF!,"")</f>
        <v/>
      </c>
      <c r="X132" s="84" t="str">
        <f>+IFERROR(#REF!/#REF!,"")</f>
        <v/>
      </c>
      <c r="Y132" s="84" t="str">
        <f>+IFERROR(#REF!/#REF!,"")</f>
        <v/>
      </c>
      <c r="Z132" s="84" t="str">
        <f>+IFERROR(#REF!/#REF!,"")</f>
        <v/>
      </c>
      <c r="AA132" s="84" t="str">
        <f>+IFERROR(#REF!/#REF!,"")</f>
        <v/>
      </c>
      <c r="AB132" s="84">
        <f t="shared" si="21"/>
        <v>0.13827818646741735</v>
      </c>
      <c r="AD132" s="139">
        <f t="shared" si="27"/>
        <v>7.1758123613321623E-2</v>
      </c>
      <c r="AE132" s="139">
        <f t="shared" si="27"/>
        <v>-2.9925439744888482E-2</v>
      </c>
      <c r="AF132" s="139">
        <f t="shared" si="26"/>
        <v>-9.2602970936195267E-2</v>
      </c>
      <c r="AG132" s="139" t="str">
        <f t="shared" si="26"/>
        <v/>
      </c>
      <c r="AH132" s="139" t="str">
        <f t="shared" si="26"/>
        <v/>
      </c>
      <c r="AI132" s="139" t="str">
        <f t="shared" si="26"/>
        <v/>
      </c>
      <c r="AJ132" s="139" t="str">
        <f t="shared" si="26"/>
        <v/>
      </c>
      <c r="AK132" s="139" t="str">
        <f t="shared" si="26"/>
        <v/>
      </c>
      <c r="AL132" s="139" t="str">
        <f t="shared" si="26"/>
        <v/>
      </c>
      <c r="AM132" s="139" t="str">
        <f t="shared" si="26"/>
        <v/>
      </c>
      <c r="AN132" s="139" t="str">
        <f t="shared" si="26"/>
        <v/>
      </c>
      <c r="AP132" s="82">
        <f t="shared" ref="AP132:AP195" si="28">+N132/$N$235</f>
        <v>7.4005926923696483E-5</v>
      </c>
      <c r="AQ132" s="82">
        <f t="shared" si="23"/>
        <v>0.98573958863516342</v>
      </c>
    </row>
    <row r="133" spans="2:43" x14ac:dyDescent="0.35">
      <c r="B133" s="83" t="s">
        <v>215</v>
      </c>
      <c r="D133" s="137">
        <v>77152</v>
      </c>
      <c r="E133" s="137">
        <v>82250</v>
      </c>
      <c r="F133" s="137">
        <v>87810</v>
      </c>
      <c r="G133" s="137">
        <v>81634</v>
      </c>
      <c r="H133" s="137">
        <f t="shared" ref="H133:H196" si="29">+SUM(D133:G133)</f>
        <v>328846</v>
      </c>
      <c r="J133" s="137">
        <v>14436</v>
      </c>
      <c r="K133" s="137">
        <v>21364</v>
      </c>
      <c r="L133" s="137">
        <v>15455</v>
      </c>
      <c r="M133" s="137">
        <v>13610</v>
      </c>
      <c r="N133" s="137">
        <f t="shared" ref="N133:N196" si="30">+SUM(J133:M133)</f>
        <v>64865</v>
      </c>
      <c r="P133" s="84">
        <f t="shared" ref="P133:P196" si="31">+IFERROR(J133/D133,"")</f>
        <v>0.18711115719618415</v>
      </c>
      <c r="Q133" s="84">
        <f t="shared" ref="Q133:Q196" si="32">+IFERROR(K133/E133,"")</f>
        <v>0.25974468085106384</v>
      </c>
      <c r="R133" s="84">
        <f t="shared" ref="R133:R196" si="33">+IFERROR(L133/F133,"")</f>
        <v>0.17600501081881334</v>
      </c>
      <c r="S133" s="84">
        <f t="shared" ref="S133:S196" si="34">+IFERROR(M133/G133,"")</f>
        <v>0.16671974912413945</v>
      </c>
      <c r="T133" s="84" t="str">
        <f>+IFERROR(#REF!/#REF!,"")</f>
        <v/>
      </c>
      <c r="U133" s="84" t="str">
        <f>+IFERROR(#REF!/#REF!,"")</f>
        <v/>
      </c>
      <c r="V133" s="84" t="str">
        <f>+IFERROR(#REF!/#REF!,"")</f>
        <v/>
      </c>
      <c r="W133" s="84" t="str">
        <f>+IFERROR(#REF!/#REF!,"")</f>
        <v/>
      </c>
      <c r="X133" s="84" t="str">
        <f>+IFERROR(#REF!/#REF!,"")</f>
        <v/>
      </c>
      <c r="Y133" s="84" t="str">
        <f>+IFERROR(#REF!/#REF!,"")</f>
        <v/>
      </c>
      <c r="Z133" s="84" t="str">
        <f>+IFERROR(#REF!/#REF!,"")</f>
        <v/>
      </c>
      <c r="AA133" s="84" t="str">
        <f>+IFERROR(#REF!/#REF!,"")</f>
        <v/>
      </c>
      <c r="AB133" s="84">
        <f t="shared" ref="AB133:AB196" si="35">+IFERROR(N133/H133,"")</f>
        <v>0.19725038467854253</v>
      </c>
      <c r="AD133" s="139">
        <f t="shared" si="27"/>
        <v>7.2633523654879684E-2</v>
      </c>
      <c r="AE133" s="139">
        <f t="shared" si="27"/>
        <v>-8.3739670032250496E-2</v>
      </c>
      <c r="AF133" s="139">
        <f t="shared" si="26"/>
        <v>-9.2852616946738908E-3</v>
      </c>
      <c r="AG133" s="139" t="str">
        <f t="shared" si="26"/>
        <v/>
      </c>
      <c r="AH133" s="139" t="str">
        <f t="shared" si="26"/>
        <v/>
      </c>
      <c r="AI133" s="139" t="str">
        <f t="shared" si="26"/>
        <v/>
      </c>
      <c r="AJ133" s="139" t="str">
        <f t="shared" si="26"/>
        <v/>
      </c>
      <c r="AK133" s="139" t="str">
        <f t="shared" si="26"/>
        <v/>
      </c>
      <c r="AL133" s="139" t="str">
        <f t="shared" si="26"/>
        <v/>
      </c>
      <c r="AM133" s="139" t="str">
        <f t="shared" si="26"/>
        <v/>
      </c>
      <c r="AN133" s="139" t="str">
        <f t="shared" si="26"/>
        <v/>
      </c>
      <c r="AP133" s="82">
        <f t="shared" si="28"/>
        <v>6.0718371488813205E-5</v>
      </c>
      <c r="AQ133" s="82">
        <f t="shared" si="23"/>
        <v>0.98580030700665222</v>
      </c>
    </row>
    <row r="134" spans="2:43" x14ac:dyDescent="0.35">
      <c r="B134" s="83" t="s">
        <v>216</v>
      </c>
      <c r="D134" s="137">
        <v>117886</v>
      </c>
      <c r="E134" s="137">
        <v>103095</v>
      </c>
      <c r="F134" s="137">
        <v>92298</v>
      </c>
      <c r="G134" s="137">
        <v>94285</v>
      </c>
      <c r="H134" s="137">
        <f t="shared" si="29"/>
        <v>407564</v>
      </c>
      <c r="J134" s="137">
        <v>14885</v>
      </c>
      <c r="K134" s="137">
        <v>10661</v>
      </c>
      <c r="L134" s="137">
        <v>12425</v>
      </c>
      <c r="M134" s="137">
        <v>14418</v>
      </c>
      <c r="N134" s="137">
        <f t="shared" si="30"/>
        <v>52389</v>
      </c>
      <c r="P134" s="84">
        <f t="shared" si="31"/>
        <v>0.12626605364504692</v>
      </c>
      <c r="Q134" s="84">
        <f t="shared" si="32"/>
        <v>0.10340947669625103</v>
      </c>
      <c r="R134" s="84">
        <f t="shared" si="33"/>
        <v>0.13461830158833343</v>
      </c>
      <c r="S134" s="84">
        <f t="shared" si="34"/>
        <v>0.15291934029803256</v>
      </c>
      <c r="T134" s="84" t="str">
        <f>+IFERROR(#REF!/#REF!,"")</f>
        <v/>
      </c>
      <c r="U134" s="84" t="str">
        <f>+IFERROR(#REF!/#REF!,"")</f>
        <v/>
      </c>
      <c r="V134" s="84" t="str">
        <f>+IFERROR(#REF!/#REF!,"")</f>
        <v/>
      </c>
      <c r="W134" s="84" t="str">
        <f>+IFERROR(#REF!/#REF!,"")</f>
        <v/>
      </c>
      <c r="X134" s="84" t="str">
        <f>+IFERROR(#REF!/#REF!,"")</f>
        <v/>
      </c>
      <c r="Y134" s="84" t="str">
        <f>+IFERROR(#REF!/#REF!,"")</f>
        <v/>
      </c>
      <c r="Z134" s="84" t="str">
        <f>+IFERROR(#REF!/#REF!,"")</f>
        <v/>
      </c>
      <c r="AA134" s="84" t="str">
        <f>+IFERROR(#REF!/#REF!,"")</f>
        <v/>
      </c>
      <c r="AB134" s="84">
        <f t="shared" si="35"/>
        <v>0.12854177503410508</v>
      </c>
      <c r="AD134" s="139">
        <f t="shared" si="27"/>
        <v>-2.2856576948795893E-2</v>
      </c>
      <c r="AE134" s="139">
        <f t="shared" si="27"/>
        <v>3.1208824892082404E-2</v>
      </c>
      <c r="AF134" s="139">
        <f t="shared" si="26"/>
        <v>1.8301038709699124E-2</v>
      </c>
      <c r="AG134" s="139" t="str">
        <f t="shared" si="26"/>
        <v/>
      </c>
      <c r="AH134" s="139" t="str">
        <f t="shared" si="26"/>
        <v/>
      </c>
      <c r="AI134" s="139" t="str">
        <f t="shared" si="26"/>
        <v/>
      </c>
      <c r="AJ134" s="139" t="str">
        <f t="shared" si="26"/>
        <v/>
      </c>
      <c r="AK134" s="139" t="str">
        <f t="shared" si="26"/>
        <v/>
      </c>
      <c r="AL134" s="139" t="str">
        <f t="shared" si="26"/>
        <v/>
      </c>
      <c r="AM134" s="139" t="str">
        <f t="shared" si="26"/>
        <v/>
      </c>
      <c r="AN134" s="139" t="str">
        <f t="shared" si="26"/>
        <v/>
      </c>
      <c r="AP134" s="82">
        <f t="shared" si="28"/>
        <v>4.9039925444036612E-5</v>
      </c>
      <c r="AQ134" s="82">
        <f t="shared" ref="AQ134:AQ197" si="36">+AP134+AQ133</f>
        <v>0.98584934693209625</v>
      </c>
    </row>
    <row r="135" spans="2:43" x14ac:dyDescent="0.35">
      <c r="B135" s="83" t="s">
        <v>217</v>
      </c>
      <c r="D135" s="137">
        <v>50147</v>
      </c>
      <c r="E135" s="137">
        <v>62222</v>
      </c>
      <c r="F135" s="137">
        <v>43002</v>
      </c>
      <c r="G135" s="137">
        <v>14914</v>
      </c>
      <c r="H135" s="137">
        <f t="shared" si="29"/>
        <v>170285</v>
      </c>
      <c r="J135" s="137">
        <v>9616</v>
      </c>
      <c r="K135" s="137">
        <v>10694</v>
      </c>
      <c r="L135" s="137">
        <v>3356</v>
      </c>
      <c r="M135" s="137">
        <v>649</v>
      </c>
      <c r="N135" s="137">
        <f t="shared" si="30"/>
        <v>24315</v>
      </c>
      <c r="P135" s="84">
        <f t="shared" si="31"/>
        <v>0.19175623666420724</v>
      </c>
      <c r="Q135" s="84">
        <f t="shared" si="32"/>
        <v>0.17186847095882485</v>
      </c>
      <c r="R135" s="84">
        <f t="shared" si="33"/>
        <v>7.8042881726431326E-2</v>
      </c>
      <c r="S135" s="84">
        <f t="shared" si="34"/>
        <v>4.3516159313396807E-2</v>
      </c>
      <c r="T135" s="84" t="str">
        <f>+IFERROR(#REF!/#REF!,"")</f>
        <v/>
      </c>
      <c r="U135" s="84" t="str">
        <f>+IFERROR(#REF!/#REF!,"")</f>
        <v/>
      </c>
      <c r="V135" s="84" t="str">
        <f>+IFERROR(#REF!/#REF!,"")</f>
        <v/>
      </c>
      <c r="W135" s="84" t="str">
        <f>+IFERROR(#REF!/#REF!,"")</f>
        <v/>
      </c>
      <c r="X135" s="84" t="str">
        <f>+IFERROR(#REF!/#REF!,"")</f>
        <v/>
      </c>
      <c r="Y135" s="84" t="str">
        <f>+IFERROR(#REF!/#REF!,"")</f>
        <v/>
      </c>
      <c r="Z135" s="84" t="str">
        <f>+IFERROR(#REF!/#REF!,"")</f>
        <v/>
      </c>
      <c r="AA135" s="84" t="str">
        <f>+IFERROR(#REF!/#REF!,"")</f>
        <v/>
      </c>
      <c r="AB135" s="84">
        <f t="shared" si="35"/>
        <v>0.14279002848166308</v>
      </c>
      <c r="AD135" s="139">
        <f t="shared" si="27"/>
        <v>-1.9887765705382393E-2</v>
      </c>
      <c r="AE135" s="139">
        <f t="shared" si="27"/>
        <v>-9.3825589232393522E-2</v>
      </c>
      <c r="AF135" s="139">
        <f t="shared" si="26"/>
        <v>-3.4526722413034519E-2</v>
      </c>
      <c r="AG135" s="139" t="str">
        <f t="shared" si="26"/>
        <v/>
      </c>
      <c r="AH135" s="139" t="str">
        <f t="shared" si="26"/>
        <v/>
      </c>
      <c r="AI135" s="139" t="str">
        <f t="shared" si="26"/>
        <v/>
      </c>
      <c r="AJ135" s="139" t="str">
        <f t="shared" si="26"/>
        <v/>
      </c>
      <c r="AK135" s="139" t="str">
        <f t="shared" si="26"/>
        <v/>
      </c>
      <c r="AL135" s="139" t="str">
        <f t="shared" si="26"/>
        <v/>
      </c>
      <c r="AM135" s="139" t="str">
        <f t="shared" si="26"/>
        <v/>
      </c>
      <c r="AN135" s="139" t="str">
        <f t="shared" si="26"/>
        <v/>
      </c>
      <c r="AP135" s="82">
        <f t="shared" si="28"/>
        <v>2.2760613624458383E-5</v>
      </c>
      <c r="AQ135" s="82">
        <f t="shared" si="36"/>
        <v>0.98587210754572074</v>
      </c>
    </row>
    <row r="136" spans="2:43" x14ac:dyDescent="0.35">
      <c r="B136" s="83" t="s">
        <v>218</v>
      </c>
      <c r="D136" s="137">
        <v>70883</v>
      </c>
      <c r="E136" s="137">
        <v>67008</v>
      </c>
      <c r="F136" s="137">
        <v>103926</v>
      </c>
      <c r="G136" s="137">
        <v>54560</v>
      </c>
      <c r="H136" s="137">
        <f t="shared" si="29"/>
        <v>296377</v>
      </c>
      <c r="J136" s="137">
        <v>11577</v>
      </c>
      <c r="K136" s="137">
        <v>10461</v>
      </c>
      <c r="L136" s="137">
        <v>16803</v>
      </c>
      <c r="M136" s="137">
        <v>8066</v>
      </c>
      <c r="N136" s="137">
        <f t="shared" si="30"/>
        <v>46907</v>
      </c>
      <c r="P136" s="84">
        <f t="shared" si="31"/>
        <v>0.16332548001636499</v>
      </c>
      <c r="Q136" s="84">
        <f t="shared" si="32"/>
        <v>0.1561156876790831</v>
      </c>
      <c r="R136" s="84">
        <f t="shared" si="33"/>
        <v>0.16168235090352751</v>
      </c>
      <c r="S136" s="84">
        <f t="shared" si="34"/>
        <v>0.14783724340175952</v>
      </c>
      <c r="T136" s="84" t="str">
        <f>+IFERROR(#REF!/#REF!,"")</f>
        <v/>
      </c>
      <c r="U136" s="84" t="str">
        <f>+IFERROR(#REF!/#REF!,"")</f>
        <v/>
      </c>
      <c r="V136" s="84" t="str">
        <f>+IFERROR(#REF!/#REF!,"")</f>
        <v/>
      </c>
      <c r="W136" s="84" t="str">
        <f>+IFERROR(#REF!/#REF!,"")</f>
        <v/>
      </c>
      <c r="X136" s="84" t="str">
        <f>+IFERROR(#REF!/#REF!,"")</f>
        <v/>
      </c>
      <c r="Y136" s="84" t="str">
        <f>+IFERROR(#REF!/#REF!,"")</f>
        <v/>
      </c>
      <c r="Z136" s="84" t="str">
        <f>+IFERROR(#REF!/#REF!,"")</f>
        <v/>
      </c>
      <c r="AA136" s="84" t="str">
        <f>+IFERROR(#REF!/#REF!,"")</f>
        <v/>
      </c>
      <c r="AB136" s="84">
        <f t="shared" si="35"/>
        <v>0.15826801674893801</v>
      </c>
      <c r="AD136" s="139">
        <f t="shared" si="27"/>
        <v>-7.2097923372818895E-3</v>
      </c>
      <c r="AE136" s="139">
        <f t="shared" si="27"/>
        <v>5.566663224444407E-3</v>
      </c>
      <c r="AF136" s="139">
        <f t="shared" si="26"/>
        <v>-1.3845107501767984E-2</v>
      </c>
      <c r="AG136" s="139" t="str">
        <f t="shared" si="26"/>
        <v/>
      </c>
      <c r="AH136" s="139" t="str">
        <f t="shared" si="26"/>
        <v/>
      </c>
      <c r="AI136" s="139" t="str">
        <f t="shared" si="26"/>
        <v/>
      </c>
      <c r="AJ136" s="139" t="str">
        <f t="shared" si="26"/>
        <v/>
      </c>
      <c r="AK136" s="139" t="str">
        <f t="shared" si="26"/>
        <v/>
      </c>
      <c r="AL136" s="139" t="str">
        <f t="shared" si="26"/>
        <v/>
      </c>
      <c r="AM136" s="139" t="str">
        <f t="shared" si="26"/>
        <v/>
      </c>
      <c r="AN136" s="139" t="str">
        <f t="shared" si="26"/>
        <v/>
      </c>
      <c r="AP136" s="82">
        <f t="shared" si="28"/>
        <v>4.3908373567035548E-5</v>
      </c>
      <c r="AQ136" s="82">
        <f t="shared" si="36"/>
        <v>0.98591601591928779</v>
      </c>
    </row>
    <row r="137" spans="2:43" x14ac:dyDescent="0.35">
      <c r="B137" s="83" t="s">
        <v>219</v>
      </c>
      <c r="D137" s="137">
        <v>183118</v>
      </c>
      <c r="E137" s="137">
        <v>202829</v>
      </c>
      <c r="F137" s="137">
        <v>306806</v>
      </c>
      <c r="G137" s="137">
        <v>140581</v>
      </c>
      <c r="H137" s="137">
        <f t="shared" si="29"/>
        <v>833334</v>
      </c>
      <c r="J137" s="137">
        <v>40247</v>
      </c>
      <c r="K137" s="137">
        <v>38025</v>
      </c>
      <c r="L137" s="137">
        <v>76666</v>
      </c>
      <c r="M137" s="137">
        <v>31772</v>
      </c>
      <c r="N137" s="137">
        <f t="shared" si="30"/>
        <v>186710</v>
      </c>
      <c r="P137" s="84">
        <f t="shared" si="31"/>
        <v>0.21978724101399097</v>
      </c>
      <c r="Q137" s="84">
        <f t="shared" si="32"/>
        <v>0.18747319170335602</v>
      </c>
      <c r="R137" s="84">
        <f t="shared" si="33"/>
        <v>0.24988429170224832</v>
      </c>
      <c r="S137" s="84">
        <f t="shared" si="34"/>
        <v>0.22600493665573584</v>
      </c>
      <c r="T137" s="84" t="str">
        <f>+IFERROR(#REF!/#REF!,"")</f>
        <v/>
      </c>
      <c r="U137" s="84" t="str">
        <f>+IFERROR(#REF!/#REF!,"")</f>
        <v/>
      </c>
      <c r="V137" s="84" t="str">
        <f>+IFERROR(#REF!/#REF!,"")</f>
        <v/>
      </c>
      <c r="W137" s="84" t="str">
        <f>+IFERROR(#REF!/#REF!,"")</f>
        <v/>
      </c>
      <c r="X137" s="84" t="str">
        <f>+IFERROR(#REF!/#REF!,"")</f>
        <v/>
      </c>
      <c r="Y137" s="84" t="str">
        <f>+IFERROR(#REF!/#REF!,"")</f>
        <v/>
      </c>
      <c r="Z137" s="84" t="str">
        <f>+IFERROR(#REF!/#REF!,"")</f>
        <v/>
      </c>
      <c r="AA137" s="84" t="str">
        <f>+IFERROR(#REF!/#REF!,"")</f>
        <v/>
      </c>
      <c r="AB137" s="84">
        <f t="shared" si="35"/>
        <v>0.22405182075854338</v>
      </c>
      <c r="AD137" s="139">
        <f t="shared" si="27"/>
        <v>-3.2314049310634946E-2</v>
      </c>
      <c r="AE137" s="139">
        <f t="shared" si="27"/>
        <v>6.24110999988923E-2</v>
      </c>
      <c r="AF137" s="139">
        <f t="shared" si="26"/>
        <v>-2.3879355046512479E-2</v>
      </c>
      <c r="AG137" s="139" t="str">
        <f t="shared" si="26"/>
        <v/>
      </c>
      <c r="AH137" s="139" t="str">
        <f t="shared" si="26"/>
        <v/>
      </c>
      <c r="AI137" s="139" t="str">
        <f t="shared" si="26"/>
        <v/>
      </c>
      <c r="AJ137" s="139" t="str">
        <f t="shared" si="26"/>
        <v/>
      </c>
      <c r="AK137" s="139" t="str">
        <f t="shared" si="26"/>
        <v/>
      </c>
      <c r="AL137" s="139" t="str">
        <f t="shared" si="26"/>
        <v/>
      </c>
      <c r="AM137" s="139" t="str">
        <f t="shared" si="26"/>
        <v/>
      </c>
      <c r="AN137" s="139" t="str">
        <f t="shared" si="26"/>
        <v/>
      </c>
      <c r="AP137" s="82">
        <f t="shared" si="28"/>
        <v>1.7477417930588629E-4</v>
      </c>
      <c r="AQ137" s="82">
        <f t="shared" si="36"/>
        <v>0.98609079009859368</v>
      </c>
    </row>
    <row r="138" spans="2:43" x14ac:dyDescent="0.35">
      <c r="B138" s="83" t="s">
        <v>220</v>
      </c>
      <c r="D138" s="137">
        <v>218467</v>
      </c>
      <c r="E138" s="137">
        <v>376697</v>
      </c>
      <c r="F138" s="137">
        <v>169779</v>
      </c>
      <c r="G138" s="137">
        <v>196853</v>
      </c>
      <c r="H138" s="137">
        <f t="shared" si="29"/>
        <v>961796</v>
      </c>
      <c r="J138" s="137">
        <v>43824</v>
      </c>
      <c r="K138" s="137">
        <v>53081</v>
      </c>
      <c r="L138" s="137">
        <v>38582</v>
      </c>
      <c r="M138" s="137">
        <v>45221</v>
      </c>
      <c r="N138" s="137">
        <f t="shared" si="30"/>
        <v>180708</v>
      </c>
      <c r="P138" s="84">
        <f t="shared" si="31"/>
        <v>0.20059780195635954</v>
      </c>
      <c r="Q138" s="84">
        <f t="shared" si="32"/>
        <v>0.14091166109631878</v>
      </c>
      <c r="R138" s="84">
        <f t="shared" si="33"/>
        <v>0.22724836404973525</v>
      </c>
      <c r="S138" s="84">
        <f t="shared" si="34"/>
        <v>0.2297196385119861</v>
      </c>
      <c r="T138" s="84" t="str">
        <f>+IFERROR(#REF!/#REF!,"")</f>
        <v/>
      </c>
      <c r="U138" s="84" t="str">
        <f>+IFERROR(#REF!/#REF!,"")</f>
        <v/>
      </c>
      <c r="V138" s="84" t="str">
        <f>+IFERROR(#REF!/#REF!,"")</f>
        <v/>
      </c>
      <c r="W138" s="84" t="str">
        <f>+IFERROR(#REF!/#REF!,"")</f>
        <v/>
      </c>
      <c r="X138" s="84" t="str">
        <f>+IFERROR(#REF!/#REF!,"")</f>
        <v/>
      </c>
      <c r="Y138" s="84" t="str">
        <f>+IFERROR(#REF!/#REF!,"")</f>
        <v/>
      </c>
      <c r="Z138" s="84" t="str">
        <f>+IFERROR(#REF!/#REF!,"")</f>
        <v/>
      </c>
      <c r="AA138" s="84" t="str">
        <f>+IFERROR(#REF!/#REF!,"")</f>
        <v/>
      </c>
      <c r="AB138" s="84">
        <f t="shared" si="35"/>
        <v>0.18788599661466673</v>
      </c>
      <c r="AD138" s="139">
        <f t="shared" si="27"/>
        <v>-5.9686140860040759E-2</v>
      </c>
      <c r="AE138" s="139">
        <f t="shared" si="27"/>
        <v>8.6336702953416472E-2</v>
      </c>
      <c r="AF138" s="139">
        <f t="shared" si="26"/>
        <v>2.4712744622508442E-3</v>
      </c>
      <c r="AG138" s="139" t="str">
        <f t="shared" si="26"/>
        <v/>
      </c>
      <c r="AH138" s="139" t="str">
        <f t="shared" si="26"/>
        <v/>
      </c>
      <c r="AI138" s="139" t="str">
        <f t="shared" si="26"/>
        <v/>
      </c>
      <c r="AJ138" s="139" t="str">
        <f t="shared" si="26"/>
        <v/>
      </c>
      <c r="AK138" s="139" t="str">
        <f t="shared" si="26"/>
        <v/>
      </c>
      <c r="AL138" s="139" t="str">
        <f t="shared" si="26"/>
        <v/>
      </c>
      <c r="AM138" s="139" t="str">
        <f t="shared" si="26"/>
        <v/>
      </c>
      <c r="AN138" s="139" t="str">
        <f t="shared" si="26"/>
        <v/>
      </c>
      <c r="AP138" s="82">
        <f t="shared" si="28"/>
        <v>1.6915586949819557E-4</v>
      </c>
      <c r="AQ138" s="82">
        <f t="shared" si="36"/>
        <v>0.98625994596809186</v>
      </c>
    </row>
    <row r="139" spans="2:43" x14ac:dyDescent="0.35">
      <c r="B139" s="83" t="s">
        <v>221</v>
      </c>
      <c r="D139" s="137">
        <v>55256</v>
      </c>
      <c r="E139" s="137">
        <v>71679</v>
      </c>
      <c r="F139" s="137">
        <v>70854</v>
      </c>
      <c r="G139" s="137">
        <v>60793</v>
      </c>
      <c r="H139" s="137">
        <f t="shared" si="29"/>
        <v>258582</v>
      </c>
      <c r="J139" s="137">
        <v>8556</v>
      </c>
      <c r="K139" s="137">
        <v>9232</v>
      </c>
      <c r="L139" s="137">
        <v>8854</v>
      </c>
      <c r="M139" s="137">
        <v>13759</v>
      </c>
      <c r="N139" s="137">
        <f t="shared" si="30"/>
        <v>40401</v>
      </c>
      <c r="P139" s="84">
        <f t="shared" si="31"/>
        <v>0.15484291298682495</v>
      </c>
      <c r="Q139" s="84">
        <f t="shared" si="32"/>
        <v>0.12879643968247326</v>
      </c>
      <c r="R139" s="84">
        <f t="shared" si="33"/>
        <v>0.12496118779461993</v>
      </c>
      <c r="S139" s="84">
        <f t="shared" si="34"/>
        <v>0.22632539930584114</v>
      </c>
      <c r="T139" s="84" t="str">
        <f>+IFERROR(#REF!/#REF!,"")</f>
        <v/>
      </c>
      <c r="U139" s="84" t="str">
        <f>+IFERROR(#REF!/#REF!,"")</f>
        <v/>
      </c>
      <c r="V139" s="84" t="str">
        <f>+IFERROR(#REF!/#REF!,"")</f>
        <v/>
      </c>
      <c r="W139" s="84" t="str">
        <f>+IFERROR(#REF!/#REF!,"")</f>
        <v/>
      </c>
      <c r="X139" s="84" t="str">
        <f>+IFERROR(#REF!/#REF!,"")</f>
        <v/>
      </c>
      <c r="Y139" s="84" t="str">
        <f>+IFERROR(#REF!/#REF!,"")</f>
        <v/>
      </c>
      <c r="Z139" s="84" t="str">
        <f>+IFERROR(#REF!/#REF!,"")</f>
        <v/>
      </c>
      <c r="AA139" s="84" t="str">
        <f>+IFERROR(#REF!/#REF!,"")</f>
        <v/>
      </c>
      <c r="AB139" s="84">
        <f t="shared" si="35"/>
        <v>0.15624057358980903</v>
      </c>
      <c r="AD139" s="139">
        <f t="shared" si="27"/>
        <v>-2.6046473304351697E-2</v>
      </c>
      <c r="AE139" s="139">
        <f t="shared" si="27"/>
        <v>-3.8352518878533304E-3</v>
      </c>
      <c r="AF139" s="139">
        <f t="shared" si="26"/>
        <v>0.10136421151122121</v>
      </c>
      <c r="AG139" s="139" t="str">
        <f t="shared" si="26"/>
        <v/>
      </c>
      <c r="AH139" s="139" t="str">
        <f t="shared" si="26"/>
        <v/>
      </c>
      <c r="AI139" s="139" t="str">
        <f t="shared" si="26"/>
        <v/>
      </c>
      <c r="AJ139" s="139" t="str">
        <f t="shared" si="26"/>
        <v/>
      </c>
      <c r="AK139" s="139" t="str">
        <f t="shared" si="26"/>
        <v/>
      </c>
      <c r="AL139" s="139" t="str">
        <f t="shared" si="26"/>
        <v/>
      </c>
      <c r="AM139" s="139" t="str">
        <f t="shared" si="26"/>
        <v/>
      </c>
      <c r="AN139" s="139" t="str">
        <f t="shared" si="26"/>
        <v/>
      </c>
      <c r="AP139" s="82">
        <f t="shared" si="28"/>
        <v>3.7818282995753367E-5</v>
      </c>
      <c r="AQ139" s="82">
        <f t="shared" si="36"/>
        <v>0.98629776425108762</v>
      </c>
    </row>
    <row r="140" spans="2:43" x14ac:dyDescent="0.35">
      <c r="B140" s="83" t="s">
        <v>222</v>
      </c>
      <c r="D140" s="137">
        <v>114275</v>
      </c>
      <c r="E140" s="137">
        <v>102218</v>
      </c>
      <c r="F140" s="137">
        <v>114963</v>
      </c>
      <c r="G140" s="137">
        <v>93589</v>
      </c>
      <c r="H140" s="137">
        <f t="shared" si="29"/>
        <v>425045</v>
      </c>
      <c r="J140" s="137">
        <v>27200</v>
      </c>
      <c r="K140" s="137">
        <v>12322</v>
      </c>
      <c r="L140" s="137">
        <v>18311</v>
      </c>
      <c r="M140" s="137">
        <v>12930</v>
      </c>
      <c r="N140" s="137">
        <f t="shared" si="30"/>
        <v>70763</v>
      </c>
      <c r="P140" s="84">
        <f t="shared" si="31"/>
        <v>0.238022314591993</v>
      </c>
      <c r="Q140" s="84">
        <f t="shared" si="32"/>
        <v>0.12054628343344616</v>
      </c>
      <c r="R140" s="84">
        <f t="shared" si="33"/>
        <v>0.15927733270704489</v>
      </c>
      <c r="S140" s="84">
        <f t="shared" si="34"/>
        <v>0.13815726207139728</v>
      </c>
      <c r="T140" s="84" t="str">
        <f>+IFERROR(#REF!/#REF!,"")</f>
        <v/>
      </c>
      <c r="U140" s="84" t="str">
        <f>+IFERROR(#REF!/#REF!,"")</f>
        <v/>
      </c>
      <c r="V140" s="84" t="str">
        <f>+IFERROR(#REF!/#REF!,"")</f>
        <v/>
      </c>
      <c r="W140" s="84" t="str">
        <f>+IFERROR(#REF!/#REF!,"")</f>
        <v/>
      </c>
      <c r="X140" s="84" t="str">
        <f>+IFERROR(#REF!/#REF!,"")</f>
        <v/>
      </c>
      <c r="Y140" s="84" t="str">
        <f>+IFERROR(#REF!/#REF!,"")</f>
        <v/>
      </c>
      <c r="Z140" s="84" t="str">
        <f>+IFERROR(#REF!/#REF!,"")</f>
        <v/>
      </c>
      <c r="AA140" s="84" t="str">
        <f>+IFERROR(#REF!/#REF!,"")</f>
        <v/>
      </c>
      <c r="AB140" s="84">
        <f t="shared" si="35"/>
        <v>0.16648354880071523</v>
      </c>
      <c r="AD140" s="139">
        <f t="shared" si="27"/>
        <v>-0.11747603115854684</v>
      </c>
      <c r="AE140" s="139">
        <f t="shared" si="27"/>
        <v>3.8731049273598731E-2</v>
      </c>
      <c r="AF140" s="139">
        <f t="shared" si="26"/>
        <v>-2.1120070635647609E-2</v>
      </c>
      <c r="AG140" s="139" t="str">
        <f t="shared" si="26"/>
        <v/>
      </c>
      <c r="AH140" s="139" t="str">
        <f t="shared" si="26"/>
        <v/>
      </c>
      <c r="AI140" s="139" t="str">
        <f t="shared" si="26"/>
        <v/>
      </c>
      <c r="AJ140" s="139" t="str">
        <f t="shared" si="26"/>
        <v/>
      </c>
      <c r="AK140" s="139" t="str">
        <f t="shared" si="26"/>
        <v/>
      </c>
      <c r="AL140" s="139" t="str">
        <f t="shared" si="26"/>
        <v/>
      </c>
      <c r="AM140" s="139" t="str">
        <f t="shared" si="26"/>
        <v/>
      </c>
      <c r="AN140" s="139" t="str">
        <f t="shared" si="26"/>
        <v/>
      </c>
      <c r="AP140" s="82">
        <f t="shared" si="28"/>
        <v>6.6239329710365971E-5</v>
      </c>
      <c r="AQ140" s="82">
        <f t="shared" si="36"/>
        <v>0.98636400358079801</v>
      </c>
    </row>
    <row r="141" spans="2:43" x14ac:dyDescent="0.35">
      <c r="B141" s="83" t="s">
        <v>223</v>
      </c>
      <c r="D141" s="137">
        <v>182716</v>
      </c>
      <c r="E141" s="137">
        <v>174205</v>
      </c>
      <c r="F141" s="137">
        <v>189542</v>
      </c>
      <c r="G141" s="137">
        <v>109112</v>
      </c>
      <c r="H141" s="137">
        <f t="shared" si="29"/>
        <v>655575</v>
      </c>
      <c r="J141" s="137">
        <v>49229</v>
      </c>
      <c r="K141" s="137">
        <v>43932</v>
      </c>
      <c r="L141" s="137">
        <v>32630</v>
      </c>
      <c r="M141" s="137">
        <v>15790</v>
      </c>
      <c r="N141" s="137">
        <f t="shared" si="30"/>
        <v>141581</v>
      </c>
      <c r="P141" s="84">
        <f t="shared" si="31"/>
        <v>0.26942905930515115</v>
      </c>
      <c r="Q141" s="84">
        <f t="shared" si="32"/>
        <v>0.25218564335122412</v>
      </c>
      <c r="R141" s="84">
        <f t="shared" si="33"/>
        <v>0.17215181859429574</v>
      </c>
      <c r="S141" s="84">
        <f t="shared" si="34"/>
        <v>0.14471368868685389</v>
      </c>
      <c r="T141" s="84" t="str">
        <f>+IFERROR(#REF!/#REF!,"")</f>
        <v/>
      </c>
      <c r="U141" s="84" t="str">
        <f>+IFERROR(#REF!/#REF!,"")</f>
        <v/>
      </c>
      <c r="V141" s="84" t="str">
        <f>+IFERROR(#REF!/#REF!,"")</f>
        <v/>
      </c>
      <c r="W141" s="84" t="str">
        <f>+IFERROR(#REF!/#REF!,"")</f>
        <v/>
      </c>
      <c r="X141" s="84" t="str">
        <f>+IFERROR(#REF!/#REF!,"")</f>
        <v/>
      </c>
      <c r="Y141" s="84" t="str">
        <f>+IFERROR(#REF!/#REF!,"")</f>
        <v/>
      </c>
      <c r="Z141" s="84" t="str">
        <f>+IFERROR(#REF!/#REF!,"")</f>
        <v/>
      </c>
      <c r="AA141" s="84" t="str">
        <f>+IFERROR(#REF!/#REF!,"")</f>
        <v/>
      </c>
      <c r="AB141" s="84">
        <f t="shared" si="35"/>
        <v>0.21596461121915875</v>
      </c>
      <c r="AD141" s="139">
        <f t="shared" si="27"/>
        <v>-1.7243415953927033E-2</v>
      </c>
      <c r="AE141" s="139">
        <f t="shared" si="27"/>
        <v>-8.0033824756928384E-2</v>
      </c>
      <c r="AF141" s="139">
        <f t="shared" si="26"/>
        <v>-2.7438129907441849E-2</v>
      </c>
      <c r="AG141" s="139" t="str">
        <f t="shared" si="26"/>
        <v/>
      </c>
      <c r="AH141" s="139" t="str">
        <f t="shared" si="26"/>
        <v/>
      </c>
      <c r="AI141" s="139" t="str">
        <f t="shared" si="26"/>
        <v/>
      </c>
      <c r="AJ141" s="139" t="str">
        <f t="shared" si="26"/>
        <v/>
      </c>
      <c r="AK141" s="139" t="str">
        <f t="shared" si="26"/>
        <v/>
      </c>
      <c r="AL141" s="139" t="str">
        <f t="shared" si="26"/>
        <v/>
      </c>
      <c r="AM141" s="139" t="str">
        <f t="shared" si="26"/>
        <v/>
      </c>
      <c r="AN141" s="139" t="str">
        <f t="shared" si="26"/>
        <v/>
      </c>
      <c r="AP141" s="82">
        <f t="shared" si="28"/>
        <v>1.325301434326318E-4</v>
      </c>
      <c r="AQ141" s="82">
        <f t="shared" si="36"/>
        <v>0.98649653372423063</v>
      </c>
    </row>
    <row r="142" spans="2:43" x14ac:dyDescent="0.35">
      <c r="B142" s="83" t="s">
        <v>224</v>
      </c>
      <c r="D142" s="137">
        <v>18712</v>
      </c>
      <c r="E142" s="137">
        <v>59059</v>
      </c>
      <c r="F142" s="137">
        <v>12734</v>
      </c>
      <c r="G142" s="137">
        <v>27097</v>
      </c>
      <c r="H142" s="137">
        <f t="shared" si="29"/>
        <v>117602</v>
      </c>
      <c r="J142" s="137">
        <v>2357</v>
      </c>
      <c r="K142" s="137">
        <v>4904</v>
      </c>
      <c r="L142" s="137">
        <v>2208</v>
      </c>
      <c r="M142" s="137">
        <v>2266</v>
      </c>
      <c r="N142" s="137">
        <f t="shared" si="30"/>
        <v>11735</v>
      </c>
      <c r="P142" s="84">
        <f t="shared" si="31"/>
        <v>0.12596194955109022</v>
      </c>
      <c r="Q142" s="84">
        <f t="shared" si="32"/>
        <v>8.3035608459337273E-2</v>
      </c>
      <c r="R142" s="84">
        <f t="shared" si="33"/>
        <v>0.17339406313805561</v>
      </c>
      <c r="S142" s="84">
        <f t="shared" si="34"/>
        <v>8.3625493597077161E-2</v>
      </c>
      <c r="T142" s="84" t="str">
        <f>+IFERROR(#REF!/#REF!,"")</f>
        <v/>
      </c>
      <c r="U142" s="84" t="str">
        <f>+IFERROR(#REF!/#REF!,"")</f>
        <v/>
      </c>
      <c r="V142" s="84" t="str">
        <f>+IFERROR(#REF!/#REF!,"")</f>
        <v/>
      </c>
      <c r="W142" s="84" t="str">
        <f>+IFERROR(#REF!/#REF!,"")</f>
        <v/>
      </c>
      <c r="X142" s="84" t="str">
        <f>+IFERROR(#REF!/#REF!,"")</f>
        <v/>
      </c>
      <c r="Y142" s="84" t="str">
        <f>+IFERROR(#REF!/#REF!,"")</f>
        <v/>
      </c>
      <c r="Z142" s="84" t="str">
        <f>+IFERROR(#REF!/#REF!,"")</f>
        <v/>
      </c>
      <c r="AA142" s="84" t="str">
        <f>+IFERROR(#REF!/#REF!,"")</f>
        <v/>
      </c>
      <c r="AB142" s="84">
        <f t="shared" si="35"/>
        <v>9.9785717929967183E-2</v>
      </c>
      <c r="AD142" s="139">
        <f t="shared" si="27"/>
        <v>-4.2926341091752945E-2</v>
      </c>
      <c r="AE142" s="139">
        <f t="shared" si="27"/>
        <v>9.0358454678718336E-2</v>
      </c>
      <c r="AF142" s="139">
        <f t="shared" si="26"/>
        <v>-8.9768569540978449E-2</v>
      </c>
      <c r="AG142" s="139" t="str">
        <f t="shared" si="26"/>
        <v/>
      </c>
      <c r="AH142" s="139" t="str">
        <f t="shared" si="26"/>
        <v/>
      </c>
      <c r="AI142" s="139" t="str">
        <f t="shared" si="26"/>
        <v/>
      </c>
      <c r="AJ142" s="139" t="str">
        <f t="shared" si="26"/>
        <v/>
      </c>
      <c r="AK142" s="139" t="str">
        <f t="shared" si="26"/>
        <v/>
      </c>
      <c r="AL142" s="139" t="str">
        <f t="shared" si="26"/>
        <v/>
      </c>
      <c r="AM142" s="139" t="str">
        <f t="shared" si="26"/>
        <v/>
      </c>
      <c r="AN142" s="139" t="str">
        <f t="shared" si="26"/>
        <v/>
      </c>
      <c r="AP142" s="82">
        <f t="shared" si="28"/>
        <v>1.0984815993543868E-5</v>
      </c>
      <c r="AQ142" s="82">
        <f t="shared" si="36"/>
        <v>0.98650751854022423</v>
      </c>
    </row>
    <row r="143" spans="2:43" x14ac:dyDescent="0.35">
      <c r="B143" s="83" t="s">
        <v>225</v>
      </c>
      <c r="D143" s="137">
        <v>42267</v>
      </c>
      <c r="E143" s="137">
        <v>60719</v>
      </c>
      <c r="F143" s="137">
        <v>75477</v>
      </c>
      <c r="G143" s="137">
        <v>58662</v>
      </c>
      <c r="H143" s="137">
        <f t="shared" si="29"/>
        <v>237125</v>
      </c>
      <c r="J143" s="137">
        <v>9729</v>
      </c>
      <c r="K143" s="137">
        <v>7466</v>
      </c>
      <c r="L143" s="137">
        <v>8755</v>
      </c>
      <c r="M143" s="137">
        <v>10768</v>
      </c>
      <c r="N143" s="137">
        <f t="shared" si="30"/>
        <v>36718</v>
      </c>
      <c r="P143" s="84">
        <f t="shared" si="31"/>
        <v>0.23017957271630349</v>
      </c>
      <c r="Q143" s="84">
        <f t="shared" si="32"/>
        <v>0.1229598642928902</v>
      </c>
      <c r="R143" s="84">
        <f t="shared" si="33"/>
        <v>0.11599560130900805</v>
      </c>
      <c r="S143" s="84">
        <f t="shared" si="34"/>
        <v>0.18356005591353858</v>
      </c>
      <c r="T143" s="84" t="str">
        <f>+IFERROR(#REF!/#REF!,"")</f>
        <v/>
      </c>
      <c r="U143" s="84" t="str">
        <f>+IFERROR(#REF!/#REF!,"")</f>
        <v/>
      </c>
      <c r="V143" s="84" t="str">
        <f>+IFERROR(#REF!/#REF!,"")</f>
        <v/>
      </c>
      <c r="W143" s="84" t="str">
        <f>+IFERROR(#REF!/#REF!,"")</f>
        <v/>
      </c>
      <c r="X143" s="84" t="str">
        <f>+IFERROR(#REF!/#REF!,"")</f>
        <v/>
      </c>
      <c r="Y143" s="84" t="str">
        <f>+IFERROR(#REF!/#REF!,"")</f>
        <v/>
      </c>
      <c r="Z143" s="84" t="str">
        <f>+IFERROR(#REF!/#REF!,"")</f>
        <v/>
      </c>
      <c r="AA143" s="84" t="str">
        <f>+IFERROR(#REF!/#REF!,"")</f>
        <v/>
      </c>
      <c r="AB143" s="84">
        <f t="shared" si="35"/>
        <v>0.15484659989457036</v>
      </c>
      <c r="AD143" s="139">
        <f t="shared" si="27"/>
        <v>-0.10721970842341329</v>
      </c>
      <c r="AE143" s="139">
        <f t="shared" si="27"/>
        <v>-6.9642629838821551E-3</v>
      </c>
      <c r="AF143" s="139">
        <f t="shared" si="26"/>
        <v>6.7564454604530533E-2</v>
      </c>
      <c r="AG143" s="139" t="str">
        <f t="shared" si="26"/>
        <v/>
      </c>
      <c r="AH143" s="139" t="str">
        <f t="shared" si="26"/>
        <v/>
      </c>
      <c r="AI143" s="139" t="str">
        <f t="shared" ref="AI143:AN174" si="37">+IFERROR(V143-U143,"")</f>
        <v/>
      </c>
      <c r="AJ143" s="139" t="str">
        <f t="shared" si="37"/>
        <v/>
      </c>
      <c r="AK143" s="139" t="str">
        <f t="shared" si="37"/>
        <v/>
      </c>
      <c r="AL143" s="139" t="str">
        <f t="shared" si="37"/>
        <v/>
      </c>
      <c r="AM143" s="139" t="str">
        <f t="shared" si="37"/>
        <v/>
      </c>
      <c r="AN143" s="139" t="str">
        <f t="shared" si="37"/>
        <v/>
      </c>
      <c r="AP143" s="82">
        <f t="shared" si="28"/>
        <v>3.4370726344349702E-5</v>
      </c>
      <c r="AQ143" s="82">
        <f t="shared" si="36"/>
        <v>0.98654188926656861</v>
      </c>
    </row>
    <row r="144" spans="2:43" x14ac:dyDescent="0.35">
      <c r="B144" s="83" t="s">
        <v>226</v>
      </c>
      <c r="D144" s="137">
        <v>119583</v>
      </c>
      <c r="E144" s="137">
        <v>132721</v>
      </c>
      <c r="F144" s="137">
        <v>160273</v>
      </c>
      <c r="G144" s="137">
        <v>142896</v>
      </c>
      <c r="H144" s="137">
        <f t="shared" si="29"/>
        <v>555473</v>
      </c>
      <c r="J144" s="137">
        <v>14079</v>
      </c>
      <c r="K144" s="137">
        <v>41381</v>
      </c>
      <c r="L144" s="137">
        <v>29971</v>
      </c>
      <c r="M144" s="137">
        <v>39515</v>
      </c>
      <c r="N144" s="137">
        <f t="shared" si="30"/>
        <v>124946</v>
      </c>
      <c r="P144" s="84">
        <f t="shared" si="31"/>
        <v>0.11773412608815634</v>
      </c>
      <c r="Q144" s="84">
        <f t="shared" si="32"/>
        <v>0.31178939278637141</v>
      </c>
      <c r="R144" s="84">
        <f t="shared" si="33"/>
        <v>0.1869996817929408</v>
      </c>
      <c r="S144" s="84">
        <f t="shared" si="34"/>
        <v>0.27652978389877952</v>
      </c>
      <c r="T144" s="84" t="str">
        <f>+IFERROR(#REF!/#REF!,"")</f>
        <v/>
      </c>
      <c r="U144" s="84" t="str">
        <f>+IFERROR(#REF!/#REF!,"")</f>
        <v/>
      </c>
      <c r="V144" s="84" t="str">
        <f>+IFERROR(#REF!/#REF!,"")</f>
        <v/>
      </c>
      <c r="W144" s="84" t="str">
        <f>+IFERROR(#REF!/#REF!,"")</f>
        <v/>
      </c>
      <c r="X144" s="84" t="str">
        <f>+IFERROR(#REF!/#REF!,"")</f>
        <v/>
      </c>
      <c r="Y144" s="84" t="str">
        <f>+IFERROR(#REF!/#REF!,"")</f>
        <v/>
      </c>
      <c r="Z144" s="84" t="str">
        <f>+IFERROR(#REF!/#REF!,"")</f>
        <v/>
      </c>
      <c r="AA144" s="84" t="str">
        <f>+IFERROR(#REF!/#REF!,"")</f>
        <v/>
      </c>
      <c r="AB144" s="84">
        <f t="shared" si="35"/>
        <v>0.22493622552311274</v>
      </c>
      <c r="AD144" s="139">
        <f t="shared" si="27"/>
        <v>0.19405526669821507</v>
      </c>
      <c r="AE144" s="139">
        <f t="shared" si="27"/>
        <v>-0.12478971099343061</v>
      </c>
      <c r="AF144" s="139">
        <f t="shared" si="27"/>
        <v>8.9530102105838727E-2</v>
      </c>
      <c r="AG144" s="139" t="str">
        <f t="shared" si="27"/>
        <v/>
      </c>
      <c r="AH144" s="139" t="str">
        <f t="shared" si="27"/>
        <v/>
      </c>
      <c r="AI144" s="139" t="str">
        <f t="shared" si="37"/>
        <v/>
      </c>
      <c r="AJ144" s="139" t="str">
        <f t="shared" si="37"/>
        <v/>
      </c>
      <c r="AK144" s="139" t="str">
        <f t="shared" si="37"/>
        <v/>
      </c>
      <c r="AL144" s="139" t="str">
        <f t="shared" si="37"/>
        <v/>
      </c>
      <c r="AM144" s="139" t="str">
        <f t="shared" si="37"/>
        <v/>
      </c>
      <c r="AN144" s="139" t="str">
        <f t="shared" si="37"/>
        <v/>
      </c>
      <c r="AP144" s="82">
        <f t="shared" si="28"/>
        <v>1.1695857001528182E-4</v>
      </c>
      <c r="AQ144" s="82">
        <f t="shared" si="36"/>
        <v>0.98665884783658386</v>
      </c>
    </row>
    <row r="145" spans="2:43" x14ac:dyDescent="0.35">
      <c r="B145" s="83" t="s">
        <v>227</v>
      </c>
      <c r="D145" s="137">
        <v>43633</v>
      </c>
      <c r="E145" s="137">
        <v>46244</v>
      </c>
      <c r="F145" s="137">
        <v>48773</v>
      </c>
      <c r="G145" s="137">
        <v>57717</v>
      </c>
      <c r="H145" s="137">
        <f t="shared" si="29"/>
        <v>196367</v>
      </c>
      <c r="J145" s="137">
        <v>5199</v>
      </c>
      <c r="K145" s="137">
        <v>4877</v>
      </c>
      <c r="L145" s="137">
        <v>7551</v>
      </c>
      <c r="M145" s="137">
        <v>10631</v>
      </c>
      <c r="N145" s="137">
        <f t="shared" si="30"/>
        <v>28258</v>
      </c>
      <c r="P145" s="84">
        <f t="shared" si="31"/>
        <v>0.11915293470538355</v>
      </c>
      <c r="Q145" s="84">
        <f t="shared" si="32"/>
        <v>0.10546233024824841</v>
      </c>
      <c r="R145" s="84">
        <f t="shared" si="33"/>
        <v>0.15481926475714022</v>
      </c>
      <c r="S145" s="84">
        <f t="shared" si="34"/>
        <v>0.18419183256232999</v>
      </c>
      <c r="T145" s="84" t="str">
        <f>+IFERROR(#REF!/#REF!,"")</f>
        <v/>
      </c>
      <c r="U145" s="84" t="str">
        <f>+IFERROR(#REF!/#REF!,"")</f>
        <v/>
      </c>
      <c r="V145" s="84" t="str">
        <f>+IFERROR(#REF!/#REF!,"")</f>
        <v/>
      </c>
      <c r="W145" s="84" t="str">
        <f>+IFERROR(#REF!/#REF!,"")</f>
        <v/>
      </c>
      <c r="X145" s="84" t="str">
        <f>+IFERROR(#REF!/#REF!,"")</f>
        <v/>
      </c>
      <c r="Y145" s="84" t="str">
        <f>+IFERROR(#REF!/#REF!,"")</f>
        <v/>
      </c>
      <c r="Z145" s="84" t="str">
        <f>+IFERROR(#REF!/#REF!,"")</f>
        <v/>
      </c>
      <c r="AA145" s="84" t="str">
        <f>+IFERROR(#REF!/#REF!,"")</f>
        <v/>
      </c>
      <c r="AB145" s="84">
        <f t="shared" si="35"/>
        <v>0.14390401645897732</v>
      </c>
      <c r="AD145" s="139">
        <f t="shared" si="27"/>
        <v>-1.369060445713513E-2</v>
      </c>
      <c r="AE145" s="139">
        <f t="shared" si="27"/>
        <v>4.9356934508891809E-2</v>
      </c>
      <c r="AF145" s="139">
        <f t="shared" si="27"/>
        <v>2.9372567805189764E-2</v>
      </c>
      <c r="AG145" s="139" t="str">
        <f t="shared" si="27"/>
        <v/>
      </c>
      <c r="AH145" s="139" t="str">
        <f t="shared" si="27"/>
        <v/>
      </c>
      <c r="AI145" s="139" t="str">
        <f t="shared" si="37"/>
        <v/>
      </c>
      <c r="AJ145" s="139" t="str">
        <f t="shared" si="37"/>
        <v/>
      </c>
      <c r="AK145" s="139" t="str">
        <f t="shared" si="37"/>
        <v/>
      </c>
      <c r="AL145" s="139" t="str">
        <f t="shared" si="37"/>
        <v/>
      </c>
      <c r="AM145" s="139" t="str">
        <f t="shared" si="37"/>
        <v/>
      </c>
      <c r="AN145" s="139" t="str">
        <f t="shared" si="37"/>
        <v/>
      </c>
      <c r="AP145" s="82">
        <f t="shared" si="28"/>
        <v>2.6451549241206868E-5</v>
      </c>
      <c r="AQ145" s="82">
        <f t="shared" si="36"/>
        <v>0.98668529938582505</v>
      </c>
    </row>
    <row r="146" spans="2:43" x14ac:dyDescent="0.35">
      <c r="B146" s="83" t="s">
        <v>228</v>
      </c>
      <c r="D146" s="137">
        <v>35692</v>
      </c>
      <c r="E146" s="137">
        <v>44627</v>
      </c>
      <c r="F146" s="137">
        <v>62782</v>
      </c>
      <c r="G146" s="137">
        <v>50203</v>
      </c>
      <c r="H146" s="137">
        <f t="shared" si="29"/>
        <v>193304</v>
      </c>
      <c r="J146" s="137">
        <v>4453</v>
      </c>
      <c r="K146" s="137">
        <v>6000</v>
      </c>
      <c r="L146" s="137">
        <v>7605</v>
      </c>
      <c r="M146" s="137">
        <v>9447</v>
      </c>
      <c r="N146" s="137">
        <f t="shared" si="30"/>
        <v>27505</v>
      </c>
      <c r="P146" s="84">
        <f t="shared" si="31"/>
        <v>0.12476185139527064</v>
      </c>
      <c r="Q146" s="84">
        <f t="shared" si="32"/>
        <v>0.13444775584287538</v>
      </c>
      <c r="R146" s="84">
        <f t="shared" si="33"/>
        <v>0.12113344589213469</v>
      </c>
      <c r="S146" s="84">
        <f t="shared" si="34"/>
        <v>0.18817600541800292</v>
      </c>
      <c r="T146" s="84" t="str">
        <f>+IFERROR(#REF!/#REF!,"")</f>
        <v/>
      </c>
      <c r="U146" s="84" t="str">
        <f>+IFERROR(#REF!/#REF!,"")</f>
        <v/>
      </c>
      <c r="V146" s="84" t="str">
        <f>+IFERROR(#REF!/#REF!,"")</f>
        <v/>
      </c>
      <c r="W146" s="84" t="str">
        <f>+IFERROR(#REF!/#REF!,"")</f>
        <v/>
      </c>
      <c r="X146" s="84" t="str">
        <f>+IFERROR(#REF!/#REF!,"")</f>
        <v/>
      </c>
      <c r="Y146" s="84" t="str">
        <f>+IFERROR(#REF!/#REF!,"")</f>
        <v/>
      </c>
      <c r="Z146" s="84" t="str">
        <f>+IFERROR(#REF!/#REF!,"")</f>
        <v/>
      </c>
      <c r="AA146" s="84" t="str">
        <f>+IFERROR(#REF!/#REF!,"")</f>
        <v/>
      </c>
      <c r="AB146" s="84">
        <f t="shared" si="35"/>
        <v>0.14228883002938378</v>
      </c>
      <c r="AD146" s="139">
        <f t="shared" si="27"/>
        <v>9.6859044476047401E-3</v>
      </c>
      <c r="AE146" s="139">
        <f t="shared" si="27"/>
        <v>-1.3314309950740691E-2</v>
      </c>
      <c r="AF146" s="139">
        <f t="shared" si="27"/>
        <v>6.7042559525868226E-2</v>
      </c>
      <c r="AG146" s="139" t="str">
        <f t="shared" si="27"/>
        <v/>
      </c>
      <c r="AH146" s="139" t="str">
        <f t="shared" si="27"/>
        <v/>
      </c>
      <c r="AI146" s="139" t="str">
        <f t="shared" si="37"/>
        <v/>
      </c>
      <c r="AJ146" s="139" t="str">
        <f t="shared" si="37"/>
        <v/>
      </c>
      <c r="AK146" s="139" t="str">
        <f t="shared" si="37"/>
        <v/>
      </c>
      <c r="AL146" s="139" t="str">
        <f t="shared" si="37"/>
        <v/>
      </c>
      <c r="AM146" s="139" t="str">
        <f t="shared" si="37"/>
        <v/>
      </c>
      <c r="AN146" s="139" t="str">
        <f t="shared" si="37"/>
        <v/>
      </c>
      <c r="AP146" s="82">
        <f t="shared" si="28"/>
        <v>2.5746686314650538E-5</v>
      </c>
      <c r="AQ146" s="82">
        <f t="shared" si="36"/>
        <v>0.98671104607213966</v>
      </c>
    </row>
    <row r="147" spans="2:43" x14ac:dyDescent="0.35">
      <c r="B147" s="83" t="s">
        <v>229</v>
      </c>
      <c r="D147" s="137">
        <v>48129</v>
      </c>
      <c r="E147" s="137">
        <v>37595</v>
      </c>
      <c r="F147" s="137">
        <v>24665</v>
      </c>
      <c r="G147" s="137">
        <v>20720</v>
      </c>
      <c r="H147" s="137">
        <f t="shared" si="29"/>
        <v>131109</v>
      </c>
      <c r="J147" s="137">
        <v>4041</v>
      </c>
      <c r="K147" s="137">
        <v>7428</v>
      </c>
      <c r="L147" s="137">
        <v>4759</v>
      </c>
      <c r="M147" s="137">
        <v>5271</v>
      </c>
      <c r="N147" s="137">
        <f t="shared" si="30"/>
        <v>21499</v>
      </c>
      <c r="P147" s="84">
        <f t="shared" si="31"/>
        <v>8.396185252134887E-2</v>
      </c>
      <c r="Q147" s="84">
        <f t="shared" si="32"/>
        <v>0.19757946535443544</v>
      </c>
      <c r="R147" s="84">
        <f t="shared" si="33"/>
        <v>0.19294546928846543</v>
      </c>
      <c r="S147" s="84">
        <f t="shared" si="34"/>
        <v>0.25439189189189187</v>
      </c>
      <c r="T147" s="84" t="str">
        <f>+IFERROR(#REF!/#REF!,"")</f>
        <v/>
      </c>
      <c r="U147" s="84" t="str">
        <f>+IFERROR(#REF!/#REF!,"")</f>
        <v/>
      </c>
      <c r="V147" s="84" t="str">
        <f>+IFERROR(#REF!/#REF!,"")</f>
        <v/>
      </c>
      <c r="W147" s="84" t="str">
        <f>+IFERROR(#REF!/#REF!,"")</f>
        <v/>
      </c>
      <c r="X147" s="84" t="str">
        <f>+IFERROR(#REF!/#REF!,"")</f>
        <v/>
      </c>
      <c r="Y147" s="84" t="str">
        <f>+IFERROR(#REF!/#REF!,"")</f>
        <v/>
      </c>
      <c r="Z147" s="84" t="str">
        <f>+IFERROR(#REF!/#REF!,"")</f>
        <v/>
      </c>
      <c r="AA147" s="84" t="str">
        <f>+IFERROR(#REF!/#REF!,"")</f>
        <v/>
      </c>
      <c r="AB147" s="84">
        <f t="shared" si="35"/>
        <v>0.16397806405357374</v>
      </c>
      <c r="AD147" s="139">
        <f t="shared" si="27"/>
        <v>0.11361761283308656</v>
      </c>
      <c r="AE147" s="139">
        <f t="shared" si="27"/>
        <v>-4.6339960659700086E-3</v>
      </c>
      <c r="AF147" s="139">
        <f t="shared" si="27"/>
        <v>6.1446422603426448E-2</v>
      </c>
      <c r="AG147" s="139" t="str">
        <f t="shared" si="27"/>
        <v/>
      </c>
      <c r="AH147" s="139" t="str">
        <f t="shared" si="27"/>
        <v/>
      </c>
      <c r="AI147" s="139" t="str">
        <f t="shared" si="37"/>
        <v/>
      </c>
      <c r="AJ147" s="139" t="str">
        <f t="shared" si="37"/>
        <v/>
      </c>
      <c r="AK147" s="139" t="str">
        <f t="shared" si="37"/>
        <v/>
      </c>
      <c r="AL147" s="139" t="str">
        <f t="shared" si="37"/>
        <v/>
      </c>
      <c r="AM147" s="139" t="str">
        <f t="shared" si="37"/>
        <v/>
      </c>
      <c r="AN147" s="139" t="str">
        <f t="shared" si="37"/>
        <v/>
      </c>
      <c r="AP147" s="82">
        <f t="shared" si="28"/>
        <v>2.012463221518531E-5</v>
      </c>
      <c r="AQ147" s="82">
        <f t="shared" si="36"/>
        <v>0.9867311707043549</v>
      </c>
    </row>
    <row r="148" spans="2:43" x14ac:dyDescent="0.35">
      <c r="B148" s="83" t="s">
        <v>230</v>
      </c>
      <c r="D148" s="137">
        <v>91061</v>
      </c>
      <c r="E148" s="137">
        <v>93111</v>
      </c>
      <c r="F148" s="137">
        <v>93807</v>
      </c>
      <c r="G148" s="137">
        <v>87556</v>
      </c>
      <c r="H148" s="137">
        <f t="shared" si="29"/>
        <v>365535</v>
      </c>
      <c r="J148" s="137">
        <v>25257</v>
      </c>
      <c r="K148" s="137">
        <v>23606</v>
      </c>
      <c r="L148" s="137">
        <v>19701</v>
      </c>
      <c r="M148" s="137">
        <v>15310</v>
      </c>
      <c r="N148" s="137">
        <f t="shared" si="30"/>
        <v>83874</v>
      </c>
      <c r="P148" s="84">
        <f t="shared" si="31"/>
        <v>0.27736352554880794</v>
      </c>
      <c r="Q148" s="84">
        <f t="shared" si="32"/>
        <v>0.25352536220210287</v>
      </c>
      <c r="R148" s="84">
        <f t="shared" si="33"/>
        <v>0.21001631008346924</v>
      </c>
      <c r="S148" s="84">
        <f t="shared" si="34"/>
        <v>0.17485951847960163</v>
      </c>
      <c r="T148" s="84" t="str">
        <f>+IFERROR(#REF!/#REF!,"")</f>
        <v/>
      </c>
      <c r="U148" s="84" t="str">
        <f>+IFERROR(#REF!/#REF!,"")</f>
        <v/>
      </c>
      <c r="V148" s="84" t="str">
        <f>+IFERROR(#REF!/#REF!,"")</f>
        <v/>
      </c>
      <c r="W148" s="84" t="str">
        <f>+IFERROR(#REF!/#REF!,"")</f>
        <v/>
      </c>
      <c r="X148" s="84" t="str">
        <f>+IFERROR(#REF!/#REF!,"")</f>
        <v/>
      </c>
      <c r="Y148" s="84" t="str">
        <f>+IFERROR(#REF!/#REF!,"")</f>
        <v/>
      </c>
      <c r="Z148" s="84" t="str">
        <f>+IFERROR(#REF!/#REF!,"")</f>
        <v/>
      </c>
      <c r="AA148" s="84" t="str">
        <f>+IFERROR(#REF!/#REF!,"")</f>
        <v/>
      </c>
      <c r="AB148" s="84">
        <f t="shared" si="35"/>
        <v>0.22945545570191636</v>
      </c>
      <c r="AD148" s="139">
        <f t="shared" ref="AD148:AN179" si="38">+IFERROR(Q148-P148,"")</f>
        <v>-2.3838163346705077E-2</v>
      </c>
      <c r="AE148" s="139">
        <f t="shared" si="38"/>
        <v>-4.3509052118633623E-2</v>
      </c>
      <c r="AF148" s="139">
        <f t="shared" si="38"/>
        <v>-3.5156791603867615E-2</v>
      </c>
      <c r="AG148" s="139" t="str">
        <f t="shared" si="38"/>
        <v/>
      </c>
      <c r="AH148" s="139" t="str">
        <f t="shared" si="38"/>
        <v/>
      </c>
      <c r="AI148" s="139" t="str">
        <f t="shared" si="37"/>
        <v/>
      </c>
      <c r="AJ148" s="139" t="str">
        <f t="shared" si="37"/>
        <v/>
      </c>
      <c r="AK148" s="139" t="str">
        <f t="shared" si="37"/>
        <v/>
      </c>
      <c r="AL148" s="139" t="str">
        <f t="shared" si="37"/>
        <v/>
      </c>
      <c r="AM148" s="139" t="str">
        <f t="shared" si="37"/>
        <v/>
      </c>
      <c r="AN148" s="139" t="str">
        <f t="shared" si="37"/>
        <v/>
      </c>
      <c r="AP148" s="82">
        <f t="shared" si="28"/>
        <v>7.8512182074350087E-5</v>
      </c>
      <c r="AQ148" s="82">
        <f t="shared" si="36"/>
        <v>0.98680968288642923</v>
      </c>
    </row>
    <row r="149" spans="2:43" x14ac:dyDescent="0.35">
      <c r="B149" s="83" t="s">
        <v>231</v>
      </c>
      <c r="D149" s="137">
        <v>553694</v>
      </c>
      <c r="E149" s="137">
        <v>2840972</v>
      </c>
      <c r="F149" s="137">
        <v>2045376</v>
      </c>
      <c r="G149" s="137">
        <v>399787</v>
      </c>
      <c r="H149" s="137">
        <f t="shared" si="29"/>
        <v>5839829</v>
      </c>
      <c r="J149" s="137">
        <v>70804</v>
      </c>
      <c r="K149" s="137">
        <v>443877</v>
      </c>
      <c r="L149" s="137">
        <v>300690</v>
      </c>
      <c r="M149" s="137">
        <v>55564</v>
      </c>
      <c r="N149" s="137">
        <f t="shared" si="30"/>
        <v>870935</v>
      </c>
      <c r="P149" s="84">
        <f t="shared" si="31"/>
        <v>0.12787568584813994</v>
      </c>
      <c r="Q149" s="84">
        <f t="shared" si="32"/>
        <v>0.15624124419388857</v>
      </c>
      <c r="R149" s="84">
        <f t="shared" si="33"/>
        <v>0.14700964517037454</v>
      </c>
      <c r="S149" s="84">
        <f t="shared" si="34"/>
        <v>0.13898400898478439</v>
      </c>
      <c r="T149" s="84" t="str">
        <f>+IFERROR(#REF!/#REF!,"")</f>
        <v/>
      </c>
      <c r="U149" s="84" t="str">
        <f>+IFERROR(#REF!/#REF!,"")</f>
        <v/>
      </c>
      <c r="V149" s="84" t="str">
        <f>+IFERROR(#REF!/#REF!,"")</f>
        <v/>
      </c>
      <c r="W149" s="84" t="str">
        <f>+IFERROR(#REF!/#REF!,"")</f>
        <v/>
      </c>
      <c r="X149" s="84" t="str">
        <f>+IFERROR(#REF!/#REF!,"")</f>
        <v/>
      </c>
      <c r="Y149" s="84" t="str">
        <f>+IFERROR(#REF!/#REF!,"")</f>
        <v/>
      </c>
      <c r="Z149" s="84" t="str">
        <f>+IFERROR(#REF!/#REF!,"")</f>
        <v/>
      </c>
      <c r="AA149" s="84" t="str">
        <f>+IFERROR(#REF!/#REF!,"")</f>
        <v/>
      </c>
      <c r="AB149" s="84">
        <f t="shared" si="35"/>
        <v>0.14913707233550846</v>
      </c>
      <c r="AD149" s="139">
        <f t="shared" si="38"/>
        <v>2.8365558345748637E-2</v>
      </c>
      <c r="AE149" s="139">
        <f t="shared" si="38"/>
        <v>-9.2315990235140311E-3</v>
      </c>
      <c r="AF149" s="139">
        <f t="shared" si="38"/>
        <v>-8.025636185590157E-3</v>
      </c>
      <c r="AG149" s="139" t="str">
        <f t="shared" si="38"/>
        <v/>
      </c>
      <c r="AH149" s="139" t="str">
        <f t="shared" si="38"/>
        <v/>
      </c>
      <c r="AI149" s="139" t="str">
        <f t="shared" si="37"/>
        <v/>
      </c>
      <c r="AJ149" s="139" t="str">
        <f t="shared" si="37"/>
        <v/>
      </c>
      <c r="AK149" s="139" t="str">
        <f t="shared" si="37"/>
        <v/>
      </c>
      <c r="AL149" s="139" t="str">
        <f t="shared" si="37"/>
        <v/>
      </c>
      <c r="AM149" s="139" t="str">
        <f t="shared" si="37"/>
        <v/>
      </c>
      <c r="AN149" s="139" t="str">
        <f t="shared" si="37"/>
        <v/>
      </c>
      <c r="AP149" s="82">
        <f t="shared" si="28"/>
        <v>8.1525868916379452E-4</v>
      </c>
      <c r="AQ149" s="82">
        <f t="shared" si="36"/>
        <v>0.987624941575593</v>
      </c>
    </row>
    <row r="150" spans="2:43" x14ac:dyDescent="0.35">
      <c r="B150" s="83" t="s">
        <v>232</v>
      </c>
      <c r="D150" s="137">
        <v>435117</v>
      </c>
      <c r="E150" s="137">
        <v>258387</v>
      </c>
      <c r="F150" s="137">
        <v>258450</v>
      </c>
      <c r="G150" s="137">
        <v>183270</v>
      </c>
      <c r="H150" s="137">
        <f t="shared" si="29"/>
        <v>1135224</v>
      </c>
      <c r="J150" s="137">
        <v>66489</v>
      </c>
      <c r="K150" s="137">
        <v>28305</v>
      </c>
      <c r="L150" s="137">
        <v>27715</v>
      </c>
      <c r="M150" s="137">
        <v>18536</v>
      </c>
      <c r="N150" s="137">
        <f t="shared" si="30"/>
        <v>141045</v>
      </c>
      <c r="P150" s="84">
        <f t="shared" si="31"/>
        <v>0.15280717600093768</v>
      </c>
      <c r="Q150" s="84">
        <f t="shared" si="32"/>
        <v>0.10954498484830894</v>
      </c>
      <c r="R150" s="84">
        <f t="shared" si="33"/>
        <v>0.10723544205842522</v>
      </c>
      <c r="S150" s="84">
        <f t="shared" si="34"/>
        <v>0.10114039395427511</v>
      </c>
      <c r="T150" s="84" t="str">
        <f>+IFERROR(#REF!/#REF!,"")</f>
        <v/>
      </c>
      <c r="U150" s="84" t="str">
        <f>+IFERROR(#REF!/#REF!,"")</f>
        <v/>
      </c>
      <c r="V150" s="84" t="str">
        <f>+IFERROR(#REF!/#REF!,"")</f>
        <v/>
      </c>
      <c r="W150" s="84" t="str">
        <f>+IFERROR(#REF!/#REF!,"")</f>
        <v/>
      </c>
      <c r="X150" s="84" t="str">
        <f>+IFERROR(#REF!/#REF!,"")</f>
        <v/>
      </c>
      <c r="Y150" s="84" t="str">
        <f>+IFERROR(#REF!/#REF!,"")</f>
        <v/>
      </c>
      <c r="Z150" s="84" t="str">
        <f>+IFERROR(#REF!/#REF!,"")</f>
        <v/>
      </c>
      <c r="AA150" s="84" t="str">
        <f>+IFERROR(#REF!/#REF!,"")</f>
        <v/>
      </c>
      <c r="AB150" s="84">
        <f t="shared" si="35"/>
        <v>0.12424420202532716</v>
      </c>
      <c r="AD150" s="139">
        <f t="shared" si="38"/>
        <v>-4.3262191152628748E-2</v>
      </c>
      <c r="AE150" s="139">
        <f t="shared" si="38"/>
        <v>-2.3095427898837118E-3</v>
      </c>
      <c r="AF150" s="139">
        <f t="shared" si="38"/>
        <v>-6.0950481041501109E-3</v>
      </c>
      <c r="AG150" s="139" t="str">
        <f t="shared" si="38"/>
        <v/>
      </c>
      <c r="AH150" s="139" t="str">
        <f t="shared" si="38"/>
        <v/>
      </c>
      <c r="AI150" s="139" t="str">
        <f t="shared" si="37"/>
        <v/>
      </c>
      <c r="AJ150" s="139" t="str">
        <f t="shared" si="37"/>
        <v/>
      </c>
      <c r="AK150" s="139" t="str">
        <f t="shared" si="37"/>
        <v/>
      </c>
      <c r="AL150" s="139" t="str">
        <f t="shared" si="37"/>
        <v/>
      </c>
      <c r="AM150" s="139" t="str">
        <f t="shared" si="37"/>
        <v/>
      </c>
      <c r="AN150" s="139" t="str">
        <f t="shared" si="37"/>
        <v/>
      </c>
      <c r="AP150" s="82">
        <f t="shared" si="28"/>
        <v>1.3202840833484404E-4</v>
      </c>
      <c r="AQ150" s="82">
        <f t="shared" si="36"/>
        <v>0.98775696998392781</v>
      </c>
    </row>
    <row r="151" spans="2:43" x14ac:dyDescent="0.35">
      <c r="B151" s="83" t="s">
        <v>233</v>
      </c>
      <c r="D151" s="137">
        <v>8500528</v>
      </c>
      <c r="E151" s="137">
        <v>3665044</v>
      </c>
      <c r="F151" s="137">
        <v>3456065</v>
      </c>
      <c r="G151" s="137">
        <v>3067685</v>
      </c>
      <c r="H151" s="137">
        <f t="shared" si="29"/>
        <v>18689322</v>
      </c>
      <c r="J151" s="137">
        <v>799883</v>
      </c>
      <c r="K151" s="137">
        <v>315386</v>
      </c>
      <c r="L151" s="137">
        <v>336227</v>
      </c>
      <c r="M151" s="137">
        <v>312007</v>
      </c>
      <c r="N151" s="137">
        <f t="shared" si="30"/>
        <v>1763503</v>
      </c>
      <c r="P151" s="84">
        <f t="shared" si="31"/>
        <v>9.4098037204277188E-2</v>
      </c>
      <c r="Q151" s="84">
        <f t="shared" si="32"/>
        <v>8.6052445755085069E-2</v>
      </c>
      <c r="R151" s="84">
        <f t="shared" si="33"/>
        <v>9.7286075348698597E-2</v>
      </c>
      <c r="S151" s="84">
        <f t="shared" si="34"/>
        <v>0.10170763947406596</v>
      </c>
      <c r="T151" s="84" t="str">
        <f>+IFERROR(#REF!/#REF!,"")</f>
        <v/>
      </c>
      <c r="U151" s="84" t="str">
        <f>+IFERROR(#REF!/#REF!,"")</f>
        <v/>
      </c>
      <c r="V151" s="84" t="str">
        <f>+IFERROR(#REF!/#REF!,"")</f>
        <v/>
      </c>
      <c r="W151" s="84" t="str">
        <f>+IFERROR(#REF!/#REF!,"")</f>
        <v/>
      </c>
      <c r="X151" s="84" t="str">
        <f>+IFERROR(#REF!/#REF!,"")</f>
        <v/>
      </c>
      <c r="Y151" s="84" t="str">
        <f>+IFERROR(#REF!/#REF!,"")</f>
        <v/>
      </c>
      <c r="Z151" s="84" t="str">
        <f>+IFERROR(#REF!/#REF!,"")</f>
        <v/>
      </c>
      <c r="AA151" s="84" t="str">
        <f>+IFERROR(#REF!/#REF!,"")</f>
        <v/>
      </c>
      <c r="AB151" s="84">
        <f t="shared" si="35"/>
        <v>9.4358853681262483E-2</v>
      </c>
      <c r="AD151" s="139">
        <f t="shared" si="38"/>
        <v>-8.0455914491921188E-3</v>
      </c>
      <c r="AE151" s="139">
        <f t="shared" si="38"/>
        <v>1.1233629593613528E-2</v>
      </c>
      <c r="AF151" s="139">
        <f t="shared" si="38"/>
        <v>4.4215641253673582E-3</v>
      </c>
      <c r="AG151" s="139" t="str">
        <f t="shared" si="38"/>
        <v/>
      </c>
      <c r="AH151" s="139" t="str">
        <f t="shared" si="38"/>
        <v/>
      </c>
      <c r="AI151" s="139" t="str">
        <f t="shared" si="37"/>
        <v/>
      </c>
      <c r="AJ151" s="139" t="str">
        <f t="shared" si="37"/>
        <v/>
      </c>
      <c r="AK151" s="139" t="str">
        <f t="shared" si="37"/>
        <v/>
      </c>
      <c r="AL151" s="139" t="str">
        <f t="shared" si="37"/>
        <v/>
      </c>
      <c r="AM151" s="139" t="str">
        <f t="shared" si="37"/>
        <v/>
      </c>
      <c r="AN151" s="139" t="str">
        <f t="shared" si="37"/>
        <v/>
      </c>
      <c r="AP151" s="82">
        <f t="shared" si="28"/>
        <v>1.6507674443172213E-3</v>
      </c>
      <c r="AQ151" s="82">
        <f t="shared" si="36"/>
        <v>0.98940773742824506</v>
      </c>
    </row>
    <row r="152" spans="2:43" x14ac:dyDescent="0.35">
      <c r="B152" s="83" t="s">
        <v>234</v>
      </c>
      <c r="D152" s="137">
        <v>51213</v>
      </c>
      <c r="E152" s="137">
        <v>51161</v>
      </c>
      <c r="F152" s="137">
        <v>63791</v>
      </c>
      <c r="G152" s="137">
        <v>38293</v>
      </c>
      <c r="H152" s="137">
        <f t="shared" si="29"/>
        <v>204458</v>
      </c>
      <c r="J152" s="137">
        <v>10187</v>
      </c>
      <c r="K152" s="137">
        <v>7345</v>
      </c>
      <c r="L152" s="137">
        <v>9377</v>
      </c>
      <c r="M152" s="137">
        <v>2941</v>
      </c>
      <c r="N152" s="137">
        <f t="shared" si="30"/>
        <v>29850</v>
      </c>
      <c r="P152" s="84">
        <f t="shared" si="31"/>
        <v>0.1989143381563275</v>
      </c>
      <c r="Q152" s="84">
        <f t="shared" si="32"/>
        <v>0.14356638845995973</v>
      </c>
      <c r="R152" s="84">
        <f t="shared" si="33"/>
        <v>0.14699565769465911</v>
      </c>
      <c r="S152" s="84">
        <f t="shared" si="34"/>
        <v>7.6802548768704459E-2</v>
      </c>
      <c r="T152" s="84" t="str">
        <f>+IFERROR(#REF!/#REF!,"")</f>
        <v/>
      </c>
      <c r="U152" s="84" t="str">
        <f>+IFERROR(#REF!/#REF!,"")</f>
        <v/>
      </c>
      <c r="V152" s="84" t="str">
        <f>+IFERROR(#REF!/#REF!,"")</f>
        <v/>
      </c>
      <c r="W152" s="84" t="str">
        <f>+IFERROR(#REF!/#REF!,"")</f>
        <v/>
      </c>
      <c r="X152" s="84" t="str">
        <f>+IFERROR(#REF!/#REF!,"")</f>
        <v/>
      </c>
      <c r="Y152" s="84" t="str">
        <f>+IFERROR(#REF!/#REF!,"")</f>
        <v/>
      </c>
      <c r="Z152" s="84" t="str">
        <f>+IFERROR(#REF!/#REF!,"")</f>
        <v/>
      </c>
      <c r="AA152" s="84" t="str">
        <f>+IFERROR(#REF!/#REF!,"")</f>
        <v/>
      </c>
      <c r="AB152" s="84">
        <f t="shared" si="35"/>
        <v>0.14599575462931264</v>
      </c>
      <c r="AD152" s="139">
        <f t="shared" si="38"/>
        <v>-5.5347949696367776E-2</v>
      </c>
      <c r="AE152" s="139">
        <f t="shared" si="38"/>
        <v>3.4292692346993836E-3</v>
      </c>
      <c r="AF152" s="139">
        <f t="shared" si="38"/>
        <v>-7.019310892595465E-2</v>
      </c>
      <c r="AG152" s="139" t="str">
        <f t="shared" si="38"/>
        <v/>
      </c>
      <c r="AH152" s="139" t="str">
        <f t="shared" si="38"/>
        <v/>
      </c>
      <c r="AI152" s="139" t="str">
        <f t="shared" si="37"/>
        <v/>
      </c>
      <c r="AJ152" s="139" t="str">
        <f t="shared" si="37"/>
        <v/>
      </c>
      <c r="AK152" s="139" t="str">
        <f t="shared" si="37"/>
        <v/>
      </c>
      <c r="AL152" s="139" t="str">
        <f t="shared" si="37"/>
        <v/>
      </c>
      <c r="AM152" s="139" t="str">
        <f t="shared" si="37"/>
        <v/>
      </c>
      <c r="AN152" s="139" t="str">
        <f t="shared" si="37"/>
        <v/>
      </c>
      <c r="AP152" s="82">
        <f t="shared" si="28"/>
        <v>2.7941777367472045E-5</v>
      </c>
      <c r="AQ152" s="82">
        <f t="shared" si="36"/>
        <v>0.98943567920561248</v>
      </c>
    </row>
    <row r="153" spans="2:43" x14ac:dyDescent="0.35">
      <c r="B153" s="83" t="s">
        <v>235</v>
      </c>
      <c r="D153" s="137">
        <v>30013</v>
      </c>
      <c r="E153" s="137">
        <v>26551</v>
      </c>
      <c r="F153" s="137">
        <v>18085</v>
      </c>
      <c r="G153" s="137">
        <v>17526</v>
      </c>
      <c r="H153" s="137">
        <f t="shared" si="29"/>
        <v>92175</v>
      </c>
      <c r="J153" s="137">
        <v>11804</v>
      </c>
      <c r="K153" s="137">
        <v>304</v>
      </c>
      <c r="L153" s="137">
        <v>2749</v>
      </c>
      <c r="M153" s="137">
        <v>8454</v>
      </c>
      <c r="N153" s="137">
        <f t="shared" si="30"/>
        <v>23311</v>
      </c>
      <c r="P153" s="84">
        <f t="shared" si="31"/>
        <v>0.3932962382967381</v>
      </c>
      <c r="Q153" s="84">
        <f t="shared" si="32"/>
        <v>1.1449662912884637E-2</v>
      </c>
      <c r="R153" s="84">
        <f t="shared" si="33"/>
        <v>0.15200442355543267</v>
      </c>
      <c r="S153" s="84">
        <f t="shared" si="34"/>
        <v>0.48236905169462513</v>
      </c>
      <c r="T153" s="84" t="str">
        <f>+IFERROR(#REF!/#REF!,"")</f>
        <v/>
      </c>
      <c r="U153" s="84" t="str">
        <f>+IFERROR(#REF!/#REF!,"")</f>
        <v/>
      </c>
      <c r="V153" s="84" t="str">
        <f>+IFERROR(#REF!/#REF!,"")</f>
        <v/>
      </c>
      <c r="W153" s="84" t="str">
        <f>+IFERROR(#REF!/#REF!,"")</f>
        <v/>
      </c>
      <c r="X153" s="84" t="str">
        <f>+IFERROR(#REF!/#REF!,"")</f>
        <v/>
      </c>
      <c r="Y153" s="84" t="str">
        <f>+IFERROR(#REF!/#REF!,"")</f>
        <v/>
      </c>
      <c r="Z153" s="84" t="str">
        <f>+IFERROR(#REF!/#REF!,"")</f>
        <v/>
      </c>
      <c r="AA153" s="84" t="str">
        <f>+IFERROR(#REF!/#REF!,"")</f>
        <v/>
      </c>
      <c r="AB153" s="84">
        <f t="shared" si="35"/>
        <v>0.25289937618660158</v>
      </c>
      <c r="AD153" s="139">
        <f t="shared" si="38"/>
        <v>-0.38184657538385347</v>
      </c>
      <c r="AE153" s="139">
        <f t="shared" si="38"/>
        <v>0.14055476064254804</v>
      </c>
      <c r="AF153" s="139">
        <f t="shared" si="38"/>
        <v>0.33036462813919243</v>
      </c>
      <c r="AG153" s="139" t="str">
        <f t="shared" si="38"/>
        <v/>
      </c>
      <c r="AH153" s="139" t="str">
        <f t="shared" si="38"/>
        <v/>
      </c>
      <c r="AI153" s="139" t="str">
        <f t="shared" si="37"/>
        <v/>
      </c>
      <c r="AJ153" s="139" t="str">
        <f t="shared" si="37"/>
        <v/>
      </c>
      <c r="AK153" s="139" t="str">
        <f t="shared" si="37"/>
        <v/>
      </c>
      <c r="AL153" s="139" t="str">
        <f t="shared" si="37"/>
        <v/>
      </c>
      <c r="AM153" s="139" t="str">
        <f t="shared" si="37"/>
        <v/>
      </c>
      <c r="AN153" s="139" t="str">
        <f t="shared" si="37"/>
        <v/>
      </c>
      <c r="AP153" s="82">
        <f t="shared" si="28"/>
        <v>2.1820796389049943E-5</v>
      </c>
      <c r="AQ153" s="82">
        <f t="shared" si="36"/>
        <v>0.9894575000020015</v>
      </c>
    </row>
    <row r="154" spans="2:43" x14ac:dyDescent="0.35">
      <c r="B154" s="83" t="s">
        <v>236</v>
      </c>
      <c r="D154" s="137">
        <v>46186</v>
      </c>
      <c r="E154" s="137">
        <v>40411</v>
      </c>
      <c r="F154" s="137">
        <v>56738</v>
      </c>
      <c r="G154" s="137">
        <v>64384</v>
      </c>
      <c r="H154" s="137">
        <f t="shared" si="29"/>
        <v>207719</v>
      </c>
      <c r="J154" s="137">
        <v>26387</v>
      </c>
      <c r="K154" s="137">
        <v>26196</v>
      </c>
      <c r="L154" s="137">
        <v>28282</v>
      </c>
      <c r="M154" s="137">
        <v>40599</v>
      </c>
      <c r="N154" s="137">
        <f t="shared" si="30"/>
        <v>121464</v>
      </c>
      <c r="P154" s="84">
        <f t="shared" si="31"/>
        <v>0.57132031351491797</v>
      </c>
      <c r="Q154" s="84">
        <f t="shared" si="32"/>
        <v>0.64823934077355172</v>
      </c>
      <c r="R154" s="84">
        <f t="shared" si="33"/>
        <v>0.49846663611688813</v>
      </c>
      <c r="S154" s="84">
        <f t="shared" si="34"/>
        <v>0.63057591948310143</v>
      </c>
      <c r="T154" s="84" t="str">
        <f>+IFERROR(#REF!/#REF!,"")</f>
        <v/>
      </c>
      <c r="U154" s="84" t="str">
        <f>+IFERROR(#REF!/#REF!,"")</f>
        <v/>
      </c>
      <c r="V154" s="84" t="str">
        <f>+IFERROR(#REF!/#REF!,"")</f>
        <v/>
      </c>
      <c r="W154" s="84" t="str">
        <f>+IFERROR(#REF!/#REF!,"")</f>
        <v/>
      </c>
      <c r="X154" s="84" t="str">
        <f>+IFERROR(#REF!/#REF!,"")</f>
        <v/>
      </c>
      <c r="Y154" s="84" t="str">
        <f>+IFERROR(#REF!/#REF!,"")</f>
        <v/>
      </c>
      <c r="Z154" s="84" t="str">
        <f>+IFERROR(#REF!/#REF!,"")</f>
        <v/>
      </c>
      <c r="AA154" s="84" t="str">
        <f>+IFERROR(#REF!/#REF!,"")</f>
        <v/>
      </c>
      <c r="AB154" s="84">
        <f t="shared" si="35"/>
        <v>0.58475151526822289</v>
      </c>
      <c r="AD154" s="139">
        <f t="shared" si="38"/>
        <v>7.6919027258633754E-2</v>
      </c>
      <c r="AE154" s="139">
        <f t="shared" si="38"/>
        <v>-0.14977270465666359</v>
      </c>
      <c r="AF154" s="139">
        <f t="shared" si="38"/>
        <v>0.1321092833662133</v>
      </c>
      <c r="AG154" s="139" t="str">
        <f t="shared" si="38"/>
        <v/>
      </c>
      <c r="AH154" s="139" t="str">
        <f t="shared" si="38"/>
        <v/>
      </c>
      <c r="AI154" s="139" t="str">
        <f t="shared" si="37"/>
        <v/>
      </c>
      <c r="AJ154" s="139" t="str">
        <f t="shared" si="37"/>
        <v/>
      </c>
      <c r="AK154" s="139" t="str">
        <f t="shared" si="37"/>
        <v/>
      </c>
      <c r="AL154" s="139" t="str">
        <f t="shared" si="37"/>
        <v/>
      </c>
      <c r="AM154" s="139" t="str">
        <f t="shared" si="37"/>
        <v/>
      </c>
      <c r="AN154" s="139" t="str">
        <f t="shared" si="37"/>
        <v/>
      </c>
      <c r="AP154" s="82">
        <f t="shared" si="28"/>
        <v>1.1369916402554855E-4</v>
      </c>
      <c r="AQ154" s="82">
        <f t="shared" si="36"/>
        <v>0.98957119916602709</v>
      </c>
    </row>
    <row r="155" spans="2:43" x14ac:dyDescent="0.35">
      <c r="B155" s="83" t="s">
        <v>237</v>
      </c>
      <c r="D155" s="137">
        <v>534996</v>
      </c>
      <c r="E155" s="137">
        <v>544457</v>
      </c>
      <c r="F155" s="137">
        <v>751344</v>
      </c>
      <c r="G155" s="137">
        <v>663389</v>
      </c>
      <c r="H155" s="137">
        <f t="shared" si="29"/>
        <v>2494186</v>
      </c>
      <c r="J155" s="137">
        <v>90160</v>
      </c>
      <c r="K155" s="137">
        <v>82474</v>
      </c>
      <c r="L155" s="137">
        <v>138672</v>
      </c>
      <c r="M155" s="137">
        <v>120288</v>
      </c>
      <c r="N155" s="137">
        <f t="shared" si="30"/>
        <v>431594</v>
      </c>
      <c r="P155" s="84">
        <f t="shared" si="31"/>
        <v>0.16852462448317371</v>
      </c>
      <c r="Q155" s="84">
        <f t="shared" si="32"/>
        <v>0.15147936384324198</v>
      </c>
      <c r="R155" s="84">
        <f t="shared" si="33"/>
        <v>0.18456525905577206</v>
      </c>
      <c r="S155" s="84">
        <f t="shared" si="34"/>
        <v>0.18132347687405126</v>
      </c>
      <c r="T155" s="84" t="str">
        <f>+IFERROR(#REF!/#REF!,"")</f>
        <v/>
      </c>
      <c r="U155" s="84" t="str">
        <f>+IFERROR(#REF!/#REF!,"")</f>
        <v/>
      </c>
      <c r="V155" s="84" t="str">
        <f>+IFERROR(#REF!/#REF!,"")</f>
        <v/>
      </c>
      <c r="W155" s="84" t="str">
        <f>+IFERROR(#REF!/#REF!,"")</f>
        <v/>
      </c>
      <c r="X155" s="84" t="str">
        <f>+IFERROR(#REF!/#REF!,"")</f>
        <v/>
      </c>
      <c r="Y155" s="84" t="str">
        <f>+IFERROR(#REF!/#REF!,"")</f>
        <v/>
      </c>
      <c r="Z155" s="84" t="str">
        <f>+IFERROR(#REF!/#REF!,"")</f>
        <v/>
      </c>
      <c r="AA155" s="84" t="str">
        <f>+IFERROR(#REF!/#REF!,"")</f>
        <v/>
      </c>
      <c r="AB155" s="84">
        <f t="shared" si="35"/>
        <v>0.17304002187487219</v>
      </c>
      <c r="AD155" s="139">
        <f t="shared" si="38"/>
        <v>-1.7045260639931725E-2</v>
      </c>
      <c r="AE155" s="139">
        <f t="shared" si="38"/>
        <v>3.3085895212530081E-2</v>
      </c>
      <c r="AF155" s="139">
        <f t="shared" si="38"/>
        <v>-3.2417821817208037E-3</v>
      </c>
      <c r="AG155" s="139" t="str">
        <f t="shared" si="38"/>
        <v/>
      </c>
      <c r="AH155" s="139" t="str">
        <f t="shared" si="38"/>
        <v/>
      </c>
      <c r="AI155" s="139" t="str">
        <f t="shared" si="37"/>
        <v/>
      </c>
      <c r="AJ155" s="139" t="str">
        <f t="shared" si="37"/>
        <v/>
      </c>
      <c r="AK155" s="139" t="str">
        <f t="shared" si="37"/>
        <v/>
      </c>
      <c r="AL155" s="139" t="str">
        <f t="shared" si="37"/>
        <v/>
      </c>
      <c r="AM155" s="139" t="str">
        <f t="shared" si="37"/>
        <v/>
      </c>
      <c r="AN155" s="139" t="str">
        <f t="shared" si="37"/>
        <v/>
      </c>
      <c r="AP155" s="82">
        <f t="shared" si="28"/>
        <v>4.0400346603473131E-4</v>
      </c>
      <c r="AQ155" s="82">
        <f t="shared" si="36"/>
        <v>0.98997520263206185</v>
      </c>
    </row>
    <row r="156" spans="2:43" x14ac:dyDescent="0.35">
      <c r="B156" s="83" t="s">
        <v>238</v>
      </c>
      <c r="D156" s="137">
        <v>1369902</v>
      </c>
      <c r="E156" s="137">
        <v>1494672</v>
      </c>
      <c r="F156" s="137">
        <v>1603056</v>
      </c>
      <c r="G156" s="137">
        <v>1237915</v>
      </c>
      <c r="H156" s="137">
        <f t="shared" si="29"/>
        <v>5705545</v>
      </c>
      <c r="J156" s="137">
        <v>211210</v>
      </c>
      <c r="K156" s="137">
        <v>270710</v>
      </c>
      <c r="L156" s="137">
        <v>180440</v>
      </c>
      <c r="M156" s="137">
        <v>183297</v>
      </c>
      <c r="N156" s="137">
        <f t="shared" si="30"/>
        <v>845657</v>
      </c>
      <c r="P156" s="84">
        <f t="shared" si="31"/>
        <v>0.15417891206816253</v>
      </c>
      <c r="Q156" s="84">
        <f t="shared" si="32"/>
        <v>0.18111665970861834</v>
      </c>
      <c r="R156" s="84">
        <f t="shared" si="33"/>
        <v>0.11256001038017387</v>
      </c>
      <c r="S156" s="84">
        <f t="shared" si="34"/>
        <v>0.14806913237177027</v>
      </c>
      <c r="T156" s="84" t="str">
        <f>+IFERROR(#REF!/#REF!,"")</f>
        <v/>
      </c>
      <c r="U156" s="84" t="str">
        <f>+IFERROR(#REF!/#REF!,"")</f>
        <v/>
      </c>
      <c r="V156" s="84" t="str">
        <f>+IFERROR(#REF!/#REF!,"")</f>
        <v/>
      </c>
      <c r="W156" s="84" t="str">
        <f>+IFERROR(#REF!/#REF!,"")</f>
        <v/>
      </c>
      <c r="X156" s="84" t="str">
        <f>+IFERROR(#REF!/#REF!,"")</f>
        <v/>
      </c>
      <c r="Y156" s="84" t="str">
        <f>+IFERROR(#REF!/#REF!,"")</f>
        <v/>
      </c>
      <c r="Z156" s="84" t="str">
        <f>+IFERROR(#REF!/#REF!,"")</f>
        <v/>
      </c>
      <c r="AA156" s="84" t="str">
        <f>+IFERROR(#REF!/#REF!,"")</f>
        <v/>
      </c>
      <c r="AB156" s="84">
        <f t="shared" si="35"/>
        <v>0.14821669095590342</v>
      </c>
      <c r="AD156" s="139">
        <f t="shared" si="38"/>
        <v>2.6937747640455811E-2</v>
      </c>
      <c r="AE156" s="139">
        <f t="shared" si="38"/>
        <v>-6.8556649328444477E-2</v>
      </c>
      <c r="AF156" s="139">
        <f t="shared" si="38"/>
        <v>3.5509121991596407E-2</v>
      </c>
      <c r="AG156" s="139" t="str">
        <f t="shared" si="38"/>
        <v/>
      </c>
      <c r="AH156" s="139" t="str">
        <f t="shared" si="38"/>
        <v/>
      </c>
      <c r="AI156" s="139" t="str">
        <f t="shared" si="37"/>
        <v/>
      </c>
      <c r="AJ156" s="139" t="str">
        <f t="shared" si="37"/>
        <v/>
      </c>
      <c r="AK156" s="139" t="str">
        <f t="shared" si="37"/>
        <v/>
      </c>
      <c r="AL156" s="139" t="str">
        <f t="shared" si="37"/>
        <v/>
      </c>
      <c r="AM156" s="139" t="str">
        <f t="shared" si="37"/>
        <v/>
      </c>
      <c r="AN156" s="139" t="str">
        <f t="shared" si="37"/>
        <v/>
      </c>
      <c r="AP156" s="82">
        <f t="shared" si="28"/>
        <v>7.915966372946167E-4</v>
      </c>
      <c r="AQ156" s="82">
        <f t="shared" si="36"/>
        <v>0.99076679926935651</v>
      </c>
    </row>
    <row r="157" spans="2:43" x14ac:dyDescent="0.35">
      <c r="B157" s="83" t="s">
        <v>239</v>
      </c>
      <c r="D157" s="137">
        <v>51492</v>
      </c>
      <c r="E157" s="137">
        <v>108340</v>
      </c>
      <c r="F157" s="137">
        <v>154354</v>
      </c>
      <c r="G157" s="137">
        <v>27557</v>
      </c>
      <c r="H157" s="137">
        <f t="shared" si="29"/>
        <v>341743</v>
      </c>
      <c r="J157" s="137">
        <v>5997</v>
      </c>
      <c r="K157" s="137">
        <v>18892</v>
      </c>
      <c r="L157" s="137">
        <v>21175</v>
      </c>
      <c r="M157" s="137">
        <v>8875</v>
      </c>
      <c r="N157" s="137">
        <f t="shared" si="30"/>
        <v>54939</v>
      </c>
      <c r="P157" s="84">
        <f t="shared" si="31"/>
        <v>0.11646469354462829</v>
      </c>
      <c r="Q157" s="84">
        <f t="shared" si="32"/>
        <v>0.17437696141775891</v>
      </c>
      <c r="R157" s="84">
        <f t="shared" si="33"/>
        <v>0.13718465345893208</v>
      </c>
      <c r="S157" s="84">
        <f t="shared" si="34"/>
        <v>0.32205973073992089</v>
      </c>
      <c r="T157" s="84" t="str">
        <f>+IFERROR(#REF!/#REF!,"")</f>
        <v/>
      </c>
      <c r="U157" s="84" t="str">
        <f>+IFERROR(#REF!/#REF!,"")</f>
        <v/>
      </c>
      <c r="V157" s="84" t="str">
        <f>+IFERROR(#REF!/#REF!,"")</f>
        <v/>
      </c>
      <c r="W157" s="84" t="str">
        <f>+IFERROR(#REF!/#REF!,"")</f>
        <v/>
      </c>
      <c r="X157" s="84" t="str">
        <f>+IFERROR(#REF!/#REF!,"")</f>
        <v/>
      </c>
      <c r="Y157" s="84" t="str">
        <f>+IFERROR(#REF!/#REF!,"")</f>
        <v/>
      </c>
      <c r="Z157" s="84" t="str">
        <f>+IFERROR(#REF!/#REF!,"")</f>
        <v/>
      </c>
      <c r="AA157" s="84" t="str">
        <f>+IFERROR(#REF!/#REF!,"")</f>
        <v/>
      </c>
      <c r="AB157" s="84">
        <f t="shared" si="35"/>
        <v>0.16076115677570571</v>
      </c>
      <c r="AD157" s="139">
        <f t="shared" si="38"/>
        <v>5.7912267873130613E-2</v>
      </c>
      <c r="AE157" s="139">
        <f t="shared" si="38"/>
        <v>-3.7192307958826831E-2</v>
      </c>
      <c r="AF157" s="139">
        <f t="shared" si="38"/>
        <v>0.18487507728098881</v>
      </c>
      <c r="AG157" s="139" t="str">
        <f t="shared" si="38"/>
        <v/>
      </c>
      <c r="AH157" s="139" t="str">
        <f t="shared" si="38"/>
        <v/>
      </c>
      <c r="AI157" s="139" t="str">
        <f t="shared" si="37"/>
        <v/>
      </c>
      <c r="AJ157" s="139" t="str">
        <f t="shared" si="37"/>
        <v/>
      </c>
      <c r="AK157" s="139" t="str">
        <f t="shared" si="37"/>
        <v/>
      </c>
      <c r="AL157" s="139" t="str">
        <f t="shared" si="37"/>
        <v/>
      </c>
      <c r="AM157" s="139" t="str">
        <f t="shared" si="37"/>
        <v/>
      </c>
      <c r="AN157" s="139" t="str">
        <f t="shared" si="37"/>
        <v/>
      </c>
      <c r="AP157" s="82">
        <f t="shared" si="28"/>
        <v>5.1426911450303068E-5</v>
      </c>
      <c r="AQ157" s="82">
        <f t="shared" si="36"/>
        <v>0.99081822618080684</v>
      </c>
    </row>
    <row r="158" spans="2:43" x14ac:dyDescent="0.35">
      <c r="B158" s="83" t="s">
        <v>240</v>
      </c>
      <c r="D158" s="137">
        <v>499281</v>
      </c>
      <c r="E158" s="137">
        <v>453599</v>
      </c>
      <c r="F158" s="137">
        <v>491888</v>
      </c>
      <c r="G158" s="137">
        <v>538889</v>
      </c>
      <c r="H158" s="137">
        <f t="shared" si="29"/>
        <v>1983657</v>
      </c>
      <c r="J158" s="137">
        <v>81673</v>
      </c>
      <c r="K158" s="137">
        <v>73605</v>
      </c>
      <c r="L158" s="137">
        <v>88027</v>
      </c>
      <c r="M158" s="137">
        <v>80015</v>
      </c>
      <c r="N158" s="137">
        <f t="shared" si="30"/>
        <v>323320</v>
      </c>
      <c r="P158" s="84">
        <f t="shared" si="31"/>
        <v>0.16358122980846457</v>
      </c>
      <c r="Q158" s="84">
        <f t="shared" si="32"/>
        <v>0.16226887625413636</v>
      </c>
      <c r="R158" s="84">
        <f t="shared" si="33"/>
        <v>0.1789574049377094</v>
      </c>
      <c r="S158" s="84">
        <f t="shared" si="34"/>
        <v>0.14848141268424481</v>
      </c>
      <c r="T158" s="84" t="str">
        <f>+IFERROR(#REF!/#REF!,"")</f>
        <v/>
      </c>
      <c r="U158" s="84" t="str">
        <f>+IFERROR(#REF!/#REF!,"")</f>
        <v/>
      </c>
      <c r="V158" s="84" t="str">
        <f>+IFERROR(#REF!/#REF!,"")</f>
        <v/>
      </c>
      <c r="W158" s="84" t="str">
        <f>+IFERROR(#REF!/#REF!,"")</f>
        <v/>
      </c>
      <c r="X158" s="84" t="str">
        <f>+IFERROR(#REF!/#REF!,"")</f>
        <v/>
      </c>
      <c r="Y158" s="84" t="str">
        <f>+IFERROR(#REF!/#REF!,"")</f>
        <v/>
      </c>
      <c r="Z158" s="84" t="str">
        <f>+IFERROR(#REF!/#REF!,"")</f>
        <v/>
      </c>
      <c r="AA158" s="84" t="str">
        <f>+IFERROR(#REF!/#REF!,"")</f>
        <v/>
      </c>
      <c r="AB158" s="84">
        <f t="shared" si="35"/>
        <v>0.16299188821454516</v>
      </c>
      <c r="AD158" s="139">
        <f t="shared" si="38"/>
        <v>-1.3123535543282105E-3</v>
      </c>
      <c r="AE158" s="139">
        <f t="shared" si="38"/>
        <v>1.668852868357304E-2</v>
      </c>
      <c r="AF158" s="139">
        <f t="shared" si="38"/>
        <v>-3.047599225346459E-2</v>
      </c>
      <c r="AG158" s="139" t="str">
        <f t="shared" si="38"/>
        <v/>
      </c>
      <c r="AH158" s="139" t="str">
        <f t="shared" si="38"/>
        <v/>
      </c>
      <c r="AI158" s="139" t="str">
        <f t="shared" si="37"/>
        <v/>
      </c>
      <c r="AJ158" s="139" t="str">
        <f t="shared" si="37"/>
        <v/>
      </c>
      <c r="AK158" s="139" t="str">
        <f t="shared" si="37"/>
        <v/>
      </c>
      <c r="AL158" s="139" t="str">
        <f t="shared" si="37"/>
        <v/>
      </c>
      <c r="AM158" s="139" t="str">
        <f t="shared" si="37"/>
        <v/>
      </c>
      <c r="AN158" s="139" t="str">
        <f t="shared" si="37"/>
        <v/>
      </c>
      <c r="AP158" s="82">
        <f t="shared" si="28"/>
        <v>3.0265110413571397E-4</v>
      </c>
      <c r="AQ158" s="82">
        <f t="shared" si="36"/>
        <v>0.99112087728494258</v>
      </c>
    </row>
    <row r="159" spans="2:43" x14ac:dyDescent="0.35">
      <c r="B159" s="83" t="s">
        <v>241</v>
      </c>
      <c r="D159" s="137">
        <v>12093</v>
      </c>
      <c r="E159" s="137">
        <v>14059</v>
      </c>
      <c r="F159" s="137">
        <v>18479</v>
      </c>
      <c r="G159" s="137">
        <v>21595</v>
      </c>
      <c r="H159" s="137">
        <f t="shared" si="29"/>
        <v>66226</v>
      </c>
      <c r="J159" s="137">
        <v>530</v>
      </c>
      <c r="K159" s="137">
        <v>2064</v>
      </c>
      <c r="L159" s="137">
        <v>1674</v>
      </c>
      <c r="M159" s="137">
        <v>1440</v>
      </c>
      <c r="N159" s="137">
        <f t="shared" si="30"/>
        <v>5708</v>
      </c>
      <c r="P159" s="84">
        <f t="shared" si="31"/>
        <v>4.3827007359629536E-2</v>
      </c>
      <c r="Q159" s="84">
        <f t="shared" si="32"/>
        <v>0.14680987267942244</v>
      </c>
      <c r="R159" s="84">
        <f t="shared" si="33"/>
        <v>9.0589317603766442E-2</v>
      </c>
      <c r="S159" s="84">
        <f t="shared" si="34"/>
        <v>6.6682102338504287E-2</v>
      </c>
      <c r="T159" s="84" t="str">
        <f>+IFERROR(#REF!/#REF!,"")</f>
        <v/>
      </c>
      <c r="U159" s="84" t="str">
        <f>+IFERROR(#REF!/#REF!,"")</f>
        <v/>
      </c>
      <c r="V159" s="84" t="str">
        <f>+IFERROR(#REF!/#REF!,"")</f>
        <v/>
      </c>
      <c r="W159" s="84" t="str">
        <f>+IFERROR(#REF!/#REF!,"")</f>
        <v/>
      </c>
      <c r="X159" s="84" t="str">
        <f>+IFERROR(#REF!/#REF!,"")</f>
        <v/>
      </c>
      <c r="Y159" s="84" t="str">
        <f>+IFERROR(#REF!/#REF!,"")</f>
        <v/>
      </c>
      <c r="Z159" s="84" t="str">
        <f>+IFERROR(#REF!/#REF!,"")</f>
        <v/>
      </c>
      <c r="AA159" s="84" t="str">
        <f>+IFERROR(#REF!/#REF!,"")</f>
        <v/>
      </c>
      <c r="AB159" s="84">
        <f t="shared" si="35"/>
        <v>8.6189714009603485E-2</v>
      </c>
      <c r="AD159" s="139">
        <f t="shared" si="38"/>
        <v>0.10298286531979291</v>
      </c>
      <c r="AE159" s="139">
        <f t="shared" si="38"/>
        <v>-5.6220555075656001E-2</v>
      </c>
      <c r="AF159" s="139">
        <f t="shared" si="38"/>
        <v>-2.3907215265262155E-2</v>
      </c>
      <c r="AG159" s="139" t="str">
        <f t="shared" si="38"/>
        <v/>
      </c>
      <c r="AH159" s="139" t="str">
        <f t="shared" si="38"/>
        <v/>
      </c>
      <c r="AI159" s="139" t="str">
        <f t="shared" si="37"/>
        <v/>
      </c>
      <c r="AJ159" s="139" t="str">
        <f t="shared" si="37"/>
        <v/>
      </c>
      <c r="AK159" s="139" t="str">
        <f t="shared" si="37"/>
        <v/>
      </c>
      <c r="AL159" s="139" t="str">
        <f t="shared" si="37"/>
        <v/>
      </c>
      <c r="AM159" s="139" t="str">
        <f t="shared" si="37"/>
        <v/>
      </c>
      <c r="AN159" s="139" t="str">
        <f t="shared" si="37"/>
        <v/>
      </c>
      <c r="AP159" s="82">
        <f t="shared" si="28"/>
        <v>5.3431043622623262E-6</v>
      </c>
      <c r="AQ159" s="82">
        <f t="shared" si="36"/>
        <v>0.99112622038930487</v>
      </c>
    </row>
    <row r="160" spans="2:43" x14ac:dyDescent="0.35">
      <c r="B160" s="83" t="s">
        <v>242</v>
      </c>
      <c r="D160" s="137">
        <v>3754</v>
      </c>
      <c r="E160" s="137">
        <v>11254</v>
      </c>
      <c r="F160" s="137">
        <v>2307</v>
      </c>
      <c r="G160" s="137">
        <v>3974</v>
      </c>
      <c r="H160" s="137">
        <f t="shared" si="29"/>
        <v>21289</v>
      </c>
      <c r="J160" s="137">
        <v>73</v>
      </c>
      <c r="K160" s="137">
        <v>290</v>
      </c>
      <c r="L160" s="137">
        <v>476</v>
      </c>
      <c r="M160" s="137">
        <v>795</v>
      </c>
      <c r="N160" s="137">
        <f t="shared" si="30"/>
        <v>1634</v>
      </c>
      <c r="P160" s="84">
        <f t="shared" si="31"/>
        <v>1.9445924347362812E-2</v>
      </c>
      <c r="Q160" s="84">
        <f t="shared" si="32"/>
        <v>2.5768615603341035E-2</v>
      </c>
      <c r="R160" s="84">
        <f t="shared" si="33"/>
        <v>0.20632856523623755</v>
      </c>
      <c r="S160" s="84">
        <f t="shared" si="34"/>
        <v>0.20005032712632109</v>
      </c>
      <c r="T160" s="84" t="str">
        <f>+IFERROR(#REF!/#REF!,"")</f>
        <v/>
      </c>
      <c r="U160" s="84" t="str">
        <f>+IFERROR(#REF!/#REF!,"")</f>
        <v/>
      </c>
      <c r="V160" s="84" t="str">
        <f>+IFERROR(#REF!/#REF!,"")</f>
        <v/>
      </c>
      <c r="W160" s="84" t="str">
        <f>+IFERROR(#REF!/#REF!,"")</f>
        <v/>
      </c>
      <c r="X160" s="84" t="str">
        <f>+IFERROR(#REF!/#REF!,"")</f>
        <v/>
      </c>
      <c r="Y160" s="84" t="str">
        <f>+IFERROR(#REF!/#REF!,"")</f>
        <v/>
      </c>
      <c r="Z160" s="84" t="str">
        <f>+IFERROR(#REF!/#REF!,"")</f>
        <v/>
      </c>
      <c r="AA160" s="84" t="str">
        <f>+IFERROR(#REF!/#REF!,"")</f>
        <v/>
      </c>
      <c r="AB160" s="84">
        <f t="shared" si="35"/>
        <v>7.6753252853586362E-2</v>
      </c>
      <c r="AD160" s="139">
        <f t="shared" si="38"/>
        <v>6.3226912559782231E-3</v>
      </c>
      <c r="AE160" s="139">
        <f t="shared" si="38"/>
        <v>0.18055994963289651</v>
      </c>
      <c r="AF160" s="139">
        <f t="shared" si="38"/>
        <v>-6.2782381099164564E-3</v>
      </c>
      <c r="AG160" s="139" t="str">
        <f t="shared" si="38"/>
        <v/>
      </c>
      <c r="AH160" s="139" t="str">
        <f t="shared" si="38"/>
        <v/>
      </c>
      <c r="AI160" s="139" t="str">
        <f t="shared" si="37"/>
        <v/>
      </c>
      <c r="AJ160" s="139" t="str">
        <f t="shared" si="37"/>
        <v/>
      </c>
      <c r="AK160" s="139" t="str">
        <f t="shared" si="37"/>
        <v/>
      </c>
      <c r="AL160" s="139" t="str">
        <f t="shared" si="37"/>
        <v/>
      </c>
      <c r="AM160" s="139" t="str">
        <f t="shared" si="37"/>
        <v/>
      </c>
      <c r="AN160" s="139" t="str">
        <f t="shared" si="37"/>
        <v/>
      </c>
      <c r="AP160" s="82">
        <f t="shared" si="28"/>
        <v>1.5295431898977997E-6</v>
      </c>
      <c r="AQ160" s="82">
        <f t="shared" si="36"/>
        <v>0.99112774993249475</v>
      </c>
    </row>
    <row r="161" spans="2:43" x14ac:dyDescent="0.35">
      <c r="B161" s="83" t="s">
        <v>243</v>
      </c>
      <c r="D161" s="137"/>
      <c r="E161" s="137">
        <v>47113</v>
      </c>
      <c r="F161" s="137">
        <v>165745</v>
      </c>
      <c r="G161" s="137">
        <v>345612</v>
      </c>
      <c r="H161" s="137">
        <f t="shared" si="29"/>
        <v>558470</v>
      </c>
      <c r="J161" s="137"/>
      <c r="K161" s="137">
        <v>10439</v>
      </c>
      <c r="L161" s="137">
        <v>19578</v>
      </c>
      <c r="M161" s="137">
        <v>95920</v>
      </c>
      <c r="N161" s="137">
        <f t="shared" si="30"/>
        <v>125937</v>
      </c>
      <c r="P161" s="84" t="str">
        <f t="shared" si="31"/>
        <v/>
      </c>
      <c r="Q161" s="84">
        <f t="shared" si="32"/>
        <v>0.22157366332010273</v>
      </c>
      <c r="R161" s="84">
        <f t="shared" si="33"/>
        <v>0.11812121029291985</v>
      </c>
      <c r="S161" s="84">
        <f t="shared" si="34"/>
        <v>0.27753665960672663</v>
      </c>
      <c r="T161" s="84" t="str">
        <f>+IFERROR(#REF!/#REF!,"")</f>
        <v/>
      </c>
      <c r="U161" s="84" t="str">
        <f>+IFERROR(#REF!/#REF!,"")</f>
        <v/>
      </c>
      <c r="V161" s="84" t="str">
        <f>+IFERROR(#REF!/#REF!,"")</f>
        <v/>
      </c>
      <c r="W161" s="84" t="str">
        <f>+IFERROR(#REF!/#REF!,"")</f>
        <v/>
      </c>
      <c r="X161" s="84" t="str">
        <f>+IFERROR(#REF!/#REF!,"")</f>
        <v/>
      </c>
      <c r="Y161" s="84" t="str">
        <f>+IFERROR(#REF!/#REF!,"")</f>
        <v/>
      </c>
      <c r="Z161" s="84" t="str">
        <f>+IFERROR(#REF!/#REF!,"")</f>
        <v/>
      </c>
      <c r="AA161" s="84" t="str">
        <f>+IFERROR(#REF!/#REF!,"")</f>
        <v/>
      </c>
      <c r="AB161" s="84">
        <f t="shared" si="35"/>
        <v>0.225503608072054</v>
      </c>
      <c r="AD161" s="139" t="str">
        <f t="shared" si="38"/>
        <v/>
      </c>
      <c r="AE161" s="139">
        <f t="shared" si="38"/>
        <v>-0.10345245302718288</v>
      </c>
      <c r="AF161" s="139">
        <f t="shared" si="38"/>
        <v>0.1594154493138068</v>
      </c>
      <c r="AG161" s="139" t="str">
        <f t="shared" si="38"/>
        <v/>
      </c>
      <c r="AH161" s="139" t="str">
        <f t="shared" si="38"/>
        <v/>
      </c>
      <c r="AI161" s="139" t="str">
        <f t="shared" si="37"/>
        <v/>
      </c>
      <c r="AJ161" s="139" t="str">
        <f t="shared" si="37"/>
        <v/>
      </c>
      <c r="AK161" s="139" t="str">
        <f t="shared" si="37"/>
        <v/>
      </c>
      <c r="AL161" s="139" t="str">
        <f t="shared" si="37"/>
        <v/>
      </c>
      <c r="AM161" s="139" t="str">
        <f t="shared" si="37"/>
        <v/>
      </c>
      <c r="AN161" s="139" t="str">
        <f t="shared" si="37"/>
        <v/>
      </c>
      <c r="AP161" s="82">
        <f t="shared" si="28"/>
        <v>1.1788621830242302E-4</v>
      </c>
      <c r="AQ161" s="82">
        <f t="shared" si="36"/>
        <v>0.99124563615079719</v>
      </c>
    </row>
    <row r="162" spans="2:43" x14ac:dyDescent="0.35">
      <c r="B162" s="83" t="s">
        <v>244</v>
      </c>
      <c r="D162" s="137">
        <v>28105</v>
      </c>
      <c r="E162" s="137">
        <v>41110</v>
      </c>
      <c r="F162" s="137">
        <v>35670</v>
      </c>
      <c r="G162" s="137">
        <v>35997</v>
      </c>
      <c r="H162" s="137">
        <f t="shared" si="29"/>
        <v>140882</v>
      </c>
      <c r="J162" s="137">
        <v>26178</v>
      </c>
      <c r="K162" s="137">
        <v>35032</v>
      </c>
      <c r="L162" s="137">
        <v>28144</v>
      </c>
      <c r="M162" s="137">
        <v>29051</v>
      </c>
      <c r="N162" s="137">
        <f t="shared" si="30"/>
        <v>118405</v>
      </c>
      <c r="P162" s="84">
        <f t="shared" si="31"/>
        <v>0.93143568760007112</v>
      </c>
      <c r="Q162" s="84">
        <f t="shared" si="32"/>
        <v>0.85215276088542935</v>
      </c>
      <c r="R162" s="84">
        <f t="shared" si="33"/>
        <v>0.78901037286234932</v>
      </c>
      <c r="S162" s="84">
        <f t="shared" si="34"/>
        <v>0.80703947551184818</v>
      </c>
      <c r="T162" s="84" t="str">
        <f>+IFERROR(#REF!/#REF!,"")</f>
        <v/>
      </c>
      <c r="U162" s="84" t="str">
        <f>+IFERROR(#REF!/#REF!,"")</f>
        <v/>
      </c>
      <c r="V162" s="84" t="str">
        <f>+IFERROR(#REF!/#REF!,"")</f>
        <v/>
      </c>
      <c r="W162" s="84" t="str">
        <f>+IFERROR(#REF!/#REF!,"")</f>
        <v/>
      </c>
      <c r="X162" s="84" t="str">
        <f>+IFERROR(#REF!/#REF!,"")</f>
        <v/>
      </c>
      <c r="Y162" s="84" t="str">
        <f>+IFERROR(#REF!/#REF!,"")</f>
        <v/>
      </c>
      <c r="Z162" s="84" t="str">
        <f>+IFERROR(#REF!/#REF!,"")</f>
        <v/>
      </c>
      <c r="AA162" s="84" t="str">
        <f>+IFERROR(#REF!/#REF!,"")</f>
        <v/>
      </c>
      <c r="AB162" s="84">
        <f t="shared" si="35"/>
        <v>0.84045513266421545</v>
      </c>
      <c r="AD162" s="139">
        <f t="shared" si="38"/>
        <v>-7.9282926714641766E-2</v>
      </c>
      <c r="AE162" s="139">
        <f t="shared" si="38"/>
        <v>-6.3142388023080032E-2</v>
      </c>
      <c r="AF162" s="139">
        <f t="shared" si="38"/>
        <v>1.8029102649498863E-2</v>
      </c>
      <c r="AG162" s="139" t="str">
        <f t="shared" si="38"/>
        <v/>
      </c>
      <c r="AH162" s="139" t="str">
        <f t="shared" si="38"/>
        <v/>
      </c>
      <c r="AI162" s="139" t="str">
        <f t="shared" si="37"/>
        <v/>
      </c>
      <c r="AJ162" s="139" t="str">
        <f t="shared" si="37"/>
        <v/>
      </c>
      <c r="AK162" s="139" t="str">
        <f t="shared" si="37"/>
        <v/>
      </c>
      <c r="AL162" s="139" t="str">
        <f t="shared" si="37"/>
        <v/>
      </c>
      <c r="AM162" s="139" t="str">
        <f t="shared" si="37"/>
        <v/>
      </c>
      <c r="AN162" s="139" t="str">
        <f t="shared" si="37"/>
        <v/>
      </c>
      <c r="AP162" s="82">
        <f t="shared" si="28"/>
        <v>1.1083571689097244E-4</v>
      </c>
      <c r="AQ162" s="82">
        <f t="shared" si="36"/>
        <v>0.99135647186768816</v>
      </c>
    </row>
    <row r="163" spans="2:43" x14ac:dyDescent="0.35">
      <c r="B163" s="83" t="s">
        <v>245</v>
      </c>
      <c r="D163" s="137">
        <v>10273</v>
      </c>
      <c r="E163" s="137">
        <v>15138</v>
      </c>
      <c r="F163" s="137">
        <v>30100</v>
      </c>
      <c r="G163" s="137">
        <v>20685</v>
      </c>
      <c r="H163" s="137">
        <f t="shared" si="29"/>
        <v>76196</v>
      </c>
      <c r="J163" s="137">
        <v>722</v>
      </c>
      <c r="K163" s="137">
        <v>10682</v>
      </c>
      <c r="L163" s="137">
        <v>9246</v>
      </c>
      <c r="M163" s="137">
        <v>6990</v>
      </c>
      <c r="N163" s="137">
        <f t="shared" si="30"/>
        <v>27640</v>
      </c>
      <c r="P163" s="84">
        <f t="shared" si="31"/>
        <v>7.0281319964956679E-2</v>
      </c>
      <c r="Q163" s="84">
        <f t="shared" si="32"/>
        <v>0.70564143215748443</v>
      </c>
      <c r="R163" s="84">
        <f t="shared" si="33"/>
        <v>0.30717607973421929</v>
      </c>
      <c r="S163" s="84">
        <f t="shared" si="34"/>
        <v>0.33792603335750543</v>
      </c>
      <c r="T163" s="84" t="str">
        <f>+IFERROR(#REF!/#REF!,"")</f>
        <v/>
      </c>
      <c r="U163" s="84" t="str">
        <f>+IFERROR(#REF!/#REF!,"")</f>
        <v/>
      </c>
      <c r="V163" s="84" t="str">
        <f>+IFERROR(#REF!/#REF!,"")</f>
        <v/>
      </c>
      <c r="W163" s="84" t="str">
        <f>+IFERROR(#REF!/#REF!,"")</f>
        <v/>
      </c>
      <c r="X163" s="84" t="str">
        <f>+IFERROR(#REF!/#REF!,"")</f>
        <v/>
      </c>
      <c r="Y163" s="84" t="str">
        <f>+IFERROR(#REF!/#REF!,"")</f>
        <v/>
      </c>
      <c r="Z163" s="84" t="str">
        <f>+IFERROR(#REF!/#REF!,"")</f>
        <v/>
      </c>
      <c r="AA163" s="84" t="str">
        <f>+IFERROR(#REF!/#REF!,"")</f>
        <v/>
      </c>
      <c r="AB163" s="84">
        <f t="shared" si="35"/>
        <v>0.36274870071919785</v>
      </c>
      <c r="AD163" s="139">
        <f t="shared" si="38"/>
        <v>0.63536011219252775</v>
      </c>
      <c r="AE163" s="139">
        <f t="shared" si="38"/>
        <v>-0.39846535242326514</v>
      </c>
      <c r="AF163" s="139">
        <f t="shared" si="38"/>
        <v>3.0749953623286141E-2</v>
      </c>
      <c r="AG163" s="139" t="str">
        <f t="shared" si="38"/>
        <v/>
      </c>
      <c r="AH163" s="139" t="str">
        <f t="shared" si="38"/>
        <v/>
      </c>
      <c r="AI163" s="139" t="str">
        <f t="shared" si="37"/>
        <v/>
      </c>
      <c r="AJ163" s="139" t="str">
        <f t="shared" si="37"/>
        <v/>
      </c>
      <c r="AK163" s="139" t="str">
        <f t="shared" si="37"/>
        <v/>
      </c>
      <c r="AL163" s="139" t="str">
        <f t="shared" si="37"/>
        <v/>
      </c>
      <c r="AM163" s="139" t="str">
        <f t="shared" si="37"/>
        <v/>
      </c>
      <c r="AN163" s="139" t="str">
        <f t="shared" si="37"/>
        <v/>
      </c>
      <c r="AP163" s="82">
        <f t="shared" si="28"/>
        <v>2.5873056162041117E-5</v>
      </c>
      <c r="AQ163" s="82">
        <f t="shared" si="36"/>
        <v>0.99138234492385024</v>
      </c>
    </row>
    <row r="164" spans="2:43" x14ac:dyDescent="0.35">
      <c r="B164" s="83" t="s">
        <v>246</v>
      </c>
      <c r="D164" s="137">
        <v>20485</v>
      </c>
      <c r="E164" s="137">
        <v>11632</v>
      </c>
      <c r="F164" s="137">
        <v>15011</v>
      </c>
      <c r="G164" s="137">
        <v>27309</v>
      </c>
      <c r="H164" s="137">
        <f t="shared" si="29"/>
        <v>74437</v>
      </c>
      <c r="J164" s="137">
        <v>3667</v>
      </c>
      <c r="K164" s="137">
        <v>2227</v>
      </c>
      <c r="L164" s="137">
        <v>2320</v>
      </c>
      <c r="M164" s="137">
        <v>3265</v>
      </c>
      <c r="N164" s="137">
        <f t="shared" si="30"/>
        <v>11479</v>
      </c>
      <c r="P164" s="84">
        <f t="shared" si="31"/>
        <v>0.17900903099829144</v>
      </c>
      <c r="Q164" s="84">
        <f t="shared" si="32"/>
        <v>0.19145460797799174</v>
      </c>
      <c r="R164" s="84">
        <f t="shared" si="33"/>
        <v>0.15455332755978948</v>
      </c>
      <c r="S164" s="84">
        <f t="shared" si="34"/>
        <v>0.1195576549855359</v>
      </c>
      <c r="T164" s="84" t="str">
        <f>+IFERROR(#REF!/#REF!,"")</f>
        <v/>
      </c>
      <c r="U164" s="84" t="str">
        <f>+IFERROR(#REF!/#REF!,"")</f>
        <v/>
      </c>
      <c r="V164" s="84" t="str">
        <f>+IFERROR(#REF!/#REF!,"")</f>
        <v/>
      </c>
      <c r="W164" s="84" t="str">
        <f>+IFERROR(#REF!/#REF!,"")</f>
        <v/>
      </c>
      <c r="X164" s="84" t="str">
        <f>+IFERROR(#REF!/#REF!,"")</f>
        <v/>
      </c>
      <c r="Y164" s="84" t="str">
        <f>+IFERROR(#REF!/#REF!,"")</f>
        <v/>
      </c>
      <c r="Z164" s="84" t="str">
        <f>+IFERROR(#REF!/#REF!,"")</f>
        <v/>
      </c>
      <c r="AA164" s="84" t="str">
        <f>+IFERROR(#REF!/#REF!,"")</f>
        <v/>
      </c>
      <c r="AB164" s="84">
        <f t="shared" si="35"/>
        <v>0.15421094348240794</v>
      </c>
      <c r="AD164" s="139">
        <f t="shared" si="38"/>
        <v>1.2445576979700307E-2</v>
      </c>
      <c r="AE164" s="139">
        <f t="shared" si="38"/>
        <v>-3.6901280418202259E-2</v>
      </c>
      <c r="AF164" s="139">
        <f t="shared" si="38"/>
        <v>-3.4995672574253581E-2</v>
      </c>
      <c r="AG164" s="139" t="str">
        <f t="shared" si="38"/>
        <v/>
      </c>
      <c r="AH164" s="139" t="str">
        <f t="shared" si="38"/>
        <v/>
      </c>
      <c r="AI164" s="139" t="str">
        <f t="shared" si="37"/>
        <v/>
      </c>
      <c r="AJ164" s="139" t="str">
        <f t="shared" si="37"/>
        <v/>
      </c>
      <c r="AK164" s="139" t="str">
        <f t="shared" si="37"/>
        <v/>
      </c>
      <c r="AL164" s="139" t="str">
        <f t="shared" si="37"/>
        <v/>
      </c>
      <c r="AM164" s="139" t="str">
        <f t="shared" si="37"/>
        <v/>
      </c>
      <c r="AN164" s="139" t="str">
        <f t="shared" si="37"/>
        <v/>
      </c>
      <c r="AP164" s="82">
        <f t="shared" si="28"/>
        <v>1.0745181319973589E-5</v>
      </c>
      <c r="AQ164" s="82">
        <f t="shared" si="36"/>
        <v>0.99139309010517018</v>
      </c>
    </row>
    <row r="165" spans="2:43" x14ac:dyDescent="0.35">
      <c r="B165" s="83" t="s">
        <v>247</v>
      </c>
      <c r="D165" s="137">
        <v>604120</v>
      </c>
      <c r="E165" s="137">
        <v>928624</v>
      </c>
      <c r="F165" s="137">
        <v>617946</v>
      </c>
      <c r="G165" s="137">
        <v>388090</v>
      </c>
      <c r="H165" s="137">
        <f t="shared" si="29"/>
        <v>2538780</v>
      </c>
      <c r="J165" s="137">
        <v>75391</v>
      </c>
      <c r="K165" s="137">
        <v>183240</v>
      </c>
      <c r="L165" s="137">
        <v>105997</v>
      </c>
      <c r="M165" s="137">
        <v>95035</v>
      </c>
      <c r="N165" s="137">
        <f t="shared" si="30"/>
        <v>459663</v>
      </c>
      <c r="P165" s="84">
        <f t="shared" si="31"/>
        <v>0.12479474276633781</v>
      </c>
      <c r="Q165" s="84">
        <f t="shared" si="32"/>
        <v>0.19732421302917005</v>
      </c>
      <c r="R165" s="84">
        <f t="shared" si="33"/>
        <v>0.17153116939020563</v>
      </c>
      <c r="S165" s="84">
        <f t="shared" si="34"/>
        <v>0.24487876523486821</v>
      </c>
      <c r="T165" s="84" t="str">
        <f>+IFERROR(#REF!/#REF!,"")</f>
        <v/>
      </c>
      <c r="U165" s="84" t="str">
        <f>+IFERROR(#REF!/#REF!,"")</f>
        <v/>
      </c>
      <c r="V165" s="84" t="str">
        <f>+IFERROR(#REF!/#REF!,"")</f>
        <v/>
      </c>
      <c r="W165" s="84" t="str">
        <f>+IFERROR(#REF!/#REF!,"")</f>
        <v/>
      </c>
      <c r="X165" s="84" t="str">
        <f>+IFERROR(#REF!/#REF!,"")</f>
        <v/>
      </c>
      <c r="Y165" s="84" t="str">
        <f>+IFERROR(#REF!/#REF!,"")</f>
        <v/>
      </c>
      <c r="Z165" s="84" t="str">
        <f>+IFERROR(#REF!/#REF!,"")</f>
        <v/>
      </c>
      <c r="AA165" s="84" t="str">
        <f>+IFERROR(#REF!/#REF!,"")</f>
        <v/>
      </c>
      <c r="AB165" s="84">
        <f t="shared" si="35"/>
        <v>0.18105664925672962</v>
      </c>
      <c r="AD165" s="139">
        <f t="shared" si="38"/>
        <v>7.2529470262832241E-2</v>
      </c>
      <c r="AE165" s="139">
        <f t="shared" si="38"/>
        <v>-2.5793043638964425E-2</v>
      </c>
      <c r="AF165" s="139">
        <f t="shared" si="38"/>
        <v>7.3347595844662578E-2</v>
      </c>
      <c r="AG165" s="139" t="str">
        <f t="shared" si="38"/>
        <v/>
      </c>
      <c r="AH165" s="139" t="str">
        <f t="shared" si="38"/>
        <v/>
      </c>
      <c r="AI165" s="139" t="str">
        <f t="shared" si="37"/>
        <v/>
      </c>
      <c r="AJ165" s="139" t="str">
        <f t="shared" si="37"/>
        <v/>
      </c>
      <c r="AK165" s="139" t="str">
        <f t="shared" si="37"/>
        <v/>
      </c>
      <c r="AL165" s="139" t="str">
        <f t="shared" si="37"/>
        <v/>
      </c>
      <c r="AM165" s="139" t="str">
        <f t="shared" si="37"/>
        <v/>
      </c>
      <c r="AN165" s="139" t="str">
        <f t="shared" si="37"/>
        <v/>
      </c>
      <c r="AP165" s="82">
        <f t="shared" si="28"/>
        <v>4.3027809748959135E-4</v>
      </c>
      <c r="AQ165" s="82">
        <f t="shared" si="36"/>
        <v>0.99182336820265982</v>
      </c>
    </row>
    <row r="166" spans="2:43" x14ac:dyDescent="0.35">
      <c r="B166" s="83" t="s">
        <v>248</v>
      </c>
      <c r="D166" s="137">
        <v>66569</v>
      </c>
      <c r="E166" s="137">
        <v>52818</v>
      </c>
      <c r="F166" s="137">
        <v>66999</v>
      </c>
      <c r="G166" s="137">
        <v>104265</v>
      </c>
      <c r="H166" s="137">
        <f t="shared" si="29"/>
        <v>290651</v>
      </c>
      <c r="J166" s="137">
        <v>7360</v>
      </c>
      <c r="K166" s="137">
        <v>17443</v>
      </c>
      <c r="L166" s="137">
        <v>6761</v>
      </c>
      <c r="M166" s="137">
        <v>8050</v>
      </c>
      <c r="N166" s="137">
        <f t="shared" si="30"/>
        <v>39614</v>
      </c>
      <c r="P166" s="84">
        <f t="shared" si="31"/>
        <v>0.11056197329087113</v>
      </c>
      <c r="Q166" s="84">
        <f t="shared" si="32"/>
        <v>0.3302472641902382</v>
      </c>
      <c r="R166" s="84">
        <f t="shared" si="33"/>
        <v>0.10091195390975985</v>
      </c>
      <c r="S166" s="84">
        <f t="shared" si="34"/>
        <v>7.7207116482040955E-2</v>
      </c>
      <c r="T166" s="84" t="str">
        <f>+IFERROR(#REF!/#REF!,"")</f>
        <v/>
      </c>
      <c r="U166" s="84" t="str">
        <f>+IFERROR(#REF!/#REF!,"")</f>
        <v/>
      </c>
      <c r="V166" s="84" t="str">
        <f>+IFERROR(#REF!/#REF!,"")</f>
        <v/>
      </c>
      <c r="W166" s="84" t="str">
        <f>+IFERROR(#REF!/#REF!,"")</f>
        <v/>
      </c>
      <c r="X166" s="84" t="str">
        <f>+IFERROR(#REF!/#REF!,"")</f>
        <v/>
      </c>
      <c r="Y166" s="84" t="str">
        <f>+IFERROR(#REF!/#REF!,"")</f>
        <v/>
      </c>
      <c r="Z166" s="84" t="str">
        <f>+IFERROR(#REF!/#REF!,"")</f>
        <v/>
      </c>
      <c r="AA166" s="84" t="str">
        <f>+IFERROR(#REF!/#REF!,"")</f>
        <v/>
      </c>
      <c r="AB166" s="84">
        <f t="shared" si="35"/>
        <v>0.13629404337160375</v>
      </c>
      <c r="AD166" s="139">
        <f t="shared" si="38"/>
        <v>0.21968529089936706</v>
      </c>
      <c r="AE166" s="139">
        <f t="shared" si="38"/>
        <v>-0.22933531028047835</v>
      </c>
      <c r="AF166" s="139">
        <f t="shared" si="38"/>
        <v>-2.3704837427718894E-2</v>
      </c>
      <c r="AG166" s="139" t="str">
        <f t="shared" si="38"/>
        <v/>
      </c>
      <c r="AH166" s="139" t="str">
        <f t="shared" si="38"/>
        <v/>
      </c>
      <c r="AI166" s="139" t="str">
        <f t="shared" si="37"/>
        <v/>
      </c>
      <c r="AJ166" s="139" t="str">
        <f t="shared" si="37"/>
        <v/>
      </c>
      <c r="AK166" s="139" t="str">
        <f t="shared" si="37"/>
        <v/>
      </c>
      <c r="AL166" s="139" t="str">
        <f t="shared" si="37"/>
        <v/>
      </c>
      <c r="AM166" s="139" t="str">
        <f t="shared" si="37"/>
        <v/>
      </c>
      <c r="AN166" s="139" t="str">
        <f t="shared" si="37"/>
        <v/>
      </c>
      <c r="AP166" s="82">
        <f t="shared" si="28"/>
        <v>3.7081593589113483E-5</v>
      </c>
      <c r="AQ166" s="82">
        <f t="shared" si="36"/>
        <v>0.99186044979624888</v>
      </c>
    </row>
    <row r="167" spans="2:43" x14ac:dyDescent="0.35">
      <c r="B167" s="83" t="s">
        <v>249</v>
      </c>
      <c r="D167" s="137">
        <v>16079</v>
      </c>
      <c r="E167" s="137">
        <v>12304</v>
      </c>
      <c r="F167" s="137">
        <v>8967</v>
      </c>
      <c r="G167" s="137">
        <v>11163</v>
      </c>
      <c r="H167" s="137">
        <f t="shared" si="29"/>
        <v>48513</v>
      </c>
      <c r="J167" s="137">
        <v>10210</v>
      </c>
      <c r="K167" s="137">
        <v>8407</v>
      </c>
      <c r="L167" s="137">
        <v>6763</v>
      </c>
      <c r="M167" s="137">
        <v>8568</v>
      </c>
      <c r="N167" s="137">
        <f t="shared" si="30"/>
        <v>33948</v>
      </c>
      <c r="P167" s="84">
        <f t="shared" si="31"/>
        <v>0.63498973816779647</v>
      </c>
      <c r="Q167" s="84">
        <f t="shared" si="32"/>
        <v>0.68327373211963593</v>
      </c>
      <c r="R167" s="84">
        <f t="shared" si="33"/>
        <v>0.75420988067358086</v>
      </c>
      <c r="S167" s="84">
        <f t="shared" si="34"/>
        <v>0.76753560870733673</v>
      </c>
      <c r="T167" s="84" t="str">
        <f>+IFERROR(#REF!/#REF!,"")</f>
        <v/>
      </c>
      <c r="U167" s="84" t="str">
        <f>+IFERROR(#REF!/#REF!,"")</f>
        <v/>
      </c>
      <c r="V167" s="84" t="str">
        <f>+IFERROR(#REF!/#REF!,"")</f>
        <v/>
      </c>
      <c r="W167" s="84" t="str">
        <f>+IFERROR(#REF!/#REF!,"")</f>
        <v/>
      </c>
      <c r="X167" s="84" t="str">
        <f>+IFERROR(#REF!/#REF!,"")</f>
        <v/>
      </c>
      <c r="Y167" s="84" t="str">
        <f>+IFERROR(#REF!/#REF!,"")</f>
        <v/>
      </c>
      <c r="Z167" s="84" t="str">
        <f>+IFERROR(#REF!/#REF!,"")</f>
        <v/>
      </c>
      <c r="AA167" s="84" t="str">
        <f>+IFERROR(#REF!/#REF!,"")</f>
        <v/>
      </c>
      <c r="AB167" s="84">
        <f t="shared" si="35"/>
        <v>0.69977119534970011</v>
      </c>
      <c r="AD167" s="139">
        <f t="shared" si="38"/>
        <v>4.8283993951839466E-2</v>
      </c>
      <c r="AE167" s="139">
        <f t="shared" si="38"/>
        <v>7.0936148553944922E-2</v>
      </c>
      <c r="AF167" s="139">
        <f t="shared" si="38"/>
        <v>1.3325728033755868E-2</v>
      </c>
      <c r="AG167" s="139" t="str">
        <f t="shared" si="38"/>
        <v/>
      </c>
      <c r="AH167" s="139" t="str">
        <f t="shared" si="38"/>
        <v/>
      </c>
      <c r="AI167" s="139" t="str">
        <f t="shared" si="37"/>
        <v/>
      </c>
      <c r="AJ167" s="139" t="str">
        <f t="shared" si="37"/>
        <v/>
      </c>
      <c r="AK167" s="139" t="str">
        <f t="shared" si="37"/>
        <v/>
      </c>
      <c r="AL167" s="139" t="str">
        <f t="shared" si="37"/>
        <v/>
      </c>
      <c r="AM167" s="139" t="str">
        <f t="shared" si="37"/>
        <v/>
      </c>
      <c r="AN167" s="139" t="str">
        <f t="shared" si="37"/>
        <v/>
      </c>
      <c r="AP167" s="82">
        <f t="shared" si="28"/>
        <v>3.1777804290483786E-5</v>
      </c>
      <c r="AQ167" s="82">
        <f t="shared" si="36"/>
        <v>0.99189222760053941</v>
      </c>
    </row>
    <row r="168" spans="2:43" x14ac:dyDescent="0.35">
      <c r="B168" s="83" t="s">
        <v>250</v>
      </c>
      <c r="D168" s="137">
        <v>2751</v>
      </c>
      <c r="E168" s="137"/>
      <c r="F168" s="137">
        <v>6884</v>
      </c>
      <c r="G168" s="137">
        <v>20792</v>
      </c>
      <c r="H168" s="137">
        <f t="shared" si="29"/>
        <v>30427</v>
      </c>
      <c r="J168" s="137">
        <v>1365</v>
      </c>
      <c r="K168" s="137"/>
      <c r="L168" s="137">
        <v>527</v>
      </c>
      <c r="M168" s="137">
        <v>829</v>
      </c>
      <c r="N168" s="137">
        <f t="shared" si="30"/>
        <v>2721</v>
      </c>
      <c r="P168" s="84">
        <f t="shared" si="31"/>
        <v>0.49618320610687022</v>
      </c>
      <c r="Q168" s="84" t="str">
        <f t="shared" si="32"/>
        <v/>
      </c>
      <c r="R168" s="84">
        <f t="shared" si="33"/>
        <v>7.655432887855898E-2</v>
      </c>
      <c r="S168" s="84">
        <f t="shared" si="34"/>
        <v>3.9871104270873411E-2</v>
      </c>
      <c r="T168" s="84" t="str">
        <f>+IFERROR(#REF!/#REF!,"")</f>
        <v/>
      </c>
      <c r="U168" s="84" t="str">
        <f>+IFERROR(#REF!/#REF!,"")</f>
        <v/>
      </c>
      <c r="V168" s="84" t="str">
        <f>+IFERROR(#REF!/#REF!,"")</f>
        <v/>
      </c>
      <c r="W168" s="84" t="str">
        <f>+IFERROR(#REF!/#REF!,"")</f>
        <v/>
      </c>
      <c r="X168" s="84" t="str">
        <f>+IFERROR(#REF!/#REF!,"")</f>
        <v/>
      </c>
      <c r="Y168" s="84" t="str">
        <f>+IFERROR(#REF!/#REF!,"")</f>
        <v/>
      </c>
      <c r="Z168" s="84" t="str">
        <f>+IFERROR(#REF!/#REF!,"")</f>
        <v/>
      </c>
      <c r="AA168" s="84" t="str">
        <f>+IFERROR(#REF!/#REF!,"")</f>
        <v/>
      </c>
      <c r="AB168" s="84">
        <f t="shared" si="35"/>
        <v>8.9427153514970256E-2</v>
      </c>
      <c r="AD168" s="139" t="str">
        <f t="shared" si="38"/>
        <v/>
      </c>
      <c r="AE168" s="139" t="str">
        <f t="shared" si="38"/>
        <v/>
      </c>
      <c r="AF168" s="139">
        <f t="shared" si="38"/>
        <v>-3.6683224607685569E-2</v>
      </c>
      <c r="AG168" s="139" t="str">
        <f t="shared" si="38"/>
        <v/>
      </c>
      <c r="AH168" s="139" t="str">
        <f t="shared" si="38"/>
        <v/>
      </c>
      <c r="AI168" s="139" t="str">
        <f t="shared" si="37"/>
        <v/>
      </c>
      <c r="AJ168" s="139" t="str">
        <f t="shared" si="37"/>
        <v/>
      </c>
      <c r="AK168" s="139" t="str">
        <f t="shared" si="37"/>
        <v/>
      </c>
      <c r="AL168" s="139" t="str">
        <f t="shared" si="37"/>
        <v/>
      </c>
      <c r="AM168" s="139" t="str">
        <f t="shared" si="37"/>
        <v/>
      </c>
      <c r="AN168" s="139" t="str">
        <f t="shared" si="37"/>
        <v/>
      </c>
      <c r="AP168" s="82">
        <f t="shared" si="28"/>
        <v>2.5470544796278537E-6</v>
      </c>
      <c r="AQ168" s="82">
        <f t="shared" si="36"/>
        <v>0.99189477465501907</v>
      </c>
    </row>
    <row r="169" spans="2:43" x14ac:dyDescent="0.35">
      <c r="B169" s="83" t="s">
        <v>251</v>
      </c>
      <c r="D169" s="137">
        <v>26949</v>
      </c>
      <c r="E169" s="137">
        <v>17669</v>
      </c>
      <c r="F169" s="137">
        <v>443998</v>
      </c>
      <c r="G169" s="137">
        <v>1177056</v>
      </c>
      <c r="H169" s="137">
        <f t="shared" si="29"/>
        <v>1665672</v>
      </c>
      <c r="J169" s="137">
        <v>9223</v>
      </c>
      <c r="K169" s="137">
        <v>3267</v>
      </c>
      <c r="L169" s="137">
        <v>78667</v>
      </c>
      <c r="M169" s="137">
        <v>215819</v>
      </c>
      <c r="N169" s="137">
        <f t="shared" si="30"/>
        <v>306976</v>
      </c>
      <c r="P169" s="84">
        <f t="shared" si="31"/>
        <v>0.34223904412037554</v>
      </c>
      <c r="Q169" s="84">
        <f t="shared" si="32"/>
        <v>0.18490010753296734</v>
      </c>
      <c r="R169" s="84">
        <f t="shared" si="33"/>
        <v>0.17717872603029744</v>
      </c>
      <c r="S169" s="84">
        <f t="shared" si="34"/>
        <v>0.18335491259549247</v>
      </c>
      <c r="T169" s="84" t="str">
        <f>+IFERROR(#REF!/#REF!,"")</f>
        <v/>
      </c>
      <c r="U169" s="84" t="str">
        <f>+IFERROR(#REF!/#REF!,"")</f>
        <v/>
      </c>
      <c r="V169" s="84" t="str">
        <f>+IFERROR(#REF!/#REF!,"")</f>
        <v/>
      </c>
      <c r="W169" s="84" t="str">
        <f>+IFERROR(#REF!/#REF!,"")</f>
        <v/>
      </c>
      <c r="X169" s="84" t="str">
        <f>+IFERROR(#REF!/#REF!,"")</f>
        <v/>
      </c>
      <c r="Y169" s="84" t="str">
        <f>+IFERROR(#REF!/#REF!,"")</f>
        <v/>
      </c>
      <c r="Z169" s="84" t="str">
        <f>+IFERROR(#REF!/#REF!,"")</f>
        <v/>
      </c>
      <c r="AA169" s="84" t="str">
        <f>+IFERROR(#REF!/#REF!,"")</f>
        <v/>
      </c>
      <c r="AB169" s="84">
        <f t="shared" si="35"/>
        <v>0.18429558760668366</v>
      </c>
      <c r="AD169" s="139">
        <f t="shared" si="38"/>
        <v>-0.15733893658740819</v>
      </c>
      <c r="AE169" s="139">
        <f t="shared" si="38"/>
        <v>-7.7213815026699051E-3</v>
      </c>
      <c r="AF169" s="139">
        <f t="shared" si="38"/>
        <v>6.1761865651950298E-3</v>
      </c>
      <c r="AG169" s="139" t="str">
        <f t="shared" si="38"/>
        <v/>
      </c>
      <c r="AH169" s="139" t="str">
        <f t="shared" si="38"/>
        <v/>
      </c>
      <c r="AI169" s="139" t="str">
        <f t="shared" si="37"/>
        <v/>
      </c>
      <c r="AJ169" s="139" t="str">
        <f t="shared" si="37"/>
        <v/>
      </c>
      <c r="AK169" s="139" t="str">
        <f t="shared" si="37"/>
        <v/>
      </c>
      <c r="AL169" s="139" t="str">
        <f t="shared" si="37"/>
        <v/>
      </c>
      <c r="AM169" s="139" t="str">
        <f t="shared" si="37"/>
        <v/>
      </c>
      <c r="AN169" s="139" t="str">
        <f t="shared" si="37"/>
        <v/>
      </c>
      <c r="AP169" s="82">
        <f t="shared" si="28"/>
        <v>2.8735192794496141E-4</v>
      </c>
      <c r="AQ169" s="82">
        <f t="shared" si="36"/>
        <v>0.99218212658296401</v>
      </c>
    </row>
    <row r="170" spans="2:43" x14ac:dyDescent="0.35">
      <c r="B170" s="83" t="s">
        <v>252</v>
      </c>
      <c r="D170" s="137">
        <v>122</v>
      </c>
      <c r="E170" s="137"/>
      <c r="F170" s="137"/>
      <c r="G170" s="137"/>
      <c r="H170" s="137">
        <f t="shared" si="29"/>
        <v>122</v>
      </c>
      <c r="J170" s="137">
        <v>122</v>
      </c>
      <c r="K170" s="137"/>
      <c r="L170" s="137"/>
      <c r="M170" s="137"/>
      <c r="N170" s="137">
        <f t="shared" si="30"/>
        <v>122</v>
      </c>
      <c r="P170" s="84">
        <f t="shared" si="31"/>
        <v>1</v>
      </c>
      <c r="Q170" s="84" t="str">
        <f t="shared" si="32"/>
        <v/>
      </c>
      <c r="R170" s="84" t="str">
        <f t="shared" si="33"/>
        <v/>
      </c>
      <c r="S170" s="84" t="str">
        <f t="shared" si="34"/>
        <v/>
      </c>
      <c r="T170" s="84" t="str">
        <f>+IFERROR(#REF!/#REF!,"")</f>
        <v/>
      </c>
      <c r="U170" s="84" t="str">
        <f>+IFERROR(#REF!/#REF!,"")</f>
        <v/>
      </c>
      <c r="V170" s="84" t="str">
        <f>+IFERROR(#REF!/#REF!,"")</f>
        <v/>
      </c>
      <c r="W170" s="84" t="str">
        <f>+IFERROR(#REF!/#REF!,"")</f>
        <v/>
      </c>
      <c r="X170" s="84" t="str">
        <f>+IFERROR(#REF!/#REF!,"")</f>
        <v/>
      </c>
      <c r="Y170" s="84" t="str">
        <f>+IFERROR(#REF!/#REF!,"")</f>
        <v/>
      </c>
      <c r="Z170" s="84" t="str">
        <f>+IFERROR(#REF!/#REF!,"")</f>
        <v/>
      </c>
      <c r="AA170" s="84" t="str">
        <f>+IFERROR(#REF!/#REF!,"")</f>
        <v/>
      </c>
      <c r="AB170" s="84">
        <f t="shared" si="35"/>
        <v>1</v>
      </c>
      <c r="AD170" s="139" t="str">
        <f t="shared" si="38"/>
        <v/>
      </c>
      <c r="AE170" s="139" t="str">
        <f t="shared" si="38"/>
        <v/>
      </c>
      <c r="AF170" s="139" t="str">
        <f t="shared" si="38"/>
        <v/>
      </c>
      <c r="AG170" s="139" t="str">
        <f t="shared" si="38"/>
        <v/>
      </c>
      <c r="AH170" s="139" t="str">
        <f t="shared" si="38"/>
        <v/>
      </c>
      <c r="AI170" s="139" t="str">
        <f t="shared" si="37"/>
        <v/>
      </c>
      <c r="AJ170" s="139" t="str">
        <f t="shared" si="37"/>
        <v/>
      </c>
      <c r="AK170" s="139" t="str">
        <f t="shared" si="37"/>
        <v/>
      </c>
      <c r="AL170" s="139" t="str">
        <f t="shared" si="37"/>
        <v/>
      </c>
      <c r="AM170" s="139" t="str">
        <f t="shared" si="37"/>
        <v/>
      </c>
      <c r="AN170" s="139" t="str">
        <f t="shared" si="37"/>
        <v/>
      </c>
      <c r="AP170" s="82">
        <f t="shared" si="28"/>
        <v>1.1420089912333633E-7</v>
      </c>
      <c r="AQ170" s="82">
        <f t="shared" si="36"/>
        <v>0.99218224078386308</v>
      </c>
    </row>
    <row r="171" spans="2:43" x14ac:dyDescent="0.35">
      <c r="B171" s="83" t="s">
        <v>253</v>
      </c>
      <c r="D171" s="137">
        <v>2615</v>
      </c>
      <c r="E171" s="137">
        <v>8190</v>
      </c>
      <c r="F171" s="137">
        <v>3516</v>
      </c>
      <c r="G171" s="137">
        <v>9378</v>
      </c>
      <c r="H171" s="137">
        <f t="shared" si="29"/>
        <v>23699</v>
      </c>
      <c r="J171" s="137">
        <v>555</v>
      </c>
      <c r="K171" s="137">
        <v>600</v>
      </c>
      <c r="L171" s="137">
        <v>930</v>
      </c>
      <c r="M171" s="137">
        <v>2311</v>
      </c>
      <c r="N171" s="137">
        <f t="shared" si="30"/>
        <v>4396</v>
      </c>
      <c r="P171" s="84">
        <f t="shared" si="31"/>
        <v>0.21223709369024857</v>
      </c>
      <c r="Q171" s="84">
        <f t="shared" si="32"/>
        <v>7.3260073260073263E-2</v>
      </c>
      <c r="R171" s="84">
        <f t="shared" si="33"/>
        <v>0.26450511945392491</v>
      </c>
      <c r="S171" s="84">
        <f t="shared" si="34"/>
        <v>0.24642780976754106</v>
      </c>
      <c r="T171" s="84" t="str">
        <f>+IFERROR(#REF!/#REF!,"")</f>
        <v/>
      </c>
      <c r="U171" s="84" t="str">
        <f>+IFERROR(#REF!/#REF!,"")</f>
        <v/>
      </c>
      <c r="V171" s="84" t="str">
        <f>+IFERROR(#REF!/#REF!,"")</f>
        <v/>
      </c>
      <c r="W171" s="84" t="str">
        <f>+IFERROR(#REF!/#REF!,"")</f>
        <v/>
      </c>
      <c r="X171" s="84" t="str">
        <f>+IFERROR(#REF!/#REF!,"")</f>
        <v/>
      </c>
      <c r="Y171" s="84" t="str">
        <f>+IFERROR(#REF!/#REF!,"")</f>
        <v/>
      </c>
      <c r="Z171" s="84" t="str">
        <f>+IFERROR(#REF!/#REF!,"")</f>
        <v/>
      </c>
      <c r="AA171" s="84" t="str">
        <f>+IFERROR(#REF!/#REF!,"")</f>
        <v/>
      </c>
      <c r="AB171" s="84">
        <f t="shared" si="35"/>
        <v>0.18549305877885142</v>
      </c>
      <c r="AD171" s="139">
        <f t="shared" si="38"/>
        <v>-0.13897702043017529</v>
      </c>
      <c r="AE171" s="139">
        <f t="shared" si="38"/>
        <v>0.19124504619385163</v>
      </c>
      <c r="AF171" s="139">
        <f t="shared" si="38"/>
        <v>-1.8077309686383852E-2</v>
      </c>
      <c r="AG171" s="139" t="str">
        <f t="shared" si="38"/>
        <v/>
      </c>
      <c r="AH171" s="139" t="str">
        <f t="shared" si="38"/>
        <v/>
      </c>
      <c r="AI171" s="139" t="str">
        <f t="shared" si="37"/>
        <v/>
      </c>
      <c r="AJ171" s="139" t="str">
        <f t="shared" si="37"/>
        <v/>
      </c>
      <c r="AK171" s="139" t="str">
        <f t="shared" si="37"/>
        <v/>
      </c>
      <c r="AL171" s="139" t="str">
        <f t="shared" si="37"/>
        <v/>
      </c>
      <c r="AM171" s="139" t="str">
        <f t="shared" si="37"/>
        <v/>
      </c>
      <c r="AN171" s="139" t="str">
        <f t="shared" si="37"/>
        <v/>
      </c>
      <c r="AP171" s="82">
        <f t="shared" si="28"/>
        <v>4.1149766602146433E-6</v>
      </c>
      <c r="AQ171" s="82">
        <f t="shared" si="36"/>
        <v>0.99218635576052328</v>
      </c>
    </row>
    <row r="172" spans="2:43" x14ac:dyDescent="0.35">
      <c r="B172" s="83" t="s">
        <v>254</v>
      </c>
      <c r="D172" s="137">
        <v>1582</v>
      </c>
      <c r="E172" s="137"/>
      <c r="F172" s="137">
        <v>6294</v>
      </c>
      <c r="G172" s="137"/>
      <c r="H172" s="137">
        <f t="shared" si="29"/>
        <v>7876</v>
      </c>
      <c r="J172" s="137">
        <v>316</v>
      </c>
      <c r="K172" s="137"/>
      <c r="L172" s="137">
        <v>1423</v>
      </c>
      <c r="M172" s="137"/>
      <c r="N172" s="137">
        <f t="shared" si="30"/>
        <v>1739</v>
      </c>
      <c r="P172" s="84">
        <f t="shared" si="31"/>
        <v>0.19974715549936789</v>
      </c>
      <c r="Q172" s="84" t="str">
        <f t="shared" si="32"/>
        <v/>
      </c>
      <c r="R172" s="84">
        <f t="shared" si="33"/>
        <v>0.22608833809977757</v>
      </c>
      <c r="S172" s="84" t="str">
        <f t="shared" si="34"/>
        <v/>
      </c>
      <c r="T172" s="84" t="str">
        <f>+IFERROR(#REF!/#REF!,"")</f>
        <v/>
      </c>
      <c r="U172" s="84" t="str">
        <f>+IFERROR(#REF!/#REF!,"")</f>
        <v/>
      </c>
      <c r="V172" s="84" t="str">
        <f>+IFERROR(#REF!/#REF!,"")</f>
        <v/>
      </c>
      <c r="W172" s="84" t="str">
        <f>+IFERROR(#REF!/#REF!,"")</f>
        <v/>
      </c>
      <c r="X172" s="84" t="str">
        <f>+IFERROR(#REF!/#REF!,"")</f>
        <v/>
      </c>
      <c r="Y172" s="84" t="str">
        <f>+IFERROR(#REF!/#REF!,"")</f>
        <v/>
      </c>
      <c r="Z172" s="84" t="str">
        <f>+IFERROR(#REF!/#REF!,"")</f>
        <v/>
      </c>
      <c r="AA172" s="84" t="str">
        <f>+IFERROR(#REF!/#REF!,"")</f>
        <v/>
      </c>
      <c r="AB172" s="84">
        <f t="shared" si="35"/>
        <v>0.22079735906551548</v>
      </c>
      <c r="AD172" s="139" t="str">
        <f t="shared" si="38"/>
        <v/>
      </c>
      <c r="AE172" s="139" t="str">
        <f t="shared" si="38"/>
        <v/>
      </c>
      <c r="AF172" s="139" t="str">
        <f t="shared" si="38"/>
        <v/>
      </c>
      <c r="AG172" s="139" t="str">
        <f t="shared" si="38"/>
        <v/>
      </c>
      <c r="AH172" s="139" t="str">
        <f t="shared" si="38"/>
        <v/>
      </c>
      <c r="AI172" s="139" t="str">
        <f t="shared" si="37"/>
        <v/>
      </c>
      <c r="AJ172" s="139" t="str">
        <f t="shared" si="37"/>
        <v/>
      </c>
      <c r="AK172" s="139" t="str">
        <f t="shared" si="37"/>
        <v/>
      </c>
      <c r="AL172" s="139" t="str">
        <f t="shared" si="37"/>
        <v/>
      </c>
      <c r="AM172" s="139" t="str">
        <f t="shared" si="37"/>
        <v/>
      </c>
      <c r="AN172" s="139" t="str">
        <f t="shared" si="37"/>
        <v/>
      </c>
      <c r="AP172" s="82">
        <f t="shared" si="28"/>
        <v>1.6278308489793596E-6</v>
      </c>
      <c r="AQ172" s="82">
        <f t="shared" si="36"/>
        <v>0.99218798359137228</v>
      </c>
    </row>
    <row r="173" spans="2:43" x14ac:dyDescent="0.35">
      <c r="B173" s="83" t="s">
        <v>255</v>
      </c>
      <c r="D173" s="137">
        <v>35301</v>
      </c>
      <c r="E173" s="137">
        <v>45147</v>
      </c>
      <c r="F173" s="137">
        <v>53248</v>
      </c>
      <c r="G173" s="137">
        <v>70714</v>
      </c>
      <c r="H173" s="137">
        <f t="shared" si="29"/>
        <v>204410</v>
      </c>
      <c r="J173" s="137">
        <v>8892</v>
      </c>
      <c r="K173" s="137">
        <v>10856</v>
      </c>
      <c r="L173" s="137">
        <v>11548</v>
      </c>
      <c r="M173" s="137">
        <v>36437</v>
      </c>
      <c r="N173" s="137">
        <f t="shared" si="30"/>
        <v>67733</v>
      </c>
      <c r="P173" s="84">
        <f t="shared" si="31"/>
        <v>0.25189088127815074</v>
      </c>
      <c r="Q173" s="84">
        <f t="shared" si="32"/>
        <v>0.2404589452233814</v>
      </c>
      <c r="R173" s="84">
        <f t="shared" si="33"/>
        <v>0.21687199519230768</v>
      </c>
      <c r="S173" s="84">
        <f t="shared" si="34"/>
        <v>0.51527278898096562</v>
      </c>
      <c r="T173" s="84" t="str">
        <f>+IFERROR(#REF!/#REF!,"")</f>
        <v/>
      </c>
      <c r="U173" s="84" t="str">
        <f>+IFERROR(#REF!/#REF!,"")</f>
        <v/>
      </c>
      <c r="V173" s="84" t="str">
        <f>+IFERROR(#REF!/#REF!,"")</f>
        <v/>
      </c>
      <c r="W173" s="84" t="str">
        <f>+IFERROR(#REF!/#REF!,"")</f>
        <v/>
      </c>
      <c r="X173" s="84" t="str">
        <f>+IFERROR(#REF!/#REF!,"")</f>
        <v/>
      </c>
      <c r="Y173" s="84" t="str">
        <f>+IFERROR(#REF!/#REF!,"")</f>
        <v/>
      </c>
      <c r="Z173" s="84" t="str">
        <f>+IFERROR(#REF!/#REF!,"")</f>
        <v/>
      </c>
      <c r="AA173" s="84" t="str">
        <f>+IFERROR(#REF!/#REF!,"")</f>
        <v/>
      </c>
      <c r="AB173" s="84">
        <f t="shared" si="35"/>
        <v>0.33135854410253901</v>
      </c>
      <c r="AD173" s="139">
        <f t="shared" si="38"/>
        <v>-1.1431936054769332E-2</v>
      </c>
      <c r="AE173" s="139">
        <f t="shared" si="38"/>
        <v>-2.3586950031073722E-2</v>
      </c>
      <c r="AF173" s="139">
        <f t="shared" si="38"/>
        <v>0.29840079378865791</v>
      </c>
      <c r="AG173" s="139" t="str">
        <f t="shared" si="38"/>
        <v/>
      </c>
      <c r="AH173" s="139" t="str">
        <f t="shared" si="38"/>
        <v/>
      </c>
      <c r="AI173" s="139" t="str">
        <f t="shared" si="37"/>
        <v/>
      </c>
      <c r="AJ173" s="139" t="str">
        <f t="shared" si="37"/>
        <v/>
      </c>
      <c r="AK173" s="139" t="str">
        <f t="shared" si="37"/>
        <v/>
      </c>
      <c r="AL173" s="139" t="str">
        <f t="shared" si="37"/>
        <v/>
      </c>
      <c r="AM173" s="139" t="str">
        <f t="shared" si="37"/>
        <v/>
      </c>
      <c r="AN173" s="139" t="str">
        <f t="shared" si="37"/>
        <v/>
      </c>
      <c r="AP173" s="82">
        <f t="shared" si="28"/>
        <v>6.3403028691155249E-5</v>
      </c>
      <c r="AQ173" s="82">
        <f t="shared" si="36"/>
        <v>0.9922513866200634</v>
      </c>
    </row>
    <row r="174" spans="2:43" x14ac:dyDescent="0.35">
      <c r="B174" s="83" t="s">
        <v>256</v>
      </c>
      <c r="D174" s="137"/>
      <c r="E174" s="137"/>
      <c r="F174" s="137"/>
      <c r="G174" s="137">
        <v>395</v>
      </c>
      <c r="H174" s="137">
        <f t="shared" si="29"/>
        <v>395</v>
      </c>
      <c r="J174" s="137"/>
      <c r="K174" s="137"/>
      <c r="L174" s="137"/>
      <c r="M174" s="137">
        <v>395</v>
      </c>
      <c r="N174" s="137">
        <f t="shared" si="30"/>
        <v>395</v>
      </c>
      <c r="P174" s="84" t="str">
        <f t="shared" si="31"/>
        <v/>
      </c>
      <c r="Q174" s="84" t="str">
        <f t="shared" si="32"/>
        <v/>
      </c>
      <c r="R174" s="84" t="str">
        <f t="shared" si="33"/>
        <v/>
      </c>
      <c r="S174" s="84">
        <f t="shared" si="34"/>
        <v>1</v>
      </c>
      <c r="T174" s="84" t="str">
        <f>+IFERROR(#REF!/#REF!,"")</f>
        <v/>
      </c>
      <c r="U174" s="84" t="str">
        <f>+IFERROR(#REF!/#REF!,"")</f>
        <v/>
      </c>
      <c r="V174" s="84" t="str">
        <f>+IFERROR(#REF!/#REF!,"")</f>
        <v/>
      </c>
      <c r="W174" s="84" t="str">
        <f>+IFERROR(#REF!/#REF!,"")</f>
        <v/>
      </c>
      <c r="X174" s="84" t="str">
        <f>+IFERROR(#REF!/#REF!,"")</f>
        <v/>
      </c>
      <c r="Y174" s="84" t="str">
        <f>+IFERROR(#REF!/#REF!,"")</f>
        <v/>
      </c>
      <c r="Z174" s="84" t="str">
        <f>+IFERROR(#REF!/#REF!,"")</f>
        <v/>
      </c>
      <c r="AA174" s="84" t="str">
        <f>+IFERROR(#REF!/#REF!,"")</f>
        <v/>
      </c>
      <c r="AB174" s="84">
        <f t="shared" si="35"/>
        <v>1</v>
      </c>
      <c r="AD174" s="139" t="str">
        <f t="shared" si="38"/>
        <v/>
      </c>
      <c r="AE174" s="139" t="str">
        <f t="shared" si="38"/>
        <v/>
      </c>
      <c r="AF174" s="139" t="str">
        <f t="shared" si="38"/>
        <v/>
      </c>
      <c r="AG174" s="139" t="str">
        <f t="shared" si="38"/>
        <v/>
      </c>
      <c r="AH174" s="139" t="str">
        <f t="shared" si="38"/>
        <v/>
      </c>
      <c r="AI174" s="139" t="str">
        <f t="shared" si="37"/>
        <v/>
      </c>
      <c r="AJ174" s="139" t="str">
        <f t="shared" si="37"/>
        <v/>
      </c>
      <c r="AK174" s="139" t="str">
        <f t="shared" si="37"/>
        <v/>
      </c>
      <c r="AL174" s="139" t="str">
        <f t="shared" si="37"/>
        <v/>
      </c>
      <c r="AM174" s="139" t="str">
        <f t="shared" si="37"/>
        <v/>
      </c>
      <c r="AN174" s="139" t="str">
        <f t="shared" si="37"/>
        <v/>
      </c>
      <c r="AP174" s="82">
        <f t="shared" si="28"/>
        <v>3.6974881273539222E-7</v>
      </c>
      <c r="AQ174" s="82">
        <f t="shared" si="36"/>
        <v>0.99225175636887619</v>
      </c>
    </row>
    <row r="175" spans="2:43" x14ac:dyDescent="0.35">
      <c r="B175" s="83" t="s">
        <v>257</v>
      </c>
      <c r="D175" s="137">
        <v>200962</v>
      </c>
      <c r="E175" s="137"/>
      <c r="F175" s="137">
        <v>22543</v>
      </c>
      <c r="G175" s="137">
        <v>15252</v>
      </c>
      <c r="H175" s="137">
        <f t="shared" si="29"/>
        <v>238757</v>
      </c>
      <c r="J175" s="137">
        <v>40319</v>
      </c>
      <c r="K175" s="137"/>
      <c r="L175" s="137">
        <v>9883</v>
      </c>
      <c r="M175" s="137">
        <v>2868</v>
      </c>
      <c r="N175" s="137">
        <f t="shared" si="30"/>
        <v>53070</v>
      </c>
      <c r="P175" s="84">
        <f t="shared" si="31"/>
        <v>0.20062996984504533</v>
      </c>
      <c r="Q175" s="84" t="str">
        <f t="shared" si="32"/>
        <v/>
      </c>
      <c r="R175" s="84">
        <f t="shared" si="33"/>
        <v>0.43840660071862664</v>
      </c>
      <c r="S175" s="84">
        <f t="shared" si="34"/>
        <v>0.1880409126671912</v>
      </c>
      <c r="T175" s="84" t="str">
        <f>+IFERROR(#REF!/#REF!,"")</f>
        <v/>
      </c>
      <c r="U175" s="84" t="str">
        <f>+IFERROR(#REF!/#REF!,"")</f>
        <v/>
      </c>
      <c r="V175" s="84" t="str">
        <f>+IFERROR(#REF!/#REF!,"")</f>
        <v/>
      </c>
      <c r="W175" s="84" t="str">
        <f>+IFERROR(#REF!/#REF!,"")</f>
        <v/>
      </c>
      <c r="X175" s="84" t="str">
        <f>+IFERROR(#REF!/#REF!,"")</f>
        <v/>
      </c>
      <c r="Y175" s="84" t="str">
        <f>+IFERROR(#REF!/#REF!,"")</f>
        <v/>
      </c>
      <c r="Z175" s="84" t="str">
        <f>+IFERROR(#REF!/#REF!,"")</f>
        <v/>
      </c>
      <c r="AA175" s="84" t="str">
        <f>+IFERROR(#REF!/#REF!,"")</f>
        <v/>
      </c>
      <c r="AB175" s="84">
        <f t="shared" si="35"/>
        <v>0.22227620551439328</v>
      </c>
      <c r="AD175" s="139" t="str">
        <f t="shared" si="38"/>
        <v/>
      </c>
      <c r="AE175" s="139" t="str">
        <f t="shared" si="38"/>
        <v/>
      </c>
      <c r="AF175" s="139">
        <f t="shared" si="38"/>
        <v>-0.25036568805143544</v>
      </c>
      <c r="AG175" s="139" t="str">
        <f t="shared" si="38"/>
        <v/>
      </c>
      <c r="AH175" s="139" t="str">
        <f t="shared" si="38"/>
        <v/>
      </c>
      <c r="AI175" s="139" t="str">
        <f t="shared" si="38"/>
        <v/>
      </c>
      <c r="AJ175" s="139" t="str">
        <f t="shared" si="38"/>
        <v/>
      </c>
      <c r="AK175" s="139" t="str">
        <f t="shared" si="38"/>
        <v/>
      </c>
      <c r="AL175" s="139" t="str">
        <f t="shared" si="38"/>
        <v/>
      </c>
      <c r="AM175" s="139" t="str">
        <f t="shared" si="38"/>
        <v/>
      </c>
      <c r="AN175" s="139" t="str">
        <f t="shared" si="38"/>
        <v/>
      </c>
      <c r="AP175" s="82">
        <f t="shared" si="28"/>
        <v>4.9677391118651306E-5</v>
      </c>
      <c r="AQ175" s="82">
        <f t="shared" si="36"/>
        <v>0.9923014337599948</v>
      </c>
    </row>
    <row r="176" spans="2:43" x14ac:dyDescent="0.35">
      <c r="B176" s="83" t="s">
        <v>258</v>
      </c>
      <c r="D176" s="137"/>
      <c r="E176" s="137"/>
      <c r="F176" s="137"/>
      <c r="G176" s="137"/>
      <c r="H176" s="137">
        <f t="shared" si="29"/>
        <v>0</v>
      </c>
      <c r="J176" s="137"/>
      <c r="K176" s="137"/>
      <c r="L176" s="137"/>
      <c r="M176" s="137"/>
      <c r="N176" s="137">
        <f t="shared" si="30"/>
        <v>0</v>
      </c>
      <c r="P176" s="84" t="str">
        <f t="shared" si="31"/>
        <v/>
      </c>
      <c r="Q176" s="84" t="str">
        <f t="shared" si="32"/>
        <v/>
      </c>
      <c r="R176" s="84" t="str">
        <f t="shared" si="33"/>
        <v/>
      </c>
      <c r="S176" s="84" t="str">
        <f t="shared" si="34"/>
        <v/>
      </c>
      <c r="T176" s="84" t="str">
        <f>+IFERROR(#REF!/#REF!,"")</f>
        <v/>
      </c>
      <c r="U176" s="84" t="str">
        <f>+IFERROR(#REF!/#REF!,"")</f>
        <v/>
      </c>
      <c r="V176" s="84" t="str">
        <f>+IFERROR(#REF!/#REF!,"")</f>
        <v/>
      </c>
      <c r="W176" s="84" t="str">
        <f>+IFERROR(#REF!/#REF!,"")</f>
        <v/>
      </c>
      <c r="X176" s="84" t="str">
        <f>+IFERROR(#REF!/#REF!,"")</f>
        <v/>
      </c>
      <c r="Y176" s="84" t="str">
        <f>+IFERROR(#REF!/#REF!,"")</f>
        <v/>
      </c>
      <c r="Z176" s="84" t="str">
        <f>+IFERROR(#REF!/#REF!,"")</f>
        <v/>
      </c>
      <c r="AA176" s="84" t="str">
        <f>+IFERROR(#REF!/#REF!,"")</f>
        <v/>
      </c>
      <c r="AB176" s="84" t="str">
        <f t="shared" si="35"/>
        <v/>
      </c>
      <c r="AD176" s="139" t="str">
        <f t="shared" si="38"/>
        <v/>
      </c>
      <c r="AE176" s="139" t="str">
        <f t="shared" si="38"/>
        <v/>
      </c>
      <c r="AF176" s="139" t="str">
        <f t="shared" si="38"/>
        <v/>
      </c>
      <c r="AG176" s="139" t="str">
        <f t="shared" si="38"/>
        <v/>
      </c>
      <c r="AH176" s="139" t="str">
        <f t="shared" si="38"/>
        <v/>
      </c>
      <c r="AI176" s="139" t="str">
        <f t="shared" si="38"/>
        <v/>
      </c>
      <c r="AJ176" s="139" t="str">
        <f t="shared" si="38"/>
        <v/>
      </c>
      <c r="AK176" s="139" t="str">
        <f t="shared" si="38"/>
        <v/>
      </c>
      <c r="AL176" s="139" t="str">
        <f t="shared" si="38"/>
        <v/>
      </c>
      <c r="AM176" s="139" t="str">
        <f t="shared" si="38"/>
        <v/>
      </c>
      <c r="AN176" s="139" t="str">
        <f t="shared" si="38"/>
        <v/>
      </c>
      <c r="AP176" s="82">
        <f t="shared" si="28"/>
        <v>0</v>
      </c>
      <c r="AQ176" s="82">
        <f t="shared" si="36"/>
        <v>0.9923014337599948</v>
      </c>
    </row>
    <row r="177" spans="2:43" x14ac:dyDescent="0.35">
      <c r="B177" s="83" t="s">
        <v>259</v>
      </c>
      <c r="D177" s="137">
        <v>16352</v>
      </c>
      <c r="E177" s="137">
        <v>480</v>
      </c>
      <c r="F177" s="137">
        <v>13725</v>
      </c>
      <c r="G177" s="137"/>
      <c r="H177" s="137">
        <f t="shared" si="29"/>
        <v>30557</v>
      </c>
      <c r="J177" s="137">
        <v>1813</v>
      </c>
      <c r="K177" s="137">
        <v>200</v>
      </c>
      <c r="L177" s="137">
        <v>580</v>
      </c>
      <c r="M177" s="137"/>
      <c r="N177" s="137">
        <f t="shared" si="30"/>
        <v>2593</v>
      </c>
      <c r="P177" s="84">
        <f t="shared" si="31"/>
        <v>0.11087328767123288</v>
      </c>
      <c r="Q177" s="84">
        <f t="shared" si="32"/>
        <v>0.41666666666666669</v>
      </c>
      <c r="R177" s="84">
        <f t="shared" si="33"/>
        <v>4.2258652094717672E-2</v>
      </c>
      <c r="S177" s="84" t="str">
        <f t="shared" si="34"/>
        <v/>
      </c>
      <c r="T177" s="84" t="str">
        <f>+IFERROR(#REF!/#REF!,"")</f>
        <v/>
      </c>
      <c r="U177" s="84" t="str">
        <f>+IFERROR(#REF!/#REF!,"")</f>
        <v/>
      </c>
      <c r="V177" s="84" t="str">
        <f>+IFERROR(#REF!/#REF!,"")</f>
        <v/>
      </c>
      <c r="W177" s="84" t="str">
        <f>+IFERROR(#REF!/#REF!,"")</f>
        <v/>
      </c>
      <c r="X177" s="84" t="str">
        <f>+IFERROR(#REF!/#REF!,"")</f>
        <v/>
      </c>
      <c r="Y177" s="84" t="str">
        <f>+IFERROR(#REF!/#REF!,"")</f>
        <v/>
      </c>
      <c r="Z177" s="84" t="str">
        <f>+IFERROR(#REF!/#REF!,"")</f>
        <v/>
      </c>
      <c r="AA177" s="84" t="str">
        <f>+IFERROR(#REF!/#REF!,"")</f>
        <v/>
      </c>
      <c r="AB177" s="84">
        <f t="shared" si="35"/>
        <v>8.4857806721864062E-2</v>
      </c>
      <c r="AD177" s="139">
        <f t="shared" si="38"/>
        <v>0.3057933789954338</v>
      </c>
      <c r="AE177" s="139">
        <f t="shared" si="38"/>
        <v>-0.374408014571949</v>
      </c>
      <c r="AF177" s="139" t="str">
        <f t="shared" si="38"/>
        <v/>
      </c>
      <c r="AG177" s="139" t="str">
        <f t="shared" si="38"/>
        <v/>
      </c>
      <c r="AH177" s="139" t="str">
        <f t="shared" si="38"/>
        <v/>
      </c>
      <c r="AI177" s="139" t="str">
        <f t="shared" si="38"/>
        <v/>
      </c>
      <c r="AJ177" s="139" t="str">
        <f t="shared" si="38"/>
        <v/>
      </c>
      <c r="AK177" s="139" t="str">
        <f t="shared" si="38"/>
        <v/>
      </c>
      <c r="AL177" s="139" t="str">
        <f t="shared" si="38"/>
        <v/>
      </c>
      <c r="AM177" s="139" t="str">
        <f t="shared" si="38"/>
        <v/>
      </c>
      <c r="AN177" s="139" t="str">
        <f t="shared" si="38"/>
        <v/>
      </c>
      <c r="AP177" s="82">
        <f t="shared" si="28"/>
        <v>2.427237142842714E-6</v>
      </c>
      <c r="AQ177" s="82">
        <f t="shared" si="36"/>
        <v>0.99230386099713763</v>
      </c>
    </row>
    <row r="178" spans="2:43" x14ac:dyDescent="0.35">
      <c r="B178" s="83" t="s">
        <v>260</v>
      </c>
      <c r="D178" s="137">
        <v>3309</v>
      </c>
      <c r="E178" s="137">
        <v>1631</v>
      </c>
      <c r="F178" s="137"/>
      <c r="G178" s="137">
        <v>94654</v>
      </c>
      <c r="H178" s="137">
        <f t="shared" si="29"/>
        <v>99594</v>
      </c>
      <c r="J178" s="137">
        <v>45</v>
      </c>
      <c r="K178" s="137">
        <v>215</v>
      </c>
      <c r="L178" s="137"/>
      <c r="M178" s="137">
        <v>15</v>
      </c>
      <c r="N178" s="137">
        <f t="shared" si="30"/>
        <v>275</v>
      </c>
      <c r="P178" s="84">
        <f t="shared" si="31"/>
        <v>1.3599274705349048E-2</v>
      </c>
      <c r="Q178" s="84">
        <f t="shared" si="32"/>
        <v>0.13182096873083998</v>
      </c>
      <c r="R178" s="84" t="str">
        <f t="shared" si="33"/>
        <v/>
      </c>
      <c r="S178" s="84">
        <f t="shared" si="34"/>
        <v>1.5847190821307076E-4</v>
      </c>
      <c r="T178" s="84" t="str">
        <f>+IFERROR(#REF!/#REF!,"")</f>
        <v/>
      </c>
      <c r="U178" s="84" t="str">
        <f>+IFERROR(#REF!/#REF!,"")</f>
        <v/>
      </c>
      <c r="V178" s="84" t="str">
        <f>+IFERROR(#REF!/#REF!,"")</f>
        <v/>
      </c>
      <c r="W178" s="84" t="str">
        <f>+IFERROR(#REF!/#REF!,"")</f>
        <v/>
      </c>
      <c r="X178" s="84" t="str">
        <f>+IFERROR(#REF!/#REF!,"")</f>
        <v/>
      </c>
      <c r="Y178" s="84" t="str">
        <f>+IFERROR(#REF!/#REF!,"")</f>
        <v/>
      </c>
      <c r="Z178" s="84" t="str">
        <f>+IFERROR(#REF!/#REF!,"")</f>
        <v/>
      </c>
      <c r="AA178" s="84" t="str">
        <f>+IFERROR(#REF!/#REF!,"")</f>
        <v/>
      </c>
      <c r="AB178" s="84">
        <f t="shared" si="35"/>
        <v>2.7612105146896399E-3</v>
      </c>
      <c r="AD178" s="139">
        <f t="shared" si="38"/>
        <v>0.11822169402549093</v>
      </c>
      <c r="AE178" s="139" t="str">
        <f t="shared" si="38"/>
        <v/>
      </c>
      <c r="AF178" s="139" t="str">
        <f t="shared" si="38"/>
        <v/>
      </c>
      <c r="AG178" s="139" t="str">
        <f t="shared" si="38"/>
        <v/>
      </c>
      <c r="AH178" s="139" t="str">
        <f t="shared" si="38"/>
        <v/>
      </c>
      <c r="AI178" s="139" t="str">
        <f t="shared" si="38"/>
        <v/>
      </c>
      <c r="AJ178" s="139" t="str">
        <f t="shared" si="38"/>
        <v/>
      </c>
      <c r="AK178" s="139" t="str">
        <f t="shared" si="38"/>
        <v/>
      </c>
      <c r="AL178" s="139" t="str">
        <f t="shared" si="38"/>
        <v/>
      </c>
      <c r="AM178" s="139" t="str">
        <f t="shared" si="38"/>
        <v/>
      </c>
      <c r="AN178" s="139" t="str">
        <f t="shared" si="38"/>
        <v/>
      </c>
      <c r="AP178" s="82">
        <f t="shared" si="28"/>
        <v>2.5742005949932369E-7</v>
      </c>
      <c r="AQ178" s="82">
        <f t="shared" si="36"/>
        <v>0.99230411841719712</v>
      </c>
    </row>
    <row r="179" spans="2:43" x14ac:dyDescent="0.35">
      <c r="B179" s="83" t="s">
        <v>261</v>
      </c>
      <c r="D179" s="137">
        <v>5514</v>
      </c>
      <c r="E179" s="137">
        <v>847</v>
      </c>
      <c r="F179" s="137"/>
      <c r="G179" s="137"/>
      <c r="H179" s="137">
        <f t="shared" si="29"/>
        <v>6361</v>
      </c>
      <c r="J179" s="137">
        <v>1787</v>
      </c>
      <c r="K179" s="137">
        <v>847</v>
      </c>
      <c r="L179" s="137"/>
      <c r="M179" s="137"/>
      <c r="N179" s="137">
        <f t="shared" si="30"/>
        <v>2634</v>
      </c>
      <c r="P179" s="84">
        <f t="shared" si="31"/>
        <v>0.32408414943779468</v>
      </c>
      <c r="Q179" s="84">
        <f t="shared" si="32"/>
        <v>1</v>
      </c>
      <c r="R179" s="84" t="str">
        <f t="shared" si="33"/>
        <v/>
      </c>
      <c r="S179" s="84" t="str">
        <f t="shared" si="34"/>
        <v/>
      </c>
      <c r="T179" s="84" t="str">
        <f>+IFERROR(#REF!/#REF!,"")</f>
        <v/>
      </c>
      <c r="U179" s="84" t="str">
        <f>+IFERROR(#REF!/#REF!,"")</f>
        <v/>
      </c>
      <c r="V179" s="84" t="str">
        <f>+IFERROR(#REF!/#REF!,"")</f>
        <v/>
      </c>
      <c r="W179" s="84" t="str">
        <f>+IFERROR(#REF!/#REF!,"")</f>
        <v/>
      </c>
      <c r="X179" s="84" t="str">
        <f>+IFERROR(#REF!/#REF!,"")</f>
        <v/>
      </c>
      <c r="Y179" s="84" t="str">
        <f>+IFERROR(#REF!/#REF!,"")</f>
        <v/>
      </c>
      <c r="Z179" s="84" t="str">
        <f>+IFERROR(#REF!/#REF!,"")</f>
        <v/>
      </c>
      <c r="AA179" s="84" t="str">
        <f>+IFERROR(#REF!/#REF!,"")</f>
        <v/>
      </c>
      <c r="AB179" s="84">
        <f t="shared" si="35"/>
        <v>0.41408583556044648</v>
      </c>
      <c r="AD179" s="139">
        <f t="shared" si="38"/>
        <v>0.67591585056220538</v>
      </c>
      <c r="AE179" s="139" t="str">
        <f t="shared" si="38"/>
        <v/>
      </c>
      <c r="AF179" s="139" t="str">
        <f t="shared" si="38"/>
        <v/>
      </c>
      <c r="AG179" s="139" t="str">
        <f t="shared" si="38"/>
        <v/>
      </c>
      <c r="AH179" s="139" t="str">
        <f t="shared" si="38"/>
        <v/>
      </c>
      <c r="AI179" s="139" t="str">
        <f t="shared" si="38"/>
        <v/>
      </c>
      <c r="AJ179" s="139" t="str">
        <f t="shared" si="38"/>
        <v/>
      </c>
      <c r="AK179" s="139" t="str">
        <f t="shared" si="38"/>
        <v/>
      </c>
      <c r="AL179" s="139" t="str">
        <f t="shared" si="38"/>
        <v/>
      </c>
      <c r="AM179" s="139" t="str">
        <f t="shared" si="38"/>
        <v/>
      </c>
      <c r="AN179" s="139" t="str">
        <f t="shared" si="38"/>
        <v/>
      </c>
      <c r="AP179" s="82">
        <f t="shared" si="28"/>
        <v>2.4656161335317039E-6</v>
      </c>
      <c r="AQ179" s="82">
        <f t="shared" si="36"/>
        <v>0.99230658403333061</v>
      </c>
    </row>
    <row r="180" spans="2:43" x14ac:dyDescent="0.35">
      <c r="B180" s="83" t="s">
        <v>262</v>
      </c>
      <c r="D180" s="137">
        <v>184279</v>
      </c>
      <c r="E180" s="137">
        <v>302653</v>
      </c>
      <c r="F180" s="137">
        <v>239602</v>
      </c>
      <c r="G180" s="137">
        <v>411506</v>
      </c>
      <c r="H180" s="137">
        <f t="shared" si="29"/>
        <v>1138040</v>
      </c>
      <c r="J180" s="137">
        <v>17886</v>
      </c>
      <c r="K180" s="137">
        <v>42048</v>
      </c>
      <c r="L180" s="137">
        <v>32712</v>
      </c>
      <c r="M180" s="137">
        <v>62245</v>
      </c>
      <c r="N180" s="137">
        <f t="shared" si="30"/>
        <v>154891</v>
      </c>
      <c r="P180" s="84">
        <f t="shared" si="31"/>
        <v>9.7059350224388025E-2</v>
      </c>
      <c r="Q180" s="84">
        <f t="shared" si="32"/>
        <v>0.13893138346555295</v>
      </c>
      <c r="R180" s="84">
        <f t="shared" si="33"/>
        <v>0.13652640629043164</v>
      </c>
      <c r="S180" s="84">
        <f t="shared" si="34"/>
        <v>0.15126146398837442</v>
      </c>
      <c r="T180" s="84" t="str">
        <f>+IFERROR(#REF!/#REF!,"")</f>
        <v/>
      </c>
      <c r="U180" s="84" t="str">
        <f>+IFERROR(#REF!/#REF!,"")</f>
        <v/>
      </c>
      <c r="V180" s="84" t="str">
        <f>+IFERROR(#REF!/#REF!,"")</f>
        <v/>
      </c>
      <c r="W180" s="84" t="str">
        <f>+IFERROR(#REF!/#REF!,"")</f>
        <v/>
      </c>
      <c r="X180" s="84" t="str">
        <f>+IFERROR(#REF!/#REF!,"")</f>
        <v/>
      </c>
      <c r="Y180" s="84" t="str">
        <f>+IFERROR(#REF!/#REF!,"")</f>
        <v/>
      </c>
      <c r="Z180" s="84" t="str">
        <f>+IFERROR(#REF!/#REF!,"")</f>
        <v/>
      </c>
      <c r="AA180" s="84" t="str">
        <f>+IFERROR(#REF!/#REF!,"")</f>
        <v/>
      </c>
      <c r="AB180" s="84">
        <f t="shared" si="35"/>
        <v>0.13610330041123334</v>
      </c>
      <c r="AD180" s="139">
        <f t="shared" ref="AD180:AN203" si="39">+IFERROR(Q180-P180,"")</f>
        <v>4.1872033241164924E-2</v>
      </c>
      <c r="AE180" s="139">
        <f t="shared" si="39"/>
        <v>-2.4049771751213089E-3</v>
      </c>
      <c r="AF180" s="139">
        <f t="shared" si="39"/>
        <v>1.4735057697942783E-2</v>
      </c>
      <c r="AG180" s="139" t="str">
        <f t="shared" si="39"/>
        <v/>
      </c>
      <c r="AH180" s="139" t="str">
        <f t="shared" si="39"/>
        <v/>
      </c>
      <c r="AI180" s="139" t="str">
        <f t="shared" si="39"/>
        <v/>
      </c>
      <c r="AJ180" s="139" t="str">
        <f t="shared" si="39"/>
        <v/>
      </c>
      <c r="AK180" s="139" t="str">
        <f t="shared" si="39"/>
        <v/>
      </c>
      <c r="AL180" s="139" t="str">
        <f t="shared" si="39"/>
        <v/>
      </c>
      <c r="AM180" s="139" t="str">
        <f t="shared" si="39"/>
        <v/>
      </c>
      <c r="AN180" s="139" t="str">
        <f t="shared" si="39"/>
        <v/>
      </c>
      <c r="AP180" s="82">
        <f t="shared" si="28"/>
        <v>1.4498927431239907E-4</v>
      </c>
      <c r="AQ180" s="82">
        <f t="shared" si="36"/>
        <v>0.992451573307643</v>
      </c>
    </row>
    <row r="181" spans="2:43" x14ac:dyDescent="0.35">
      <c r="B181" s="83" t="s">
        <v>263</v>
      </c>
      <c r="D181" s="137">
        <v>615</v>
      </c>
      <c r="E181" s="137">
        <v>508</v>
      </c>
      <c r="F181" s="137">
        <v>1351</v>
      </c>
      <c r="G181" s="137"/>
      <c r="H181" s="137">
        <f t="shared" si="29"/>
        <v>2474</v>
      </c>
      <c r="J181" s="137">
        <v>149</v>
      </c>
      <c r="K181" s="137">
        <v>86</v>
      </c>
      <c r="L181" s="137">
        <v>293</v>
      </c>
      <c r="M181" s="137"/>
      <c r="N181" s="137">
        <f t="shared" si="30"/>
        <v>528</v>
      </c>
      <c r="P181" s="84">
        <f t="shared" si="31"/>
        <v>0.24227642276422764</v>
      </c>
      <c r="Q181" s="84">
        <f t="shared" si="32"/>
        <v>0.16929133858267717</v>
      </c>
      <c r="R181" s="84">
        <f t="shared" si="33"/>
        <v>0.21687638786084382</v>
      </c>
      <c r="S181" s="84" t="str">
        <f t="shared" si="34"/>
        <v/>
      </c>
      <c r="T181" s="84" t="str">
        <f>+IFERROR(#REF!/#REF!,"")</f>
        <v/>
      </c>
      <c r="U181" s="84" t="str">
        <f>+IFERROR(#REF!/#REF!,"")</f>
        <v/>
      </c>
      <c r="V181" s="84" t="str">
        <f>+IFERROR(#REF!/#REF!,"")</f>
        <v/>
      </c>
      <c r="W181" s="84" t="str">
        <f>+IFERROR(#REF!/#REF!,"")</f>
        <v/>
      </c>
      <c r="X181" s="84" t="str">
        <f>+IFERROR(#REF!/#REF!,"")</f>
        <v/>
      </c>
      <c r="Y181" s="84" t="str">
        <f>+IFERROR(#REF!/#REF!,"")</f>
        <v/>
      </c>
      <c r="Z181" s="84" t="str">
        <f>+IFERROR(#REF!/#REF!,"")</f>
        <v/>
      </c>
      <c r="AA181" s="84" t="str">
        <f>+IFERROR(#REF!/#REF!,"")</f>
        <v/>
      </c>
      <c r="AB181" s="84">
        <f t="shared" si="35"/>
        <v>0.21341956345998384</v>
      </c>
      <c r="AD181" s="139">
        <f t="shared" si="39"/>
        <v>-7.2985084181550475E-2</v>
      </c>
      <c r="AE181" s="139">
        <f t="shared" si="39"/>
        <v>4.7585049278166647E-2</v>
      </c>
      <c r="AF181" s="139" t="str">
        <f t="shared" si="39"/>
        <v/>
      </c>
      <c r="AG181" s="139" t="str">
        <f t="shared" si="39"/>
        <v/>
      </c>
      <c r="AH181" s="139" t="str">
        <f t="shared" si="39"/>
        <v/>
      </c>
      <c r="AI181" s="139" t="str">
        <f t="shared" si="39"/>
        <v/>
      </c>
      <c r="AJ181" s="139" t="str">
        <f t="shared" si="39"/>
        <v/>
      </c>
      <c r="AK181" s="139" t="str">
        <f t="shared" si="39"/>
        <v/>
      </c>
      <c r="AL181" s="139" t="str">
        <f t="shared" si="39"/>
        <v/>
      </c>
      <c r="AM181" s="139" t="str">
        <f t="shared" si="39"/>
        <v/>
      </c>
      <c r="AN181" s="139" t="str">
        <f t="shared" si="39"/>
        <v/>
      </c>
      <c r="AP181" s="82">
        <f t="shared" si="28"/>
        <v>4.9424651423870154E-7</v>
      </c>
      <c r="AQ181" s="82">
        <f t="shared" si="36"/>
        <v>0.99245206755415727</v>
      </c>
    </row>
    <row r="182" spans="2:43" x14ac:dyDescent="0.35">
      <c r="B182" s="83" t="s">
        <v>264</v>
      </c>
      <c r="D182" s="137">
        <v>17593</v>
      </c>
      <c r="E182" s="137">
        <v>8880</v>
      </c>
      <c r="F182" s="137">
        <v>6076</v>
      </c>
      <c r="G182" s="137">
        <v>9304</v>
      </c>
      <c r="H182" s="137">
        <f t="shared" si="29"/>
        <v>41853</v>
      </c>
      <c r="J182" s="137">
        <v>1577</v>
      </c>
      <c r="K182" s="137">
        <v>1572</v>
      </c>
      <c r="L182" s="137">
        <v>1420</v>
      </c>
      <c r="M182" s="137">
        <v>1520</v>
      </c>
      <c r="N182" s="137">
        <f t="shared" si="30"/>
        <v>6089</v>
      </c>
      <c r="P182" s="84">
        <f t="shared" si="31"/>
        <v>8.963792417438754E-2</v>
      </c>
      <c r="Q182" s="84">
        <f t="shared" si="32"/>
        <v>0.17702702702702702</v>
      </c>
      <c r="R182" s="84">
        <f t="shared" si="33"/>
        <v>0.23370638578011849</v>
      </c>
      <c r="S182" s="84">
        <f t="shared" si="34"/>
        <v>0.16337059329320722</v>
      </c>
      <c r="T182" s="84" t="str">
        <f>+IFERROR(#REF!/#REF!,"")</f>
        <v/>
      </c>
      <c r="U182" s="84" t="str">
        <f>+IFERROR(#REF!/#REF!,"")</f>
        <v/>
      </c>
      <c r="V182" s="84" t="str">
        <f>+IFERROR(#REF!/#REF!,"")</f>
        <v/>
      </c>
      <c r="W182" s="84" t="str">
        <f>+IFERROR(#REF!/#REF!,"")</f>
        <v/>
      </c>
      <c r="X182" s="84" t="str">
        <f>+IFERROR(#REF!/#REF!,"")</f>
        <v/>
      </c>
      <c r="Y182" s="84" t="str">
        <f>+IFERROR(#REF!/#REF!,"")</f>
        <v/>
      </c>
      <c r="Z182" s="84" t="str">
        <f>+IFERROR(#REF!/#REF!,"")</f>
        <v/>
      </c>
      <c r="AA182" s="84" t="str">
        <f>+IFERROR(#REF!/#REF!,"")</f>
        <v/>
      </c>
      <c r="AB182" s="84">
        <f t="shared" si="35"/>
        <v>0.14548538933887653</v>
      </c>
      <c r="AD182" s="139">
        <f t="shared" si="39"/>
        <v>8.7389102852639483E-2</v>
      </c>
      <c r="AE182" s="139">
        <f t="shared" si="39"/>
        <v>5.6679358753091463E-2</v>
      </c>
      <c r="AF182" s="139">
        <f t="shared" si="39"/>
        <v>-7.0335792486911269E-2</v>
      </c>
      <c r="AG182" s="139" t="str">
        <f t="shared" si="39"/>
        <v/>
      </c>
      <c r="AH182" s="139" t="str">
        <f t="shared" si="39"/>
        <v/>
      </c>
      <c r="AI182" s="139" t="str">
        <f t="shared" si="39"/>
        <v/>
      </c>
      <c r="AJ182" s="139" t="str">
        <f t="shared" si="39"/>
        <v/>
      </c>
      <c r="AK182" s="139" t="str">
        <f t="shared" si="39"/>
        <v/>
      </c>
      <c r="AL182" s="139" t="str">
        <f t="shared" si="39"/>
        <v/>
      </c>
      <c r="AM182" s="139" t="str">
        <f t="shared" si="39"/>
        <v/>
      </c>
      <c r="AN182" s="139" t="str">
        <f t="shared" si="39"/>
        <v/>
      </c>
      <c r="AP182" s="82">
        <f t="shared" si="28"/>
        <v>5.699748153786844E-6</v>
      </c>
      <c r="AQ182" s="82">
        <f t="shared" si="36"/>
        <v>0.99245776730231106</v>
      </c>
    </row>
    <row r="183" spans="2:43" x14ac:dyDescent="0.35">
      <c r="B183" s="83" t="s">
        <v>265</v>
      </c>
      <c r="D183" s="137">
        <v>154571</v>
      </c>
      <c r="E183" s="137"/>
      <c r="F183" s="137"/>
      <c r="G183" s="137"/>
      <c r="H183" s="137">
        <f t="shared" si="29"/>
        <v>154571</v>
      </c>
      <c r="J183" s="137">
        <v>26372</v>
      </c>
      <c r="K183" s="137"/>
      <c r="L183" s="137"/>
      <c r="M183" s="137"/>
      <c r="N183" s="137">
        <f t="shared" si="30"/>
        <v>26372</v>
      </c>
      <c r="P183" s="84">
        <f t="shared" si="31"/>
        <v>0.17061415142555847</v>
      </c>
      <c r="Q183" s="84" t="str">
        <f t="shared" si="32"/>
        <v/>
      </c>
      <c r="R183" s="84" t="str">
        <f t="shared" si="33"/>
        <v/>
      </c>
      <c r="S183" s="84" t="str">
        <f t="shared" si="34"/>
        <v/>
      </c>
      <c r="T183" s="84" t="str">
        <f>+IFERROR(#REF!/#REF!,"")</f>
        <v/>
      </c>
      <c r="U183" s="84" t="str">
        <f>+IFERROR(#REF!/#REF!,"")</f>
        <v/>
      </c>
      <c r="V183" s="84" t="str">
        <f>+IFERROR(#REF!/#REF!,"")</f>
        <v/>
      </c>
      <c r="W183" s="84" t="str">
        <f>+IFERROR(#REF!/#REF!,"")</f>
        <v/>
      </c>
      <c r="X183" s="84" t="str">
        <f>+IFERROR(#REF!/#REF!,"")</f>
        <v/>
      </c>
      <c r="Y183" s="84" t="str">
        <f>+IFERROR(#REF!/#REF!,"")</f>
        <v/>
      </c>
      <c r="Z183" s="84" t="str">
        <f>+IFERROR(#REF!/#REF!,"")</f>
        <v/>
      </c>
      <c r="AA183" s="84" t="str">
        <f>+IFERROR(#REF!/#REF!,"")</f>
        <v/>
      </c>
      <c r="AB183" s="84">
        <f t="shared" si="35"/>
        <v>0.17061415142555847</v>
      </c>
      <c r="AD183" s="139" t="str">
        <f t="shared" si="39"/>
        <v/>
      </c>
      <c r="AE183" s="139" t="str">
        <f t="shared" si="39"/>
        <v/>
      </c>
      <c r="AF183" s="139" t="str">
        <f t="shared" si="39"/>
        <v/>
      </c>
      <c r="AG183" s="139" t="str">
        <f t="shared" si="39"/>
        <v/>
      </c>
      <c r="AH183" s="139" t="str">
        <f t="shared" si="39"/>
        <v/>
      </c>
      <c r="AI183" s="139" t="str">
        <f t="shared" si="39"/>
        <v/>
      </c>
      <c r="AJ183" s="139" t="str">
        <f t="shared" si="39"/>
        <v/>
      </c>
      <c r="AK183" s="139" t="str">
        <f t="shared" si="39"/>
        <v/>
      </c>
      <c r="AL183" s="139" t="str">
        <f t="shared" si="39"/>
        <v/>
      </c>
      <c r="AM183" s="139" t="str">
        <f t="shared" si="39"/>
        <v/>
      </c>
      <c r="AN183" s="139" t="str">
        <f t="shared" si="39"/>
        <v/>
      </c>
      <c r="AP183" s="82">
        <f t="shared" si="28"/>
        <v>2.4686115669513326E-5</v>
      </c>
      <c r="AQ183" s="82">
        <f t="shared" si="36"/>
        <v>0.99248245341798058</v>
      </c>
    </row>
    <row r="184" spans="2:43" x14ac:dyDescent="0.35">
      <c r="B184" s="83" t="s">
        <v>266</v>
      </c>
      <c r="D184" s="137">
        <v>4623</v>
      </c>
      <c r="E184" s="137">
        <v>14718</v>
      </c>
      <c r="F184" s="137">
        <v>71202</v>
      </c>
      <c r="G184" s="137">
        <v>113677</v>
      </c>
      <c r="H184" s="137">
        <f t="shared" si="29"/>
        <v>204220</v>
      </c>
      <c r="J184" s="137">
        <v>198</v>
      </c>
      <c r="K184" s="137">
        <v>3237</v>
      </c>
      <c r="L184" s="137">
        <v>28275</v>
      </c>
      <c r="M184" s="137">
        <v>39710</v>
      </c>
      <c r="N184" s="137">
        <f t="shared" si="30"/>
        <v>71420</v>
      </c>
      <c r="P184" s="84">
        <f t="shared" si="31"/>
        <v>4.2829331602855292E-2</v>
      </c>
      <c r="Q184" s="84">
        <f t="shared" si="32"/>
        <v>0.21993477374643294</v>
      </c>
      <c r="R184" s="84">
        <f t="shared" si="33"/>
        <v>0.3971096317519171</v>
      </c>
      <c r="S184" s="84">
        <f t="shared" si="34"/>
        <v>0.34932308206585327</v>
      </c>
      <c r="T184" s="84" t="str">
        <f>+IFERROR(#REF!/#REF!,"")</f>
        <v/>
      </c>
      <c r="U184" s="84" t="str">
        <f>+IFERROR(#REF!/#REF!,"")</f>
        <v/>
      </c>
      <c r="V184" s="84" t="str">
        <f>+IFERROR(#REF!/#REF!,"")</f>
        <v/>
      </c>
      <c r="W184" s="84" t="str">
        <f>+IFERROR(#REF!/#REF!,"")</f>
        <v/>
      </c>
      <c r="X184" s="84" t="str">
        <f>+IFERROR(#REF!/#REF!,"")</f>
        <v/>
      </c>
      <c r="Y184" s="84" t="str">
        <f>+IFERROR(#REF!/#REF!,"")</f>
        <v/>
      </c>
      <c r="Z184" s="84" t="str">
        <f>+IFERROR(#REF!/#REF!,"")</f>
        <v/>
      </c>
      <c r="AA184" s="84" t="str">
        <f>+IFERROR(#REF!/#REF!,"")</f>
        <v/>
      </c>
      <c r="AB184" s="84">
        <f t="shared" si="35"/>
        <v>0.34972088923709727</v>
      </c>
      <c r="AD184" s="139">
        <f t="shared" si="39"/>
        <v>0.17710544214357765</v>
      </c>
      <c r="AE184" s="139">
        <f t="shared" si="39"/>
        <v>0.17717485800548416</v>
      </c>
      <c r="AF184" s="139">
        <f t="shared" si="39"/>
        <v>-4.7786549686063828E-2</v>
      </c>
      <c r="AG184" s="139" t="str">
        <f t="shared" si="39"/>
        <v/>
      </c>
      <c r="AH184" s="139" t="str">
        <f t="shared" si="39"/>
        <v/>
      </c>
      <c r="AI184" s="139" t="str">
        <f t="shared" si="39"/>
        <v/>
      </c>
      <c r="AJ184" s="139" t="str">
        <f t="shared" si="39"/>
        <v/>
      </c>
      <c r="AK184" s="139" t="str">
        <f t="shared" si="39"/>
        <v/>
      </c>
      <c r="AL184" s="139" t="str">
        <f t="shared" si="39"/>
        <v/>
      </c>
      <c r="AM184" s="139" t="str">
        <f t="shared" si="39"/>
        <v/>
      </c>
      <c r="AN184" s="139" t="str">
        <f t="shared" si="39"/>
        <v/>
      </c>
      <c r="AP184" s="82">
        <f t="shared" si="28"/>
        <v>6.6854329634333454E-5</v>
      </c>
      <c r="AQ184" s="82">
        <f t="shared" si="36"/>
        <v>0.99254930774761496</v>
      </c>
    </row>
    <row r="185" spans="2:43" x14ac:dyDescent="0.35">
      <c r="B185" s="83" t="s">
        <v>267</v>
      </c>
      <c r="D185" s="137"/>
      <c r="E185" s="137"/>
      <c r="F185" s="137"/>
      <c r="G185" s="137"/>
      <c r="H185" s="137">
        <f t="shared" si="29"/>
        <v>0</v>
      </c>
      <c r="J185" s="137"/>
      <c r="K185" s="137"/>
      <c r="L185" s="137"/>
      <c r="M185" s="137"/>
      <c r="N185" s="137">
        <f t="shared" si="30"/>
        <v>0</v>
      </c>
      <c r="P185" s="84" t="str">
        <f t="shared" si="31"/>
        <v/>
      </c>
      <c r="Q185" s="84" t="str">
        <f t="shared" si="32"/>
        <v/>
      </c>
      <c r="R185" s="84" t="str">
        <f t="shared" si="33"/>
        <v/>
      </c>
      <c r="S185" s="84" t="str">
        <f t="shared" si="34"/>
        <v/>
      </c>
      <c r="T185" s="84" t="str">
        <f>+IFERROR(#REF!/#REF!,"")</f>
        <v/>
      </c>
      <c r="U185" s="84" t="str">
        <f>+IFERROR(#REF!/#REF!,"")</f>
        <v/>
      </c>
      <c r="V185" s="84" t="str">
        <f>+IFERROR(#REF!/#REF!,"")</f>
        <v/>
      </c>
      <c r="W185" s="84" t="str">
        <f>+IFERROR(#REF!/#REF!,"")</f>
        <v/>
      </c>
      <c r="X185" s="84" t="str">
        <f>+IFERROR(#REF!/#REF!,"")</f>
        <v/>
      </c>
      <c r="Y185" s="84" t="str">
        <f>+IFERROR(#REF!/#REF!,"")</f>
        <v/>
      </c>
      <c r="Z185" s="84" t="str">
        <f>+IFERROR(#REF!/#REF!,"")</f>
        <v/>
      </c>
      <c r="AA185" s="84" t="str">
        <f>+IFERROR(#REF!/#REF!,"")</f>
        <v/>
      </c>
      <c r="AB185" s="84" t="str">
        <f t="shared" si="35"/>
        <v/>
      </c>
      <c r="AD185" s="139" t="str">
        <f t="shared" si="39"/>
        <v/>
      </c>
      <c r="AE185" s="139" t="str">
        <f t="shared" si="39"/>
        <v/>
      </c>
      <c r="AF185" s="139" t="str">
        <f t="shared" si="39"/>
        <v/>
      </c>
      <c r="AG185" s="139" t="str">
        <f t="shared" si="39"/>
        <v/>
      </c>
      <c r="AH185" s="139" t="str">
        <f t="shared" si="39"/>
        <v/>
      </c>
      <c r="AI185" s="139" t="str">
        <f t="shared" si="39"/>
        <v/>
      </c>
      <c r="AJ185" s="139" t="str">
        <f t="shared" si="39"/>
        <v/>
      </c>
      <c r="AK185" s="139" t="str">
        <f t="shared" si="39"/>
        <v/>
      </c>
      <c r="AL185" s="139" t="str">
        <f t="shared" si="39"/>
        <v/>
      </c>
      <c r="AM185" s="139" t="str">
        <f t="shared" si="39"/>
        <v/>
      </c>
      <c r="AN185" s="139" t="str">
        <f t="shared" si="39"/>
        <v/>
      </c>
      <c r="AP185" s="82">
        <f t="shared" si="28"/>
        <v>0</v>
      </c>
      <c r="AQ185" s="82">
        <f t="shared" si="36"/>
        <v>0.99254930774761496</v>
      </c>
    </row>
    <row r="186" spans="2:43" x14ac:dyDescent="0.35">
      <c r="B186" s="83" t="s">
        <v>268</v>
      </c>
      <c r="D186" s="137">
        <v>741</v>
      </c>
      <c r="E186" s="137">
        <v>567</v>
      </c>
      <c r="F186" s="137">
        <v>182</v>
      </c>
      <c r="G186" s="137"/>
      <c r="H186" s="137">
        <f t="shared" si="29"/>
        <v>1490</v>
      </c>
      <c r="J186" s="137">
        <v>244</v>
      </c>
      <c r="K186" s="137">
        <v>35</v>
      </c>
      <c r="L186" s="137">
        <v>79</v>
      </c>
      <c r="M186" s="137"/>
      <c r="N186" s="137">
        <f t="shared" si="30"/>
        <v>358</v>
      </c>
      <c r="P186" s="84">
        <f t="shared" si="31"/>
        <v>0.32928475033738192</v>
      </c>
      <c r="Q186" s="84">
        <f t="shared" si="32"/>
        <v>6.1728395061728392E-2</v>
      </c>
      <c r="R186" s="84">
        <f t="shared" si="33"/>
        <v>0.43406593406593408</v>
      </c>
      <c r="S186" s="84" t="str">
        <f t="shared" si="34"/>
        <v/>
      </c>
      <c r="T186" s="84" t="str">
        <f>+IFERROR(#REF!/#REF!,"")</f>
        <v/>
      </c>
      <c r="U186" s="84" t="str">
        <f>+IFERROR(#REF!/#REF!,"")</f>
        <v/>
      </c>
      <c r="V186" s="84" t="str">
        <f>+IFERROR(#REF!/#REF!,"")</f>
        <v/>
      </c>
      <c r="W186" s="84" t="str">
        <f>+IFERROR(#REF!/#REF!,"")</f>
        <v/>
      </c>
      <c r="X186" s="84" t="str">
        <f>+IFERROR(#REF!/#REF!,"")</f>
        <v/>
      </c>
      <c r="Y186" s="84" t="str">
        <f>+IFERROR(#REF!/#REF!,"")</f>
        <v/>
      </c>
      <c r="Z186" s="84" t="str">
        <f>+IFERROR(#REF!/#REF!,"")</f>
        <v/>
      </c>
      <c r="AA186" s="84" t="str">
        <f>+IFERROR(#REF!/#REF!,"")</f>
        <v/>
      </c>
      <c r="AB186" s="84">
        <f t="shared" si="35"/>
        <v>0.24026845637583893</v>
      </c>
      <c r="AD186" s="139">
        <f t="shared" si="39"/>
        <v>-0.26755635527565352</v>
      </c>
      <c r="AE186" s="139">
        <f t="shared" si="39"/>
        <v>0.37233753900420569</v>
      </c>
      <c r="AF186" s="139" t="str">
        <f t="shared" si="39"/>
        <v/>
      </c>
      <c r="AG186" s="139" t="str">
        <f t="shared" si="39"/>
        <v/>
      </c>
      <c r="AH186" s="139" t="str">
        <f t="shared" si="39"/>
        <v/>
      </c>
      <c r="AI186" s="139" t="str">
        <f t="shared" si="39"/>
        <v/>
      </c>
      <c r="AJ186" s="139" t="str">
        <f t="shared" si="39"/>
        <v/>
      </c>
      <c r="AK186" s="139" t="str">
        <f t="shared" si="39"/>
        <v/>
      </c>
      <c r="AL186" s="139" t="str">
        <f t="shared" si="39"/>
        <v/>
      </c>
      <c r="AM186" s="139" t="str">
        <f t="shared" si="39"/>
        <v/>
      </c>
      <c r="AN186" s="139" t="str">
        <f t="shared" si="39"/>
        <v/>
      </c>
      <c r="AP186" s="82">
        <f t="shared" si="28"/>
        <v>3.3511411382093775E-7</v>
      </c>
      <c r="AQ186" s="82">
        <f t="shared" si="36"/>
        <v>0.99254964286172875</v>
      </c>
    </row>
    <row r="187" spans="2:43" x14ac:dyDescent="0.35">
      <c r="B187" s="83" t="s">
        <v>269</v>
      </c>
      <c r="D187" s="137"/>
      <c r="E187" s="137">
        <v>21012</v>
      </c>
      <c r="F187" s="137">
        <v>24864</v>
      </c>
      <c r="G187" s="137">
        <v>37308</v>
      </c>
      <c r="H187" s="137">
        <f t="shared" si="29"/>
        <v>83184</v>
      </c>
      <c r="J187" s="137"/>
      <c r="K187" s="137">
        <v>1570</v>
      </c>
      <c r="L187" s="137">
        <v>2400</v>
      </c>
      <c r="M187" s="137">
        <v>679</v>
      </c>
      <c r="N187" s="137">
        <f t="shared" si="30"/>
        <v>4649</v>
      </c>
      <c r="P187" s="84" t="str">
        <f t="shared" si="31"/>
        <v/>
      </c>
      <c r="Q187" s="84">
        <f t="shared" si="32"/>
        <v>7.4719208071578141E-2</v>
      </c>
      <c r="R187" s="84">
        <f t="shared" si="33"/>
        <v>9.6525096525096526E-2</v>
      </c>
      <c r="S187" s="84">
        <f t="shared" si="34"/>
        <v>1.819984989814517E-2</v>
      </c>
      <c r="T187" s="84" t="str">
        <f>+IFERROR(#REF!/#REF!,"")</f>
        <v/>
      </c>
      <c r="U187" s="84" t="str">
        <f>+IFERROR(#REF!/#REF!,"")</f>
        <v/>
      </c>
      <c r="V187" s="84" t="str">
        <f>+IFERROR(#REF!/#REF!,"")</f>
        <v/>
      </c>
      <c r="W187" s="84" t="str">
        <f>+IFERROR(#REF!/#REF!,"")</f>
        <v/>
      </c>
      <c r="X187" s="84" t="str">
        <f>+IFERROR(#REF!/#REF!,"")</f>
        <v/>
      </c>
      <c r="Y187" s="84" t="str">
        <f>+IFERROR(#REF!/#REF!,"")</f>
        <v/>
      </c>
      <c r="Z187" s="84" t="str">
        <f>+IFERROR(#REF!/#REF!,"")</f>
        <v/>
      </c>
      <c r="AA187" s="84" t="str">
        <f>+IFERROR(#REF!/#REF!,"")</f>
        <v/>
      </c>
      <c r="AB187" s="84">
        <f t="shared" si="35"/>
        <v>5.5888151567609158E-2</v>
      </c>
      <c r="AD187" s="139" t="str">
        <f t="shared" si="39"/>
        <v/>
      </c>
      <c r="AE187" s="139">
        <f t="shared" si="39"/>
        <v>2.1805888453518385E-2</v>
      </c>
      <c r="AF187" s="139">
        <f t="shared" si="39"/>
        <v>-7.8325246626951353E-2</v>
      </c>
      <c r="AG187" s="139" t="str">
        <f t="shared" si="39"/>
        <v/>
      </c>
      <c r="AH187" s="139" t="str">
        <f t="shared" si="39"/>
        <v/>
      </c>
      <c r="AI187" s="139" t="str">
        <f t="shared" si="39"/>
        <v/>
      </c>
      <c r="AJ187" s="139" t="str">
        <f t="shared" si="39"/>
        <v/>
      </c>
      <c r="AK187" s="139" t="str">
        <f t="shared" si="39"/>
        <v/>
      </c>
      <c r="AL187" s="139" t="str">
        <f t="shared" si="39"/>
        <v/>
      </c>
      <c r="AM187" s="139" t="str">
        <f t="shared" si="39"/>
        <v/>
      </c>
      <c r="AN187" s="139" t="str">
        <f t="shared" si="39"/>
        <v/>
      </c>
      <c r="AP187" s="82">
        <f t="shared" si="28"/>
        <v>4.3518031149540213E-6</v>
      </c>
      <c r="AQ187" s="82">
        <f t="shared" si="36"/>
        <v>0.99255399466484373</v>
      </c>
    </row>
    <row r="188" spans="2:43" x14ac:dyDescent="0.35">
      <c r="B188" s="83" t="s">
        <v>270</v>
      </c>
      <c r="D188" s="137"/>
      <c r="E188" s="137"/>
      <c r="F188" s="137"/>
      <c r="G188" s="137"/>
      <c r="H188" s="137">
        <f t="shared" si="29"/>
        <v>0</v>
      </c>
      <c r="J188" s="137"/>
      <c r="K188" s="137"/>
      <c r="L188" s="137"/>
      <c r="M188" s="137"/>
      <c r="N188" s="137">
        <f t="shared" si="30"/>
        <v>0</v>
      </c>
      <c r="P188" s="84" t="str">
        <f t="shared" si="31"/>
        <v/>
      </c>
      <c r="Q188" s="84" t="str">
        <f t="shared" si="32"/>
        <v/>
      </c>
      <c r="R188" s="84" t="str">
        <f t="shared" si="33"/>
        <v/>
      </c>
      <c r="S188" s="84" t="str">
        <f t="shared" si="34"/>
        <v/>
      </c>
      <c r="T188" s="84" t="str">
        <f>+IFERROR(#REF!/#REF!,"")</f>
        <v/>
      </c>
      <c r="U188" s="84" t="str">
        <f>+IFERROR(#REF!/#REF!,"")</f>
        <v/>
      </c>
      <c r="V188" s="84" t="str">
        <f>+IFERROR(#REF!/#REF!,"")</f>
        <v/>
      </c>
      <c r="W188" s="84" t="str">
        <f>+IFERROR(#REF!/#REF!,"")</f>
        <v/>
      </c>
      <c r="X188" s="84" t="str">
        <f>+IFERROR(#REF!/#REF!,"")</f>
        <v/>
      </c>
      <c r="Y188" s="84" t="str">
        <f>+IFERROR(#REF!/#REF!,"")</f>
        <v/>
      </c>
      <c r="Z188" s="84" t="str">
        <f>+IFERROR(#REF!/#REF!,"")</f>
        <v/>
      </c>
      <c r="AA188" s="84" t="str">
        <f>+IFERROR(#REF!/#REF!,"")</f>
        <v/>
      </c>
      <c r="AB188" s="84" t="str">
        <f t="shared" si="35"/>
        <v/>
      </c>
      <c r="AD188" s="139" t="str">
        <f t="shared" si="39"/>
        <v/>
      </c>
      <c r="AE188" s="139" t="str">
        <f t="shared" si="39"/>
        <v/>
      </c>
      <c r="AF188" s="139" t="str">
        <f t="shared" si="39"/>
        <v/>
      </c>
      <c r="AG188" s="139" t="str">
        <f t="shared" si="39"/>
        <v/>
      </c>
      <c r="AH188" s="139" t="str">
        <f t="shared" si="39"/>
        <v/>
      </c>
      <c r="AI188" s="139" t="str">
        <f t="shared" si="39"/>
        <v/>
      </c>
      <c r="AJ188" s="139" t="str">
        <f t="shared" si="39"/>
        <v/>
      </c>
      <c r="AK188" s="139" t="str">
        <f t="shared" si="39"/>
        <v/>
      </c>
      <c r="AL188" s="139" t="str">
        <f t="shared" si="39"/>
        <v/>
      </c>
      <c r="AM188" s="139" t="str">
        <f t="shared" si="39"/>
        <v/>
      </c>
      <c r="AN188" s="139" t="str">
        <f t="shared" si="39"/>
        <v/>
      </c>
      <c r="AP188" s="82">
        <f t="shared" si="28"/>
        <v>0</v>
      </c>
      <c r="AQ188" s="82">
        <f t="shared" si="36"/>
        <v>0.99255399466484373</v>
      </c>
    </row>
    <row r="189" spans="2:43" x14ac:dyDescent="0.35">
      <c r="B189" s="83" t="s">
        <v>271</v>
      </c>
      <c r="D189" s="137">
        <v>32077</v>
      </c>
      <c r="E189" s="137">
        <v>40822</v>
      </c>
      <c r="F189" s="137">
        <v>58587</v>
      </c>
      <c r="G189" s="137">
        <v>67935</v>
      </c>
      <c r="H189" s="137">
        <f t="shared" si="29"/>
        <v>199421</v>
      </c>
      <c r="J189" s="137">
        <v>-44</v>
      </c>
      <c r="K189" s="137">
        <v>5967</v>
      </c>
      <c r="L189" s="137">
        <v>7861</v>
      </c>
      <c r="M189" s="137">
        <v>8650</v>
      </c>
      <c r="N189" s="137">
        <f t="shared" si="30"/>
        <v>22434</v>
      </c>
      <c r="P189" s="84">
        <f t="shared" si="31"/>
        <v>-1.3716993484428094E-3</v>
      </c>
      <c r="Q189" s="84">
        <f t="shared" si="32"/>
        <v>0.14617118220567341</v>
      </c>
      <c r="R189" s="84">
        <f t="shared" si="33"/>
        <v>0.13417652380220868</v>
      </c>
      <c r="S189" s="84">
        <f t="shared" si="34"/>
        <v>0.12732759255170384</v>
      </c>
      <c r="T189" s="84" t="str">
        <f>+IFERROR(#REF!/#REF!,"")</f>
        <v/>
      </c>
      <c r="U189" s="84" t="str">
        <f>+IFERROR(#REF!/#REF!,"")</f>
        <v/>
      </c>
      <c r="V189" s="84" t="str">
        <f>+IFERROR(#REF!/#REF!,"")</f>
        <v/>
      </c>
      <c r="W189" s="84" t="str">
        <f>+IFERROR(#REF!/#REF!,"")</f>
        <v/>
      </c>
      <c r="X189" s="84" t="str">
        <f>+IFERROR(#REF!/#REF!,"")</f>
        <v/>
      </c>
      <c r="Y189" s="84" t="str">
        <f>+IFERROR(#REF!/#REF!,"")</f>
        <v/>
      </c>
      <c r="Z189" s="84" t="str">
        <f>+IFERROR(#REF!/#REF!,"")</f>
        <v/>
      </c>
      <c r="AA189" s="84" t="str">
        <f>+IFERROR(#REF!/#REF!,"")</f>
        <v/>
      </c>
      <c r="AB189" s="84">
        <f t="shared" si="35"/>
        <v>0.11249567497906439</v>
      </c>
      <c r="AD189" s="139">
        <f t="shared" si="39"/>
        <v>0.14754288155411621</v>
      </c>
      <c r="AE189" s="139">
        <f t="shared" si="39"/>
        <v>-1.1994658403464725E-2</v>
      </c>
      <c r="AF189" s="139">
        <f t="shared" si="39"/>
        <v>-6.8489312505048416E-3</v>
      </c>
      <c r="AG189" s="139" t="str">
        <f t="shared" si="39"/>
        <v/>
      </c>
      <c r="AH189" s="139" t="str">
        <f t="shared" si="39"/>
        <v/>
      </c>
      <c r="AI189" s="139" t="str">
        <f t="shared" si="39"/>
        <v/>
      </c>
      <c r="AJ189" s="139" t="str">
        <f t="shared" si="39"/>
        <v/>
      </c>
      <c r="AK189" s="139" t="str">
        <f t="shared" si="39"/>
        <v/>
      </c>
      <c r="AL189" s="139" t="str">
        <f t="shared" si="39"/>
        <v/>
      </c>
      <c r="AM189" s="139" t="str">
        <f t="shared" si="39"/>
        <v/>
      </c>
      <c r="AN189" s="139" t="str">
        <f t="shared" si="39"/>
        <v/>
      </c>
      <c r="AP189" s="82">
        <f t="shared" si="28"/>
        <v>2.099986041748301E-5</v>
      </c>
      <c r="AQ189" s="82">
        <f t="shared" si="36"/>
        <v>0.99257499452526121</v>
      </c>
    </row>
    <row r="190" spans="2:43" x14ac:dyDescent="0.35">
      <c r="B190" s="83" t="s">
        <v>272</v>
      </c>
      <c r="D190" s="137"/>
      <c r="E190" s="137"/>
      <c r="F190" s="137">
        <v>657</v>
      </c>
      <c r="G190" s="137">
        <v>275</v>
      </c>
      <c r="H190" s="137">
        <f t="shared" si="29"/>
        <v>932</v>
      </c>
      <c r="J190" s="137"/>
      <c r="K190" s="137"/>
      <c r="L190" s="137">
        <v>382</v>
      </c>
      <c r="M190" s="137">
        <v>169</v>
      </c>
      <c r="N190" s="137">
        <f t="shared" si="30"/>
        <v>551</v>
      </c>
      <c r="P190" s="84" t="str">
        <f t="shared" si="31"/>
        <v/>
      </c>
      <c r="Q190" s="84" t="str">
        <f t="shared" si="32"/>
        <v/>
      </c>
      <c r="R190" s="84">
        <f t="shared" si="33"/>
        <v>0.58143074581430743</v>
      </c>
      <c r="S190" s="84">
        <f t="shared" si="34"/>
        <v>0.61454545454545451</v>
      </c>
      <c r="T190" s="84" t="str">
        <f>+IFERROR(#REF!/#REF!,"")</f>
        <v/>
      </c>
      <c r="U190" s="84" t="str">
        <f>+IFERROR(#REF!/#REF!,"")</f>
        <v/>
      </c>
      <c r="V190" s="84" t="str">
        <f>+IFERROR(#REF!/#REF!,"")</f>
        <v/>
      </c>
      <c r="W190" s="84" t="str">
        <f>+IFERROR(#REF!/#REF!,"")</f>
        <v/>
      </c>
      <c r="X190" s="84" t="str">
        <f>+IFERROR(#REF!/#REF!,"")</f>
        <v/>
      </c>
      <c r="Y190" s="84" t="str">
        <f>+IFERROR(#REF!/#REF!,"")</f>
        <v/>
      </c>
      <c r="Z190" s="84" t="str">
        <f>+IFERROR(#REF!/#REF!,"")</f>
        <v/>
      </c>
      <c r="AA190" s="84" t="str">
        <f>+IFERROR(#REF!/#REF!,"")</f>
        <v/>
      </c>
      <c r="AB190" s="84">
        <f t="shared" si="35"/>
        <v>0.59120171673819744</v>
      </c>
      <c r="AD190" s="139" t="str">
        <f t="shared" si="39"/>
        <v/>
      </c>
      <c r="AE190" s="139" t="str">
        <f t="shared" si="39"/>
        <v/>
      </c>
      <c r="AF190" s="139">
        <f t="shared" si="39"/>
        <v>3.311470873114708E-2</v>
      </c>
      <c r="AG190" s="139" t="str">
        <f t="shared" si="39"/>
        <v/>
      </c>
      <c r="AH190" s="139" t="str">
        <f t="shared" si="39"/>
        <v/>
      </c>
      <c r="AI190" s="139" t="str">
        <f t="shared" si="39"/>
        <v/>
      </c>
      <c r="AJ190" s="139" t="str">
        <f t="shared" si="39"/>
        <v/>
      </c>
      <c r="AK190" s="139" t="str">
        <f t="shared" si="39"/>
        <v/>
      </c>
      <c r="AL190" s="139" t="str">
        <f t="shared" si="39"/>
        <v/>
      </c>
      <c r="AM190" s="139" t="str">
        <f t="shared" si="39"/>
        <v/>
      </c>
      <c r="AN190" s="139" t="str">
        <f t="shared" si="39"/>
        <v/>
      </c>
      <c r="AP190" s="82">
        <f t="shared" si="28"/>
        <v>5.157761919422813E-7</v>
      </c>
      <c r="AQ190" s="82">
        <f t="shared" si="36"/>
        <v>0.99257551030145319</v>
      </c>
    </row>
    <row r="191" spans="2:43" x14ac:dyDescent="0.35">
      <c r="B191" s="83" t="s">
        <v>273</v>
      </c>
      <c r="D191" s="137">
        <v>22023</v>
      </c>
      <c r="E191" s="137">
        <v>5907</v>
      </c>
      <c r="F191" s="137">
        <v>4118</v>
      </c>
      <c r="G191" s="137">
        <v>14139</v>
      </c>
      <c r="H191" s="137">
        <f t="shared" si="29"/>
        <v>46187</v>
      </c>
      <c r="J191" s="137">
        <v>46</v>
      </c>
      <c r="K191" s="137">
        <v>2450</v>
      </c>
      <c r="L191" s="137">
        <v>1225</v>
      </c>
      <c r="M191" s="137">
        <v>1098</v>
      </c>
      <c r="N191" s="137">
        <f t="shared" si="30"/>
        <v>4819</v>
      </c>
      <c r="P191" s="84">
        <f t="shared" si="31"/>
        <v>2.0887254234209689E-3</v>
      </c>
      <c r="Q191" s="84">
        <f t="shared" si="32"/>
        <v>0.41476214660572203</v>
      </c>
      <c r="R191" s="84">
        <f t="shared" si="33"/>
        <v>0.29747450218552696</v>
      </c>
      <c r="S191" s="84">
        <f t="shared" si="34"/>
        <v>7.7657542966263524E-2</v>
      </c>
      <c r="T191" s="84" t="str">
        <f>+IFERROR(#REF!/#REF!,"")</f>
        <v/>
      </c>
      <c r="U191" s="84" t="str">
        <f>+IFERROR(#REF!/#REF!,"")</f>
        <v/>
      </c>
      <c r="V191" s="84" t="str">
        <f>+IFERROR(#REF!/#REF!,"")</f>
        <v/>
      </c>
      <c r="W191" s="84" t="str">
        <f>+IFERROR(#REF!/#REF!,"")</f>
        <v/>
      </c>
      <c r="X191" s="84" t="str">
        <f>+IFERROR(#REF!/#REF!,"")</f>
        <v/>
      </c>
      <c r="Y191" s="84" t="str">
        <f>+IFERROR(#REF!/#REF!,"")</f>
        <v/>
      </c>
      <c r="Z191" s="84" t="str">
        <f>+IFERROR(#REF!/#REF!,"")</f>
        <v/>
      </c>
      <c r="AA191" s="84" t="str">
        <f>+IFERROR(#REF!/#REF!,"")</f>
        <v/>
      </c>
      <c r="AB191" s="84">
        <f t="shared" si="35"/>
        <v>0.10433671812414749</v>
      </c>
      <c r="AD191" s="139">
        <f t="shared" si="39"/>
        <v>0.41267342118230105</v>
      </c>
      <c r="AE191" s="139">
        <f t="shared" si="39"/>
        <v>-0.11728764442019507</v>
      </c>
      <c r="AF191" s="139">
        <f t="shared" si="39"/>
        <v>-0.21981695921926342</v>
      </c>
      <c r="AG191" s="139" t="str">
        <f t="shared" si="39"/>
        <v/>
      </c>
      <c r="AH191" s="139" t="str">
        <f t="shared" si="39"/>
        <v/>
      </c>
      <c r="AI191" s="139" t="str">
        <f t="shared" si="39"/>
        <v/>
      </c>
      <c r="AJ191" s="139" t="str">
        <f t="shared" si="39"/>
        <v/>
      </c>
      <c r="AK191" s="139" t="str">
        <f t="shared" si="39"/>
        <v/>
      </c>
      <c r="AL191" s="139" t="str">
        <f t="shared" si="39"/>
        <v/>
      </c>
      <c r="AM191" s="139" t="str">
        <f t="shared" si="39"/>
        <v/>
      </c>
      <c r="AN191" s="139" t="str">
        <f t="shared" si="39"/>
        <v/>
      </c>
      <c r="AP191" s="82">
        <f t="shared" si="28"/>
        <v>4.5109355153717853E-6</v>
      </c>
      <c r="AQ191" s="82">
        <f t="shared" si="36"/>
        <v>0.99258002123696853</v>
      </c>
    </row>
    <row r="192" spans="2:43" x14ac:dyDescent="0.35">
      <c r="B192" s="83" t="s">
        <v>274</v>
      </c>
      <c r="D192" s="137"/>
      <c r="E192" s="137"/>
      <c r="F192" s="137"/>
      <c r="G192" s="137"/>
      <c r="H192" s="137">
        <f t="shared" si="29"/>
        <v>0</v>
      </c>
      <c r="J192" s="137"/>
      <c r="K192" s="137"/>
      <c r="L192" s="137"/>
      <c r="M192" s="137"/>
      <c r="N192" s="137">
        <f t="shared" si="30"/>
        <v>0</v>
      </c>
      <c r="P192" s="84" t="str">
        <f t="shared" si="31"/>
        <v/>
      </c>
      <c r="Q192" s="84" t="str">
        <f t="shared" si="32"/>
        <v/>
      </c>
      <c r="R192" s="84" t="str">
        <f t="shared" si="33"/>
        <v/>
      </c>
      <c r="S192" s="84" t="str">
        <f t="shared" si="34"/>
        <v/>
      </c>
      <c r="T192" s="84" t="str">
        <f>+IFERROR(#REF!/#REF!,"")</f>
        <v/>
      </c>
      <c r="U192" s="84" t="str">
        <f>+IFERROR(#REF!/#REF!,"")</f>
        <v/>
      </c>
      <c r="V192" s="84" t="str">
        <f>+IFERROR(#REF!/#REF!,"")</f>
        <v/>
      </c>
      <c r="W192" s="84" t="str">
        <f>+IFERROR(#REF!/#REF!,"")</f>
        <v/>
      </c>
      <c r="X192" s="84" t="str">
        <f>+IFERROR(#REF!/#REF!,"")</f>
        <v/>
      </c>
      <c r="Y192" s="84" t="str">
        <f>+IFERROR(#REF!/#REF!,"")</f>
        <v/>
      </c>
      <c r="Z192" s="84" t="str">
        <f>+IFERROR(#REF!/#REF!,"")</f>
        <v/>
      </c>
      <c r="AA192" s="84" t="str">
        <f>+IFERROR(#REF!/#REF!,"")</f>
        <v/>
      </c>
      <c r="AB192" s="84" t="str">
        <f t="shared" si="35"/>
        <v/>
      </c>
      <c r="AD192" s="139" t="str">
        <f t="shared" si="39"/>
        <v/>
      </c>
      <c r="AE192" s="139" t="str">
        <f t="shared" si="39"/>
        <v/>
      </c>
      <c r="AF192" s="139" t="str">
        <f t="shared" si="39"/>
        <v/>
      </c>
      <c r="AG192" s="139" t="str">
        <f t="shared" si="39"/>
        <v/>
      </c>
      <c r="AH192" s="139" t="str">
        <f t="shared" si="39"/>
        <v/>
      </c>
      <c r="AI192" s="139" t="str">
        <f t="shared" si="39"/>
        <v/>
      </c>
      <c r="AJ192" s="139" t="str">
        <f t="shared" si="39"/>
        <v/>
      </c>
      <c r="AK192" s="139" t="str">
        <f t="shared" si="39"/>
        <v/>
      </c>
      <c r="AL192" s="139" t="str">
        <f t="shared" si="39"/>
        <v/>
      </c>
      <c r="AM192" s="139" t="str">
        <f t="shared" si="39"/>
        <v/>
      </c>
      <c r="AN192" s="139" t="str">
        <f t="shared" si="39"/>
        <v/>
      </c>
      <c r="AP192" s="82">
        <f t="shared" si="28"/>
        <v>0</v>
      </c>
      <c r="AQ192" s="82">
        <f t="shared" si="36"/>
        <v>0.99258002123696853</v>
      </c>
    </row>
    <row r="193" spans="2:43" x14ac:dyDescent="0.35">
      <c r="B193" s="83" t="s">
        <v>275</v>
      </c>
      <c r="D193" s="137">
        <v>36693</v>
      </c>
      <c r="E193" s="137">
        <v>40306</v>
      </c>
      <c r="F193" s="137">
        <v>37694</v>
      </c>
      <c r="G193" s="137">
        <v>37102</v>
      </c>
      <c r="H193" s="137">
        <f t="shared" si="29"/>
        <v>151795</v>
      </c>
      <c r="J193" s="137">
        <v>8643</v>
      </c>
      <c r="K193" s="137">
        <v>7424</v>
      </c>
      <c r="L193" s="137">
        <v>7104</v>
      </c>
      <c r="M193" s="137">
        <v>7783</v>
      </c>
      <c r="N193" s="137">
        <f t="shared" si="30"/>
        <v>30954</v>
      </c>
      <c r="P193" s="84">
        <f t="shared" si="31"/>
        <v>0.23554901479846294</v>
      </c>
      <c r="Q193" s="84">
        <f t="shared" si="32"/>
        <v>0.18419093931424602</v>
      </c>
      <c r="R193" s="84">
        <f t="shared" si="33"/>
        <v>0.18846500769353214</v>
      </c>
      <c r="S193" s="84">
        <f t="shared" si="34"/>
        <v>0.20977305805616947</v>
      </c>
      <c r="T193" s="84" t="str">
        <f>+IFERROR(#REF!/#REF!,"")</f>
        <v/>
      </c>
      <c r="U193" s="84" t="str">
        <f>+IFERROR(#REF!/#REF!,"")</f>
        <v/>
      </c>
      <c r="V193" s="84" t="str">
        <f>+IFERROR(#REF!/#REF!,"")</f>
        <v/>
      </c>
      <c r="W193" s="84" t="str">
        <f>+IFERROR(#REF!/#REF!,"")</f>
        <v/>
      </c>
      <c r="X193" s="84" t="str">
        <f>+IFERROR(#REF!/#REF!,"")</f>
        <v/>
      </c>
      <c r="Y193" s="84" t="str">
        <f>+IFERROR(#REF!/#REF!,"")</f>
        <v/>
      </c>
      <c r="Z193" s="84" t="str">
        <f>+IFERROR(#REF!/#REF!,"")</f>
        <v/>
      </c>
      <c r="AA193" s="84" t="str">
        <f>+IFERROR(#REF!/#REF!,"")</f>
        <v/>
      </c>
      <c r="AB193" s="84">
        <f t="shared" si="35"/>
        <v>0.20391976020290523</v>
      </c>
      <c r="AD193" s="139">
        <f t="shared" si="39"/>
        <v>-5.135807548421692E-2</v>
      </c>
      <c r="AE193" s="139">
        <f t="shared" si="39"/>
        <v>4.2740683792861223E-3</v>
      </c>
      <c r="AF193" s="139">
        <f t="shared" si="39"/>
        <v>2.1308050362637332E-2</v>
      </c>
      <c r="AG193" s="139" t="str">
        <f t="shared" si="39"/>
        <v/>
      </c>
      <c r="AH193" s="139" t="str">
        <f t="shared" si="39"/>
        <v/>
      </c>
      <c r="AI193" s="139" t="str">
        <f t="shared" si="39"/>
        <v/>
      </c>
      <c r="AJ193" s="139" t="str">
        <f t="shared" si="39"/>
        <v/>
      </c>
      <c r="AK193" s="139" t="str">
        <f t="shared" si="39"/>
        <v/>
      </c>
      <c r="AL193" s="139" t="str">
        <f t="shared" si="39"/>
        <v/>
      </c>
      <c r="AM193" s="139" t="str">
        <f t="shared" si="39"/>
        <v/>
      </c>
      <c r="AN193" s="139" t="str">
        <f t="shared" si="39"/>
        <v/>
      </c>
      <c r="AP193" s="82">
        <f t="shared" si="28"/>
        <v>2.8975201897243874E-5</v>
      </c>
      <c r="AQ193" s="82">
        <f t="shared" si="36"/>
        <v>0.9926089964388658</v>
      </c>
    </row>
    <row r="194" spans="2:43" x14ac:dyDescent="0.35">
      <c r="B194" s="83" t="s">
        <v>276</v>
      </c>
      <c r="D194" s="137">
        <v>29738</v>
      </c>
      <c r="E194" s="137">
        <v>22869</v>
      </c>
      <c r="F194" s="137">
        <v>22194</v>
      </c>
      <c r="G194" s="137">
        <v>44373</v>
      </c>
      <c r="H194" s="137">
        <f t="shared" si="29"/>
        <v>119174</v>
      </c>
      <c r="J194" s="137">
        <v>23080</v>
      </c>
      <c r="K194" s="137">
        <v>18565</v>
      </c>
      <c r="L194" s="137">
        <v>10280</v>
      </c>
      <c r="M194" s="137">
        <v>29441</v>
      </c>
      <c r="N194" s="137">
        <f t="shared" si="30"/>
        <v>81366</v>
      </c>
      <c r="P194" s="84">
        <f t="shared" si="31"/>
        <v>0.77611137265451613</v>
      </c>
      <c r="Q194" s="84">
        <f t="shared" si="32"/>
        <v>0.81179762997944815</v>
      </c>
      <c r="R194" s="84">
        <f t="shared" si="33"/>
        <v>0.46318824907632694</v>
      </c>
      <c r="S194" s="84">
        <f t="shared" si="34"/>
        <v>0.66348905866179886</v>
      </c>
      <c r="T194" s="84" t="str">
        <f>+IFERROR(#REF!/#REF!,"")</f>
        <v/>
      </c>
      <c r="U194" s="84" t="str">
        <f>+IFERROR(#REF!/#REF!,"")</f>
        <v/>
      </c>
      <c r="V194" s="84" t="str">
        <f>+IFERROR(#REF!/#REF!,"")</f>
        <v/>
      </c>
      <c r="W194" s="84" t="str">
        <f>+IFERROR(#REF!/#REF!,"")</f>
        <v/>
      </c>
      <c r="X194" s="84" t="str">
        <f>+IFERROR(#REF!/#REF!,"")</f>
        <v/>
      </c>
      <c r="Y194" s="84" t="str">
        <f>+IFERROR(#REF!/#REF!,"")</f>
        <v/>
      </c>
      <c r="Z194" s="84" t="str">
        <f>+IFERROR(#REF!/#REF!,"")</f>
        <v/>
      </c>
      <c r="AA194" s="84" t="str">
        <f>+IFERROR(#REF!/#REF!,"")</f>
        <v/>
      </c>
      <c r="AB194" s="84">
        <f t="shared" si="35"/>
        <v>0.68274959303203719</v>
      </c>
      <c r="AD194" s="139">
        <f t="shared" si="39"/>
        <v>3.5686257324932025E-2</v>
      </c>
      <c r="AE194" s="139">
        <f t="shared" si="39"/>
        <v>-0.34860938090312121</v>
      </c>
      <c r="AF194" s="139">
        <f t="shared" si="39"/>
        <v>0.20030080958547192</v>
      </c>
      <c r="AG194" s="139" t="str">
        <f t="shared" si="39"/>
        <v/>
      </c>
      <c r="AH194" s="139" t="str">
        <f t="shared" si="39"/>
        <v/>
      </c>
      <c r="AI194" s="139" t="str">
        <f t="shared" si="39"/>
        <v/>
      </c>
      <c r="AJ194" s="139" t="str">
        <f t="shared" si="39"/>
        <v/>
      </c>
      <c r="AK194" s="139" t="str">
        <f t="shared" si="39"/>
        <v/>
      </c>
      <c r="AL194" s="139" t="str">
        <f t="shared" si="39"/>
        <v/>
      </c>
      <c r="AM194" s="139" t="str">
        <f t="shared" si="39"/>
        <v/>
      </c>
      <c r="AN194" s="139" t="str">
        <f t="shared" si="39"/>
        <v/>
      </c>
      <c r="AP194" s="82">
        <f t="shared" si="28"/>
        <v>7.6164511131716255E-5</v>
      </c>
      <c r="AQ194" s="82">
        <f t="shared" si="36"/>
        <v>0.99268516094999748</v>
      </c>
    </row>
    <row r="195" spans="2:43" x14ac:dyDescent="0.35">
      <c r="B195" s="83" t="s">
        <v>277</v>
      </c>
      <c r="D195" s="137"/>
      <c r="E195" s="137"/>
      <c r="F195" s="137"/>
      <c r="G195" s="137"/>
      <c r="H195" s="137">
        <f t="shared" si="29"/>
        <v>0</v>
      </c>
      <c r="J195" s="137"/>
      <c r="K195" s="137"/>
      <c r="L195" s="137"/>
      <c r="M195" s="137"/>
      <c r="N195" s="137">
        <f t="shared" si="30"/>
        <v>0</v>
      </c>
      <c r="P195" s="84" t="str">
        <f t="shared" si="31"/>
        <v/>
      </c>
      <c r="Q195" s="84" t="str">
        <f t="shared" si="32"/>
        <v/>
      </c>
      <c r="R195" s="84" t="str">
        <f t="shared" si="33"/>
        <v/>
      </c>
      <c r="S195" s="84" t="str">
        <f t="shared" si="34"/>
        <v/>
      </c>
      <c r="T195" s="84" t="str">
        <f>+IFERROR(#REF!/#REF!,"")</f>
        <v/>
      </c>
      <c r="U195" s="84" t="str">
        <f>+IFERROR(#REF!/#REF!,"")</f>
        <v/>
      </c>
      <c r="V195" s="84" t="str">
        <f>+IFERROR(#REF!/#REF!,"")</f>
        <v/>
      </c>
      <c r="W195" s="84" t="str">
        <f>+IFERROR(#REF!/#REF!,"")</f>
        <v/>
      </c>
      <c r="X195" s="84" t="str">
        <f>+IFERROR(#REF!/#REF!,"")</f>
        <v/>
      </c>
      <c r="Y195" s="84" t="str">
        <f>+IFERROR(#REF!/#REF!,"")</f>
        <v/>
      </c>
      <c r="Z195" s="84" t="str">
        <f>+IFERROR(#REF!/#REF!,"")</f>
        <v/>
      </c>
      <c r="AA195" s="84" t="str">
        <f>+IFERROR(#REF!/#REF!,"")</f>
        <v/>
      </c>
      <c r="AB195" s="84" t="str">
        <f t="shared" si="35"/>
        <v/>
      </c>
      <c r="AD195" s="139" t="str">
        <f t="shared" si="39"/>
        <v/>
      </c>
      <c r="AE195" s="139" t="str">
        <f t="shared" si="39"/>
        <v/>
      </c>
      <c r="AF195" s="139" t="str">
        <f t="shared" si="39"/>
        <v/>
      </c>
      <c r="AG195" s="139" t="str">
        <f t="shared" si="39"/>
        <v/>
      </c>
      <c r="AH195" s="139" t="str">
        <f t="shared" si="39"/>
        <v/>
      </c>
      <c r="AI195" s="139" t="str">
        <f t="shared" si="39"/>
        <v/>
      </c>
      <c r="AJ195" s="139" t="str">
        <f t="shared" si="39"/>
        <v/>
      </c>
      <c r="AK195" s="139" t="str">
        <f t="shared" si="39"/>
        <v/>
      </c>
      <c r="AL195" s="139" t="str">
        <f t="shared" si="39"/>
        <v/>
      </c>
      <c r="AM195" s="139" t="str">
        <f t="shared" si="39"/>
        <v/>
      </c>
      <c r="AN195" s="139" t="str">
        <f t="shared" si="39"/>
        <v/>
      </c>
      <c r="AP195" s="82">
        <f t="shared" si="28"/>
        <v>0</v>
      </c>
      <c r="AQ195" s="82">
        <f t="shared" si="36"/>
        <v>0.99268516094999748</v>
      </c>
    </row>
    <row r="196" spans="2:43" x14ac:dyDescent="0.35">
      <c r="B196" s="83" t="s">
        <v>278</v>
      </c>
      <c r="D196" s="137">
        <v>7671</v>
      </c>
      <c r="E196" s="137"/>
      <c r="F196" s="137"/>
      <c r="G196" s="137"/>
      <c r="H196" s="137">
        <f t="shared" si="29"/>
        <v>7671</v>
      </c>
      <c r="J196" s="137">
        <v>2841</v>
      </c>
      <c r="K196" s="137"/>
      <c r="L196" s="137"/>
      <c r="M196" s="137"/>
      <c r="N196" s="137">
        <f t="shared" si="30"/>
        <v>2841</v>
      </c>
      <c r="P196" s="84">
        <f t="shared" si="31"/>
        <v>0.37035588580367618</v>
      </c>
      <c r="Q196" s="84" t="str">
        <f t="shared" si="32"/>
        <v/>
      </c>
      <c r="R196" s="84" t="str">
        <f t="shared" si="33"/>
        <v/>
      </c>
      <c r="S196" s="84" t="str">
        <f t="shared" si="34"/>
        <v/>
      </c>
      <c r="T196" s="84" t="str">
        <f>+IFERROR(#REF!/#REF!,"")</f>
        <v/>
      </c>
      <c r="U196" s="84" t="str">
        <f>+IFERROR(#REF!/#REF!,"")</f>
        <v/>
      </c>
      <c r="V196" s="84" t="str">
        <f>+IFERROR(#REF!/#REF!,"")</f>
        <v/>
      </c>
      <c r="W196" s="84" t="str">
        <f>+IFERROR(#REF!/#REF!,"")</f>
        <v/>
      </c>
      <c r="X196" s="84" t="str">
        <f>+IFERROR(#REF!/#REF!,"")</f>
        <v/>
      </c>
      <c r="Y196" s="84" t="str">
        <f>+IFERROR(#REF!/#REF!,"")</f>
        <v/>
      </c>
      <c r="Z196" s="84" t="str">
        <f>+IFERROR(#REF!/#REF!,"")</f>
        <v/>
      </c>
      <c r="AA196" s="84" t="str">
        <f>+IFERROR(#REF!/#REF!,"")</f>
        <v/>
      </c>
      <c r="AB196" s="84">
        <f t="shared" si="35"/>
        <v>0.37035588580367618</v>
      </c>
      <c r="AD196" s="139" t="str">
        <f t="shared" si="39"/>
        <v/>
      </c>
      <c r="AE196" s="139" t="str">
        <f t="shared" si="39"/>
        <v/>
      </c>
      <c r="AF196" s="139" t="str">
        <f t="shared" si="39"/>
        <v/>
      </c>
      <c r="AG196" s="139" t="str">
        <f t="shared" si="39"/>
        <v/>
      </c>
      <c r="AH196" s="139" t="str">
        <f t="shared" si="39"/>
        <v/>
      </c>
      <c r="AI196" s="139" t="str">
        <f t="shared" si="39"/>
        <v/>
      </c>
      <c r="AJ196" s="139" t="str">
        <f t="shared" si="39"/>
        <v/>
      </c>
      <c r="AK196" s="139" t="str">
        <f t="shared" si="39"/>
        <v/>
      </c>
      <c r="AL196" s="139" t="str">
        <f t="shared" si="39"/>
        <v/>
      </c>
      <c r="AM196" s="139" t="str">
        <f t="shared" si="39"/>
        <v/>
      </c>
      <c r="AN196" s="139" t="str">
        <f t="shared" si="39"/>
        <v/>
      </c>
      <c r="AP196" s="82">
        <f t="shared" ref="AP196:AP234" si="40">+N196/$N$235</f>
        <v>2.6593832328639224E-6</v>
      </c>
      <c r="AQ196" s="82">
        <f t="shared" si="36"/>
        <v>0.99268782033323033</v>
      </c>
    </row>
    <row r="197" spans="2:43" x14ac:dyDescent="0.35">
      <c r="B197" s="83" t="s">
        <v>279</v>
      </c>
      <c r="D197" s="137">
        <v>262899</v>
      </c>
      <c r="E197" s="137">
        <v>282473</v>
      </c>
      <c r="F197" s="137">
        <v>361024</v>
      </c>
      <c r="G197" s="137">
        <v>287305</v>
      </c>
      <c r="H197" s="137">
        <f t="shared" ref="H197:H260" si="41">+SUM(D197:G197)</f>
        <v>1193701</v>
      </c>
      <c r="J197" s="137">
        <v>23941</v>
      </c>
      <c r="K197" s="137">
        <v>67483</v>
      </c>
      <c r="L197" s="137">
        <v>57565</v>
      </c>
      <c r="M197" s="137">
        <v>25609</v>
      </c>
      <c r="N197" s="137">
        <f t="shared" ref="N197:N260" si="42">+SUM(J197:M197)</f>
        <v>174598</v>
      </c>
      <c r="P197" s="84">
        <f t="shared" ref="P197:P235" si="43">+IFERROR(J197/D197,"")</f>
        <v>9.1065390130810692E-2</v>
      </c>
      <c r="Q197" s="84">
        <f t="shared" ref="Q197:Q235" si="44">+IFERROR(K197/E197,"")</f>
        <v>0.23890070909432051</v>
      </c>
      <c r="R197" s="84">
        <f t="shared" ref="R197:R235" si="45">+IFERROR(L197/F197,"")</f>
        <v>0.1594492332919695</v>
      </c>
      <c r="S197" s="84">
        <f t="shared" ref="S197:S235" si="46">+IFERROR(M197/G197,"")</f>
        <v>8.9135239553784301E-2</v>
      </c>
      <c r="T197" s="84" t="str">
        <f>+IFERROR(#REF!/#REF!,"")</f>
        <v/>
      </c>
      <c r="U197" s="84" t="str">
        <f>+IFERROR(#REF!/#REF!,"")</f>
        <v/>
      </c>
      <c r="V197" s="84" t="str">
        <f>+IFERROR(#REF!/#REF!,"")</f>
        <v/>
      </c>
      <c r="W197" s="84" t="str">
        <f>+IFERROR(#REF!/#REF!,"")</f>
        <v/>
      </c>
      <c r="X197" s="84" t="str">
        <f>+IFERROR(#REF!/#REF!,"")</f>
        <v/>
      </c>
      <c r="Y197" s="84" t="str">
        <f>+IFERROR(#REF!/#REF!,"")</f>
        <v/>
      </c>
      <c r="Z197" s="84" t="str">
        <f>+IFERROR(#REF!/#REF!,"")</f>
        <v/>
      </c>
      <c r="AA197" s="84" t="str">
        <f>+IFERROR(#REF!/#REF!,"")</f>
        <v/>
      </c>
      <c r="AB197" s="84">
        <f t="shared" ref="AB197:AB235" si="47">+IFERROR(N197/H197,"")</f>
        <v>0.14626610851461128</v>
      </c>
      <c r="AD197" s="139">
        <f t="shared" si="39"/>
        <v>0.14783531896350982</v>
      </c>
      <c r="AE197" s="139">
        <f t="shared" si="39"/>
        <v>-7.9451475802351013E-2</v>
      </c>
      <c r="AF197" s="139">
        <f t="shared" si="39"/>
        <v>-7.0313993738185199E-2</v>
      </c>
      <c r="AG197" s="139" t="str">
        <f t="shared" si="39"/>
        <v/>
      </c>
      <c r="AH197" s="139" t="str">
        <f t="shared" si="39"/>
        <v/>
      </c>
      <c r="AI197" s="139" t="str">
        <f t="shared" si="39"/>
        <v/>
      </c>
      <c r="AJ197" s="139" t="str">
        <f t="shared" si="39"/>
        <v/>
      </c>
      <c r="AK197" s="139" t="str">
        <f t="shared" si="39"/>
        <v/>
      </c>
      <c r="AL197" s="139" t="str">
        <f t="shared" si="39"/>
        <v/>
      </c>
      <c r="AM197" s="139" t="str">
        <f t="shared" si="39"/>
        <v/>
      </c>
      <c r="AN197" s="139" t="str">
        <f t="shared" si="39"/>
        <v/>
      </c>
      <c r="AP197" s="82">
        <f t="shared" si="40"/>
        <v>1.6343646381259243E-4</v>
      </c>
      <c r="AQ197" s="82">
        <f t="shared" si="36"/>
        <v>0.99285125679704289</v>
      </c>
    </row>
    <row r="198" spans="2:43" x14ac:dyDescent="0.35">
      <c r="B198" s="83" t="s">
        <v>280</v>
      </c>
      <c r="D198" s="137"/>
      <c r="E198" s="137">
        <v>4914</v>
      </c>
      <c r="F198" s="137">
        <v>1125</v>
      </c>
      <c r="G198" s="137">
        <v>18295</v>
      </c>
      <c r="H198" s="137">
        <f t="shared" si="41"/>
        <v>24334</v>
      </c>
      <c r="J198" s="137"/>
      <c r="K198" s="137">
        <v>461</v>
      </c>
      <c r="L198" s="137">
        <v>475</v>
      </c>
      <c r="M198" s="137">
        <v>2</v>
      </c>
      <c r="N198" s="137">
        <f t="shared" si="42"/>
        <v>938</v>
      </c>
      <c r="P198" s="84" t="str">
        <f t="shared" si="43"/>
        <v/>
      </c>
      <c r="Q198" s="84">
        <f t="shared" si="44"/>
        <v>9.3813593813593818E-2</v>
      </c>
      <c r="R198" s="84">
        <f t="shared" si="45"/>
        <v>0.42222222222222222</v>
      </c>
      <c r="S198" s="84">
        <f t="shared" si="46"/>
        <v>1.0931948619841486E-4</v>
      </c>
      <c r="T198" s="84" t="str">
        <f>+IFERROR(#REF!/#REF!,"")</f>
        <v/>
      </c>
      <c r="U198" s="84" t="str">
        <f>+IFERROR(#REF!/#REF!,"")</f>
        <v/>
      </c>
      <c r="V198" s="84" t="str">
        <f>+IFERROR(#REF!/#REF!,"")</f>
        <v/>
      </c>
      <c r="W198" s="84" t="str">
        <f>+IFERROR(#REF!/#REF!,"")</f>
        <v/>
      </c>
      <c r="X198" s="84" t="str">
        <f>+IFERROR(#REF!/#REF!,"")</f>
        <v/>
      </c>
      <c r="Y198" s="84" t="str">
        <f>+IFERROR(#REF!/#REF!,"")</f>
        <v/>
      </c>
      <c r="Z198" s="84" t="str">
        <f>+IFERROR(#REF!/#REF!,"")</f>
        <v/>
      </c>
      <c r="AA198" s="84" t="str">
        <f>+IFERROR(#REF!/#REF!,"")</f>
        <v/>
      </c>
      <c r="AB198" s="84">
        <f t="shared" si="47"/>
        <v>3.8546889126325305E-2</v>
      </c>
      <c r="AD198" s="139" t="str">
        <f t="shared" si="39"/>
        <v/>
      </c>
      <c r="AE198" s="139">
        <f t="shared" si="39"/>
        <v>0.32840862840862839</v>
      </c>
      <c r="AF198" s="139">
        <f t="shared" si="39"/>
        <v>-0.42211290273602381</v>
      </c>
      <c r="AG198" s="139" t="str">
        <f t="shared" si="39"/>
        <v/>
      </c>
      <c r="AH198" s="139" t="str">
        <f t="shared" si="39"/>
        <v/>
      </c>
      <c r="AI198" s="139" t="str">
        <f t="shared" si="39"/>
        <v/>
      </c>
      <c r="AJ198" s="139" t="str">
        <f t="shared" si="39"/>
        <v/>
      </c>
      <c r="AK198" s="139" t="str">
        <f t="shared" si="39"/>
        <v/>
      </c>
      <c r="AL198" s="139" t="str">
        <f t="shared" si="39"/>
        <v/>
      </c>
      <c r="AM198" s="139" t="str">
        <f t="shared" si="39"/>
        <v/>
      </c>
      <c r="AN198" s="139" t="str">
        <f t="shared" si="39"/>
        <v/>
      </c>
      <c r="AP198" s="82">
        <f t="shared" si="40"/>
        <v>8.7803642112860224E-7</v>
      </c>
      <c r="AQ198" s="82">
        <f t="shared" ref="AQ198:AQ234" si="48">+AP198+AQ197</f>
        <v>0.99285213483346402</v>
      </c>
    </row>
    <row r="199" spans="2:43" x14ac:dyDescent="0.35">
      <c r="B199" s="83" t="s">
        <v>281</v>
      </c>
      <c r="D199" s="137">
        <v>98688</v>
      </c>
      <c r="E199" s="137">
        <v>54361</v>
      </c>
      <c r="F199" s="137">
        <v>63785</v>
      </c>
      <c r="G199" s="137">
        <v>77239</v>
      </c>
      <c r="H199" s="137">
        <f t="shared" si="41"/>
        <v>294073</v>
      </c>
      <c r="J199" s="137">
        <v>7376</v>
      </c>
      <c r="K199" s="137">
        <v>5901</v>
      </c>
      <c r="L199" s="137">
        <v>5345</v>
      </c>
      <c r="M199" s="137">
        <v>2341</v>
      </c>
      <c r="N199" s="137">
        <f t="shared" si="42"/>
        <v>20963</v>
      </c>
      <c r="P199" s="84">
        <f t="shared" si="43"/>
        <v>7.4740596627756159E-2</v>
      </c>
      <c r="Q199" s="84">
        <f t="shared" si="44"/>
        <v>0.10855208697411747</v>
      </c>
      <c r="R199" s="84">
        <f t="shared" si="45"/>
        <v>8.3797130986909149E-2</v>
      </c>
      <c r="S199" s="84">
        <f t="shared" si="46"/>
        <v>3.030852289646422E-2</v>
      </c>
      <c r="T199" s="84" t="str">
        <f>+IFERROR(#REF!/#REF!,"")</f>
        <v/>
      </c>
      <c r="U199" s="84" t="str">
        <f>+IFERROR(#REF!/#REF!,"")</f>
        <v/>
      </c>
      <c r="V199" s="84" t="str">
        <f>+IFERROR(#REF!/#REF!,"")</f>
        <v/>
      </c>
      <c r="W199" s="84" t="str">
        <f>+IFERROR(#REF!/#REF!,"")</f>
        <v/>
      </c>
      <c r="X199" s="84" t="str">
        <f>+IFERROR(#REF!/#REF!,"")</f>
        <v/>
      </c>
      <c r="Y199" s="84" t="str">
        <f>+IFERROR(#REF!/#REF!,"")</f>
        <v/>
      </c>
      <c r="Z199" s="84" t="str">
        <f>+IFERROR(#REF!/#REF!,"")</f>
        <v/>
      </c>
      <c r="AA199" s="84" t="str">
        <f>+IFERROR(#REF!/#REF!,"")</f>
        <v/>
      </c>
      <c r="AB199" s="84">
        <f t="shared" si="47"/>
        <v>7.1285021066197843E-2</v>
      </c>
      <c r="AD199" s="139">
        <f t="shared" si="39"/>
        <v>3.3811490346361314E-2</v>
      </c>
      <c r="AE199" s="139">
        <f t="shared" si="39"/>
        <v>-2.4754955987208324E-2</v>
      </c>
      <c r="AF199" s="139">
        <f t="shared" si="39"/>
        <v>-5.3488608090444929E-2</v>
      </c>
      <c r="AG199" s="139" t="str">
        <f t="shared" si="39"/>
        <v/>
      </c>
      <c r="AH199" s="139" t="str">
        <f t="shared" si="39"/>
        <v/>
      </c>
      <c r="AI199" s="139" t="str">
        <f t="shared" si="39"/>
        <v/>
      </c>
      <c r="AJ199" s="139" t="str">
        <f t="shared" si="39"/>
        <v/>
      </c>
      <c r="AK199" s="139" t="str">
        <f t="shared" si="39"/>
        <v/>
      </c>
      <c r="AL199" s="139" t="str">
        <f t="shared" si="39"/>
        <v/>
      </c>
      <c r="AM199" s="139" t="str">
        <f t="shared" si="39"/>
        <v/>
      </c>
      <c r="AN199" s="139" t="str">
        <f t="shared" si="39"/>
        <v/>
      </c>
      <c r="AP199" s="82">
        <f t="shared" si="40"/>
        <v>1.9622897117397537E-5</v>
      </c>
      <c r="AQ199" s="82">
        <f t="shared" si="48"/>
        <v>0.99287175773058145</v>
      </c>
    </row>
    <row r="200" spans="2:43" x14ac:dyDescent="0.35">
      <c r="B200" s="83" t="s">
        <v>282</v>
      </c>
      <c r="D200" s="137">
        <v>212737</v>
      </c>
      <c r="E200" s="137">
        <v>239832</v>
      </c>
      <c r="F200" s="137">
        <v>249468</v>
      </c>
      <c r="G200" s="137">
        <v>212743</v>
      </c>
      <c r="H200" s="137">
        <f t="shared" si="41"/>
        <v>914780</v>
      </c>
      <c r="J200" s="137">
        <v>41297</v>
      </c>
      <c r="K200" s="137">
        <v>43573</v>
      </c>
      <c r="L200" s="137">
        <v>47911</v>
      </c>
      <c r="M200" s="137">
        <v>35101</v>
      </c>
      <c r="N200" s="137">
        <f t="shared" si="42"/>
        <v>167882</v>
      </c>
      <c r="P200" s="84">
        <f t="shared" si="43"/>
        <v>0.19412232004775851</v>
      </c>
      <c r="Q200" s="84">
        <f t="shared" si="44"/>
        <v>0.18168134360719171</v>
      </c>
      <c r="R200" s="84">
        <f t="shared" si="45"/>
        <v>0.19205268812032003</v>
      </c>
      <c r="S200" s="84">
        <f t="shared" si="46"/>
        <v>0.16499250269104038</v>
      </c>
      <c r="T200" s="84" t="str">
        <f>+IFERROR(#REF!/#REF!,"")</f>
        <v/>
      </c>
      <c r="U200" s="84" t="str">
        <f>+IFERROR(#REF!/#REF!,"")</f>
        <v/>
      </c>
      <c r="V200" s="84" t="str">
        <f>+IFERROR(#REF!/#REF!,"")</f>
        <v/>
      </c>
      <c r="W200" s="84" t="str">
        <f>+IFERROR(#REF!/#REF!,"")</f>
        <v/>
      </c>
      <c r="X200" s="84" t="str">
        <f>+IFERROR(#REF!/#REF!,"")</f>
        <v/>
      </c>
      <c r="Y200" s="84" t="str">
        <f>+IFERROR(#REF!/#REF!,"")</f>
        <v/>
      </c>
      <c r="Z200" s="84" t="str">
        <f>+IFERROR(#REF!/#REF!,"")</f>
        <v/>
      </c>
      <c r="AA200" s="84" t="str">
        <f>+IFERROR(#REF!/#REF!,"")</f>
        <v/>
      </c>
      <c r="AB200" s="84">
        <f t="shared" si="47"/>
        <v>0.18352172106954678</v>
      </c>
      <c r="AD200" s="139">
        <f t="shared" si="39"/>
        <v>-1.2440976440566798E-2</v>
      </c>
      <c r="AE200" s="139">
        <f t="shared" si="39"/>
        <v>1.0371344513128322E-2</v>
      </c>
      <c r="AF200" s="139">
        <f t="shared" si="39"/>
        <v>-2.7060185429279654E-2</v>
      </c>
      <c r="AG200" s="139" t="str">
        <f t="shared" si="39"/>
        <v/>
      </c>
      <c r="AH200" s="139" t="str">
        <f t="shared" si="39"/>
        <v/>
      </c>
      <c r="AI200" s="139" t="str">
        <f t="shared" si="39"/>
        <v/>
      </c>
      <c r="AJ200" s="139" t="str">
        <f t="shared" si="39"/>
        <v/>
      </c>
      <c r="AK200" s="139" t="str">
        <f t="shared" si="39"/>
        <v/>
      </c>
      <c r="AL200" s="139" t="str">
        <f t="shared" si="39"/>
        <v/>
      </c>
      <c r="AM200" s="139" t="str">
        <f t="shared" si="39"/>
        <v/>
      </c>
      <c r="AN200" s="139" t="str">
        <f t="shared" si="39"/>
        <v/>
      </c>
      <c r="AP200" s="82">
        <f t="shared" si="40"/>
        <v>1.5714979792314713E-4</v>
      </c>
      <c r="AQ200" s="82">
        <f t="shared" si="48"/>
        <v>0.99302890752850459</v>
      </c>
    </row>
    <row r="201" spans="2:43" x14ac:dyDescent="0.35">
      <c r="B201" s="83" t="s">
        <v>283</v>
      </c>
      <c r="D201" s="137">
        <v>1951</v>
      </c>
      <c r="E201" s="137">
        <v>2391</v>
      </c>
      <c r="F201" s="137">
        <v>4863</v>
      </c>
      <c r="G201" s="137">
        <v>15610</v>
      </c>
      <c r="H201" s="137">
        <f t="shared" si="41"/>
        <v>24815</v>
      </c>
      <c r="J201" s="137">
        <v>256</v>
      </c>
      <c r="K201" s="137">
        <v>442</v>
      </c>
      <c r="L201" s="137">
        <v>912</v>
      </c>
      <c r="M201" s="137">
        <v>8049</v>
      </c>
      <c r="N201" s="137">
        <f t="shared" si="42"/>
        <v>9659</v>
      </c>
      <c r="P201" s="84">
        <f t="shared" si="43"/>
        <v>0.13121476166068682</v>
      </c>
      <c r="Q201" s="84">
        <f t="shared" si="44"/>
        <v>0.18485989125888749</v>
      </c>
      <c r="R201" s="84">
        <f t="shared" si="45"/>
        <v>0.18753855644663789</v>
      </c>
      <c r="S201" s="84">
        <f t="shared" si="46"/>
        <v>0.51563100576553489</v>
      </c>
      <c r="T201" s="84" t="str">
        <f>+IFERROR(#REF!/#REF!,"")</f>
        <v/>
      </c>
      <c r="U201" s="84" t="str">
        <f>+IFERROR(#REF!/#REF!,"")</f>
        <v/>
      </c>
      <c r="V201" s="84" t="str">
        <f>+IFERROR(#REF!/#REF!,"")</f>
        <v/>
      </c>
      <c r="W201" s="84" t="str">
        <f>+IFERROR(#REF!/#REF!,"")</f>
        <v/>
      </c>
      <c r="X201" s="84" t="str">
        <f>+IFERROR(#REF!/#REF!,"")</f>
        <v/>
      </c>
      <c r="Y201" s="84" t="str">
        <f>+IFERROR(#REF!/#REF!,"")</f>
        <v/>
      </c>
      <c r="Z201" s="84" t="str">
        <f>+IFERROR(#REF!/#REF!,"")</f>
        <v/>
      </c>
      <c r="AA201" s="84" t="str">
        <f>+IFERROR(#REF!/#REF!,"")</f>
        <v/>
      </c>
      <c r="AB201" s="84">
        <f t="shared" si="47"/>
        <v>0.38924037880314327</v>
      </c>
      <c r="AD201" s="139">
        <f t="shared" si="39"/>
        <v>5.3645129598200669E-2</v>
      </c>
      <c r="AE201" s="139">
        <f t="shared" si="39"/>
        <v>2.6786651877503953E-3</v>
      </c>
      <c r="AF201" s="139">
        <f t="shared" si="39"/>
        <v>0.32809244931889703</v>
      </c>
      <c r="AG201" s="139" t="str">
        <f t="shared" si="39"/>
        <v/>
      </c>
      <c r="AH201" s="139" t="str">
        <f t="shared" si="39"/>
        <v/>
      </c>
      <c r="AI201" s="139" t="str">
        <f t="shared" si="39"/>
        <v/>
      </c>
      <c r="AJ201" s="139" t="str">
        <f t="shared" si="39"/>
        <v/>
      </c>
      <c r="AK201" s="139" t="str">
        <f t="shared" si="39"/>
        <v/>
      </c>
      <c r="AL201" s="139" t="str">
        <f t="shared" si="39"/>
        <v/>
      </c>
      <c r="AM201" s="139" t="str">
        <f t="shared" si="39"/>
        <v/>
      </c>
      <c r="AN201" s="139" t="str">
        <f t="shared" si="39"/>
        <v/>
      </c>
      <c r="AP201" s="82">
        <f t="shared" si="40"/>
        <v>9.0415285625598827E-6</v>
      </c>
      <c r="AQ201" s="82">
        <f t="shared" si="48"/>
        <v>0.9930379490570671</v>
      </c>
    </row>
    <row r="202" spans="2:43" x14ac:dyDescent="0.35">
      <c r="B202" s="83" t="s">
        <v>284</v>
      </c>
      <c r="D202" s="137">
        <v>43778</v>
      </c>
      <c r="E202" s="137">
        <v>61429</v>
      </c>
      <c r="F202" s="137">
        <v>60107</v>
      </c>
      <c r="G202" s="137">
        <v>66865</v>
      </c>
      <c r="H202" s="137">
        <f t="shared" si="41"/>
        <v>232179</v>
      </c>
      <c r="J202" s="137">
        <v>7888</v>
      </c>
      <c r="K202" s="137">
        <v>7422</v>
      </c>
      <c r="L202" s="137">
        <v>3160</v>
      </c>
      <c r="M202" s="137">
        <v>11732</v>
      </c>
      <c r="N202" s="137">
        <f t="shared" si="42"/>
        <v>30202</v>
      </c>
      <c r="P202" s="84">
        <f t="shared" si="43"/>
        <v>0.18018182648819042</v>
      </c>
      <c r="Q202" s="84">
        <f t="shared" si="44"/>
        <v>0.12082241286688697</v>
      </c>
      <c r="R202" s="84">
        <f t="shared" si="45"/>
        <v>5.257291164090705E-2</v>
      </c>
      <c r="S202" s="84">
        <f t="shared" si="46"/>
        <v>0.1754580124130711</v>
      </c>
      <c r="T202" s="84" t="str">
        <f>+IFERROR(#REF!/#REF!,"")</f>
        <v/>
      </c>
      <c r="U202" s="84" t="str">
        <f>+IFERROR(#REF!/#REF!,"")</f>
        <v/>
      </c>
      <c r="V202" s="84" t="str">
        <f>+IFERROR(#REF!/#REF!,"")</f>
        <v/>
      </c>
      <c r="W202" s="84" t="str">
        <f>+IFERROR(#REF!/#REF!,"")</f>
        <v/>
      </c>
      <c r="X202" s="84" t="str">
        <f>+IFERROR(#REF!/#REF!,"")</f>
        <v/>
      </c>
      <c r="Y202" s="84" t="str">
        <f>+IFERROR(#REF!/#REF!,"")</f>
        <v/>
      </c>
      <c r="Z202" s="84" t="str">
        <f>+IFERROR(#REF!/#REF!,"")</f>
        <v/>
      </c>
      <c r="AA202" s="84" t="str">
        <f>+IFERROR(#REF!/#REF!,"")</f>
        <v/>
      </c>
      <c r="AB202" s="84">
        <f t="shared" si="47"/>
        <v>0.13008067051714409</v>
      </c>
      <c r="AD202" s="139">
        <f t="shared" si="39"/>
        <v>-5.9359413621303453E-2</v>
      </c>
      <c r="AE202" s="139">
        <f t="shared" si="39"/>
        <v>-6.8249501225979919E-2</v>
      </c>
      <c r="AF202" s="139">
        <f t="shared" si="39"/>
        <v>0.12288510077216405</v>
      </c>
      <c r="AG202" s="139" t="str">
        <f t="shared" si="39"/>
        <v/>
      </c>
      <c r="AH202" s="139" t="str">
        <f t="shared" si="39"/>
        <v/>
      </c>
      <c r="AI202" s="139" t="str">
        <f t="shared" si="39"/>
        <v/>
      </c>
      <c r="AJ202" s="139" t="str">
        <f t="shared" si="39"/>
        <v/>
      </c>
      <c r="AK202" s="139" t="str">
        <f t="shared" si="39"/>
        <v/>
      </c>
      <c r="AL202" s="139" t="str">
        <f t="shared" si="39"/>
        <v/>
      </c>
      <c r="AM202" s="139" t="str">
        <f t="shared" si="39"/>
        <v/>
      </c>
      <c r="AN202" s="139" t="str">
        <f t="shared" si="39"/>
        <v/>
      </c>
      <c r="AP202" s="82">
        <f t="shared" si="40"/>
        <v>2.8271275043631179E-5</v>
      </c>
      <c r="AQ202" s="82">
        <f t="shared" si="48"/>
        <v>0.99306622033211078</v>
      </c>
    </row>
    <row r="203" spans="2:43" x14ac:dyDescent="0.35">
      <c r="B203" s="83" t="s">
        <v>296</v>
      </c>
      <c r="D203" s="137">
        <v>60844</v>
      </c>
      <c r="E203" s="137">
        <v>98467</v>
      </c>
      <c r="F203" s="137">
        <v>109876</v>
      </c>
      <c r="G203" s="137">
        <v>175890</v>
      </c>
      <c r="H203" s="137">
        <f t="shared" si="41"/>
        <v>445077</v>
      </c>
      <c r="J203" s="137">
        <v>55122</v>
      </c>
      <c r="K203" s="137">
        <v>93272</v>
      </c>
      <c r="L203" s="137">
        <v>107377</v>
      </c>
      <c r="M203" s="137">
        <v>133127</v>
      </c>
      <c r="N203" s="137">
        <f t="shared" si="42"/>
        <v>388898</v>
      </c>
      <c r="P203" s="84">
        <f t="shared" si="43"/>
        <v>0.90595621589639075</v>
      </c>
      <c r="Q203" s="84">
        <f t="shared" si="44"/>
        <v>0.94724120771425957</v>
      </c>
      <c r="R203" s="84">
        <f t="shared" si="45"/>
        <v>0.97725617969347267</v>
      </c>
      <c r="S203" s="84">
        <f t="shared" si="46"/>
        <v>0.75687645687645688</v>
      </c>
      <c r="T203" s="84" t="str">
        <f>+IFERROR(#REF!/#REF!,"")</f>
        <v/>
      </c>
      <c r="U203" s="84" t="str">
        <f>+IFERROR(#REF!/#REF!,"")</f>
        <v/>
      </c>
      <c r="V203" s="84" t="str">
        <f>+IFERROR(#REF!/#REF!,"")</f>
        <v/>
      </c>
      <c r="W203" s="84" t="str">
        <f>+IFERROR(#REF!/#REF!,"")</f>
        <v/>
      </c>
      <c r="X203" s="84" t="str">
        <f>+IFERROR(#REF!/#REF!,"")</f>
        <v/>
      </c>
      <c r="Y203" s="84" t="str">
        <f>+IFERROR(#REF!/#REF!,"")</f>
        <v/>
      </c>
      <c r="Z203" s="84" t="str">
        <f>+IFERROR(#REF!/#REF!,"")</f>
        <v/>
      </c>
      <c r="AA203" s="84" t="str">
        <f>+IFERROR(#REF!/#REF!,"")</f>
        <v/>
      </c>
      <c r="AB203" s="84">
        <f t="shared" si="47"/>
        <v>0.87377689703130024</v>
      </c>
      <c r="AD203" s="139">
        <f t="shared" si="39"/>
        <v>4.1284991817868821E-2</v>
      </c>
      <c r="AE203" s="139">
        <f t="shared" si="39"/>
        <v>3.0014971979213101E-2</v>
      </c>
      <c r="AF203" s="139">
        <f t="shared" ref="AF203:AN218" si="49">+IFERROR(S203-R203,"")</f>
        <v>-0.22037972281701579</v>
      </c>
      <c r="AG203" s="139" t="str">
        <f t="shared" si="49"/>
        <v/>
      </c>
      <c r="AH203" s="139" t="str">
        <f t="shared" si="49"/>
        <v/>
      </c>
      <c r="AI203" s="139" t="str">
        <f t="shared" si="49"/>
        <v/>
      </c>
      <c r="AJ203" s="139" t="str">
        <f t="shared" si="49"/>
        <v/>
      </c>
      <c r="AK203" s="139" t="str">
        <f t="shared" si="49"/>
        <v/>
      </c>
      <c r="AL203" s="139" t="str">
        <f t="shared" si="49"/>
        <v/>
      </c>
      <c r="AM203" s="139" t="str">
        <f t="shared" si="49"/>
        <v/>
      </c>
      <c r="AN203" s="139" t="str">
        <f t="shared" si="49"/>
        <v/>
      </c>
      <c r="AP203" s="82">
        <f t="shared" si="40"/>
        <v>3.6403689563333815E-4</v>
      </c>
      <c r="AQ203" s="82">
        <f t="shared" si="48"/>
        <v>0.99343025722774414</v>
      </c>
    </row>
    <row r="204" spans="2:43" x14ac:dyDescent="0.35">
      <c r="B204" s="83" t="s">
        <v>298</v>
      </c>
      <c r="D204" s="137"/>
      <c r="E204" s="137"/>
      <c r="F204" s="137"/>
      <c r="G204" s="137"/>
      <c r="H204" s="137">
        <f t="shared" si="41"/>
        <v>0</v>
      </c>
      <c r="J204" s="137"/>
      <c r="K204" s="137"/>
      <c r="L204" s="137"/>
      <c r="M204" s="137"/>
      <c r="N204" s="137">
        <f t="shared" si="42"/>
        <v>0</v>
      </c>
      <c r="P204" s="84" t="str">
        <f t="shared" si="43"/>
        <v/>
      </c>
      <c r="Q204" s="84" t="str">
        <f t="shared" si="44"/>
        <v/>
      </c>
      <c r="R204" s="84" t="str">
        <f t="shared" si="45"/>
        <v/>
      </c>
      <c r="S204" s="84" t="str">
        <f t="shared" si="46"/>
        <v/>
      </c>
      <c r="T204" s="84" t="str">
        <f>+IFERROR(#REF!/#REF!,"")</f>
        <v/>
      </c>
      <c r="U204" s="84" t="str">
        <f>+IFERROR(#REF!/#REF!,"")</f>
        <v/>
      </c>
      <c r="V204" s="84" t="str">
        <f>+IFERROR(#REF!/#REF!,"")</f>
        <v/>
      </c>
      <c r="W204" s="84" t="str">
        <f>+IFERROR(#REF!/#REF!,"")</f>
        <v/>
      </c>
      <c r="X204" s="84" t="str">
        <f>+IFERROR(#REF!/#REF!,"")</f>
        <v/>
      </c>
      <c r="Y204" s="84" t="str">
        <f>+IFERROR(#REF!/#REF!,"")</f>
        <v/>
      </c>
      <c r="Z204" s="84" t="str">
        <f>+IFERROR(#REF!/#REF!,"")</f>
        <v/>
      </c>
      <c r="AA204" s="84" t="str">
        <f>+IFERROR(#REF!/#REF!,"")</f>
        <v/>
      </c>
      <c r="AB204" s="84" t="str">
        <f t="shared" si="47"/>
        <v/>
      </c>
      <c r="AD204" s="139" t="str">
        <f t="shared" ref="AD204:AF234" si="50">+IFERROR(Q204-P204,"")</f>
        <v/>
      </c>
      <c r="AE204" s="139" t="str">
        <f t="shared" si="50"/>
        <v/>
      </c>
      <c r="AF204" s="139" t="str">
        <f t="shared" si="49"/>
        <v/>
      </c>
      <c r="AG204" s="139"/>
      <c r="AH204" s="139"/>
      <c r="AI204" s="139"/>
      <c r="AJ204" s="139"/>
      <c r="AK204" s="139"/>
      <c r="AL204" s="139"/>
      <c r="AM204" s="139"/>
      <c r="AN204" s="139"/>
      <c r="AP204" s="82">
        <f t="shared" si="40"/>
        <v>0</v>
      </c>
      <c r="AQ204" s="82">
        <f t="shared" si="48"/>
        <v>0.99343025722774414</v>
      </c>
    </row>
    <row r="205" spans="2:43" x14ac:dyDescent="0.35">
      <c r="B205" s="83" t="s">
        <v>292</v>
      </c>
      <c r="D205" s="137"/>
      <c r="E205" s="137">
        <v>7760</v>
      </c>
      <c r="F205" s="137">
        <v>13450</v>
      </c>
      <c r="G205" s="137">
        <v>6500</v>
      </c>
      <c r="H205" s="137">
        <f t="shared" si="41"/>
        <v>27710</v>
      </c>
      <c r="J205" s="137"/>
      <c r="K205" s="137">
        <v>6260</v>
      </c>
      <c r="L205" s="137">
        <v>10450</v>
      </c>
      <c r="M205" s="137">
        <v>2000</v>
      </c>
      <c r="N205" s="137">
        <f t="shared" si="42"/>
        <v>18710</v>
      </c>
      <c r="P205" s="84" t="str">
        <f t="shared" si="43"/>
        <v/>
      </c>
      <c r="Q205" s="84">
        <f t="shared" si="44"/>
        <v>0.80670103092783507</v>
      </c>
      <c r="R205" s="84">
        <f t="shared" si="45"/>
        <v>0.77695167286245348</v>
      </c>
      <c r="S205" s="84">
        <f t="shared" si="46"/>
        <v>0.30769230769230771</v>
      </c>
      <c r="T205" s="84" t="str">
        <f>+IFERROR(#REF!/#REF!,"")</f>
        <v/>
      </c>
      <c r="U205" s="84" t="str">
        <f>+IFERROR(#REF!/#REF!,"")</f>
        <v/>
      </c>
      <c r="V205" s="84" t="str">
        <f>+IFERROR(#REF!/#REF!,"")</f>
        <v/>
      </c>
      <c r="W205" s="84" t="str">
        <f>+IFERROR(#REF!/#REF!,"")</f>
        <v/>
      </c>
      <c r="X205" s="84" t="str">
        <f>+IFERROR(#REF!/#REF!,"")</f>
        <v/>
      </c>
      <c r="Y205" s="84" t="str">
        <f>+IFERROR(#REF!/#REF!,"")</f>
        <v/>
      </c>
      <c r="Z205" s="84" t="str">
        <f>+IFERROR(#REF!/#REF!,"")</f>
        <v/>
      </c>
      <c r="AA205" s="84" t="str">
        <f>+IFERROR(#REF!/#REF!,"")</f>
        <v/>
      </c>
      <c r="AB205" s="84">
        <f t="shared" si="47"/>
        <v>0.6752075063154096</v>
      </c>
      <c r="AD205" s="139" t="str">
        <f t="shared" si="50"/>
        <v/>
      </c>
      <c r="AE205" s="139">
        <f t="shared" si="50"/>
        <v>-2.9749358065381593E-2</v>
      </c>
      <c r="AF205" s="139">
        <f t="shared" si="49"/>
        <v>-0.46925936517014577</v>
      </c>
      <c r="AG205" s="139"/>
      <c r="AH205" s="139"/>
      <c r="AI205" s="139"/>
      <c r="AJ205" s="139"/>
      <c r="AK205" s="139"/>
      <c r="AL205" s="139"/>
      <c r="AM205" s="139"/>
      <c r="AN205" s="139"/>
      <c r="AP205" s="82">
        <f t="shared" si="40"/>
        <v>1.7513924775390349E-5</v>
      </c>
      <c r="AQ205" s="82">
        <f t="shared" si="48"/>
        <v>0.99344777115251948</v>
      </c>
    </row>
    <row r="206" spans="2:43" x14ac:dyDescent="0.35">
      <c r="B206" s="83" t="s">
        <v>300</v>
      </c>
      <c r="D206" s="137"/>
      <c r="E206" s="137"/>
      <c r="F206" s="137">
        <v>5267</v>
      </c>
      <c r="G206" s="137">
        <v>12414</v>
      </c>
      <c r="H206" s="137">
        <f t="shared" si="41"/>
        <v>17681</v>
      </c>
      <c r="J206" s="137"/>
      <c r="K206" s="137"/>
      <c r="L206" s="137">
        <v>6</v>
      </c>
      <c r="M206" s="137">
        <v>2362</v>
      </c>
      <c r="N206" s="137">
        <f t="shared" si="42"/>
        <v>2368</v>
      </c>
      <c r="P206" s="84" t="str">
        <f t="shared" si="43"/>
        <v/>
      </c>
      <c r="Q206" s="84" t="str">
        <f t="shared" si="44"/>
        <v/>
      </c>
      <c r="R206" s="84">
        <f t="shared" si="45"/>
        <v>1.139168407062844E-3</v>
      </c>
      <c r="S206" s="84">
        <f t="shared" si="46"/>
        <v>0.19026905107137104</v>
      </c>
      <c r="T206" s="84" t="str">
        <f>+IFERROR(#REF!/#REF!,"")</f>
        <v/>
      </c>
      <c r="U206" s="84" t="str">
        <f>+IFERROR(#REF!/#REF!,"")</f>
        <v/>
      </c>
      <c r="V206" s="84" t="str">
        <f>+IFERROR(#REF!/#REF!,"")</f>
        <v/>
      </c>
      <c r="W206" s="84" t="str">
        <f>+IFERROR(#REF!/#REF!,"")</f>
        <v/>
      </c>
      <c r="X206" s="84" t="str">
        <f>+IFERROR(#REF!/#REF!,"")</f>
        <v/>
      </c>
      <c r="Y206" s="84" t="str">
        <f>+IFERROR(#REF!/#REF!,"")</f>
        <v/>
      </c>
      <c r="Z206" s="84" t="str">
        <f>+IFERROR(#REF!/#REF!,"")</f>
        <v/>
      </c>
      <c r="AA206" s="84" t="str">
        <f>+IFERROR(#REF!/#REF!,"")</f>
        <v/>
      </c>
      <c r="AB206" s="84">
        <f t="shared" si="47"/>
        <v>0.13392907640970533</v>
      </c>
      <c r="AD206" s="139" t="str">
        <f t="shared" si="50"/>
        <v/>
      </c>
      <c r="AE206" s="139" t="str">
        <f t="shared" si="50"/>
        <v/>
      </c>
      <c r="AF206" s="139">
        <f t="shared" si="49"/>
        <v>0.18912988266430819</v>
      </c>
      <c r="AG206" s="139"/>
      <c r="AH206" s="139"/>
      <c r="AI206" s="139"/>
      <c r="AJ206" s="139"/>
      <c r="AK206" s="139"/>
      <c r="AL206" s="139"/>
      <c r="AM206" s="139"/>
      <c r="AN206" s="139"/>
      <c r="AP206" s="82">
        <f t="shared" si="40"/>
        <v>2.2166207305250856E-6</v>
      </c>
      <c r="AQ206" s="82">
        <f t="shared" si="48"/>
        <v>0.99344998777325</v>
      </c>
    </row>
    <row r="207" spans="2:43" x14ac:dyDescent="0.35">
      <c r="B207" s="83" t="s">
        <v>455</v>
      </c>
      <c r="D207" s="137"/>
      <c r="E207" s="137"/>
      <c r="F207" s="137"/>
      <c r="G207" s="137"/>
      <c r="H207" s="137">
        <f t="shared" si="41"/>
        <v>0</v>
      </c>
      <c r="J207" s="137"/>
      <c r="K207" s="137"/>
      <c r="L207" s="137"/>
      <c r="M207" s="137"/>
      <c r="N207" s="137">
        <f t="shared" si="42"/>
        <v>0</v>
      </c>
      <c r="P207" s="84" t="str">
        <f t="shared" si="43"/>
        <v/>
      </c>
      <c r="Q207" s="84" t="str">
        <f t="shared" si="44"/>
        <v/>
      </c>
      <c r="R207" s="84" t="str">
        <f t="shared" si="45"/>
        <v/>
      </c>
      <c r="S207" s="84" t="str">
        <f t="shared" si="46"/>
        <v/>
      </c>
      <c r="T207" s="84" t="str">
        <f>+IFERROR(#REF!/#REF!,"")</f>
        <v/>
      </c>
      <c r="U207" s="84" t="str">
        <f>+IFERROR(#REF!/#REF!,"")</f>
        <v/>
      </c>
      <c r="V207" s="84" t="str">
        <f>+IFERROR(#REF!/#REF!,"")</f>
        <v/>
      </c>
      <c r="W207" s="84" t="str">
        <f>+IFERROR(#REF!/#REF!,"")</f>
        <v/>
      </c>
      <c r="X207" s="84" t="str">
        <f>+IFERROR(#REF!/#REF!,"")</f>
        <v/>
      </c>
      <c r="Y207" s="84" t="str">
        <f>+IFERROR(#REF!/#REF!,"")</f>
        <v/>
      </c>
      <c r="Z207" s="84" t="str">
        <f>+IFERROR(#REF!/#REF!,"")</f>
        <v/>
      </c>
      <c r="AA207" s="84" t="str">
        <f>+IFERROR(#REF!/#REF!,"")</f>
        <v/>
      </c>
      <c r="AB207" s="84" t="str">
        <f t="shared" si="47"/>
        <v/>
      </c>
      <c r="AD207" s="139" t="str">
        <f t="shared" si="50"/>
        <v/>
      </c>
      <c r="AE207" s="139" t="str">
        <f t="shared" si="50"/>
        <v/>
      </c>
      <c r="AF207" s="139" t="str">
        <f t="shared" si="49"/>
        <v/>
      </c>
      <c r="AG207" s="139"/>
      <c r="AH207" s="139"/>
      <c r="AI207" s="139"/>
      <c r="AJ207" s="139"/>
      <c r="AK207" s="139"/>
      <c r="AL207" s="139"/>
      <c r="AM207" s="139"/>
      <c r="AN207" s="139"/>
      <c r="AP207" s="82">
        <f t="shared" si="40"/>
        <v>0</v>
      </c>
      <c r="AQ207" s="82">
        <f t="shared" si="48"/>
        <v>0.99344998777325</v>
      </c>
    </row>
    <row r="208" spans="2:43" x14ac:dyDescent="0.35">
      <c r="B208" s="83" t="s">
        <v>302</v>
      </c>
      <c r="D208" s="137"/>
      <c r="E208" s="137"/>
      <c r="F208" s="137"/>
      <c r="G208" s="137"/>
      <c r="H208" s="137">
        <f t="shared" si="41"/>
        <v>0</v>
      </c>
      <c r="J208" s="137"/>
      <c r="K208" s="137"/>
      <c r="L208" s="137"/>
      <c r="M208" s="137"/>
      <c r="N208" s="137">
        <f t="shared" si="42"/>
        <v>0</v>
      </c>
      <c r="P208" s="84" t="str">
        <f t="shared" si="43"/>
        <v/>
      </c>
      <c r="Q208" s="84" t="str">
        <f t="shared" si="44"/>
        <v/>
      </c>
      <c r="R208" s="84" t="str">
        <f t="shared" si="45"/>
        <v/>
      </c>
      <c r="S208" s="84" t="str">
        <f t="shared" si="46"/>
        <v/>
      </c>
      <c r="T208" s="84" t="str">
        <f>+IFERROR(#REF!/#REF!,"")</f>
        <v/>
      </c>
      <c r="U208" s="84" t="str">
        <f>+IFERROR(#REF!/#REF!,"")</f>
        <v/>
      </c>
      <c r="V208" s="84" t="str">
        <f>+IFERROR(#REF!/#REF!,"")</f>
        <v/>
      </c>
      <c r="W208" s="84" t="str">
        <f>+IFERROR(#REF!/#REF!,"")</f>
        <v/>
      </c>
      <c r="X208" s="84" t="str">
        <f>+IFERROR(#REF!/#REF!,"")</f>
        <v/>
      </c>
      <c r="Y208" s="84" t="str">
        <f>+IFERROR(#REF!/#REF!,"")</f>
        <v/>
      </c>
      <c r="Z208" s="84" t="str">
        <f>+IFERROR(#REF!/#REF!,"")</f>
        <v/>
      </c>
      <c r="AA208" s="84" t="str">
        <f>+IFERROR(#REF!/#REF!,"")</f>
        <v/>
      </c>
      <c r="AB208" s="84" t="str">
        <f t="shared" si="47"/>
        <v/>
      </c>
      <c r="AD208" s="139" t="str">
        <f t="shared" si="50"/>
        <v/>
      </c>
      <c r="AE208" s="139" t="str">
        <f t="shared" si="50"/>
        <v/>
      </c>
      <c r="AF208" s="139" t="str">
        <f t="shared" si="49"/>
        <v/>
      </c>
      <c r="AG208" s="139"/>
      <c r="AH208" s="139"/>
      <c r="AI208" s="139"/>
      <c r="AJ208" s="139"/>
      <c r="AK208" s="139"/>
      <c r="AL208" s="139"/>
      <c r="AM208" s="139"/>
      <c r="AN208" s="139"/>
      <c r="AP208" s="82">
        <f t="shared" si="40"/>
        <v>0</v>
      </c>
      <c r="AQ208" s="82">
        <f t="shared" si="48"/>
        <v>0.99344998777325</v>
      </c>
    </row>
    <row r="209" spans="2:43" x14ac:dyDescent="0.35">
      <c r="B209" s="83" t="s">
        <v>456</v>
      </c>
      <c r="D209" s="137"/>
      <c r="E209" s="137"/>
      <c r="F209" s="137">
        <v>23350</v>
      </c>
      <c r="G209" s="137">
        <v>541</v>
      </c>
      <c r="H209" s="137">
        <f t="shared" si="41"/>
        <v>23891</v>
      </c>
      <c r="J209" s="137"/>
      <c r="K209" s="137"/>
      <c r="L209" s="137">
        <v>10200</v>
      </c>
      <c r="M209" s="137">
        <v>541</v>
      </c>
      <c r="N209" s="137">
        <f t="shared" si="42"/>
        <v>10741</v>
      </c>
      <c r="P209" s="84" t="str">
        <f t="shared" si="43"/>
        <v/>
      </c>
      <c r="Q209" s="84" t="str">
        <f t="shared" si="44"/>
        <v/>
      </c>
      <c r="R209" s="84">
        <f t="shared" si="45"/>
        <v>0.43683083511777304</v>
      </c>
      <c r="S209" s="84">
        <f t="shared" si="46"/>
        <v>1</v>
      </c>
      <c r="T209" s="84" t="str">
        <f>+IFERROR(#REF!/#REF!,"")</f>
        <v/>
      </c>
      <c r="U209" s="84" t="str">
        <f>+IFERROR(#REF!/#REF!,"")</f>
        <v/>
      </c>
      <c r="V209" s="84" t="str">
        <f>+IFERROR(#REF!/#REF!,"")</f>
        <v/>
      </c>
      <c r="W209" s="84" t="str">
        <f>+IFERROR(#REF!/#REF!,"")</f>
        <v/>
      </c>
      <c r="X209" s="84" t="str">
        <f>+IFERROR(#REF!/#REF!,"")</f>
        <v/>
      </c>
      <c r="Y209" s="84" t="str">
        <f>+IFERROR(#REF!/#REF!,"")</f>
        <v/>
      </c>
      <c r="Z209" s="84" t="str">
        <f>+IFERROR(#REF!/#REF!,"")</f>
        <v/>
      </c>
      <c r="AA209" s="84" t="str">
        <f>+IFERROR(#REF!/#REF!,"")</f>
        <v/>
      </c>
      <c r="AB209" s="84">
        <f t="shared" si="47"/>
        <v>0.44958352517684486</v>
      </c>
      <c r="AD209" s="139" t="str">
        <f t="shared" si="50"/>
        <v/>
      </c>
      <c r="AE209" s="139" t="str">
        <f t="shared" si="50"/>
        <v/>
      </c>
      <c r="AF209" s="139">
        <f t="shared" si="49"/>
        <v>0.56316916488222701</v>
      </c>
      <c r="AG209" s="139"/>
      <c r="AH209" s="139"/>
      <c r="AI209" s="139"/>
      <c r="AJ209" s="139"/>
      <c r="AK209" s="139"/>
      <c r="AL209" s="139"/>
      <c r="AM209" s="139"/>
      <c r="AN209" s="139"/>
      <c r="AP209" s="82">
        <f t="shared" si="40"/>
        <v>1.0054359487571766E-5</v>
      </c>
      <c r="AQ209" s="82">
        <f t="shared" si="48"/>
        <v>0.99346004213273753</v>
      </c>
    </row>
    <row r="210" spans="2:43" x14ac:dyDescent="0.35">
      <c r="B210" s="83" t="s">
        <v>290</v>
      </c>
      <c r="D210" s="137">
        <v>4701</v>
      </c>
      <c r="E210" s="137"/>
      <c r="F210" s="137"/>
      <c r="G210" s="137"/>
      <c r="H210" s="137">
        <f t="shared" si="41"/>
        <v>4701</v>
      </c>
      <c r="J210" s="137">
        <v>864</v>
      </c>
      <c r="K210" s="137"/>
      <c r="L210" s="137"/>
      <c r="M210" s="137"/>
      <c r="N210" s="137">
        <f t="shared" si="42"/>
        <v>864</v>
      </c>
      <c r="P210" s="84">
        <f t="shared" si="43"/>
        <v>0.18379068283343969</v>
      </c>
      <c r="Q210" s="84" t="str">
        <f t="shared" si="44"/>
        <v/>
      </c>
      <c r="R210" s="84" t="str">
        <f t="shared" si="45"/>
        <v/>
      </c>
      <c r="S210" s="84" t="str">
        <f t="shared" si="46"/>
        <v/>
      </c>
      <c r="T210" s="84" t="str">
        <f>+IFERROR(#REF!/#REF!,"")</f>
        <v/>
      </c>
      <c r="U210" s="84" t="str">
        <f>+IFERROR(#REF!/#REF!,"")</f>
        <v/>
      </c>
      <c r="V210" s="84" t="str">
        <f>+IFERROR(#REF!/#REF!,"")</f>
        <v/>
      </c>
      <c r="W210" s="84" t="str">
        <f>+IFERROR(#REF!/#REF!,"")</f>
        <v/>
      </c>
      <c r="X210" s="84" t="str">
        <f>+IFERROR(#REF!/#REF!,"")</f>
        <v/>
      </c>
      <c r="Y210" s="84" t="str">
        <f>+IFERROR(#REF!/#REF!,"")</f>
        <v/>
      </c>
      <c r="Z210" s="84" t="str">
        <f>+IFERROR(#REF!/#REF!,"")</f>
        <v/>
      </c>
      <c r="AA210" s="84" t="str">
        <f>+IFERROR(#REF!/#REF!,"")</f>
        <v/>
      </c>
      <c r="AB210" s="84">
        <f t="shared" si="47"/>
        <v>0.18379068283343969</v>
      </c>
      <c r="AD210" s="139" t="str">
        <f t="shared" si="50"/>
        <v/>
      </c>
      <c r="AE210" s="139" t="str">
        <f t="shared" si="50"/>
        <v/>
      </c>
      <c r="AF210" s="139" t="str">
        <f t="shared" si="49"/>
        <v/>
      </c>
      <c r="AG210" s="139"/>
      <c r="AH210" s="139"/>
      <c r="AI210" s="139"/>
      <c r="AJ210" s="139"/>
      <c r="AK210" s="139"/>
      <c r="AL210" s="139"/>
      <c r="AM210" s="139"/>
      <c r="AN210" s="139"/>
      <c r="AP210" s="82">
        <f t="shared" si="40"/>
        <v>8.0876702329969339E-7</v>
      </c>
      <c r="AQ210" s="82">
        <f t="shared" si="48"/>
        <v>0.99346085089976088</v>
      </c>
    </row>
    <row r="211" spans="2:43" x14ac:dyDescent="0.35">
      <c r="B211" s="83" t="s">
        <v>457</v>
      </c>
      <c r="D211" s="137"/>
      <c r="E211" s="137"/>
      <c r="F211" s="137"/>
      <c r="G211" s="137"/>
      <c r="H211" s="137">
        <f t="shared" si="41"/>
        <v>0</v>
      </c>
      <c r="J211" s="137"/>
      <c r="K211" s="137"/>
      <c r="L211" s="137"/>
      <c r="M211" s="137"/>
      <c r="N211" s="137">
        <f t="shared" si="42"/>
        <v>0</v>
      </c>
      <c r="P211" s="84" t="str">
        <f t="shared" si="43"/>
        <v/>
      </c>
      <c r="Q211" s="84" t="str">
        <f t="shared" si="44"/>
        <v/>
      </c>
      <c r="R211" s="84" t="str">
        <f t="shared" si="45"/>
        <v/>
      </c>
      <c r="S211" s="84" t="str">
        <f t="shared" si="46"/>
        <v/>
      </c>
      <c r="T211" s="84" t="str">
        <f>+IFERROR(#REF!/#REF!,"")</f>
        <v/>
      </c>
      <c r="U211" s="84" t="str">
        <f>+IFERROR(#REF!/#REF!,"")</f>
        <v/>
      </c>
      <c r="V211" s="84" t="str">
        <f>+IFERROR(#REF!/#REF!,"")</f>
        <v/>
      </c>
      <c r="W211" s="84" t="str">
        <f>+IFERROR(#REF!/#REF!,"")</f>
        <v/>
      </c>
      <c r="X211" s="84" t="str">
        <f>+IFERROR(#REF!/#REF!,"")</f>
        <v/>
      </c>
      <c r="Y211" s="84" t="str">
        <f>+IFERROR(#REF!/#REF!,"")</f>
        <v/>
      </c>
      <c r="Z211" s="84" t="str">
        <f>+IFERROR(#REF!/#REF!,"")</f>
        <v/>
      </c>
      <c r="AA211" s="84" t="str">
        <f>+IFERROR(#REF!/#REF!,"")</f>
        <v/>
      </c>
      <c r="AB211" s="84" t="str">
        <f t="shared" si="47"/>
        <v/>
      </c>
      <c r="AD211" s="139" t="str">
        <f t="shared" si="50"/>
        <v/>
      </c>
      <c r="AE211" s="139" t="str">
        <f t="shared" si="50"/>
        <v/>
      </c>
      <c r="AF211" s="139" t="str">
        <f t="shared" si="49"/>
        <v/>
      </c>
      <c r="AG211" s="139"/>
      <c r="AH211" s="139"/>
      <c r="AI211" s="139"/>
      <c r="AJ211" s="139"/>
      <c r="AK211" s="139"/>
      <c r="AL211" s="139"/>
      <c r="AM211" s="139"/>
      <c r="AN211" s="139"/>
      <c r="AP211" s="82">
        <f t="shared" si="40"/>
        <v>0</v>
      </c>
      <c r="AQ211" s="82">
        <f t="shared" si="48"/>
        <v>0.99346085089976088</v>
      </c>
    </row>
    <row r="212" spans="2:43" x14ac:dyDescent="0.35">
      <c r="B212" s="83" t="s">
        <v>297</v>
      </c>
      <c r="D212" s="137"/>
      <c r="E212" s="137"/>
      <c r="F212" s="137">
        <v>10581</v>
      </c>
      <c r="G212" s="137">
        <v>13043</v>
      </c>
      <c r="H212" s="137">
        <f t="shared" si="41"/>
        <v>23624</v>
      </c>
      <c r="J212" s="137"/>
      <c r="K212" s="137"/>
      <c r="L212" s="137">
        <v>4760</v>
      </c>
      <c r="M212" s="137">
        <v>3060</v>
      </c>
      <c r="N212" s="137">
        <f t="shared" si="42"/>
        <v>7820</v>
      </c>
      <c r="P212" s="84" t="str">
        <f t="shared" si="43"/>
        <v/>
      </c>
      <c r="Q212" s="84" t="str">
        <f t="shared" si="44"/>
        <v/>
      </c>
      <c r="R212" s="84">
        <f t="shared" si="45"/>
        <v>0.44986296191286268</v>
      </c>
      <c r="S212" s="84">
        <f t="shared" si="46"/>
        <v>0.23460860231541822</v>
      </c>
      <c r="T212" s="84" t="str">
        <f>+IFERROR(#REF!/#REF!,"")</f>
        <v/>
      </c>
      <c r="U212" s="84" t="str">
        <f>+IFERROR(#REF!/#REF!,"")</f>
        <v/>
      </c>
      <c r="V212" s="84" t="str">
        <f>+IFERROR(#REF!/#REF!,"")</f>
        <v/>
      </c>
      <c r="W212" s="84" t="str">
        <f>+IFERROR(#REF!/#REF!,"")</f>
        <v/>
      </c>
      <c r="X212" s="84" t="str">
        <f>+IFERROR(#REF!/#REF!,"")</f>
        <v/>
      </c>
      <c r="Y212" s="84" t="str">
        <f>+IFERROR(#REF!/#REF!,"")</f>
        <v/>
      </c>
      <c r="Z212" s="84" t="str">
        <f>+IFERROR(#REF!/#REF!,"")</f>
        <v/>
      </c>
      <c r="AA212" s="84" t="str">
        <f>+IFERROR(#REF!/#REF!,"")</f>
        <v/>
      </c>
      <c r="AB212" s="84">
        <f t="shared" si="47"/>
        <v>0.33101930240433458</v>
      </c>
      <c r="AD212" s="139" t="str">
        <f t="shared" si="50"/>
        <v/>
      </c>
      <c r="AE212" s="139" t="str">
        <f t="shared" si="50"/>
        <v/>
      </c>
      <c r="AF212" s="139">
        <f t="shared" si="49"/>
        <v>-0.21525435959744446</v>
      </c>
      <c r="AG212" s="139"/>
      <c r="AH212" s="139"/>
      <c r="AI212" s="139"/>
      <c r="AJ212" s="139"/>
      <c r="AK212" s="139"/>
      <c r="AL212" s="139"/>
      <c r="AM212" s="139"/>
      <c r="AN212" s="139"/>
      <c r="AP212" s="82">
        <f t="shared" si="40"/>
        <v>7.3200904192171323E-6</v>
      </c>
      <c r="AQ212" s="82">
        <f t="shared" si="48"/>
        <v>0.99346817099018014</v>
      </c>
    </row>
    <row r="213" spans="2:43" x14ac:dyDescent="0.35">
      <c r="B213" s="83" t="s">
        <v>303</v>
      </c>
      <c r="D213" s="137"/>
      <c r="E213" s="137"/>
      <c r="F213" s="137"/>
      <c r="G213" s="137">
        <v>8034</v>
      </c>
      <c r="H213" s="137">
        <f t="shared" si="41"/>
        <v>8034</v>
      </c>
      <c r="J213" s="137"/>
      <c r="K213" s="137"/>
      <c r="L213" s="137"/>
      <c r="M213" s="137">
        <v>8034</v>
      </c>
      <c r="N213" s="137">
        <f t="shared" si="42"/>
        <v>8034</v>
      </c>
      <c r="P213" s="84" t="str">
        <f t="shared" si="43"/>
        <v/>
      </c>
      <c r="Q213" s="84" t="str">
        <f t="shared" si="44"/>
        <v/>
      </c>
      <c r="R213" s="84" t="str">
        <f t="shared" si="45"/>
        <v/>
      </c>
      <c r="S213" s="84">
        <f t="shared" si="46"/>
        <v>1</v>
      </c>
      <c r="T213" s="84" t="str">
        <f>+IFERROR(#REF!/#REF!,"")</f>
        <v/>
      </c>
      <c r="U213" s="84" t="str">
        <f>+IFERROR(#REF!/#REF!,"")</f>
        <v/>
      </c>
      <c r="V213" s="84" t="str">
        <f>+IFERROR(#REF!/#REF!,"")</f>
        <v/>
      </c>
      <c r="W213" s="84" t="str">
        <f>+IFERROR(#REF!/#REF!,"")</f>
        <v/>
      </c>
      <c r="X213" s="84" t="str">
        <f>+IFERROR(#REF!/#REF!,"")</f>
        <v/>
      </c>
      <c r="Y213" s="84" t="str">
        <f>+IFERROR(#REF!/#REF!,"")</f>
        <v/>
      </c>
      <c r="Z213" s="84" t="str">
        <f>+IFERROR(#REF!/#REF!,"")</f>
        <v/>
      </c>
      <c r="AA213" s="84" t="str">
        <f>+IFERROR(#REF!/#REF!,"")</f>
        <v/>
      </c>
      <c r="AB213" s="84">
        <f t="shared" si="47"/>
        <v>1</v>
      </c>
      <c r="AD213" s="139" t="str">
        <f t="shared" si="50"/>
        <v/>
      </c>
      <c r="AE213" s="139" t="str">
        <f t="shared" si="50"/>
        <v/>
      </c>
      <c r="AF213" s="139" t="str">
        <f t="shared" si="49"/>
        <v/>
      </c>
      <c r="AG213" s="139"/>
      <c r="AH213" s="139"/>
      <c r="AI213" s="139"/>
      <c r="AJ213" s="139"/>
      <c r="AK213" s="139"/>
      <c r="AL213" s="139"/>
      <c r="AM213" s="139"/>
      <c r="AN213" s="139"/>
      <c r="AP213" s="82">
        <f t="shared" si="40"/>
        <v>7.5204100291547875E-6</v>
      </c>
      <c r="AQ213" s="82">
        <f t="shared" si="48"/>
        <v>0.9934756914002093</v>
      </c>
    </row>
    <row r="214" spans="2:43" x14ac:dyDescent="0.35">
      <c r="B214" s="83" t="s">
        <v>293</v>
      </c>
      <c r="D214" s="137"/>
      <c r="E214" s="137"/>
      <c r="F214" s="137"/>
      <c r="G214" s="137"/>
      <c r="H214" s="137">
        <f t="shared" si="41"/>
        <v>0</v>
      </c>
      <c r="J214" s="137"/>
      <c r="K214" s="137"/>
      <c r="L214" s="137"/>
      <c r="M214" s="137"/>
      <c r="N214" s="137">
        <f t="shared" si="42"/>
        <v>0</v>
      </c>
      <c r="P214" s="84" t="str">
        <f t="shared" si="43"/>
        <v/>
      </c>
      <c r="Q214" s="84" t="str">
        <f t="shared" si="44"/>
        <v/>
      </c>
      <c r="R214" s="84" t="str">
        <f t="shared" si="45"/>
        <v/>
      </c>
      <c r="S214" s="84" t="str">
        <f t="shared" si="46"/>
        <v/>
      </c>
      <c r="T214" s="84" t="str">
        <f>+IFERROR(#REF!/#REF!,"")</f>
        <v/>
      </c>
      <c r="U214" s="84" t="str">
        <f>+IFERROR(#REF!/#REF!,"")</f>
        <v/>
      </c>
      <c r="V214" s="84" t="str">
        <f>+IFERROR(#REF!/#REF!,"")</f>
        <v/>
      </c>
      <c r="W214" s="84" t="str">
        <f>+IFERROR(#REF!/#REF!,"")</f>
        <v/>
      </c>
      <c r="X214" s="84" t="str">
        <f>+IFERROR(#REF!/#REF!,"")</f>
        <v/>
      </c>
      <c r="Y214" s="84" t="str">
        <f>+IFERROR(#REF!/#REF!,"")</f>
        <v/>
      </c>
      <c r="Z214" s="84" t="str">
        <f>+IFERROR(#REF!/#REF!,"")</f>
        <v/>
      </c>
      <c r="AA214" s="84" t="str">
        <f>+IFERROR(#REF!/#REF!,"")</f>
        <v/>
      </c>
      <c r="AB214" s="84" t="str">
        <f t="shared" si="47"/>
        <v/>
      </c>
      <c r="AD214" s="139" t="str">
        <f t="shared" si="50"/>
        <v/>
      </c>
      <c r="AE214" s="139" t="str">
        <f t="shared" si="50"/>
        <v/>
      </c>
      <c r="AF214" s="139" t="str">
        <f t="shared" si="49"/>
        <v/>
      </c>
      <c r="AG214" s="139"/>
      <c r="AH214" s="139"/>
      <c r="AI214" s="139"/>
      <c r="AJ214" s="139"/>
      <c r="AK214" s="139"/>
      <c r="AL214" s="139"/>
      <c r="AM214" s="139"/>
      <c r="AN214" s="139"/>
      <c r="AP214" s="82">
        <f t="shared" si="40"/>
        <v>0</v>
      </c>
      <c r="AQ214" s="82">
        <f t="shared" si="48"/>
        <v>0.9934756914002093</v>
      </c>
    </row>
    <row r="215" spans="2:43" x14ac:dyDescent="0.35">
      <c r="B215" s="83" t="s">
        <v>458</v>
      </c>
      <c r="D215" s="137">
        <v>96133</v>
      </c>
      <c r="E215" s="137">
        <v>87875</v>
      </c>
      <c r="F215" s="137">
        <v>154321</v>
      </c>
      <c r="G215" s="137">
        <v>117447</v>
      </c>
      <c r="H215" s="137">
        <f t="shared" si="41"/>
        <v>455776</v>
      </c>
      <c r="J215" s="137">
        <v>12996</v>
      </c>
      <c r="K215" s="137">
        <v>21848</v>
      </c>
      <c r="L215" s="137">
        <v>58779</v>
      </c>
      <c r="M215" s="137">
        <v>31612</v>
      </c>
      <c r="N215" s="137">
        <f t="shared" si="42"/>
        <v>125235</v>
      </c>
      <c r="P215" s="84">
        <f t="shared" si="43"/>
        <v>0.13518770869524513</v>
      </c>
      <c r="Q215" s="84">
        <f t="shared" si="44"/>
        <v>0.24862588904694169</v>
      </c>
      <c r="R215" s="84">
        <f t="shared" si="45"/>
        <v>0.38088788952896885</v>
      </c>
      <c r="S215" s="84">
        <f t="shared" si="46"/>
        <v>0.26915970608018935</v>
      </c>
      <c r="T215" s="84" t="str">
        <f>+IFERROR(#REF!/#REF!,"")</f>
        <v/>
      </c>
      <c r="U215" s="84" t="str">
        <f>+IFERROR(#REF!/#REF!,"")</f>
        <v/>
      </c>
      <c r="V215" s="84" t="str">
        <f>+IFERROR(#REF!/#REF!,"")</f>
        <v/>
      </c>
      <c r="W215" s="84" t="str">
        <f>+IFERROR(#REF!/#REF!,"")</f>
        <v/>
      </c>
      <c r="X215" s="84" t="str">
        <f>+IFERROR(#REF!/#REF!,"")</f>
        <v/>
      </c>
      <c r="Y215" s="84" t="str">
        <f>+IFERROR(#REF!/#REF!,"")</f>
        <v/>
      </c>
      <c r="Z215" s="84" t="str">
        <f>+IFERROR(#REF!/#REF!,"")</f>
        <v/>
      </c>
      <c r="AA215" s="84" t="str">
        <f>+IFERROR(#REF!/#REF!,"")</f>
        <v/>
      </c>
      <c r="AB215" s="84">
        <f t="shared" si="47"/>
        <v>0.27477313417117183</v>
      </c>
      <c r="AD215" s="139">
        <f t="shared" si="50"/>
        <v>0.11343818035169656</v>
      </c>
      <c r="AE215" s="139">
        <f t="shared" si="50"/>
        <v>0.13226200048202716</v>
      </c>
      <c r="AF215" s="139">
        <f t="shared" si="49"/>
        <v>-0.11172818344877949</v>
      </c>
      <c r="AG215" s="139"/>
      <c r="AH215" s="139"/>
      <c r="AI215" s="139"/>
      <c r="AJ215" s="139"/>
      <c r="AK215" s="139"/>
      <c r="AL215" s="139"/>
      <c r="AM215" s="139"/>
      <c r="AN215" s="139"/>
      <c r="AP215" s="82">
        <f t="shared" si="40"/>
        <v>1.1722909509599201E-4</v>
      </c>
      <c r="AQ215" s="82">
        <f t="shared" si="48"/>
        <v>0.99359292049530534</v>
      </c>
    </row>
    <row r="216" spans="2:43" x14ac:dyDescent="0.35">
      <c r="B216" s="83" t="s">
        <v>301</v>
      </c>
      <c r="D216" s="137"/>
      <c r="E216" s="137"/>
      <c r="F216" s="137"/>
      <c r="G216" s="137"/>
      <c r="H216" s="137">
        <f t="shared" si="41"/>
        <v>0</v>
      </c>
      <c r="J216" s="137"/>
      <c r="K216" s="137"/>
      <c r="L216" s="137"/>
      <c r="M216" s="137"/>
      <c r="N216" s="137">
        <f t="shared" si="42"/>
        <v>0</v>
      </c>
      <c r="P216" s="84" t="str">
        <f t="shared" si="43"/>
        <v/>
      </c>
      <c r="Q216" s="84" t="str">
        <f t="shared" si="44"/>
        <v/>
      </c>
      <c r="R216" s="84" t="str">
        <f t="shared" si="45"/>
        <v/>
      </c>
      <c r="S216" s="84" t="str">
        <f t="shared" si="46"/>
        <v/>
      </c>
      <c r="T216" s="84" t="str">
        <f>+IFERROR(#REF!/#REF!,"")</f>
        <v/>
      </c>
      <c r="U216" s="84" t="str">
        <f>+IFERROR(#REF!/#REF!,"")</f>
        <v/>
      </c>
      <c r="V216" s="84" t="str">
        <f>+IFERROR(#REF!/#REF!,"")</f>
        <v/>
      </c>
      <c r="W216" s="84" t="str">
        <f>+IFERROR(#REF!/#REF!,"")</f>
        <v/>
      </c>
      <c r="X216" s="84" t="str">
        <f>+IFERROR(#REF!/#REF!,"")</f>
        <v/>
      </c>
      <c r="Y216" s="84" t="str">
        <f>+IFERROR(#REF!/#REF!,"")</f>
        <v/>
      </c>
      <c r="Z216" s="84" t="str">
        <f>+IFERROR(#REF!/#REF!,"")</f>
        <v/>
      </c>
      <c r="AA216" s="84" t="str">
        <f>+IFERROR(#REF!/#REF!,"")</f>
        <v/>
      </c>
      <c r="AB216" s="84" t="str">
        <f t="shared" si="47"/>
        <v/>
      </c>
      <c r="AD216" s="139" t="str">
        <f t="shared" si="50"/>
        <v/>
      </c>
      <c r="AE216" s="139" t="str">
        <f t="shared" si="50"/>
        <v/>
      </c>
      <c r="AF216" s="139" t="str">
        <f t="shared" si="49"/>
        <v/>
      </c>
      <c r="AG216" s="139"/>
      <c r="AH216" s="139"/>
      <c r="AI216" s="139"/>
      <c r="AJ216" s="139"/>
      <c r="AK216" s="139"/>
      <c r="AL216" s="139"/>
      <c r="AM216" s="139"/>
      <c r="AN216" s="139"/>
      <c r="AP216" s="82">
        <f t="shared" si="40"/>
        <v>0</v>
      </c>
      <c r="AQ216" s="82">
        <f t="shared" si="48"/>
        <v>0.99359292049530534</v>
      </c>
    </row>
    <row r="217" spans="2:43" x14ac:dyDescent="0.35">
      <c r="B217" s="83" t="s">
        <v>295</v>
      </c>
      <c r="D217" s="137">
        <v>2291</v>
      </c>
      <c r="E217" s="137">
        <v>1892</v>
      </c>
      <c r="F217" s="137">
        <v>3026</v>
      </c>
      <c r="G217" s="137">
        <v>1997</v>
      </c>
      <c r="H217" s="137">
        <f t="shared" si="41"/>
        <v>9206</v>
      </c>
      <c r="J217" s="137">
        <v>340</v>
      </c>
      <c r="K217" s="137">
        <v>510</v>
      </c>
      <c r="L217" s="137">
        <v>554</v>
      </c>
      <c r="M217" s="137">
        <v>153</v>
      </c>
      <c r="N217" s="137">
        <f t="shared" si="42"/>
        <v>1557</v>
      </c>
      <c r="P217" s="84">
        <f t="shared" si="43"/>
        <v>0.14840680925360106</v>
      </c>
      <c r="Q217" s="84">
        <f t="shared" si="44"/>
        <v>0.26955602536997886</v>
      </c>
      <c r="R217" s="84">
        <f t="shared" si="45"/>
        <v>0.1830799735624587</v>
      </c>
      <c r="S217" s="84">
        <f t="shared" si="46"/>
        <v>7.6614922383575368E-2</v>
      </c>
      <c r="T217" s="84" t="str">
        <f>+IFERROR(#REF!/#REF!,"")</f>
        <v/>
      </c>
      <c r="U217" s="84" t="str">
        <f>+IFERROR(#REF!/#REF!,"")</f>
        <v/>
      </c>
      <c r="V217" s="84" t="str">
        <f>+IFERROR(#REF!/#REF!,"")</f>
        <v/>
      </c>
      <c r="W217" s="84" t="str">
        <f>+IFERROR(#REF!/#REF!,"")</f>
        <v/>
      </c>
      <c r="X217" s="84" t="str">
        <f>+IFERROR(#REF!/#REF!,"")</f>
        <v/>
      </c>
      <c r="Y217" s="84" t="str">
        <f>+IFERROR(#REF!/#REF!,"")</f>
        <v/>
      </c>
      <c r="Z217" s="84" t="str">
        <f>+IFERROR(#REF!/#REF!,"")</f>
        <v/>
      </c>
      <c r="AA217" s="84" t="str">
        <f>+IFERROR(#REF!/#REF!,"")</f>
        <v/>
      </c>
      <c r="AB217" s="84">
        <f t="shared" si="47"/>
        <v>0.1691288290245492</v>
      </c>
      <c r="AD217" s="139">
        <f t="shared" si="50"/>
        <v>0.1211492161163778</v>
      </c>
      <c r="AE217" s="139">
        <f t="shared" si="50"/>
        <v>-8.647605180752016E-2</v>
      </c>
      <c r="AF217" s="139">
        <f t="shared" si="49"/>
        <v>-0.10646505117888333</v>
      </c>
      <c r="AG217" s="139"/>
      <c r="AH217" s="139"/>
      <c r="AI217" s="139"/>
      <c r="AJ217" s="139"/>
      <c r="AK217" s="139"/>
      <c r="AL217" s="139"/>
      <c r="AM217" s="139"/>
      <c r="AN217" s="139"/>
      <c r="AP217" s="82">
        <f t="shared" si="40"/>
        <v>1.4574655732379891E-6</v>
      </c>
      <c r="AQ217" s="82">
        <f t="shared" si="48"/>
        <v>0.99359437796087857</v>
      </c>
    </row>
    <row r="218" spans="2:43" x14ac:dyDescent="0.35">
      <c r="B218" s="83" t="s">
        <v>459</v>
      </c>
      <c r="D218" s="137">
        <v>92357</v>
      </c>
      <c r="E218" s="137">
        <v>76269</v>
      </c>
      <c r="F218" s="137">
        <v>87687</v>
      </c>
      <c r="G218" s="137">
        <v>122273</v>
      </c>
      <c r="H218" s="137">
        <f t="shared" si="41"/>
        <v>378586</v>
      </c>
      <c r="J218" s="137">
        <v>8530</v>
      </c>
      <c r="K218" s="137">
        <v>8171</v>
      </c>
      <c r="L218" s="137">
        <v>8429</v>
      </c>
      <c r="M218" s="137">
        <v>8079</v>
      </c>
      <c r="N218" s="137">
        <f t="shared" si="42"/>
        <v>33209</v>
      </c>
      <c r="P218" s="84">
        <f t="shared" si="43"/>
        <v>9.2358998235109416E-2</v>
      </c>
      <c r="Q218" s="84">
        <f t="shared" si="44"/>
        <v>0.10713396006241067</v>
      </c>
      <c r="R218" s="84">
        <f t="shared" si="45"/>
        <v>9.6125993590840147E-2</v>
      </c>
      <c r="S218" s="84">
        <f t="shared" si="46"/>
        <v>6.6073458572211363E-2</v>
      </c>
      <c r="T218" s="84" t="str">
        <f>+IFERROR(#REF!/#REF!,"")</f>
        <v/>
      </c>
      <c r="U218" s="84" t="str">
        <f>+IFERROR(#REF!/#REF!,"")</f>
        <v/>
      </c>
      <c r="V218" s="84" t="str">
        <f>+IFERROR(#REF!/#REF!,"")</f>
        <v/>
      </c>
      <c r="W218" s="84" t="str">
        <f>+IFERROR(#REF!/#REF!,"")</f>
        <v/>
      </c>
      <c r="X218" s="84" t="str">
        <f>+IFERROR(#REF!/#REF!,"")</f>
        <v/>
      </c>
      <c r="Y218" s="84" t="str">
        <f>+IFERROR(#REF!/#REF!,"")</f>
        <v/>
      </c>
      <c r="Z218" s="84" t="str">
        <f>+IFERROR(#REF!/#REF!,"")</f>
        <v/>
      </c>
      <c r="AA218" s="84" t="str">
        <f>+IFERROR(#REF!/#REF!,"")</f>
        <v/>
      </c>
      <c r="AB218" s="84">
        <f t="shared" si="47"/>
        <v>8.7718510457333337E-2</v>
      </c>
      <c r="AD218" s="139">
        <f t="shared" si="50"/>
        <v>1.4774961827301258E-2</v>
      </c>
      <c r="AE218" s="139">
        <f t="shared" si="50"/>
        <v>-1.1007966471570527E-2</v>
      </c>
      <c r="AF218" s="139">
        <f t="shared" si="49"/>
        <v>-3.0052535018628784E-2</v>
      </c>
      <c r="AG218" s="139"/>
      <c r="AH218" s="139"/>
      <c r="AI218" s="139"/>
      <c r="AJ218" s="139"/>
      <c r="AK218" s="139"/>
      <c r="AL218" s="139"/>
      <c r="AM218" s="139"/>
      <c r="AN218" s="139"/>
      <c r="AP218" s="82">
        <f t="shared" si="40"/>
        <v>3.1086046385138332E-5</v>
      </c>
      <c r="AQ218" s="82">
        <f t="shared" si="48"/>
        <v>0.9936254640072637</v>
      </c>
    </row>
    <row r="219" spans="2:43" x14ac:dyDescent="0.35">
      <c r="B219" s="83" t="s">
        <v>305</v>
      </c>
      <c r="D219" s="137"/>
      <c r="E219" s="137"/>
      <c r="F219" s="137"/>
      <c r="G219" s="137"/>
      <c r="H219" s="137">
        <f t="shared" si="41"/>
        <v>0</v>
      </c>
      <c r="J219" s="137"/>
      <c r="K219" s="137"/>
      <c r="L219" s="137"/>
      <c r="M219" s="137"/>
      <c r="N219" s="137">
        <f t="shared" si="42"/>
        <v>0</v>
      </c>
      <c r="P219" s="84" t="str">
        <f t="shared" si="43"/>
        <v/>
      </c>
      <c r="Q219" s="84" t="str">
        <f t="shared" si="44"/>
        <v/>
      </c>
      <c r="R219" s="84" t="str">
        <f t="shared" si="45"/>
        <v/>
      </c>
      <c r="S219" s="84" t="str">
        <f t="shared" si="46"/>
        <v/>
      </c>
      <c r="T219" s="84" t="str">
        <f>+IFERROR(#REF!/#REF!,"")</f>
        <v/>
      </c>
      <c r="U219" s="84" t="str">
        <f>+IFERROR(#REF!/#REF!,"")</f>
        <v/>
      </c>
      <c r="V219" s="84" t="str">
        <f>+IFERROR(#REF!/#REF!,"")</f>
        <v/>
      </c>
      <c r="W219" s="84" t="str">
        <f>+IFERROR(#REF!/#REF!,"")</f>
        <v/>
      </c>
      <c r="X219" s="84" t="str">
        <f>+IFERROR(#REF!/#REF!,"")</f>
        <v/>
      </c>
      <c r="Y219" s="84" t="str">
        <f>+IFERROR(#REF!/#REF!,"")</f>
        <v/>
      </c>
      <c r="Z219" s="84" t="str">
        <f>+IFERROR(#REF!/#REF!,"")</f>
        <v/>
      </c>
      <c r="AA219" s="84" t="str">
        <f>+IFERROR(#REF!/#REF!,"")</f>
        <v/>
      </c>
      <c r="AB219" s="84" t="str">
        <f t="shared" si="47"/>
        <v/>
      </c>
      <c r="AD219" s="139" t="str">
        <f t="shared" si="50"/>
        <v/>
      </c>
      <c r="AE219" s="139" t="str">
        <f t="shared" si="50"/>
        <v/>
      </c>
      <c r="AF219" s="139" t="str">
        <f t="shared" si="50"/>
        <v/>
      </c>
      <c r="AG219" s="139"/>
      <c r="AH219" s="139"/>
      <c r="AI219" s="139"/>
      <c r="AJ219" s="139"/>
      <c r="AK219" s="139"/>
      <c r="AL219" s="139"/>
      <c r="AM219" s="139"/>
      <c r="AN219" s="139"/>
      <c r="AP219" s="82">
        <f t="shared" si="40"/>
        <v>0</v>
      </c>
      <c r="AQ219" s="82">
        <f t="shared" si="48"/>
        <v>0.9936254640072637</v>
      </c>
    </row>
    <row r="220" spans="2:43" x14ac:dyDescent="0.35">
      <c r="B220" s="83" t="s">
        <v>299</v>
      </c>
      <c r="D220" s="137">
        <v>5290</v>
      </c>
      <c r="E220" s="137">
        <v>13442</v>
      </c>
      <c r="F220" s="137">
        <v>17475</v>
      </c>
      <c r="G220" s="137">
        <v>7787</v>
      </c>
      <c r="H220" s="137">
        <f t="shared" si="41"/>
        <v>43994</v>
      </c>
      <c r="J220" s="137">
        <v>572</v>
      </c>
      <c r="K220" s="137">
        <v>390</v>
      </c>
      <c r="L220" s="137">
        <v>6924</v>
      </c>
      <c r="M220" s="137">
        <v>1424</v>
      </c>
      <c r="N220" s="137">
        <f t="shared" si="42"/>
        <v>9310</v>
      </c>
      <c r="P220" s="84">
        <f t="shared" si="43"/>
        <v>0.10812854442344046</v>
      </c>
      <c r="Q220" s="84">
        <f t="shared" si="44"/>
        <v>2.9013539651837523E-2</v>
      </c>
      <c r="R220" s="84">
        <f t="shared" si="45"/>
        <v>0.39622317596566525</v>
      </c>
      <c r="S220" s="84">
        <f t="shared" si="46"/>
        <v>0.1828688840374984</v>
      </c>
      <c r="T220" s="84" t="str">
        <f>+IFERROR(#REF!/#REF!,"")</f>
        <v/>
      </c>
      <c r="U220" s="84" t="str">
        <f>+IFERROR(#REF!/#REF!,"")</f>
        <v/>
      </c>
      <c r="V220" s="84" t="str">
        <f>+IFERROR(#REF!/#REF!,"")</f>
        <v/>
      </c>
      <c r="W220" s="84" t="str">
        <f>+IFERROR(#REF!/#REF!,"")</f>
        <v/>
      </c>
      <c r="X220" s="84" t="str">
        <f>+IFERROR(#REF!/#REF!,"")</f>
        <v/>
      </c>
      <c r="Y220" s="84" t="str">
        <f>+IFERROR(#REF!/#REF!,"")</f>
        <v/>
      </c>
      <c r="Z220" s="84" t="str">
        <f>+IFERROR(#REF!/#REF!,"")</f>
        <v/>
      </c>
      <c r="AA220" s="84" t="str">
        <f>+IFERROR(#REF!/#REF!,"")</f>
        <v/>
      </c>
      <c r="AB220" s="84">
        <f t="shared" si="47"/>
        <v>0.21161976633177251</v>
      </c>
      <c r="AD220" s="139">
        <f t="shared" si="50"/>
        <v>-7.9115004771602937E-2</v>
      </c>
      <c r="AE220" s="139">
        <f t="shared" si="50"/>
        <v>0.36720963631382775</v>
      </c>
      <c r="AF220" s="139">
        <f t="shared" si="50"/>
        <v>-0.21335429192816685</v>
      </c>
      <c r="AG220" s="139"/>
      <c r="AH220" s="139"/>
      <c r="AI220" s="139"/>
      <c r="AJ220" s="139"/>
      <c r="AK220" s="139"/>
      <c r="AL220" s="139"/>
      <c r="AM220" s="139"/>
      <c r="AN220" s="139"/>
      <c r="AP220" s="82">
        <f t="shared" si="40"/>
        <v>8.7148391052316498E-6</v>
      </c>
      <c r="AQ220" s="82">
        <f t="shared" si="48"/>
        <v>0.99363417884636895</v>
      </c>
    </row>
    <row r="221" spans="2:43" x14ac:dyDescent="0.35">
      <c r="B221" s="83" t="s">
        <v>294</v>
      </c>
      <c r="D221" s="137"/>
      <c r="E221" s="137"/>
      <c r="F221" s="137"/>
      <c r="G221" s="137"/>
      <c r="H221" s="137">
        <f t="shared" si="41"/>
        <v>0</v>
      </c>
      <c r="J221" s="137"/>
      <c r="K221" s="137"/>
      <c r="L221" s="137"/>
      <c r="M221" s="137"/>
      <c r="N221" s="137">
        <f t="shared" si="42"/>
        <v>0</v>
      </c>
      <c r="P221" s="84" t="str">
        <f t="shared" si="43"/>
        <v/>
      </c>
      <c r="Q221" s="84" t="str">
        <f t="shared" si="44"/>
        <v/>
      </c>
      <c r="R221" s="84" t="str">
        <f t="shared" si="45"/>
        <v/>
      </c>
      <c r="S221" s="84" t="str">
        <f t="shared" si="46"/>
        <v/>
      </c>
      <c r="T221" s="84" t="str">
        <f>+IFERROR(#REF!/#REF!,"")</f>
        <v/>
      </c>
      <c r="U221" s="84" t="str">
        <f>+IFERROR(#REF!/#REF!,"")</f>
        <v/>
      </c>
      <c r="V221" s="84" t="str">
        <f>+IFERROR(#REF!/#REF!,"")</f>
        <v/>
      </c>
      <c r="W221" s="84" t="str">
        <f>+IFERROR(#REF!/#REF!,"")</f>
        <v/>
      </c>
      <c r="X221" s="84" t="str">
        <f>+IFERROR(#REF!/#REF!,"")</f>
        <v/>
      </c>
      <c r="Y221" s="84" t="str">
        <f>+IFERROR(#REF!/#REF!,"")</f>
        <v/>
      </c>
      <c r="Z221" s="84" t="str">
        <f>+IFERROR(#REF!/#REF!,"")</f>
        <v/>
      </c>
      <c r="AA221" s="84" t="str">
        <f>+IFERROR(#REF!/#REF!,"")</f>
        <v/>
      </c>
      <c r="AB221" s="84" t="str">
        <f t="shared" si="47"/>
        <v/>
      </c>
      <c r="AD221" s="139" t="str">
        <f t="shared" si="50"/>
        <v/>
      </c>
      <c r="AE221" s="139" t="str">
        <f t="shared" si="50"/>
        <v/>
      </c>
      <c r="AF221" s="139" t="str">
        <f t="shared" si="50"/>
        <v/>
      </c>
      <c r="AG221" s="139"/>
      <c r="AH221" s="139"/>
      <c r="AI221" s="139"/>
      <c r="AJ221" s="139"/>
      <c r="AK221" s="139"/>
      <c r="AL221" s="139"/>
      <c r="AM221" s="139"/>
      <c r="AN221" s="139"/>
      <c r="AP221" s="82">
        <f t="shared" si="40"/>
        <v>0</v>
      </c>
      <c r="AQ221" s="82">
        <f t="shared" si="48"/>
        <v>0.99363417884636895</v>
      </c>
    </row>
    <row r="222" spans="2:43" x14ac:dyDescent="0.35">
      <c r="B222" s="83" t="s">
        <v>304</v>
      </c>
      <c r="D222" s="137">
        <v>62448</v>
      </c>
      <c r="E222" s="137">
        <v>48014</v>
      </c>
      <c r="F222" s="137">
        <v>174934</v>
      </c>
      <c r="G222" s="137">
        <v>199357</v>
      </c>
      <c r="H222" s="137">
        <f t="shared" si="41"/>
        <v>484753</v>
      </c>
      <c r="J222" s="137">
        <v>8155</v>
      </c>
      <c r="K222" s="137">
        <v>6734</v>
      </c>
      <c r="L222" s="137">
        <v>6818</v>
      </c>
      <c r="M222" s="137">
        <v>12810</v>
      </c>
      <c r="N222" s="137">
        <f t="shared" si="42"/>
        <v>34517</v>
      </c>
      <c r="P222" s="84">
        <f t="shared" si="43"/>
        <v>0.13058864975659748</v>
      </c>
      <c r="Q222" s="84">
        <f t="shared" si="44"/>
        <v>0.14025076019494315</v>
      </c>
      <c r="R222" s="84">
        <f t="shared" si="45"/>
        <v>3.8974699029348213E-2</v>
      </c>
      <c r="S222" s="84">
        <f t="shared" si="46"/>
        <v>6.4256584920519472E-2</v>
      </c>
      <c r="T222" s="84" t="str">
        <f>+IFERROR(#REF!/#REF!,"")</f>
        <v/>
      </c>
      <c r="U222" s="84" t="str">
        <f>+IFERROR(#REF!/#REF!,"")</f>
        <v/>
      </c>
      <c r="V222" s="84" t="str">
        <f>+IFERROR(#REF!/#REF!,"")</f>
        <v/>
      </c>
      <c r="W222" s="84" t="str">
        <f>+IFERROR(#REF!/#REF!,"")</f>
        <v/>
      </c>
      <c r="X222" s="84" t="str">
        <f>+IFERROR(#REF!/#REF!,"")</f>
        <v/>
      </c>
      <c r="Y222" s="84" t="str">
        <f>+IFERROR(#REF!/#REF!,"")</f>
        <v/>
      </c>
      <c r="Z222" s="84" t="str">
        <f>+IFERROR(#REF!/#REF!,"")</f>
        <v/>
      </c>
      <c r="AA222" s="84" t="str">
        <f>+IFERROR(#REF!/#REF!,"")</f>
        <v/>
      </c>
      <c r="AB222" s="84">
        <f t="shared" si="47"/>
        <v>7.1205335500760178E-2</v>
      </c>
      <c r="AD222" s="139">
        <f t="shared" si="50"/>
        <v>9.6621104383456669E-3</v>
      </c>
      <c r="AE222" s="139">
        <f t="shared" si="50"/>
        <v>-0.10127606116559493</v>
      </c>
      <c r="AF222" s="139">
        <f t="shared" si="50"/>
        <v>2.5281885891171259E-2</v>
      </c>
      <c r="AG222" s="139"/>
      <c r="AH222" s="139"/>
      <c r="AI222" s="139"/>
      <c r="AJ222" s="139"/>
      <c r="AK222" s="139"/>
      <c r="AL222" s="139"/>
      <c r="AM222" s="139"/>
      <c r="AN222" s="139"/>
      <c r="AP222" s="82">
        <f t="shared" si="40"/>
        <v>3.2310429795411474E-5</v>
      </c>
      <c r="AQ222" s="82">
        <f t="shared" si="48"/>
        <v>0.99366648927616441</v>
      </c>
    </row>
    <row r="223" spans="2:43" x14ac:dyDescent="0.35">
      <c r="B223" s="83" t="s">
        <v>291</v>
      </c>
      <c r="D223" s="137">
        <v>2110</v>
      </c>
      <c r="E223" s="137"/>
      <c r="F223" s="137">
        <v>8000</v>
      </c>
      <c r="G223" s="137"/>
      <c r="H223" s="137">
        <f t="shared" si="41"/>
        <v>10110</v>
      </c>
      <c r="J223" s="137">
        <v>2110</v>
      </c>
      <c r="K223" s="137"/>
      <c r="L223" s="137">
        <v>8000</v>
      </c>
      <c r="M223" s="137"/>
      <c r="N223" s="137">
        <f t="shared" si="42"/>
        <v>10110</v>
      </c>
      <c r="P223" s="84">
        <f t="shared" si="43"/>
        <v>1</v>
      </c>
      <c r="Q223" s="84" t="str">
        <f t="shared" si="44"/>
        <v/>
      </c>
      <c r="R223" s="84">
        <f t="shared" si="45"/>
        <v>1</v>
      </c>
      <c r="S223" s="84" t="str">
        <f t="shared" si="46"/>
        <v/>
      </c>
      <c r="T223" s="84" t="str">
        <f>+IFERROR(#REF!/#REF!,"")</f>
        <v/>
      </c>
      <c r="U223" s="84" t="str">
        <f>+IFERROR(#REF!/#REF!,"")</f>
        <v/>
      </c>
      <c r="V223" s="84" t="str">
        <f>+IFERROR(#REF!/#REF!,"")</f>
        <v/>
      </c>
      <c r="W223" s="84" t="str">
        <f>+IFERROR(#REF!/#REF!,"")</f>
        <v/>
      </c>
      <c r="X223" s="84" t="str">
        <f>+IFERROR(#REF!/#REF!,"")</f>
        <v/>
      </c>
      <c r="Y223" s="84" t="str">
        <f>+IFERROR(#REF!/#REF!,"")</f>
        <v/>
      </c>
      <c r="Z223" s="84" t="str">
        <f>+IFERROR(#REF!/#REF!,"")</f>
        <v/>
      </c>
      <c r="AA223" s="84" t="str">
        <f>+IFERROR(#REF!/#REF!,"")</f>
        <v/>
      </c>
      <c r="AB223" s="84">
        <f t="shared" si="47"/>
        <v>1</v>
      </c>
      <c r="AD223" s="139" t="str">
        <f t="shared" si="50"/>
        <v/>
      </c>
      <c r="AE223" s="139" t="str">
        <f t="shared" si="50"/>
        <v/>
      </c>
      <c r="AF223" s="139" t="str">
        <f t="shared" si="50"/>
        <v/>
      </c>
      <c r="AG223" s="139"/>
      <c r="AH223" s="139"/>
      <c r="AI223" s="139"/>
      <c r="AJ223" s="139"/>
      <c r="AK223" s="139"/>
      <c r="AL223" s="139"/>
      <c r="AM223" s="139"/>
      <c r="AN223" s="139"/>
      <c r="AP223" s="82">
        <f t="shared" si="40"/>
        <v>9.4636974601387722E-6</v>
      </c>
      <c r="AQ223" s="82">
        <f t="shared" si="48"/>
        <v>0.99367595297362454</v>
      </c>
    </row>
    <row r="224" spans="2:43" x14ac:dyDescent="0.35">
      <c r="B224" s="83" t="s">
        <v>460</v>
      </c>
      <c r="D224" s="137"/>
      <c r="E224" s="137"/>
      <c r="F224" s="137"/>
      <c r="G224" s="137"/>
      <c r="H224" s="137">
        <f t="shared" si="41"/>
        <v>0</v>
      </c>
      <c r="J224" s="137"/>
      <c r="K224" s="137"/>
      <c r="L224" s="137"/>
      <c r="M224" s="137"/>
      <c r="N224" s="137">
        <f t="shared" si="42"/>
        <v>0</v>
      </c>
      <c r="P224" s="84" t="str">
        <f t="shared" si="43"/>
        <v/>
      </c>
      <c r="Q224" s="84" t="str">
        <f t="shared" si="44"/>
        <v/>
      </c>
      <c r="R224" s="84" t="str">
        <f t="shared" si="45"/>
        <v/>
      </c>
      <c r="S224" s="84" t="str">
        <f t="shared" si="46"/>
        <v/>
      </c>
      <c r="T224" s="84" t="str">
        <f>+IFERROR(#REF!/#REF!,"")</f>
        <v/>
      </c>
      <c r="U224" s="84" t="str">
        <f>+IFERROR(#REF!/#REF!,"")</f>
        <v/>
      </c>
      <c r="V224" s="84" t="str">
        <f>+IFERROR(#REF!/#REF!,"")</f>
        <v/>
      </c>
      <c r="W224" s="84" t="str">
        <f>+IFERROR(#REF!/#REF!,"")</f>
        <v/>
      </c>
      <c r="X224" s="84" t="str">
        <f>+IFERROR(#REF!/#REF!,"")</f>
        <v/>
      </c>
      <c r="Y224" s="84" t="str">
        <f>+IFERROR(#REF!/#REF!,"")</f>
        <v/>
      </c>
      <c r="Z224" s="84" t="str">
        <f>+IFERROR(#REF!/#REF!,"")</f>
        <v/>
      </c>
      <c r="AA224" s="84" t="str">
        <f>+IFERROR(#REF!/#REF!,"")</f>
        <v/>
      </c>
      <c r="AB224" s="84" t="str">
        <f t="shared" si="47"/>
        <v/>
      </c>
      <c r="AD224" s="139" t="str">
        <f t="shared" si="50"/>
        <v/>
      </c>
      <c r="AE224" s="139" t="str">
        <f t="shared" si="50"/>
        <v/>
      </c>
      <c r="AF224" s="139" t="str">
        <f t="shared" si="50"/>
        <v/>
      </c>
      <c r="AG224" s="139"/>
      <c r="AH224" s="139"/>
      <c r="AI224" s="139"/>
      <c r="AJ224" s="139"/>
      <c r="AK224" s="139"/>
      <c r="AL224" s="139"/>
      <c r="AM224" s="139"/>
      <c r="AN224" s="139"/>
      <c r="AP224" s="82">
        <f t="shared" si="40"/>
        <v>0</v>
      </c>
      <c r="AQ224" s="82">
        <f t="shared" si="48"/>
        <v>0.99367595297362454</v>
      </c>
    </row>
    <row r="225" spans="2:43" x14ac:dyDescent="0.35">
      <c r="B225" s="83" t="s">
        <v>461</v>
      </c>
      <c r="D225" s="137">
        <v>11669154</v>
      </c>
      <c r="E225" s="137">
        <v>9108259</v>
      </c>
      <c r="F225" s="137">
        <v>7988161</v>
      </c>
      <c r="G225" s="137">
        <v>8259525</v>
      </c>
      <c r="H225" s="137">
        <f t="shared" si="41"/>
        <v>37025099</v>
      </c>
      <c r="J225" s="137">
        <v>1907911</v>
      </c>
      <c r="K225" s="137">
        <v>1603146</v>
      </c>
      <c r="L225" s="137">
        <v>1583210</v>
      </c>
      <c r="M225" s="137">
        <v>1624104</v>
      </c>
      <c r="N225" s="137">
        <f t="shared" si="42"/>
        <v>6718371</v>
      </c>
      <c r="P225" s="84">
        <f t="shared" si="43"/>
        <v>0.16350037029248221</v>
      </c>
      <c r="Q225" s="84">
        <f t="shared" si="44"/>
        <v>0.17601014639570525</v>
      </c>
      <c r="R225" s="84">
        <f t="shared" si="45"/>
        <v>0.1981945531643641</v>
      </c>
      <c r="S225" s="84">
        <f t="shared" si="46"/>
        <v>0.19663406793974231</v>
      </c>
      <c r="T225" s="84" t="str">
        <f>+IFERROR(#REF!/#REF!,"")</f>
        <v/>
      </c>
      <c r="U225" s="84" t="str">
        <f>+IFERROR(#REF!/#REF!,"")</f>
        <v/>
      </c>
      <c r="V225" s="84" t="str">
        <f>+IFERROR(#REF!/#REF!,"")</f>
        <v/>
      </c>
      <c r="W225" s="84" t="str">
        <f>+IFERROR(#REF!/#REF!,"")</f>
        <v/>
      </c>
      <c r="X225" s="84" t="str">
        <f>+IFERROR(#REF!/#REF!,"")</f>
        <v/>
      </c>
      <c r="Y225" s="84" t="str">
        <f>+IFERROR(#REF!/#REF!,"")</f>
        <v/>
      </c>
      <c r="Z225" s="84" t="str">
        <f>+IFERROR(#REF!/#REF!,"")</f>
        <v/>
      </c>
      <c r="AA225" s="84" t="str">
        <f>+IFERROR(#REF!/#REF!,"")</f>
        <v/>
      </c>
      <c r="AB225" s="84">
        <f t="shared" si="47"/>
        <v>0.18145450468613197</v>
      </c>
      <c r="AD225" s="139">
        <f t="shared" si="50"/>
        <v>1.2509776103223041E-2</v>
      </c>
      <c r="AE225" s="139">
        <f t="shared" si="50"/>
        <v>2.2184406768658849E-2</v>
      </c>
      <c r="AF225" s="139">
        <f t="shared" si="50"/>
        <v>-1.5604852246217937E-3</v>
      </c>
      <c r="AG225" s="139"/>
      <c r="AH225" s="139"/>
      <c r="AI225" s="139"/>
      <c r="AJ225" s="139"/>
      <c r="AK225" s="139"/>
      <c r="AL225" s="139"/>
      <c r="AM225" s="139"/>
      <c r="AN225" s="139"/>
      <c r="AP225" s="82">
        <f t="shared" si="40"/>
        <v>6.2888853183946571E-3</v>
      </c>
      <c r="AQ225" s="82">
        <f t="shared" si="48"/>
        <v>0.99996483829201921</v>
      </c>
    </row>
    <row r="226" spans="2:43" x14ac:dyDescent="0.35">
      <c r="B226" s="83" t="s">
        <v>462</v>
      </c>
      <c r="D226" s="137"/>
      <c r="E226" s="137"/>
      <c r="F226" s="137"/>
      <c r="G226" s="137"/>
      <c r="H226" s="137">
        <f t="shared" si="41"/>
        <v>0</v>
      </c>
      <c r="J226" s="137"/>
      <c r="K226" s="137"/>
      <c r="L226" s="137"/>
      <c r="M226" s="137"/>
      <c r="N226" s="137">
        <f t="shared" si="42"/>
        <v>0</v>
      </c>
      <c r="P226" s="84" t="str">
        <f t="shared" si="43"/>
        <v/>
      </c>
      <c r="Q226" s="84" t="str">
        <f t="shared" si="44"/>
        <v/>
      </c>
      <c r="R226" s="84" t="str">
        <f t="shared" si="45"/>
        <v/>
      </c>
      <c r="S226" s="84" t="str">
        <f t="shared" si="46"/>
        <v/>
      </c>
      <c r="T226" s="84" t="str">
        <f>+IFERROR(#REF!/#REF!,"")</f>
        <v/>
      </c>
      <c r="U226" s="84" t="str">
        <f>+IFERROR(#REF!/#REF!,"")</f>
        <v/>
      </c>
      <c r="V226" s="84" t="str">
        <f>+IFERROR(#REF!/#REF!,"")</f>
        <v/>
      </c>
      <c r="W226" s="84" t="str">
        <f>+IFERROR(#REF!/#REF!,"")</f>
        <v/>
      </c>
      <c r="X226" s="84" t="str">
        <f>+IFERROR(#REF!/#REF!,"")</f>
        <v/>
      </c>
      <c r="Y226" s="84" t="str">
        <f>+IFERROR(#REF!/#REF!,"")</f>
        <v/>
      </c>
      <c r="Z226" s="84" t="str">
        <f>+IFERROR(#REF!/#REF!,"")</f>
        <v/>
      </c>
      <c r="AA226" s="84" t="str">
        <f>+IFERROR(#REF!/#REF!,"")</f>
        <v/>
      </c>
      <c r="AB226" s="84" t="str">
        <f t="shared" si="47"/>
        <v/>
      </c>
      <c r="AD226" s="139" t="str">
        <f t="shared" si="50"/>
        <v/>
      </c>
      <c r="AE226" s="139" t="str">
        <f t="shared" si="50"/>
        <v/>
      </c>
      <c r="AF226" s="139" t="str">
        <f t="shared" si="50"/>
        <v/>
      </c>
      <c r="AG226" s="139"/>
      <c r="AH226" s="139"/>
      <c r="AI226" s="139"/>
      <c r="AJ226" s="139"/>
      <c r="AK226" s="139"/>
      <c r="AL226" s="139"/>
      <c r="AM226" s="139"/>
      <c r="AN226" s="139"/>
      <c r="AP226" s="82">
        <f t="shared" si="40"/>
        <v>0</v>
      </c>
      <c r="AQ226" s="82">
        <f t="shared" si="48"/>
        <v>0.99996483829201921</v>
      </c>
    </row>
    <row r="227" spans="2:43" x14ac:dyDescent="0.35">
      <c r="B227" s="83" t="s">
        <v>463</v>
      </c>
      <c r="D227" s="137"/>
      <c r="E227" s="137"/>
      <c r="F227" s="137"/>
      <c r="G227" s="137"/>
      <c r="H227" s="137">
        <f t="shared" si="41"/>
        <v>0</v>
      </c>
      <c r="J227" s="137"/>
      <c r="K227" s="137"/>
      <c r="L227" s="137"/>
      <c r="M227" s="137"/>
      <c r="N227" s="137">
        <f t="shared" si="42"/>
        <v>0</v>
      </c>
      <c r="P227" s="84" t="str">
        <f t="shared" si="43"/>
        <v/>
      </c>
      <c r="Q227" s="84" t="str">
        <f t="shared" si="44"/>
        <v/>
      </c>
      <c r="R227" s="84" t="str">
        <f t="shared" si="45"/>
        <v/>
      </c>
      <c r="S227" s="84" t="str">
        <f t="shared" si="46"/>
        <v/>
      </c>
      <c r="T227" s="84" t="str">
        <f>+IFERROR(#REF!/#REF!,"")</f>
        <v/>
      </c>
      <c r="U227" s="84" t="str">
        <f>+IFERROR(#REF!/#REF!,"")</f>
        <v/>
      </c>
      <c r="V227" s="84" t="str">
        <f>+IFERROR(#REF!/#REF!,"")</f>
        <v/>
      </c>
      <c r="W227" s="84" t="str">
        <f>+IFERROR(#REF!/#REF!,"")</f>
        <v/>
      </c>
      <c r="X227" s="84" t="str">
        <f>+IFERROR(#REF!/#REF!,"")</f>
        <v/>
      </c>
      <c r="Y227" s="84" t="str">
        <f>+IFERROR(#REF!/#REF!,"")</f>
        <v/>
      </c>
      <c r="Z227" s="84" t="str">
        <f>+IFERROR(#REF!/#REF!,"")</f>
        <v/>
      </c>
      <c r="AA227" s="84" t="str">
        <f>+IFERROR(#REF!/#REF!,"")</f>
        <v/>
      </c>
      <c r="AB227" s="84" t="str">
        <f t="shared" si="47"/>
        <v/>
      </c>
      <c r="AD227" s="139" t="str">
        <f t="shared" si="50"/>
        <v/>
      </c>
      <c r="AE227" s="139" t="str">
        <f t="shared" si="50"/>
        <v/>
      </c>
      <c r="AF227" s="139" t="str">
        <f t="shared" si="50"/>
        <v/>
      </c>
      <c r="AG227" s="139"/>
      <c r="AH227" s="139"/>
      <c r="AI227" s="139"/>
      <c r="AJ227" s="139"/>
      <c r="AK227" s="139"/>
      <c r="AL227" s="139"/>
      <c r="AM227" s="139"/>
      <c r="AN227" s="139"/>
      <c r="AP227" s="82">
        <f t="shared" si="40"/>
        <v>0</v>
      </c>
      <c r="AQ227" s="82">
        <f t="shared" si="48"/>
        <v>0.99996483829201921</v>
      </c>
    </row>
    <row r="228" spans="2:43" x14ac:dyDescent="0.35">
      <c r="B228" s="83" t="s">
        <v>464</v>
      </c>
      <c r="D228" s="137">
        <v>9717</v>
      </c>
      <c r="E228" s="137">
        <v>7685</v>
      </c>
      <c r="F228" s="137">
        <v>5070</v>
      </c>
      <c r="G228" s="137">
        <v>10480</v>
      </c>
      <c r="H228" s="137">
        <f t="shared" si="41"/>
        <v>32952</v>
      </c>
      <c r="J228" s="137">
        <v>2000</v>
      </c>
      <c r="K228" s="137">
        <v>1900</v>
      </c>
      <c r="L228" s="137">
        <v>1000</v>
      </c>
      <c r="M228" s="137">
        <v>4980</v>
      </c>
      <c r="N228" s="137">
        <f t="shared" si="42"/>
        <v>9880</v>
      </c>
      <c r="P228" s="84">
        <f t="shared" si="43"/>
        <v>0.20582484305855717</v>
      </c>
      <c r="Q228" s="84">
        <f t="shared" si="44"/>
        <v>0.24723487312947301</v>
      </c>
      <c r="R228" s="84">
        <f t="shared" si="45"/>
        <v>0.19723865877712032</v>
      </c>
      <c r="S228" s="84">
        <f t="shared" si="46"/>
        <v>0.47519083969465647</v>
      </c>
      <c r="T228" s="84" t="str">
        <f>+IFERROR(#REF!/#REF!,"")</f>
        <v/>
      </c>
      <c r="U228" s="84" t="str">
        <f>+IFERROR(#REF!/#REF!,"")</f>
        <v/>
      </c>
      <c r="V228" s="84" t="str">
        <f>+IFERROR(#REF!/#REF!,"")</f>
        <v/>
      </c>
      <c r="W228" s="84" t="str">
        <f>+IFERROR(#REF!/#REF!,"")</f>
        <v/>
      </c>
      <c r="X228" s="84" t="str">
        <f>+IFERROR(#REF!/#REF!,"")</f>
        <v/>
      </c>
      <c r="Y228" s="84" t="str">
        <f>+IFERROR(#REF!/#REF!,"")</f>
        <v/>
      </c>
      <c r="Z228" s="84" t="str">
        <f>+IFERROR(#REF!/#REF!,"")</f>
        <v/>
      </c>
      <c r="AA228" s="84" t="str">
        <f>+IFERROR(#REF!/#REF!,"")</f>
        <v/>
      </c>
      <c r="AB228" s="84">
        <f t="shared" si="47"/>
        <v>0.29983005583879585</v>
      </c>
      <c r="AD228" s="139">
        <f t="shared" si="50"/>
        <v>4.1410030070915843E-2</v>
      </c>
      <c r="AE228" s="139">
        <f t="shared" si="50"/>
        <v>-4.9996214352352686E-2</v>
      </c>
      <c r="AF228" s="139">
        <f t="shared" si="50"/>
        <v>0.27795218091753615</v>
      </c>
      <c r="AG228" s="139"/>
      <c r="AH228" s="139"/>
      <c r="AI228" s="139"/>
      <c r="AJ228" s="139"/>
      <c r="AK228" s="139"/>
      <c r="AL228" s="139"/>
      <c r="AM228" s="139"/>
      <c r="AN228" s="139"/>
      <c r="AP228" s="82">
        <f t="shared" si="40"/>
        <v>9.2484006831029741E-6</v>
      </c>
      <c r="AQ228" s="82">
        <f t="shared" si="48"/>
        <v>0.99997408669270227</v>
      </c>
    </row>
    <row r="229" spans="2:43" x14ac:dyDescent="0.35">
      <c r="B229" s="83" t="s">
        <v>465</v>
      </c>
      <c r="D229" s="137"/>
      <c r="E229" s="137"/>
      <c r="F229" s="137"/>
      <c r="G229" s="137"/>
      <c r="H229" s="137">
        <f t="shared" si="41"/>
        <v>0</v>
      </c>
      <c r="J229" s="137"/>
      <c r="K229" s="137"/>
      <c r="L229" s="137"/>
      <c r="M229" s="137"/>
      <c r="N229" s="137">
        <f t="shared" si="42"/>
        <v>0</v>
      </c>
      <c r="P229" s="84" t="str">
        <f t="shared" si="43"/>
        <v/>
      </c>
      <c r="Q229" s="84" t="str">
        <f t="shared" si="44"/>
        <v/>
      </c>
      <c r="R229" s="84" t="str">
        <f t="shared" si="45"/>
        <v/>
      </c>
      <c r="S229" s="84" t="str">
        <f t="shared" si="46"/>
        <v/>
      </c>
      <c r="T229" s="84" t="str">
        <f>+IFERROR(#REF!/#REF!,"")</f>
        <v/>
      </c>
      <c r="U229" s="84" t="str">
        <f>+IFERROR(#REF!/#REF!,"")</f>
        <v/>
      </c>
      <c r="V229" s="84" t="str">
        <f>+IFERROR(#REF!/#REF!,"")</f>
        <v/>
      </c>
      <c r="W229" s="84" t="str">
        <f>+IFERROR(#REF!/#REF!,"")</f>
        <v/>
      </c>
      <c r="X229" s="84" t="str">
        <f>+IFERROR(#REF!/#REF!,"")</f>
        <v/>
      </c>
      <c r="Y229" s="84" t="str">
        <f>+IFERROR(#REF!/#REF!,"")</f>
        <v/>
      </c>
      <c r="Z229" s="84" t="str">
        <f>+IFERROR(#REF!/#REF!,"")</f>
        <v/>
      </c>
      <c r="AA229" s="84" t="str">
        <f>+IFERROR(#REF!/#REF!,"")</f>
        <v/>
      </c>
      <c r="AB229" s="84" t="str">
        <f t="shared" si="47"/>
        <v/>
      </c>
      <c r="AD229" s="139" t="str">
        <f t="shared" si="50"/>
        <v/>
      </c>
      <c r="AE229" s="139" t="str">
        <f t="shared" si="50"/>
        <v/>
      </c>
      <c r="AF229" s="139" t="str">
        <f t="shared" si="50"/>
        <v/>
      </c>
      <c r="AG229" s="139"/>
      <c r="AH229" s="139"/>
      <c r="AI229" s="139"/>
      <c r="AJ229" s="139"/>
      <c r="AK229" s="139"/>
      <c r="AL229" s="139"/>
      <c r="AM229" s="139"/>
      <c r="AN229" s="139"/>
      <c r="AP229" s="82">
        <f t="shared" si="40"/>
        <v>0</v>
      </c>
      <c r="AQ229" s="82">
        <f t="shared" si="48"/>
        <v>0.99997408669270227</v>
      </c>
    </row>
    <row r="230" spans="2:43" x14ac:dyDescent="0.35">
      <c r="B230" s="83" t="s">
        <v>466</v>
      </c>
      <c r="D230" s="137">
        <v>428</v>
      </c>
      <c r="E230" s="137"/>
      <c r="F230" s="137">
        <v>42103</v>
      </c>
      <c r="G230" s="137">
        <v>48074</v>
      </c>
      <c r="H230" s="137">
        <f t="shared" si="41"/>
        <v>90605</v>
      </c>
      <c r="J230" s="137">
        <v>98</v>
      </c>
      <c r="K230" s="137"/>
      <c r="L230" s="137">
        <v>3382</v>
      </c>
      <c r="M230" s="137">
        <v>17495</v>
      </c>
      <c r="N230" s="137">
        <f t="shared" si="42"/>
        <v>20975</v>
      </c>
      <c r="P230" s="84">
        <f t="shared" si="43"/>
        <v>0.22897196261682243</v>
      </c>
      <c r="Q230" s="84" t="str">
        <f t="shared" si="44"/>
        <v/>
      </c>
      <c r="R230" s="84">
        <f t="shared" si="45"/>
        <v>8.0326817566444192E-2</v>
      </c>
      <c r="S230" s="84">
        <f t="shared" si="46"/>
        <v>0.36391812622207431</v>
      </c>
      <c r="T230" s="84" t="str">
        <f>+IFERROR(#REF!/#REF!,"")</f>
        <v/>
      </c>
      <c r="U230" s="84" t="str">
        <f>+IFERROR(#REF!/#REF!,"")</f>
        <v/>
      </c>
      <c r="V230" s="84" t="str">
        <f>+IFERROR(#REF!/#REF!,"")</f>
        <v/>
      </c>
      <c r="W230" s="84" t="str">
        <f>+IFERROR(#REF!/#REF!,"")</f>
        <v/>
      </c>
      <c r="X230" s="84" t="str">
        <f>+IFERROR(#REF!/#REF!,"")</f>
        <v/>
      </c>
      <c r="Y230" s="84" t="str">
        <f>+IFERROR(#REF!/#REF!,"")</f>
        <v/>
      </c>
      <c r="Z230" s="84" t="str">
        <f>+IFERROR(#REF!/#REF!,"")</f>
        <v/>
      </c>
      <c r="AA230" s="84" t="str">
        <f>+IFERROR(#REF!/#REF!,"")</f>
        <v/>
      </c>
      <c r="AB230" s="84">
        <f t="shared" si="47"/>
        <v>0.23149936537718668</v>
      </c>
      <c r="AD230" s="139" t="str">
        <f t="shared" si="50"/>
        <v/>
      </c>
      <c r="AE230" s="139" t="str">
        <f t="shared" si="50"/>
        <v/>
      </c>
      <c r="AF230" s="139">
        <f t="shared" si="50"/>
        <v>0.28359130865563009</v>
      </c>
      <c r="AG230" s="139"/>
      <c r="AH230" s="139"/>
      <c r="AI230" s="139"/>
      <c r="AJ230" s="139"/>
      <c r="AK230" s="139"/>
      <c r="AL230" s="139"/>
      <c r="AM230" s="139"/>
      <c r="AN230" s="139"/>
      <c r="AP230" s="82">
        <f t="shared" si="40"/>
        <v>1.9634129992721142E-5</v>
      </c>
      <c r="AQ230" s="82">
        <f t="shared" si="48"/>
        <v>0.999993720822695</v>
      </c>
    </row>
    <row r="231" spans="2:43" x14ac:dyDescent="0.35">
      <c r="B231" s="83" t="s">
        <v>467</v>
      </c>
      <c r="D231" s="137"/>
      <c r="E231" s="137"/>
      <c r="F231" s="137"/>
      <c r="G231" s="137"/>
      <c r="H231" s="137">
        <f t="shared" si="41"/>
        <v>0</v>
      </c>
      <c r="J231" s="137"/>
      <c r="K231" s="137"/>
      <c r="L231" s="137"/>
      <c r="M231" s="137"/>
      <c r="N231" s="137">
        <f t="shared" si="42"/>
        <v>0</v>
      </c>
      <c r="P231" s="84" t="str">
        <f t="shared" si="43"/>
        <v/>
      </c>
      <c r="Q231" s="84" t="str">
        <f t="shared" si="44"/>
        <v/>
      </c>
      <c r="R231" s="84" t="str">
        <f t="shared" si="45"/>
        <v/>
      </c>
      <c r="S231" s="84" t="str">
        <f t="shared" si="46"/>
        <v/>
      </c>
      <c r="T231" s="84" t="str">
        <f>+IFERROR(#REF!/#REF!,"")</f>
        <v/>
      </c>
      <c r="U231" s="84" t="str">
        <f>+IFERROR(#REF!/#REF!,"")</f>
        <v/>
      </c>
      <c r="V231" s="84" t="str">
        <f>+IFERROR(#REF!/#REF!,"")</f>
        <v/>
      </c>
      <c r="W231" s="84" t="str">
        <f>+IFERROR(#REF!/#REF!,"")</f>
        <v/>
      </c>
      <c r="X231" s="84" t="str">
        <f>+IFERROR(#REF!/#REF!,"")</f>
        <v/>
      </c>
      <c r="Y231" s="84" t="str">
        <f>+IFERROR(#REF!/#REF!,"")</f>
        <v/>
      </c>
      <c r="Z231" s="84" t="str">
        <f>+IFERROR(#REF!/#REF!,"")</f>
        <v/>
      </c>
      <c r="AA231" s="84" t="str">
        <f>+IFERROR(#REF!/#REF!,"")</f>
        <v/>
      </c>
      <c r="AB231" s="84" t="str">
        <f t="shared" si="47"/>
        <v/>
      </c>
      <c r="AD231" s="139" t="str">
        <f t="shared" si="50"/>
        <v/>
      </c>
      <c r="AE231" s="139" t="str">
        <f t="shared" si="50"/>
        <v/>
      </c>
      <c r="AF231" s="139" t="str">
        <f t="shared" si="50"/>
        <v/>
      </c>
      <c r="AG231" s="139"/>
      <c r="AH231" s="139"/>
      <c r="AI231" s="139"/>
      <c r="AJ231" s="139"/>
      <c r="AK231" s="139"/>
      <c r="AL231" s="139"/>
      <c r="AM231" s="139"/>
      <c r="AN231" s="139"/>
      <c r="AP231" s="82">
        <f t="shared" si="40"/>
        <v>0</v>
      </c>
      <c r="AQ231" s="82">
        <f t="shared" si="48"/>
        <v>0.999993720822695</v>
      </c>
    </row>
    <row r="232" spans="2:43" x14ac:dyDescent="0.35">
      <c r="B232" s="83" t="s">
        <v>468</v>
      </c>
      <c r="D232" s="137"/>
      <c r="E232" s="137">
        <v>717</v>
      </c>
      <c r="F232" s="137">
        <v>6569</v>
      </c>
      <c r="G232" s="137">
        <v>8460</v>
      </c>
      <c r="H232" s="137">
        <f t="shared" si="41"/>
        <v>15746</v>
      </c>
      <c r="J232" s="137"/>
      <c r="K232" s="137">
        <v>214</v>
      </c>
      <c r="L232" s="137">
        <v>6054</v>
      </c>
      <c r="M232" s="137">
        <v>440</v>
      </c>
      <c r="N232" s="137">
        <f t="shared" si="42"/>
        <v>6708</v>
      </c>
      <c r="P232" s="84" t="str">
        <f t="shared" si="43"/>
        <v/>
      </c>
      <c r="Q232" s="84">
        <f t="shared" si="44"/>
        <v>0.29846582984658299</v>
      </c>
      <c r="R232" s="84">
        <f t="shared" si="45"/>
        <v>0.92160146140965138</v>
      </c>
      <c r="S232" s="84">
        <f t="shared" si="46"/>
        <v>5.2009456264775412E-2</v>
      </c>
      <c r="T232" s="84" t="str">
        <f>+IFERROR(#REF!/#REF!,"")</f>
        <v/>
      </c>
      <c r="U232" s="84" t="str">
        <f>+IFERROR(#REF!/#REF!,"")</f>
        <v/>
      </c>
      <c r="V232" s="84" t="str">
        <f>+IFERROR(#REF!/#REF!,"")</f>
        <v/>
      </c>
      <c r="W232" s="84" t="str">
        <f>+IFERROR(#REF!/#REF!,"")</f>
        <v/>
      </c>
      <c r="X232" s="84" t="str">
        <f>+IFERROR(#REF!/#REF!,"")</f>
        <v/>
      </c>
      <c r="Y232" s="84" t="str">
        <f>+IFERROR(#REF!/#REF!,"")</f>
        <v/>
      </c>
      <c r="Z232" s="84" t="str">
        <f>+IFERROR(#REF!/#REF!,"")</f>
        <v/>
      </c>
      <c r="AA232" s="84" t="str">
        <f>+IFERROR(#REF!/#REF!,"")</f>
        <v/>
      </c>
      <c r="AB232" s="84">
        <f t="shared" si="47"/>
        <v>0.42601295567128161</v>
      </c>
      <c r="AD232" s="139" t="str">
        <f t="shared" si="50"/>
        <v/>
      </c>
      <c r="AE232" s="139">
        <f t="shared" si="50"/>
        <v>0.62313563156306839</v>
      </c>
      <c r="AF232" s="139">
        <f t="shared" si="50"/>
        <v>-0.869592005144876</v>
      </c>
      <c r="AG232" s="139"/>
      <c r="AH232" s="139"/>
      <c r="AI232" s="139"/>
      <c r="AJ232" s="139"/>
      <c r="AK232" s="139"/>
      <c r="AL232" s="139"/>
      <c r="AM232" s="139"/>
      <c r="AN232" s="139"/>
      <c r="AP232" s="82">
        <f t="shared" si="40"/>
        <v>6.2791773058962304E-6</v>
      </c>
      <c r="AQ232" s="82">
        <f t="shared" si="48"/>
        <v>1.0000000000000009</v>
      </c>
    </row>
    <row r="233" spans="2:43" x14ac:dyDescent="0.35">
      <c r="B233" s="83" t="s">
        <v>469</v>
      </c>
      <c r="D233" s="137"/>
      <c r="E233" s="137"/>
      <c r="F233" s="137"/>
      <c r="G233" s="137"/>
      <c r="H233" s="137">
        <f t="shared" si="41"/>
        <v>0</v>
      </c>
      <c r="J233" s="137"/>
      <c r="K233" s="137"/>
      <c r="L233" s="137"/>
      <c r="M233" s="137"/>
      <c r="N233" s="137">
        <f t="shared" si="42"/>
        <v>0</v>
      </c>
      <c r="P233" s="84" t="str">
        <f t="shared" si="43"/>
        <v/>
      </c>
      <c r="Q233" s="84" t="str">
        <f t="shared" si="44"/>
        <v/>
      </c>
      <c r="R233" s="84" t="str">
        <f t="shared" si="45"/>
        <v/>
      </c>
      <c r="S233" s="84" t="str">
        <f t="shared" si="46"/>
        <v/>
      </c>
      <c r="T233" s="84" t="str">
        <f>+IFERROR(#REF!/#REF!,"")</f>
        <v/>
      </c>
      <c r="U233" s="84" t="str">
        <f>+IFERROR(#REF!/#REF!,"")</f>
        <v/>
      </c>
      <c r="V233" s="84" t="str">
        <f>+IFERROR(#REF!/#REF!,"")</f>
        <v/>
      </c>
      <c r="W233" s="84" t="str">
        <f>+IFERROR(#REF!/#REF!,"")</f>
        <v/>
      </c>
      <c r="X233" s="84" t="str">
        <f>+IFERROR(#REF!/#REF!,"")</f>
        <v/>
      </c>
      <c r="Y233" s="84" t="str">
        <f>+IFERROR(#REF!/#REF!,"")</f>
        <v/>
      </c>
      <c r="Z233" s="84" t="str">
        <f>+IFERROR(#REF!/#REF!,"")</f>
        <v/>
      </c>
      <c r="AA233" s="84" t="str">
        <f>+IFERROR(#REF!/#REF!,"")</f>
        <v/>
      </c>
      <c r="AB233" s="84" t="str">
        <f t="shared" si="47"/>
        <v/>
      </c>
      <c r="AD233" s="139" t="str">
        <f t="shared" si="50"/>
        <v/>
      </c>
      <c r="AE233" s="139" t="str">
        <f t="shared" si="50"/>
        <v/>
      </c>
      <c r="AF233" s="139"/>
      <c r="AG233" s="139"/>
      <c r="AH233" s="139"/>
      <c r="AI233" s="139"/>
      <c r="AJ233" s="139"/>
      <c r="AK233" s="139"/>
      <c r="AL233" s="139"/>
      <c r="AM233" s="139"/>
      <c r="AN233" s="139"/>
      <c r="AP233" s="82">
        <f t="shared" si="40"/>
        <v>0</v>
      </c>
      <c r="AQ233" s="82">
        <f t="shared" si="48"/>
        <v>1.0000000000000009</v>
      </c>
    </row>
    <row r="234" spans="2:43" x14ac:dyDescent="0.35">
      <c r="B234" s="83" t="s">
        <v>470</v>
      </c>
      <c r="D234" s="137"/>
      <c r="E234" s="137"/>
      <c r="F234" s="137"/>
      <c r="G234" s="137"/>
      <c r="H234" s="137">
        <f t="shared" si="41"/>
        <v>0</v>
      </c>
      <c r="J234" s="137"/>
      <c r="K234" s="137"/>
      <c r="L234" s="137"/>
      <c r="M234" s="137"/>
      <c r="N234" s="137">
        <f t="shared" si="42"/>
        <v>0</v>
      </c>
      <c r="P234" s="84" t="str">
        <f t="shared" si="43"/>
        <v/>
      </c>
      <c r="Q234" s="84" t="str">
        <f t="shared" si="44"/>
        <v/>
      </c>
      <c r="R234" s="84" t="str">
        <f t="shared" si="45"/>
        <v/>
      </c>
      <c r="S234" s="84" t="str">
        <f t="shared" si="46"/>
        <v/>
      </c>
      <c r="T234" s="84" t="str">
        <f>+IFERROR(#REF!/#REF!,"")</f>
        <v/>
      </c>
      <c r="U234" s="84" t="str">
        <f>+IFERROR(#REF!/#REF!,"")</f>
        <v/>
      </c>
      <c r="V234" s="84" t="str">
        <f>+IFERROR(#REF!/#REF!,"")</f>
        <v/>
      </c>
      <c r="W234" s="84" t="str">
        <f>+IFERROR(#REF!/#REF!,"")</f>
        <v/>
      </c>
      <c r="X234" s="84" t="str">
        <f>+IFERROR(#REF!/#REF!,"")</f>
        <v/>
      </c>
      <c r="Y234" s="84" t="str">
        <f>+IFERROR(#REF!/#REF!,"")</f>
        <v/>
      </c>
      <c r="Z234" s="84" t="str">
        <f>+IFERROR(#REF!/#REF!,"")</f>
        <v/>
      </c>
      <c r="AA234" s="84" t="str">
        <f>+IFERROR(#REF!/#REF!,"")</f>
        <v/>
      </c>
      <c r="AB234" s="84" t="str">
        <f t="shared" si="47"/>
        <v/>
      </c>
      <c r="AD234" s="139" t="str">
        <f t="shared" si="50"/>
        <v/>
      </c>
      <c r="AE234" s="139" t="str">
        <f t="shared" si="50"/>
        <v/>
      </c>
      <c r="AF234" s="139"/>
      <c r="AG234" s="139"/>
      <c r="AH234" s="139"/>
      <c r="AI234" s="139"/>
      <c r="AJ234" s="139"/>
      <c r="AK234" s="139"/>
      <c r="AL234" s="139"/>
      <c r="AM234" s="139"/>
      <c r="AN234" s="139"/>
      <c r="AP234" s="82">
        <f t="shared" si="40"/>
        <v>0</v>
      </c>
      <c r="AQ234" s="82">
        <f t="shared" si="48"/>
        <v>1.0000000000000009</v>
      </c>
    </row>
    <row r="235" spans="2:43" s="86" customFormat="1" ht="15.65" customHeight="1" x14ac:dyDescent="0.35">
      <c r="B235" s="85" t="s">
        <v>286</v>
      </c>
      <c r="D235" s="140">
        <f>+SUM(D5:D234)</f>
        <v>1770211334</v>
      </c>
      <c r="E235" s="140">
        <f>+SUM(E5:E234)</f>
        <v>1728699037</v>
      </c>
      <c r="F235" s="140">
        <f>+SUM(F5:F234)</f>
        <v>1968434328</v>
      </c>
      <c r="G235" s="140">
        <f>+SUM(G5:G234)</f>
        <v>1895681259</v>
      </c>
      <c r="H235" s="140">
        <f>+SUM(H5:H234)</f>
        <v>7363025958</v>
      </c>
      <c r="J235" s="140">
        <f>+SUM(J5:J234)</f>
        <v>256028690</v>
      </c>
      <c r="K235" s="140">
        <f>+SUM(K5:K234)</f>
        <v>250316708</v>
      </c>
      <c r="L235" s="140">
        <f>+SUM(L5:L234)</f>
        <v>285239053</v>
      </c>
      <c r="M235" s="140">
        <f>+SUM(M5:M234)</f>
        <v>276708364</v>
      </c>
      <c r="N235" s="140">
        <f>+SUM(N5:N234)</f>
        <v>1068292815</v>
      </c>
      <c r="P235" s="87">
        <f t="shared" si="43"/>
        <v>0.14463170870196224</v>
      </c>
      <c r="Q235" s="87">
        <f t="shared" si="44"/>
        <v>0.14480062905247051</v>
      </c>
      <c r="R235" s="87">
        <f t="shared" si="45"/>
        <v>0.14490656301945981</v>
      </c>
      <c r="S235" s="87">
        <f t="shared" si="46"/>
        <v>0.14596776894126587</v>
      </c>
      <c r="T235" s="87" t="str">
        <f>+IFERROR(#REF!/#REF!,"")</f>
        <v/>
      </c>
      <c r="U235" s="87" t="str">
        <f>+IFERROR(#REF!/#REF!,"")</f>
        <v/>
      </c>
      <c r="V235" s="87" t="str">
        <f>+IFERROR(#REF!/#REF!,"")</f>
        <v/>
      </c>
      <c r="W235" s="87" t="str">
        <f>+IFERROR(#REF!/#REF!,"")</f>
        <v/>
      </c>
      <c r="X235" s="87" t="str">
        <f>+IFERROR(#REF!/#REF!,"")</f>
        <v/>
      </c>
      <c r="Y235" s="243" t="str">
        <f>+IFERROR(#REF!/#REF!,"")</f>
        <v/>
      </c>
      <c r="Z235" s="243" t="str">
        <f>+IFERROR(#REF!/#REF!,"")</f>
        <v/>
      </c>
      <c r="AA235" s="243" t="str">
        <f>+IFERROR(#REF!/#REF!,"")</f>
        <v/>
      </c>
      <c r="AB235" s="243">
        <f t="shared" si="47"/>
        <v>0.14508882911641638</v>
      </c>
      <c r="AC235" s="242"/>
      <c r="AD235" s="87">
        <f t="shared" ref="AD235:AN235" si="51">+IFERROR(Q235-P235,"")</f>
        <v>1.6892035050827814E-4</v>
      </c>
      <c r="AE235" s="87">
        <f t="shared" si="51"/>
        <v>1.0593396698929669E-4</v>
      </c>
      <c r="AF235" s="87">
        <f t="shared" si="51"/>
        <v>1.0612059218060577E-3</v>
      </c>
      <c r="AG235" s="87" t="str">
        <f t="shared" si="51"/>
        <v/>
      </c>
      <c r="AH235" s="87" t="str">
        <f t="shared" si="51"/>
        <v/>
      </c>
      <c r="AI235" s="87" t="str">
        <f t="shared" si="51"/>
        <v/>
      </c>
      <c r="AJ235" s="87" t="str">
        <f t="shared" si="51"/>
        <v/>
      </c>
      <c r="AK235" s="243" t="str">
        <f t="shared" si="51"/>
        <v/>
      </c>
      <c r="AL235" s="243" t="str">
        <f t="shared" si="51"/>
        <v/>
      </c>
      <c r="AM235" s="243" t="str">
        <f t="shared" si="51"/>
        <v/>
      </c>
      <c r="AN235" s="243" t="str">
        <f t="shared" si="51"/>
        <v/>
      </c>
      <c r="AO235" s="242"/>
      <c r="AP235" s="244">
        <f>+N235/$N$235</f>
        <v>1</v>
      </c>
      <c r="AQ235" s="88"/>
    </row>
    <row r="237" spans="2:43" x14ac:dyDescent="0.35">
      <c r="F237" s="261">
        <f>G235/F235-1</f>
        <v>-3.69598660037187E-2</v>
      </c>
      <c r="J237" s="89"/>
      <c r="L237" s="89"/>
      <c r="M237" s="261">
        <f>M235/L235-1</f>
        <v>-2.9907156507071986E-2</v>
      </c>
      <c r="N237" s="89"/>
    </row>
    <row r="238" spans="2:43" x14ac:dyDescent="0.35">
      <c r="J238" s="89"/>
      <c r="K238" s="89"/>
      <c r="L238" s="89"/>
      <c r="M238" s="89"/>
      <c r="N238" s="89"/>
    </row>
    <row r="239" spans="2:43" x14ac:dyDescent="0.35">
      <c r="E239" s="218"/>
      <c r="K239" s="218"/>
    </row>
    <row r="243" spans="7:7" x14ac:dyDescent="0.35">
      <c r="G243" s="260"/>
    </row>
  </sheetData>
  <mergeCells count="4">
    <mergeCell ref="D2:H2"/>
    <mergeCell ref="J2:N2"/>
    <mergeCell ref="P2:AB2"/>
    <mergeCell ref="AD2:AN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BD236"/>
  <sheetViews>
    <sheetView showGridLines="0" tabSelected="1" zoomScale="70" zoomScaleNormal="70" workbookViewId="0">
      <pane xSplit="2" ySplit="4" topLeftCell="C236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G236" sqref="G236"/>
    </sheetView>
  </sheetViews>
  <sheetFormatPr baseColWidth="10" defaultColWidth="11.54296875" defaultRowHeight="14.5" outlineLevelCol="1" x14ac:dyDescent="0.35"/>
  <cols>
    <col min="1" max="1" width="0.90625" style="154" customWidth="1"/>
    <col min="2" max="2" width="48.08984375" style="154" customWidth="1"/>
    <col min="3" max="3" width="2.26953125" style="154" customWidth="1"/>
    <col min="4" max="7" width="18.1796875" style="154" customWidth="1" outlineLevel="1"/>
    <col min="8" max="8" width="19.36328125" style="154" customWidth="1" outlineLevel="1"/>
    <col min="9" max="9" width="0.6328125" style="154" customWidth="1"/>
    <col min="10" max="13" width="16.36328125" style="154" customWidth="1" outlineLevel="1"/>
    <col min="14" max="14" width="18.1796875" style="154" customWidth="1" outlineLevel="1"/>
    <col min="15" max="15" width="0.6328125" style="154" customWidth="1"/>
    <col min="16" max="17" width="8.54296875" style="154" hidden="1" customWidth="1"/>
    <col min="18" max="19" width="8.54296875" style="154" customWidth="1"/>
    <col min="20" max="22" width="8.36328125" style="154" hidden="1" customWidth="1"/>
    <col min="23" max="25" width="8.54296875" style="154" hidden="1" customWidth="1"/>
    <col min="26" max="26" width="8.36328125" style="154" hidden="1" customWidth="1"/>
    <col min="27" max="27" width="8.54296875" style="154" hidden="1" customWidth="1"/>
    <col min="28" max="28" width="8.54296875" style="154" bestFit="1" customWidth="1"/>
    <col min="29" max="29" width="0.6328125" style="154" customWidth="1"/>
    <col min="30" max="30" width="8.54296875" style="154" hidden="1" customWidth="1"/>
    <col min="31" max="31" width="9.08984375" style="154" customWidth="1"/>
    <col min="32" max="32" width="8.54296875" style="154" customWidth="1"/>
    <col min="33" max="33" width="9.36328125" style="154" hidden="1" customWidth="1"/>
    <col min="34" max="34" width="9.453125" style="154" hidden="1" customWidth="1"/>
    <col min="35" max="35" width="8.6328125" style="154" hidden="1" customWidth="1"/>
    <col min="36" max="36" width="9.81640625" style="154" hidden="1" customWidth="1"/>
    <col min="37" max="37" width="9.6328125" style="154" hidden="1" customWidth="1"/>
    <col min="38" max="38" width="9.453125" style="154" hidden="1" customWidth="1"/>
    <col min="39" max="39" width="10.08984375" style="154" hidden="1" customWidth="1"/>
    <col min="40" max="40" width="9" style="154" hidden="1" customWidth="1"/>
    <col min="41" max="41" width="0.6328125" style="154" customWidth="1"/>
    <col min="42" max="42" width="6.453125" style="154" bestFit="1" customWidth="1"/>
    <col min="43" max="43" width="9.08984375" style="154" bestFit="1" customWidth="1"/>
    <col min="44" max="44" width="11.54296875" style="154" customWidth="1"/>
    <col min="45" max="16384" width="11.54296875" style="154"/>
  </cols>
  <sheetData>
    <row r="1" spans="2:43" ht="23" customHeight="1" x14ac:dyDescent="0.35"/>
    <row r="2" spans="2:43" x14ac:dyDescent="0.35">
      <c r="D2" s="253" t="s">
        <v>287</v>
      </c>
      <c r="E2" s="254"/>
      <c r="F2" s="254"/>
      <c r="G2" s="254"/>
      <c r="H2" s="254"/>
      <c r="J2" s="255" t="s">
        <v>288</v>
      </c>
      <c r="K2" s="254"/>
      <c r="L2" s="254"/>
      <c r="M2" s="254"/>
      <c r="N2" s="254"/>
      <c r="P2" s="253" t="s">
        <v>73</v>
      </c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D2" s="256" t="s">
        <v>454</v>
      </c>
      <c r="AE2" s="254"/>
      <c r="AF2" s="254"/>
      <c r="AG2" s="254"/>
      <c r="AH2" s="254"/>
      <c r="AI2" s="254"/>
      <c r="AJ2" s="254"/>
      <c r="AK2" s="254"/>
      <c r="AL2" s="254"/>
      <c r="AM2" s="254"/>
      <c r="AN2" s="254"/>
    </row>
    <row r="3" spans="2:43" ht="5" customHeight="1" x14ac:dyDescent="0.35"/>
    <row r="4" spans="2:43" ht="17.399999999999999" customHeight="1" x14ac:dyDescent="0.35">
      <c r="B4" s="1" t="s">
        <v>74</v>
      </c>
      <c r="D4" s="6" t="s">
        <v>19</v>
      </c>
      <c r="E4" s="6" t="s">
        <v>20</v>
      </c>
      <c r="F4" s="233" t="s">
        <v>21</v>
      </c>
      <c r="G4" s="233" t="s">
        <v>22</v>
      </c>
      <c r="H4" s="233" t="s">
        <v>44</v>
      </c>
      <c r="J4" s="5" t="s">
        <v>19</v>
      </c>
      <c r="K4" s="5" t="s">
        <v>20</v>
      </c>
      <c r="L4" s="232" t="s">
        <v>21</v>
      </c>
      <c r="M4" s="232" t="s">
        <v>22</v>
      </c>
      <c r="N4" s="232" t="s">
        <v>44</v>
      </c>
      <c r="P4" s="4" t="s">
        <v>19</v>
      </c>
      <c r="Q4" s="4" t="s">
        <v>20</v>
      </c>
      <c r="R4" s="231" t="s">
        <v>21</v>
      </c>
      <c r="S4" s="231" t="s">
        <v>22</v>
      </c>
      <c r="T4" s="231" t="s">
        <v>23</v>
      </c>
      <c r="U4" s="231" t="s">
        <v>24</v>
      </c>
      <c r="V4" s="231" t="s">
        <v>25</v>
      </c>
      <c r="W4" s="231" t="s">
        <v>26</v>
      </c>
      <c r="X4" s="231" t="s">
        <v>27</v>
      </c>
      <c r="Y4" s="231" t="s">
        <v>28</v>
      </c>
      <c r="Z4" s="231" t="s">
        <v>29</v>
      </c>
      <c r="AA4" s="231" t="s">
        <v>30</v>
      </c>
      <c r="AB4" s="231" t="s">
        <v>44</v>
      </c>
      <c r="AD4" s="230" t="s">
        <v>75</v>
      </c>
      <c r="AE4" s="230" t="s">
        <v>76</v>
      </c>
      <c r="AF4" s="230" t="s">
        <v>77</v>
      </c>
      <c r="AG4" s="230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289</v>
      </c>
      <c r="AP4" s="230" t="s">
        <v>85</v>
      </c>
      <c r="AQ4" s="230" t="s">
        <v>86</v>
      </c>
    </row>
    <row r="5" spans="2:43" x14ac:dyDescent="0.35">
      <c r="B5" s="3" t="s">
        <v>100</v>
      </c>
      <c r="D5" s="141">
        <v>456590839</v>
      </c>
      <c r="E5" s="141">
        <v>450253497</v>
      </c>
      <c r="F5" s="141">
        <v>572168564</v>
      </c>
      <c r="G5" s="141">
        <v>630206760</v>
      </c>
      <c r="H5" s="141">
        <f>+SUM(D5:G5)</f>
        <v>2109219660</v>
      </c>
      <c r="J5" s="141">
        <v>95002792</v>
      </c>
      <c r="K5" s="141">
        <v>93701433</v>
      </c>
      <c r="L5" s="141">
        <v>113466850</v>
      </c>
      <c r="M5" s="141">
        <v>118513506</v>
      </c>
      <c r="N5" s="141">
        <f>+SUM(J5:M5)</f>
        <v>420684581</v>
      </c>
      <c r="P5" s="2">
        <f>+IFERROR(J5/D5,"")</f>
        <v>0.20806986011386006</v>
      </c>
      <c r="Q5" s="2">
        <f>+IFERROR(K5/E5,"")</f>
        <v>0.20810817378282351</v>
      </c>
      <c r="R5" s="2">
        <f>+IFERROR(L5/F5,"")</f>
        <v>0.19831017839700818</v>
      </c>
      <c r="S5" s="2">
        <f>+IFERROR(M5/G5,"")</f>
        <v>0.18805495834414723</v>
      </c>
      <c r="T5" s="2" t="str">
        <f>+IFERROR(#REF!/#REF!,"")</f>
        <v/>
      </c>
      <c r="U5" s="2" t="str">
        <f>+IFERROR(#REF!/#REF!,"")</f>
        <v/>
      </c>
      <c r="V5" s="2" t="str">
        <f>+IFERROR(#REF!/#REF!,"")</f>
        <v/>
      </c>
      <c r="W5" s="2" t="str">
        <f>+IFERROR(#REF!/#REF!,"")</f>
        <v/>
      </c>
      <c r="X5" s="2" t="str">
        <f>+IFERROR(#REF!/#REF!,"")</f>
        <v/>
      </c>
      <c r="Y5" s="2" t="str">
        <f>+IFERROR(#REF!/#REF!,"")</f>
        <v/>
      </c>
      <c r="Z5" s="2" t="str">
        <f>+IFERROR(#REF!/#REF!,"")</f>
        <v/>
      </c>
      <c r="AA5" s="2" t="str">
        <f>+IFERROR(#REF!/#REF!,"")</f>
        <v/>
      </c>
      <c r="AB5" s="2">
        <f>+IFERROR(N5/H5,"")</f>
        <v>0.19945034126981351</v>
      </c>
      <c r="AD5" s="142">
        <f t="shared" ref="AD5:AN28" si="0">+IFERROR(Q5-P5,"")</f>
        <v>3.831366896345223E-5</v>
      </c>
      <c r="AE5" s="142">
        <f t="shared" si="0"/>
        <v>-9.7979953858153279E-3</v>
      </c>
      <c r="AF5" s="142">
        <f t="shared" si="0"/>
        <v>-1.0255220052860947E-2</v>
      </c>
      <c r="AG5" s="142" t="str">
        <f t="shared" si="0"/>
        <v/>
      </c>
      <c r="AH5" s="142" t="str">
        <f t="shared" si="0"/>
        <v/>
      </c>
      <c r="AI5" s="142" t="str">
        <f t="shared" si="0"/>
        <v/>
      </c>
      <c r="AJ5" s="142" t="str">
        <f t="shared" si="0"/>
        <v/>
      </c>
      <c r="AK5" s="142" t="str">
        <f t="shared" si="0"/>
        <v/>
      </c>
      <c r="AL5" s="142" t="str">
        <f t="shared" si="0"/>
        <v/>
      </c>
      <c r="AM5" s="142" t="str">
        <f t="shared" si="0"/>
        <v/>
      </c>
      <c r="AN5" s="142" t="str">
        <f t="shared" si="0"/>
        <v/>
      </c>
      <c r="AP5" s="9">
        <f t="shared" ref="AP5:AP36" si="1">+N5/$N$236</f>
        <v>0.24236480466409982</v>
      </c>
      <c r="AQ5" s="9">
        <f>+AP5</f>
        <v>0.24236480466409982</v>
      </c>
    </row>
    <row r="6" spans="2:43" x14ac:dyDescent="0.35">
      <c r="B6" s="3" t="s">
        <v>87</v>
      </c>
      <c r="D6" s="141">
        <v>229861859</v>
      </c>
      <c r="E6" s="141">
        <v>212321066</v>
      </c>
      <c r="F6" s="141">
        <v>214321316</v>
      </c>
      <c r="G6" s="141">
        <v>197621995</v>
      </c>
      <c r="H6" s="141">
        <f>+SUM(D6:G6)</f>
        <v>854126236</v>
      </c>
      <c r="J6" s="141">
        <v>26359246</v>
      </c>
      <c r="K6" s="141">
        <v>23915527</v>
      </c>
      <c r="L6" s="141">
        <v>23594728</v>
      </c>
      <c r="M6" s="141">
        <v>21669375</v>
      </c>
      <c r="N6" s="141">
        <f>+SUM(J6:M6)</f>
        <v>95538876</v>
      </c>
      <c r="P6" s="2">
        <f>+IFERROR(J6/D6,"")</f>
        <v>0.11467429226699154</v>
      </c>
      <c r="Q6" s="2">
        <f>+IFERROR(K6/E6,"")</f>
        <v>0.11263850286056871</v>
      </c>
      <c r="R6" s="2">
        <f>+IFERROR(L6/F6,"")</f>
        <v>0.11009044009416218</v>
      </c>
      <c r="S6" s="2">
        <f>+IFERROR(M6/G6,"")</f>
        <v>0.10965062365654188</v>
      </c>
      <c r="T6" s="2" t="str">
        <f>+IFERROR(#REF!/#REF!,"")</f>
        <v/>
      </c>
      <c r="U6" s="2" t="str">
        <f>+IFERROR(#REF!/#REF!,"")</f>
        <v/>
      </c>
      <c r="V6" s="2" t="str">
        <f>+IFERROR(#REF!/#REF!,"")</f>
        <v/>
      </c>
      <c r="W6" s="2" t="str">
        <f>+IFERROR(#REF!/#REF!,"")</f>
        <v/>
      </c>
      <c r="X6" s="2" t="str">
        <f>+IFERROR(#REF!/#REF!,"")</f>
        <v/>
      </c>
      <c r="Y6" s="2" t="str">
        <f>+IFERROR(#REF!/#REF!,"")</f>
        <v/>
      </c>
      <c r="Z6" s="2" t="str">
        <f>+IFERROR(#REF!/#REF!,"")</f>
        <v/>
      </c>
      <c r="AA6" s="2" t="str">
        <f>+IFERROR(#REF!/#REF!,"")</f>
        <v/>
      </c>
      <c r="AB6" s="2">
        <f>+IFERROR(N6/H6,"")</f>
        <v>0.1118556859316519</v>
      </c>
      <c r="AD6" s="142">
        <f t="shared" si="0"/>
        <v>-2.0357894064228221E-3</v>
      </c>
      <c r="AE6" s="142">
        <f t="shared" si="0"/>
        <v>-2.5480627664065392E-3</v>
      </c>
      <c r="AF6" s="142">
        <f t="shared" si="0"/>
        <v>-4.3981643762029676E-4</v>
      </c>
      <c r="AG6" s="142" t="str">
        <f t="shared" si="0"/>
        <v/>
      </c>
      <c r="AH6" s="142" t="str">
        <f t="shared" si="0"/>
        <v/>
      </c>
      <c r="AI6" s="142" t="str">
        <f t="shared" si="0"/>
        <v/>
      </c>
      <c r="AJ6" s="142" t="str">
        <f t="shared" si="0"/>
        <v/>
      </c>
      <c r="AK6" s="142" t="str">
        <f t="shared" si="0"/>
        <v/>
      </c>
      <c r="AL6" s="142" t="str">
        <f t="shared" si="0"/>
        <v/>
      </c>
      <c r="AM6" s="142" t="str">
        <f t="shared" si="0"/>
        <v/>
      </c>
      <c r="AN6" s="142" t="str">
        <f t="shared" si="0"/>
        <v/>
      </c>
      <c r="AP6" s="9">
        <f t="shared" si="1"/>
        <v>5.5041858117370966E-2</v>
      </c>
      <c r="AQ6" s="9">
        <f t="shared" ref="AQ6:AQ69" si="2">+AP6+AQ5</f>
        <v>0.29740666278147077</v>
      </c>
    </row>
    <row r="7" spans="2:43" x14ac:dyDescent="0.35">
      <c r="B7" s="3" t="s">
        <v>88</v>
      </c>
      <c r="D7" s="141">
        <v>338459161</v>
      </c>
      <c r="E7" s="141">
        <v>337340779</v>
      </c>
      <c r="F7" s="141">
        <v>416028207</v>
      </c>
      <c r="G7" s="141">
        <v>364034489</v>
      </c>
      <c r="H7" s="141">
        <f>+SUM(D7:G7)</f>
        <v>1455862636</v>
      </c>
      <c r="J7" s="141">
        <v>41887467</v>
      </c>
      <c r="K7" s="141">
        <v>41305766</v>
      </c>
      <c r="L7" s="141">
        <v>51598404</v>
      </c>
      <c r="M7" s="141">
        <v>43595151</v>
      </c>
      <c r="N7" s="141">
        <f>+SUM(J7:M7)</f>
        <v>178386788</v>
      </c>
      <c r="P7" s="2">
        <f>+IFERROR(J7/D7,"")</f>
        <v>0.12375929455193561</v>
      </c>
      <c r="Q7" s="2">
        <f>+IFERROR(K7/E7,"")</f>
        <v>0.12244522029754369</v>
      </c>
      <c r="R7" s="2">
        <f>+IFERROR(L7/F7,"")</f>
        <v>0.12402621536669027</v>
      </c>
      <c r="S7" s="2">
        <f>+IFERROR(M7/G7,"")</f>
        <v>0.11975555151314247</v>
      </c>
      <c r="T7" s="2" t="str">
        <f>+IFERROR(#REF!/#REF!,"")</f>
        <v/>
      </c>
      <c r="U7" s="2" t="str">
        <f>+IFERROR(#REF!/#REF!,"")</f>
        <v/>
      </c>
      <c r="V7" s="2" t="str">
        <f>+IFERROR(#REF!/#REF!,"")</f>
        <v/>
      </c>
      <c r="W7" s="2" t="str">
        <f>+IFERROR(#REF!/#REF!,"")</f>
        <v/>
      </c>
      <c r="X7" s="2" t="str">
        <f>+IFERROR(#REF!/#REF!,"")</f>
        <v/>
      </c>
      <c r="Y7" s="2" t="str">
        <f>+IFERROR(#REF!/#REF!,"")</f>
        <v/>
      </c>
      <c r="Z7" s="2" t="str">
        <f>+IFERROR(#REF!/#REF!,"")</f>
        <v/>
      </c>
      <c r="AA7" s="2" t="str">
        <f>+IFERROR(#REF!/#REF!,"")</f>
        <v/>
      </c>
      <c r="AB7" s="2">
        <f>+IFERROR(N7/H7,"")</f>
        <v>0.12252995824531897</v>
      </c>
      <c r="AD7" s="142">
        <f t="shared" si="0"/>
        <v>-1.3140742543919226E-3</v>
      </c>
      <c r="AE7" s="142">
        <f t="shared" si="0"/>
        <v>1.5809950691465791E-3</v>
      </c>
      <c r="AF7" s="142">
        <f t="shared" si="0"/>
        <v>-4.2706638535477959E-3</v>
      </c>
      <c r="AG7" s="142" t="str">
        <f t="shared" si="0"/>
        <v/>
      </c>
      <c r="AH7" s="142" t="str">
        <f t="shared" si="0"/>
        <v/>
      </c>
      <c r="AI7" s="142" t="str">
        <f t="shared" si="0"/>
        <v/>
      </c>
      <c r="AJ7" s="142" t="str">
        <f t="shared" si="0"/>
        <v/>
      </c>
      <c r="AK7" s="142" t="str">
        <f t="shared" si="0"/>
        <v/>
      </c>
      <c r="AL7" s="142" t="str">
        <f t="shared" si="0"/>
        <v/>
      </c>
      <c r="AM7" s="142" t="str">
        <f t="shared" si="0"/>
        <v/>
      </c>
      <c r="AN7" s="142" t="str">
        <f t="shared" si="0"/>
        <v/>
      </c>
      <c r="AP7" s="9">
        <f t="shared" si="1"/>
        <v>0.10277219793866461</v>
      </c>
      <c r="AQ7" s="9">
        <f t="shared" si="2"/>
        <v>0.40017886072013537</v>
      </c>
    </row>
    <row r="8" spans="2:43" x14ac:dyDescent="0.35">
      <c r="B8" s="3" t="s">
        <v>89</v>
      </c>
      <c r="D8" s="141">
        <v>352927887</v>
      </c>
      <c r="E8" s="141">
        <v>331879983</v>
      </c>
      <c r="F8" s="141">
        <v>466846975</v>
      </c>
      <c r="G8" s="141">
        <v>477184373</v>
      </c>
      <c r="H8" s="141">
        <f>+SUM(D8:G8)</f>
        <v>1628839218</v>
      </c>
      <c r="J8" s="141">
        <v>28840965</v>
      </c>
      <c r="K8" s="141">
        <v>27348435</v>
      </c>
      <c r="L8" s="141">
        <v>38109946</v>
      </c>
      <c r="M8" s="141">
        <v>37474985</v>
      </c>
      <c r="N8" s="141">
        <f>+SUM(J8:M8)</f>
        <v>131774331</v>
      </c>
      <c r="P8" s="2">
        <f>+IFERROR(J8/D8,"")</f>
        <v>8.1719144511807881E-2</v>
      </c>
      <c r="Q8" s="2">
        <f>+IFERROR(K8/E8,"")</f>
        <v>8.2404593229113185E-2</v>
      </c>
      <c r="R8" s="2">
        <f>+IFERROR(L8/F8,"")</f>
        <v>8.16326291928956E-2</v>
      </c>
      <c r="S8" s="2">
        <f>+IFERROR(M8/G8,"")</f>
        <v>7.8533554576398504E-2</v>
      </c>
      <c r="T8" s="2" t="str">
        <f>+IFERROR(#REF!/#REF!,"")</f>
        <v/>
      </c>
      <c r="U8" s="2" t="str">
        <f>+IFERROR(#REF!/#REF!,"")</f>
        <v/>
      </c>
      <c r="V8" s="2" t="str">
        <f>+IFERROR(#REF!/#REF!,"")</f>
        <v/>
      </c>
      <c r="W8" s="2" t="str">
        <f>+IFERROR(#REF!/#REF!,"")</f>
        <v/>
      </c>
      <c r="X8" s="2" t="str">
        <f>+IFERROR(#REF!/#REF!,"")</f>
        <v/>
      </c>
      <c r="Y8" s="2" t="str">
        <f>+IFERROR(#REF!/#REF!,"")</f>
        <v/>
      </c>
      <c r="Z8" s="2" t="str">
        <f>+IFERROR(#REF!/#REF!,"")</f>
        <v/>
      </c>
      <c r="AA8" s="2" t="str">
        <f>+IFERROR(#REF!/#REF!,"")</f>
        <v/>
      </c>
      <c r="AB8" s="2">
        <f>+IFERROR(N8/H8,"")</f>
        <v>8.0900760212417724E-2</v>
      </c>
      <c r="AD8" s="142">
        <f t="shared" si="0"/>
        <v>6.8544871730530366E-4</v>
      </c>
      <c r="AE8" s="142">
        <f t="shared" si="0"/>
        <v>-7.7196403621758447E-4</v>
      </c>
      <c r="AF8" s="142">
        <f t="shared" si="0"/>
        <v>-3.0990746164970967E-3</v>
      </c>
      <c r="AG8" s="142" t="str">
        <f t="shared" si="0"/>
        <v/>
      </c>
      <c r="AH8" s="142" t="str">
        <f t="shared" si="0"/>
        <v/>
      </c>
      <c r="AI8" s="142" t="str">
        <f t="shared" si="0"/>
        <v/>
      </c>
      <c r="AJ8" s="142" t="str">
        <f t="shared" si="0"/>
        <v/>
      </c>
      <c r="AK8" s="142" t="str">
        <f t="shared" si="0"/>
        <v/>
      </c>
      <c r="AL8" s="142" t="str">
        <f t="shared" si="0"/>
        <v/>
      </c>
      <c r="AM8" s="142" t="str">
        <f t="shared" si="0"/>
        <v/>
      </c>
      <c r="AN8" s="142" t="str">
        <f t="shared" si="0"/>
        <v/>
      </c>
      <c r="AP8" s="9">
        <f t="shared" si="1"/>
        <v>7.5917828784310581E-2</v>
      </c>
      <c r="AQ8" s="9">
        <f t="shared" si="2"/>
        <v>0.47609668950444595</v>
      </c>
    </row>
    <row r="9" spans="2:43" x14ac:dyDescent="0.35">
      <c r="B9" s="3" t="s">
        <v>90</v>
      </c>
      <c r="D9" s="141">
        <v>247077093</v>
      </c>
      <c r="E9" s="141">
        <v>222092065</v>
      </c>
      <c r="F9" s="141">
        <v>245291025</v>
      </c>
      <c r="G9" s="141">
        <v>227107455</v>
      </c>
      <c r="H9" s="141">
        <f>+SUM(D9:G9)</f>
        <v>941567638</v>
      </c>
      <c r="J9" s="141">
        <v>26591545</v>
      </c>
      <c r="K9" s="141">
        <v>23478885</v>
      </c>
      <c r="L9" s="141">
        <v>25916477</v>
      </c>
      <c r="M9" s="141">
        <v>23688380</v>
      </c>
      <c r="N9" s="141">
        <f>+SUM(J9:M9)</f>
        <v>99675287</v>
      </c>
      <c r="P9" s="2">
        <f>+IFERROR(J9/D9,"")</f>
        <v>0.1076244854475441</v>
      </c>
      <c r="Q9" s="2">
        <f>+IFERROR(K9/E9,"")</f>
        <v>0.10571690168219203</v>
      </c>
      <c r="R9" s="2">
        <f>+IFERROR(L9/F9,"")</f>
        <v>0.10565603450024313</v>
      </c>
      <c r="S9" s="2">
        <f>+IFERROR(M9/G9,"")</f>
        <v>0.10430472218536375</v>
      </c>
      <c r="T9" s="2" t="str">
        <f>+IFERROR(#REF!/#REF!,"")</f>
        <v/>
      </c>
      <c r="U9" s="2" t="str">
        <f>+IFERROR(#REF!/#REF!,"")</f>
        <v/>
      </c>
      <c r="V9" s="2" t="str">
        <f>+IFERROR(#REF!/#REF!,"")</f>
        <v/>
      </c>
      <c r="W9" s="2" t="str">
        <f>+IFERROR(#REF!/#REF!,"")</f>
        <v/>
      </c>
      <c r="X9" s="2" t="str">
        <f>+IFERROR(#REF!/#REF!,"")</f>
        <v/>
      </c>
      <c r="Y9" s="2" t="str">
        <f>+IFERROR(#REF!/#REF!,"")</f>
        <v/>
      </c>
      <c r="Z9" s="2" t="str">
        <f>+IFERROR(#REF!/#REF!,"")</f>
        <v/>
      </c>
      <c r="AA9" s="2" t="str">
        <f>+IFERROR(#REF!/#REF!,"")</f>
        <v/>
      </c>
      <c r="AB9" s="2">
        <f>+IFERROR(N9/H9,"")</f>
        <v>0.10586099498037337</v>
      </c>
      <c r="AD9" s="142">
        <f t="shared" si="0"/>
        <v>-1.9075837653520777E-3</v>
      </c>
      <c r="AE9" s="142">
        <f t="shared" si="0"/>
        <v>-6.0867181948892624E-5</v>
      </c>
      <c r="AF9" s="142">
        <f t="shared" si="0"/>
        <v>-1.3513123148793799E-3</v>
      </c>
      <c r="AG9" s="142" t="str">
        <f t="shared" si="0"/>
        <v/>
      </c>
      <c r="AH9" s="142" t="str">
        <f t="shared" si="0"/>
        <v/>
      </c>
      <c r="AI9" s="142" t="str">
        <f t="shared" si="0"/>
        <v/>
      </c>
      <c r="AJ9" s="142" t="str">
        <f t="shared" si="0"/>
        <v/>
      </c>
      <c r="AK9" s="142" t="str">
        <f t="shared" si="0"/>
        <v/>
      </c>
      <c r="AL9" s="142" t="str">
        <f t="shared" si="0"/>
        <v/>
      </c>
      <c r="AM9" s="142" t="str">
        <f t="shared" si="0"/>
        <v/>
      </c>
      <c r="AN9" s="142" t="str">
        <f t="shared" si="0"/>
        <v/>
      </c>
      <c r="AP9" s="9">
        <f t="shared" si="1"/>
        <v>5.7424927260628762E-2</v>
      </c>
      <c r="AQ9" s="9">
        <f t="shared" si="2"/>
        <v>0.5335216167650747</v>
      </c>
    </row>
    <row r="10" spans="2:43" x14ac:dyDescent="0.35">
      <c r="B10" s="3" t="s">
        <v>91</v>
      </c>
      <c r="D10" s="141">
        <v>313825395</v>
      </c>
      <c r="E10" s="141">
        <v>303628607</v>
      </c>
      <c r="F10" s="141">
        <v>339312511</v>
      </c>
      <c r="G10" s="141">
        <v>302618855</v>
      </c>
      <c r="H10" s="141">
        <f>+SUM(D10:G10)</f>
        <v>1259385368</v>
      </c>
      <c r="J10" s="141">
        <v>34488189</v>
      </c>
      <c r="K10" s="141">
        <v>32682831</v>
      </c>
      <c r="L10" s="141">
        <v>36508962</v>
      </c>
      <c r="M10" s="141">
        <v>33080626</v>
      </c>
      <c r="N10" s="141">
        <f>+SUM(J10:M10)</f>
        <v>136760608</v>
      </c>
      <c r="P10" s="2">
        <f>+IFERROR(J10/D10,"")</f>
        <v>0.10989610640018473</v>
      </c>
      <c r="Q10" s="2">
        <f>+IFERROR(K10/E10,"")</f>
        <v>0.10764081593932287</v>
      </c>
      <c r="R10" s="2">
        <f>+IFERROR(L10/F10,"")</f>
        <v>0.10759686370656696</v>
      </c>
      <c r="S10" s="2">
        <f>+IFERROR(M10/G10,"")</f>
        <v>0.10931449066516361</v>
      </c>
      <c r="T10" s="2" t="str">
        <f>+IFERROR(#REF!/#REF!,"")</f>
        <v/>
      </c>
      <c r="U10" s="2" t="str">
        <f>+IFERROR(#REF!/#REF!,"")</f>
        <v/>
      </c>
      <c r="V10" s="2" t="str">
        <f>+IFERROR(#REF!/#REF!,"")</f>
        <v/>
      </c>
      <c r="W10" s="2" t="str">
        <f>+IFERROR(#REF!/#REF!,"")</f>
        <v/>
      </c>
      <c r="X10" s="2" t="str">
        <f>+IFERROR(#REF!/#REF!,"")</f>
        <v/>
      </c>
      <c r="Y10" s="2" t="str">
        <f>+IFERROR(#REF!/#REF!,"")</f>
        <v/>
      </c>
      <c r="Z10" s="2" t="str">
        <f>+IFERROR(#REF!/#REF!,"")</f>
        <v/>
      </c>
      <c r="AA10" s="2" t="str">
        <f>+IFERROR(#REF!/#REF!,"")</f>
        <v/>
      </c>
      <c r="AB10" s="2">
        <f>+IFERROR(N10/H10,"")</f>
        <v>0.1085931371564101</v>
      </c>
      <c r="AD10" s="142">
        <f t="shared" si="0"/>
        <v>-2.2552904608618557E-3</v>
      </c>
      <c r="AE10" s="142">
        <f t="shared" si="0"/>
        <v>-4.3952232755911647E-5</v>
      </c>
      <c r="AF10" s="142">
        <f t="shared" si="0"/>
        <v>1.7176269585966464E-3</v>
      </c>
      <c r="AG10" s="142" t="str">
        <f t="shared" si="0"/>
        <v/>
      </c>
      <c r="AH10" s="142" t="str">
        <f t="shared" si="0"/>
        <v/>
      </c>
      <c r="AI10" s="142" t="str">
        <f t="shared" si="0"/>
        <v/>
      </c>
      <c r="AJ10" s="142" t="str">
        <f t="shared" si="0"/>
        <v/>
      </c>
      <c r="AK10" s="142" t="str">
        <f t="shared" si="0"/>
        <v/>
      </c>
      <c r="AL10" s="142" t="str">
        <f t="shared" si="0"/>
        <v/>
      </c>
      <c r="AM10" s="142" t="str">
        <f t="shared" si="0"/>
        <v/>
      </c>
      <c r="AN10" s="142" t="str">
        <f t="shared" si="0"/>
        <v/>
      </c>
      <c r="AP10" s="9">
        <f t="shared" si="1"/>
        <v>7.8790522735283058E-2</v>
      </c>
      <c r="AQ10" s="9">
        <f t="shared" si="2"/>
        <v>0.61231213950035779</v>
      </c>
    </row>
    <row r="11" spans="2:43" x14ac:dyDescent="0.35">
      <c r="B11" s="3" t="s">
        <v>93</v>
      </c>
      <c r="D11" s="141">
        <v>154034974</v>
      </c>
      <c r="E11" s="141">
        <v>145274365</v>
      </c>
      <c r="F11" s="141">
        <v>156972983</v>
      </c>
      <c r="G11" s="141">
        <v>149887678</v>
      </c>
      <c r="H11" s="141">
        <f>+SUM(D11:G11)</f>
        <v>606170000</v>
      </c>
      <c r="J11" s="141">
        <v>16847137</v>
      </c>
      <c r="K11" s="141">
        <v>15694798</v>
      </c>
      <c r="L11" s="141">
        <v>16704206</v>
      </c>
      <c r="M11" s="141">
        <v>15536066</v>
      </c>
      <c r="N11" s="141">
        <f>+SUM(J11:M11)</f>
        <v>64782207</v>
      </c>
      <c r="P11" s="2">
        <f>+IFERROR(J11/D11,"")</f>
        <v>0.10937215466404403</v>
      </c>
      <c r="Q11" s="2">
        <f>+IFERROR(K11/E11,"")</f>
        <v>0.10803556429243384</v>
      </c>
      <c r="R11" s="2">
        <f>+IFERROR(L11/F11,"")</f>
        <v>0.10641452867083503</v>
      </c>
      <c r="S11" s="2">
        <f>+IFERROR(M11/G11,"")</f>
        <v>0.10365138887534171</v>
      </c>
      <c r="T11" s="2" t="str">
        <f>+IFERROR(#REF!/#REF!,"")</f>
        <v/>
      </c>
      <c r="U11" s="2" t="str">
        <f>+IFERROR(#REF!/#REF!,"")</f>
        <v/>
      </c>
      <c r="V11" s="2" t="str">
        <f>+IFERROR(#REF!/#REF!,"")</f>
        <v/>
      </c>
      <c r="W11" s="2" t="str">
        <f>+IFERROR(#REF!/#REF!,"")</f>
        <v/>
      </c>
      <c r="X11" s="2" t="str">
        <f>+IFERROR(#REF!/#REF!,"")</f>
        <v/>
      </c>
      <c r="Y11" s="2" t="str">
        <f>+IFERROR(#REF!/#REF!,"")</f>
        <v/>
      </c>
      <c r="Z11" s="2" t="str">
        <f>+IFERROR(#REF!/#REF!,"")</f>
        <v/>
      </c>
      <c r="AA11" s="2" t="str">
        <f>+IFERROR(#REF!/#REF!,"")</f>
        <v/>
      </c>
      <c r="AB11" s="2">
        <f>+IFERROR(N11/H11,"")</f>
        <v>0.10687135127109557</v>
      </c>
      <c r="AD11" s="142">
        <f t="shared" si="0"/>
        <v>-1.3365903716101857E-3</v>
      </c>
      <c r="AE11" s="142">
        <f t="shared" si="0"/>
        <v>-1.621035621598807E-3</v>
      </c>
      <c r="AF11" s="142">
        <f t="shared" si="0"/>
        <v>-2.7631397954933218E-3</v>
      </c>
      <c r="AG11" s="142" t="str">
        <f t="shared" si="0"/>
        <v/>
      </c>
      <c r="AH11" s="142" t="str">
        <f t="shared" si="0"/>
        <v/>
      </c>
      <c r="AI11" s="142" t="str">
        <f t="shared" si="0"/>
        <v/>
      </c>
      <c r="AJ11" s="142" t="str">
        <f t="shared" si="0"/>
        <v/>
      </c>
      <c r="AK11" s="142" t="str">
        <f t="shared" si="0"/>
        <v/>
      </c>
      <c r="AL11" s="142" t="str">
        <f t="shared" si="0"/>
        <v/>
      </c>
      <c r="AM11" s="142" t="str">
        <f t="shared" si="0"/>
        <v/>
      </c>
      <c r="AN11" s="142" t="str">
        <f t="shared" si="0"/>
        <v/>
      </c>
      <c r="AP11" s="9">
        <f t="shared" si="1"/>
        <v>3.7322325691000975E-2</v>
      </c>
      <c r="AQ11" s="9">
        <f t="shared" si="2"/>
        <v>0.64963446519135881</v>
      </c>
    </row>
    <row r="12" spans="2:43" x14ac:dyDescent="0.35">
      <c r="B12" s="3" t="s">
        <v>92</v>
      </c>
      <c r="D12" s="141">
        <v>72257989</v>
      </c>
      <c r="E12" s="141">
        <v>63426048</v>
      </c>
      <c r="F12" s="141">
        <v>67841030</v>
      </c>
      <c r="G12" s="141">
        <v>62410969</v>
      </c>
      <c r="H12" s="141">
        <f>+SUM(D12:G12)</f>
        <v>265936036</v>
      </c>
      <c r="J12" s="141">
        <v>8935085</v>
      </c>
      <c r="K12" s="141">
        <v>7638159</v>
      </c>
      <c r="L12" s="141">
        <v>8706323</v>
      </c>
      <c r="M12" s="141">
        <v>7807674</v>
      </c>
      <c r="N12" s="141">
        <f>+SUM(J12:M12)</f>
        <v>33087241</v>
      </c>
      <c r="P12" s="2">
        <f>+IFERROR(J12/D12,"")</f>
        <v>0.12365532342728221</v>
      </c>
      <c r="Q12" s="2">
        <f>+IFERROR(K12/E12,"")</f>
        <v>0.12042621668624222</v>
      </c>
      <c r="R12" s="2">
        <f>+IFERROR(L12/F12,"")</f>
        <v>0.12833418065733967</v>
      </c>
      <c r="S12" s="2">
        <f>+IFERROR(M12/G12,"")</f>
        <v>0.12510098985965112</v>
      </c>
      <c r="T12" s="2" t="str">
        <f>+IFERROR(#REF!/#REF!,"")</f>
        <v/>
      </c>
      <c r="U12" s="2" t="str">
        <f>+IFERROR(#REF!/#REF!,"")</f>
        <v/>
      </c>
      <c r="V12" s="2" t="str">
        <f>+IFERROR(#REF!/#REF!,"")</f>
        <v/>
      </c>
      <c r="W12" s="2" t="str">
        <f>+IFERROR(#REF!/#REF!,"")</f>
        <v/>
      </c>
      <c r="X12" s="2" t="str">
        <f>+IFERROR(#REF!/#REF!,"")</f>
        <v/>
      </c>
      <c r="Y12" s="2" t="str">
        <f>+IFERROR(#REF!/#REF!,"")</f>
        <v/>
      </c>
      <c r="Z12" s="2" t="str">
        <f>+IFERROR(#REF!/#REF!,"")</f>
        <v/>
      </c>
      <c r="AA12" s="2" t="str">
        <f>+IFERROR(#REF!/#REF!,"")</f>
        <v/>
      </c>
      <c r="AB12" s="2">
        <f>+IFERROR(N12/H12,"")</f>
        <v>0.12441804238971209</v>
      </c>
      <c r="AD12" s="142">
        <f t="shared" si="0"/>
        <v>-3.2291067410399887E-3</v>
      </c>
      <c r="AE12" s="142">
        <f t="shared" si="0"/>
        <v>7.9079639710974564E-3</v>
      </c>
      <c r="AF12" s="142">
        <f t="shared" si="0"/>
        <v>-3.233190797688551E-3</v>
      </c>
      <c r="AG12" s="142" t="str">
        <f t="shared" si="0"/>
        <v/>
      </c>
      <c r="AH12" s="142" t="str">
        <f t="shared" si="0"/>
        <v/>
      </c>
      <c r="AI12" s="142" t="str">
        <f t="shared" si="0"/>
        <v/>
      </c>
      <c r="AJ12" s="142" t="str">
        <f t="shared" si="0"/>
        <v/>
      </c>
      <c r="AK12" s="142" t="str">
        <f t="shared" si="0"/>
        <v/>
      </c>
      <c r="AL12" s="142" t="str">
        <f t="shared" si="0"/>
        <v/>
      </c>
      <c r="AM12" s="142" t="str">
        <f t="shared" si="0"/>
        <v/>
      </c>
      <c r="AN12" s="142" t="str">
        <f t="shared" si="0"/>
        <v/>
      </c>
      <c r="AP12" s="9">
        <f t="shared" si="1"/>
        <v>1.906222158838523E-2</v>
      </c>
      <c r="AQ12" s="9">
        <f t="shared" si="2"/>
        <v>0.66869668677974403</v>
      </c>
    </row>
    <row r="13" spans="2:43" x14ac:dyDescent="0.35">
      <c r="B13" s="3" t="s">
        <v>94</v>
      </c>
      <c r="D13" s="141">
        <v>57550755</v>
      </c>
      <c r="E13" s="141">
        <v>52209821</v>
      </c>
      <c r="F13" s="141">
        <v>54495523</v>
      </c>
      <c r="G13" s="141">
        <v>49702652</v>
      </c>
      <c r="H13" s="141">
        <f>+SUM(D13:G13)</f>
        <v>213958751</v>
      </c>
      <c r="J13" s="141">
        <v>6858970</v>
      </c>
      <c r="K13" s="141">
        <v>6569200</v>
      </c>
      <c r="L13" s="141">
        <v>6316838</v>
      </c>
      <c r="M13" s="141">
        <v>5757784</v>
      </c>
      <c r="N13" s="141">
        <f>+SUM(J13:M13)</f>
        <v>25502792</v>
      </c>
      <c r="P13" s="2">
        <f>+IFERROR(J13/D13,"")</f>
        <v>0.11918123402551366</v>
      </c>
      <c r="Q13" s="2">
        <f>+IFERROR(K13/E13,"")</f>
        <v>0.12582307072073662</v>
      </c>
      <c r="R13" s="2">
        <f>+IFERROR(L13/F13,"")</f>
        <v>0.11591480643281467</v>
      </c>
      <c r="S13" s="2">
        <f>+IFERROR(M13/G13,"")</f>
        <v>0.11584460322157457</v>
      </c>
      <c r="T13" s="2" t="str">
        <f>+IFERROR(#REF!/#REF!,"")</f>
        <v/>
      </c>
      <c r="U13" s="2" t="str">
        <f>+IFERROR(#REF!/#REF!,"")</f>
        <v/>
      </c>
      <c r="V13" s="2" t="str">
        <f>+IFERROR(#REF!/#REF!,"")</f>
        <v/>
      </c>
      <c r="W13" s="2" t="str">
        <f>+IFERROR(#REF!/#REF!,"")</f>
        <v/>
      </c>
      <c r="X13" s="2" t="str">
        <f>+IFERROR(#REF!/#REF!,"")</f>
        <v/>
      </c>
      <c r="Y13" s="2" t="str">
        <f>+IFERROR(#REF!/#REF!,"")</f>
        <v/>
      </c>
      <c r="Z13" s="2" t="str">
        <f>+IFERROR(#REF!/#REF!,"")</f>
        <v/>
      </c>
      <c r="AA13" s="2" t="str">
        <f>+IFERROR(#REF!/#REF!,"")</f>
        <v/>
      </c>
      <c r="AB13" s="2">
        <f>+IFERROR(N13/H13,"")</f>
        <v>0.11919490032917607</v>
      </c>
      <c r="AD13" s="143">
        <f t="shared" si="0"/>
        <v>6.6418366952229607E-3</v>
      </c>
      <c r="AE13" s="143">
        <f t="shared" si="0"/>
        <v>-9.9082642879219501E-3</v>
      </c>
      <c r="AF13" s="143">
        <f t="shared" si="0"/>
        <v>-7.020321124009965E-5</v>
      </c>
      <c r="AG13" s="143" t="str">
        <f t="shared" si="0"/>
        <v/>
      </c>
      <c r="AH13" s="143" t="str">
        <f t="shared" si="0"/>
        <v/>
      </c>
      <c r="AI13" s="143" t="str">
        <f t="shared" si="0"/>
        <v/>
      </c>
      <c r="AJ13" s="143" t="str">
        <f t="shared" si="0"/>
        <v/>
      </c>
      <c r="AK13" s="143" t="str">
        <f t="shared" si="0"/>
        <v/>
      </c>
      <c r="AL13" s="143" t="str">
        <f t="shared" si="0"/>
        <v/>
      </c>
      <c r="AM13" s="143" t="str">
        <f t="shared" si="0"/>
        <v/>
      </c>
      <c r="AN13" s="143" t="str">
        <f t="shared" si="0"/>
        <v/>
      </c>
      <c r="AP13" s="9">
        <f t="shared" si="1"/>
        <v>1.4692668760943172E-2</v>
      </c>
      <c r="AQ13" s="9">
        <f t="shared" si="2"/>
        <v>0.68338935554068725</v>
      </c>
    </row>
    <row r="14" spans="2:43" x14ac:dyDescent="0.35">
      <c r="B14" s="3" t="s">
        <v>95</v>
      </c>
      <c r="D14" s="141">
        <v>49195189</v>
      </c>
      <c r="E14" s="141">
        <v>39878010</v>
      </c>
      <c r="F14" s="141">
        <v>48339358</v>
      </c>
      <c r="G14" s="141">
        <v>44845159</v>
      </c>
      <c r="H14" s="141">
        <f>+SUM(D14:G14)</f>
        <v>182257716</v>
      </c>
      <c r="J14" s="141">
        <v>6021384</v>
      </c>
      <c r="K14" s="141">
        <v>4732111</v>
      </c>
      <c r="L14" s="141">
        <v>6129293</v>
      </c>
      <c r="M14" s="141">
        <v>5012890</v>
      </c>
      <c r="N14" s="141">
        <f>+SUM(J14:M14)</f>
        <v>21895678</v>
      </c>
      <c r="P14" s="2">
        <f>+IFERROR(J14/D14,"")</f>
        <v>0.122397822274857</v>
      </c>
      <c r="Q14" s="2">
        <f>+IFERROR(K14/E14,"")</f>
        <v>0.11866467258521676</v>
      </c>
      <c r="R14" s="2">
        <f>+IFERROR(L14/F14,"")</f>
        <v>0.12679715357411242</v>
      </c>
      <c r="S14" s="2">
        <f>+IFERROR(M14/G14,"")</f>
        <v>0.11178218812871195</v>
      </c>
      <c r="T14" s="2" t="str">
        <f>+IFERROR(#REF!/#REF!,"")</f>
        <v/>
      </c>
      <c r="U14" s="2" t="str">
        <f>+IFERROR(#REF!/#REF!,"")</f>
        <v/>
      </c>
      <c r="V14" s="2" t="str">
        <f>+IFERROR(#REF!/#REF!,"")</f>
        <v/>
      </c>
      <c r="W14" s="2" t="str">
        <f>+IFERROR(#REF!/#REF!,"")</f>
        <v/>
      </c>
      <c r="X14" s="2" t="str">
        <f>+IFERROR(#REF!/#REF!,"")</f>
        <v/>
      </c>
      <c r="Y14" s="2" t="str">
        <f>+IFERROR(#REF!/#REF!,"")</f>
        <v/>
      </c>
      <c r="Z14" s="2" t="str">
        <f>+IFERROR(#REF!/#REF!,"")</f>
        <v/>
      </c>
      <c r="AA14" s="2" t="str">
        <f>+IFERROR(#REF!/#REF!,"")</f>
        <v/>
      </c>
      <c r="AB14" s="2">
        <f>+IFERROR(N14/H14,"")</f>
        <v>0.12013580813226037</v>
      </c>
      <c r="AD14" s="143">
        <f t="shared" si="0"/>
        <v>-3.7331496896402389E-3</v>
      </c>
      <c r="AE14" s="143">
        <f t="shared" si="0"/>
        <v>8.1324809888956573E-3</v>
      </c>
      <c r="AF14" s="143">
        <f t="shared" si="0"/>
        <v>-1.5014965445400472E-2</v>
      </c>
      <c r="AG14" s="143" t="str">
        <f t="shared" si="0"/>
        <v/>
      </c>
      <c r="AH14" s="143" t="str">
        <f t="shared" si="0"/>
        <v/>
      </c>
      <c r="AI14" s="143" t="str">
        <f t="shared" si="0"/>
        <v/>
      </c>
      <c r="AJ14" s="143" t="str">
        <f t="shared" si="0"/>
        <v/>
      </c>
      <c r="AK14" s="143" t="str">
        <f t="shared" si="0"/>
        <v/>
      </c>
      <c r="AL14" s="143" t="str">
        <f t="shared" si="0"/>
        <v/>
      </c>
      <c r="AM14" s="143" t="str">
        <f t="shared" si="0"/>
        <v/>
      </c>
      <c r="AN14" s="143" t="str">
        <f t="shared" si="0"/>
        <v/>
      </c>
      <c r="AP14" s="9">
        <f t="shared" si="1"/>
        <v>1.2614538210179917E-2</v>
      </c>
      <c r="AQ14" s="9">
        <f t="shared" si="2"/>
        <v>0.69600389375086713</v>
      </c>
    </row>
    <row r="15" spans="2:43" x14ac:dyDescent="0.35">
      <c r="B15" s="3" t="s">
        <v>103</v>
      </c>
      <c r="D15" s="141">
        <v>72377139</v>
      </c>
      <c r="E15" s="141">
        <v>66316836</v>
      </c>
      <c r="F15" s="141">
        <v>68025430</v>
      </c>
      <c r="G15" s="141">
        <v>65310993</v>
      </c>
      <c r="H15" s="141">
        <f>+SUM(D15:G15)</f>
        <v>272030398</v>
      </c>
      <c r="J15" s="141">
        <v>7996127</v>
      </c>
      <c r="K15" s="141">
        <v>7464730</v>
      </c>
      <c r="L15" s="141">
        <v>7593551</v>
      </c>
      <c r="M15" s="141">
        <v>7025611</v>
      </c>
      <c r="N15" s="141">
        <f>+SUM(J15:M15)</f>
        <v>30080019</v>
      </c>
      <c r="P15" s="2">
        <f>+IFERROR(J15/D15,"")</f>
        <v>0.1104786277888105</v>
      </c>
      <c r="Q15" s="2">
        <f>+IFERROR(K15/E15,"")</f>
        <v>0.11256161255944117</v>
      </c>
      <c r="R15" s="2">
        <f>+IFERROR(L15/F15,"")</f>
        <v>0.11162812201260616</v>
      </c>
      <c r="S15" s="2">
        <f>+IFERROR(M15/G15,"")</f>
        <v>0.10757164571054677</v>
      </c>
      <c r="T15" s="2" t="str">
        <f>+IFERROR(#REF!/#REF!,"")</f>
        <v/>
      </c>
      <c r="U15" s="2" t="str">
        <f>+IFERROR(#REF!/#REF!,"")</f>
        <v/>
      </c>
      <c r="V15" s="2" t="str">
        <f>+IFERROR(#REF!/#REF!,"")</f>
        <v/>
      </c>
      <c r="W15" s="2" t="str">
        <f>+IFERROR(#REF!/#REF!,"")</f>
        <v/>
      </c>
      <c r="X15" s="2" t="str">
        <f>+IFERROR(#REF!/#REF!,"")</f>
        <v/>
      </c>
      <c r="Y15" s="2" t="str">
        <f>+IFERROR(#REF!/#REF!,"")</f>
        <v/>
      </c>
      <c r="Z15" s="2" t="str">
        <f>+IFERROR(#REF!/#REF!,"")</f>
        <v/>
      </c>
      <c r="AA15" s="2" t="str">
        <f>+IFERROR(#REF!/#REF!,"")</f>
        <v/>
      </c>
      <c r="AB15" s="2">
        <f>+IFERROR(N15/H15,"")</f>
        <v>0.11057594747187041</v>
      </c>
      <c r="AD15" s="143">
        <f t="shared" si="0"/>
        <v>2.0829847706306664E-3</v>
      </c>
      <c r="AE15" s="143">
        <f t="shared" si="0"/>
        <v>-9.3349054683500299E-4</v>
      </c>
      <c r="AF15" s="143">
        <f t="shared" si="0"/>
        <v>-4.0564763020593947E-3</v>
      </c>
      <c r="AG15" s="143" t="str">
        <f t="shared" si="0"/>
        <v/>
      </c>
      <c r="AH15" s="143" t="str">
        <f t="shared" si="0"/>
        <v/>
      </c>
      <c r="AI15" s="143" t="str">
        <f t="shared" si="0"/>
        <v/>
      </c>
      <c r="AJ15" s="143" t="str">
        <f t="shared" si="0"/>
        <v/>
      </c>
      <c r="AK15" s="143" t="str">
        <f t="shared" si="0"/>
        <v/>
      </c>
      <c r="AL15" s="143" t="str">
        <f t="shared" si="0"/>
        <v/>
      </c>
      <c r="AM15" s="143" t="str">
        <f t="shared" si="0"/>
        <v/>
      </c>
      <c r="AN15" s="143" t="str">
        <f t="shared" si="0"/>
        <v/>
      </c>
      <c r="AP15" s="9">
        <f t="shared" si="1"/>
        <v>1.7329700822163986E-2</v>
      </c>
      <c r="AQ15" s="9">
        <f t="shared" si="2"/>
        <v>0.71333359457303114</v>
      </c>
    </row>
    <row r="16" spans="2:43" x14ac:dyDescent="0.35">
      <c r="B16" s="3" t="s">
        <v>96</v>
      </c>
      <c r="D16" s="141">
        <v>64343504</v>
      </c>
      <c r="E16" s="141">
        <v>62128206</v>
      </c>
      <c r="F16" s="141">
        <v>65644386</v>
      </c>
      <c r="G16" s="141">
        <v>58013342</v>
      </c>
      <c r="H16" s="141">
        <f>+SUM(D16:G16)</f>
        <v>250129438</v>
      </c>
      <c r="J16" s="141">
        <v>7936862</v>
      </c>
      <c r="K16" s="141">
        <v>7103942</v>
      </c>
      <c r="L16" s="141">
        <v>7267756</v>
      </c>
      <c r="M16" s="141">
        <v>6507625</v>
      </c>
      <c r="N16" s="141">
        <f>+SUM(J16:M16)</f>
        <v>28816185</v>
      </c>
      <c r="P16" s="2">
        <f>+IFERROR(J16/D16,"")</f>
        <v>0.12335141088990118</v>
      </c>
      <c r="Q16" s="2">
        <f>+IFERROR(K16/E16,"")</f>
        <v>0.1143432662452864</v>
      </c>
      <c r="R16" s="2">
        <f>+IFERROR(L16/F16,"")</f>
        <v>0.11071405253146857</v>
      </c>
      <c r="S16" s="2">
        <f>+IFERROR(M16/G16,"")</f>
        <v>0.11217462700218167</v>
      </c>
      <c r="T16" s="2" t="str">
        <f>+IFERROR(#REF!/#REF!,"")</f>
        <v/>
      </c>
      <c r="U16" s="2" t="str">
        <f>+IFERROR(#REF!/#REF!,"")</f>
        <v/>
      </c>
      <c r="V16" s="2" t="str">
        <f>+IFERROR(#REF!/#REF!,"")</f>
        <v/>
      </c>
      <c r="W16" s="2" t="str">
        <f>+IFERROR(#REF!/#REF!,"")</f>
        <v/>
      </c>
      <c r="X16" s="2" t="str">
        <f>+IFERROR(#REF!/#REF!,"")</f>
        <v/>
      </c>
      <c r="Y16" s="2" t="str">
        <f>+IFERROR(#REF!/#REF!,"")</f>
        <v/>
      </c>
      <c r="Z16" s="2" t="str">
        <f>+IFERROR(#REF!/#REF!,"")</f>
        <v/>
      </c>
      <c r="AA16" s="2" t="str">
        <f>+IFERROR(#REF!/#REF!,"")</f>
        <v/>
      </c>
      <c r="AB16" s="2">
        <f>+IFERROR(N16/H16,"")</f>
        <v>0.11520509233303439</v>
      </c>
      <c r="AD16" s="143">
        <f t="shared" si="0"/>
        <v>-9.0081446446147739E-3</v>
      </c>
      <c r="AE16" s="143">
        <f t="shared" si="0"/>
        <v>-3.6292137138178304E-3</v>
      </c>
      <c r="AF16" s="143">
        <f t="shared" si="0"/>
        <v>1.4605744707130996E-3</v>
      </c>
      <c r="AG16" s="143" t="str">
        <f t="shared" si="0"/>
        <v/>
      </c>
      <c r="AH16" s="143" t="str">
        <f t="shared" si="0"/>
        <v/>
      </c>
      <c r="AI16" s="143" t="str">
        <f t="shared" si="0"/>
        <v/>
      </c>
      <c r="AJ16" s="143" t="str">
        <f t="shared" si="0"/>
        <v/>
      </c>
      <c r="AK16" s="143" t="str">
        <f t="shared" si="0"/>
        <v/>
      </c>
      <c r="AL16" s="143" t="str">
        <f t="shared" si="0"/>
        <v/>
      </c>
      <c r="AM16" s="143" t="str">
        <f t="shared" si="0"/>
        <v/>
      </c>
      <c r="AN16" s="143" t="str">
        <f t="shared" si="0"/>
        <v/>
      </c>
      <c r="AP16" s="9">
        <f t="shared" si="1"/>
        <v>1.6601580766492516E-2</v>
      </c>
      <c r="AQ16" s="9">
        <f t="shared" si="2"/>
        <v>0.72993517533952368</v>
      </c>
    </row>
    <row r="17" spans="2:43" x14ac:dyDescent="0.35">
      <c r="B17" s="3" t="s">
        <v>98</v>
      </c>
      <c r="D17" s="141">
        <v>55419720</v>
      </c>
      <c r="E17" s="141">
        <v>46816626</v>
      </c>
      <c r="F17" s="141">
        <v>50920657</v>
      </c>
      <c r="G17" s="141">
        <v>48239371</v>
      </c>
      <c r="H17" s="141">
        <f>+SUM(D17:G17)</f>
        <v>201396374</v>
      </c>
      <c r="J17" s="141">
        <v>6170128</v>
      </c>
      <c r="K17" s="141">
        <v>5125334</v>
      </c>
      <c r="L17" s="141">
        <v>5395425</v>
      </c>
      <c r="M17" s="141">
        <v>5088402</v>
      </c>
      <c r="N17" s="141">
        <f>+SUM(J17:M17)</f>
        <v>21779289</v>
      </c>
      <c r="P17" s="2">
        <f>+IFERROR(J17/D17,"")</f>
        <v>0.11133452135810142</v>
      </c>
      <c r="Q17" s="2">
        <f>+IFERROR(K17/E17,"")</f>
        <v>0.1094767914287544</v>
      </c>
      <c r="R17" s="2">
        <f>+IFERROR(L17/F17,"")</f>
        <v>0.10595748990434276</v>
      </c>
      <c r="S17" s="2">
        <f>+IFERROR(M17/G17,"")</f>
        <v>0.1054823455305833</v>
      </c>
      <c r="T17" s="2" t="str">
        <f>+IFERROR(#REF!/#REF!,"")</f>
        <v/>
      </c>
      <c r="U17" s="2" t="str">
        <f>+IFERROR(#REF!/#REF!,"")</f>
        <v/>
      </c>
      <c r="V17" s="2" t="str">
        <f>+IFERROR(#REF!/#REF!,"")</f>
        <v/>
      </c>
      <c r="W17" s="2" t="str">
        <f>+IFERROR(#REF!/#REF!,"")</f>
        <v/>
      </c>
      <c r="X17" s="2" t="str">
        <f>+IFERROR(#REF!/#REF!,"")</f>
        <v/>
      </c>
      <c r="Y17" s="2" t="str">
        <f>+IFERROR(#REF!/#REF!,"")</f>
        <v/>
      </c>
      <c r="Z17" s="2" t="str">
        <f>+IFERROR(#REF!/#REF!,"")</f>
        <v/>
      </c>
      <c r="AA17" s="2" t="str">
        <f>+IFERROR(#REF!/#REF!,"")</f>
        <v/>
      </c>
      <c r="AB17" s="2">
        <f>+IFERROR(N17/H17,"")</f>
        <v>0.10814141569400847</v>
      </c>
      <c r="AD17" s="143">
        <f t="shared" si="0"/>
        <v>-1.8577299293470184E-3</v>
      </c>
      <c r="AE17" s="143">
        <f t="shared" si="0"/>
        <v>-3.5193015244116416E-3</v>
      </c>
      <c r="AF17" s="143">
        <f t="shared" si="0"/>
        <v>-4.7514437375945073E-4</v>
      </c>
      <c r="AG17" s="143" t="str">
        <f t="shared" si="0"/>
        <v/>
      </c>
      <c r="AH17" s="143" t="str">
        <f t="shared" si="0"/>
        <v/>
      </c>
      <c r="AI17" s="143" t="str">
        <f t="shared" si="0"/>
        <v/>
      </c>
      <c r="AJ17" s="143" t="str">
        <f t="shared" si="0"/>
        <v/>
      </c>
      <c r="AK17" s="143" t="str">
        <f t="shared" si="0"/>
        <v/>
      </c>
      <c r="AL17" s="143" t="str">
        <f t="shared" si="0"/>
        <v/>
      </c>
      <c r="AM17" s="143" t="str">
        <f t="shared" si="0"/>
        <v/>
      </c>
      <c r="AN17" s="143" t="str">
        <f t="shared" si="0"/>
        <v/>
      </c>
      <c r="AP17" s="9">
        <f t="shared" si="1"/>
        <v>1.2547484178432435E-2</v>
      </c>
      <c r="AQ17" s="9">
        <f t="shared" si="2"/>
        <v>0.74248265951795611</v>
      </c>
    </row>
    <row r="18" spans="2:43" x14ac:dyDescent="0.35">
      <c r="B18" s="3" t="s">
        <v>97</v>
      </c>
      <c r="D18" s="141">
        <v>26576456</v>
      </c>
      <c r="E18" s="141">
        <v>25034617</v>
      </c>
      <c r="F18" s="141">
        <v>21544022</v>
      </c>
      <c r="G18" s="141">
        <v>19633358</v>
      </c>
      <c r="H18" s="141">
        <f>+SUM(D18:G18)</f>
        <v>92788453</v>
      </c>
      <c r="J18" s="141">
        <v>3754805</v>
      </c>
      <c r="K18" s="141">
        <v>3608612</v>
      </c>
      <c r="L18" s="141">
        <v>2791837</v>
      </c>
      <c r="M18" s="141">
        <v>2630980</v>
      </c>
      <c r="N18" s="141">
        <f>+SUM(J18:M18)</f>
        <v>12786234</v>
      </c>
      <c r="P18" s="2">
        <f>+IFERROR(J18/D18,"")</f>
        <v>0.14128313421473504</v>
      </c>
      <c r="Q18" s="2">
        <f>+IFERROR(K18/E18,"")</f>
        <v>0.14414488546000123</v>
      </c>
      <c r="R18" s="2">
        <f>+IFERROR(L18/F18,"")</f>
        <v>0.12958754869448239</v>
      </c>
      <c r="S18" s="2">
        <f>+IFERROR(M18/G18,"")</f>
        <v>0.13400560413557375</v>
      </c>
      <c r="T18" s="2" t="str">
        <f>+IFERROR(#REF!/#REF!,"")</f>
        <v/>
      </c>
      <c r="U18" s="2" t="str">
        <f>+IFERROR(#REF!/#REF!,"")</f>
        <v/>
      </c>
      <c r="V18" s="2" t="str">
        <f>+IFERROR(#REF!/#REF!,"")</f>
        <v/>
      </c>
      <c r="W18" s="2" t="str">
        <f>+IFERROR(#REF!/#REF!,"")</f>
        <v/>
      </c>
      <c r="X18" s="2" t="str">
        <f>+IFERROR(#REF!/#REF!,"")</f>
        <v/>
      </c>
      <c r="Y18" s="2" t="str">
        <f>+IFERROR(#REF!/#REF!,"")</f>
        <v/>
      </c>
      <c r="Z18" s="2" t="str">
        <f>+IFERROR(#REF!/#REF!,"")</f>
        <v/>
      </c>
      <c r="AA18" s="2" t="str">
        <f>+IFERROR(#REF!/#REF!,"")</f>
        <v/>
      </c>
      <c r="AB18" s="2">
        <f>+IFERROR(N18/H18,"")</f>
        <v>0.13779984024520811</v>
      </c>
      <c r="AD18" s="143">
        <f t="shared" si="0"/>
        <v>2.861751245266192E-3</v>
      </c>
      <c r="AE18" s="143">
        <f t="shared" si="0"/>
        <v>-1.4557336765518847E-2</v>
      </c>
      <c r="AF18" s="143">
        <f t="shared" si="0"/>
        <v>4.4180554410913619E-3</v>
      </c>
      <c r="AG18" s="143" t="str">
        <f t="shared" si="0"/>
        <v/>
      </c>
      <c r="AH18" s="143" t="str">
        <f t="shared" si="0"/>
        <v/>
      </c>
      <c r="AI18" s="143" t="str">
        <f t="shared" si="0"/>
        <v/>
      </c>
      <c r="AJ18" s="143" t="str">
        <f t="shared" si="0"/>
        <v/>
      </c>
      <c r="AK18" s="143" t="str">
        <f t="shared" si="0"/>
        <v/>
      </c>
      <c r="AL18" s="143" t="str">
        <f t="shared" si="0"/>
        <v/>
      </c>
      <c r="AM18" s="143" t="str">
        <f t="shared" si="0"/>
        <v/>
      </c>
      <c r="AN18" s="143" t="str">
        <f t="shared" si="0"/>
        <v/>
      </c>
      <c r="AP18" s="9">
        <f t="shared" si="1"/>
        <v>7.3664052493511087E-3</v>
      </c>
      <c r="AQ18" s="9">
        <f t="shared" si="2"/>
        <v>0.74984906476730717</v>
      </c>
    </row>
    <row r="19" spans="2:43" x14ac:dyDescent="0.35">
      <c r="B19" s="3" t="s">
        <v>99</v>
      </c>
      <c r="D19" s="141">
        <v>52236244</v>
      </c>
      <c r="E19" s="141">
        <v>57366295</v>
      </c>
      <c r="F19" s="141">
        <v>70363902</v>
      </c>
      <c r="G19" s="141">
        <v>49919724</v>
      </c>
      <c r="H19" s="141">
        <f>+SUM(D19:G19)</f>
        <v>229886165</v>
      </c>
      <c r="J19" s="141">
        <v>5622177</v>
      </c>
      <c r="K19" s="141">
        <v>6088469</v>
      </c>
      <c r="L19" s="141">
        <v>7162582</v>
      </c>
      <c r="M19" s="141">
        <v>5179308</v>
      </c>
      <c r="N19" s="141">
        <f>+SUM(J19:M19)</f>
        <v>24052536</v>
      </c>
      <c r="P19" s="2">
        <f>+IFERROR(J19/D19,"")</f>
        <v>0.10762980967774023</v>
      </c>
      <c r="Q19" s="2">
        <f>+IFERROR(K19/E19,"")</f>
        <v>0.10613320940458155</v>
      </c>
      <c r="R19" s="2">
        <f>+IFERROR(L19/F19,"")</f>
        <v>0.10179341674371611</v>
      </c>
      <c r="S19" s="2">
        <f>+IFERROR(M19/G19,"")</f>
        <v>0.1037527370944599</v>
      </c>
      <c r="T19" s="2" t="str">
        <f>+IFERROR(#REF!/#REF!,"")</f>
        <v/>
      </c>
      <c r="U19" s="2" t="str">
        <f>+IFERROR(#REF!/#REF!,"")</f>
        <v/>
      </c>
      <c r="V19" s="2" t="str">
        <f>+IFERROR(#REF!/#REF!,"")</f>
        <v/>
      </c>
      <c r="W19" s="2" t="str">
        <f>+IFERROR(#REF!/#REF!,"")</f>
        <v/>
      </c>
      <c r="X19" s="2" t="str">
        <f>+IFERROR(#REF!/#REF!,"")</f>
        <v/>
      </c>
      <c r="Y19" s="2" t="str">
        <f>+IFERROR(#REF!/#REF!,"")</f>
        <v/>
      </c>
      <c r="Z19" s="2" t="str">
        <f>+IFERROR(#REF!/#REF!,"")</f>
        <v/>
      </c>
      <c r="AA19" s="2" t="str">
        <f>+IFERROR(#REF!/#REF!,"")</f>
        <v/>
      </c>
      <c r="AB19" s="2">
        <f>+IFERROR(N19/H19,"")</f>
        <v>0.10462802752832037</v>
      </c>
      <c r="AD19" s="143">
        <f t="shared" si="0"/>
        <v>-1.4966002731586769E-3</v>
      </c>
      <c r="AE19" s="143">
        <f t="shared" si="0"/>
        <v>-4.3397926608654408E-3</v>
      </c>
      <c r="AF19" s="143">
        <f t="shared" si="0"/>
        <v>1.9593203507437817E-3</v>
      </c>
      <c r="AG19" s="143" t="str">
        <f t="shared" si="0"/>
        <v/>
      </c>
      <c r="AH19" s="143" t="str">
        <f t="shared" si="0"/>
        <v/>
      </c>
      <c r="AI19" s="143" t="str">
        <f t="shared" si="0"/>
        <v/>
      </c>
      <c r="AJ19" s="143" t="str">
        <f t="shared" si="0"/>
        <v/>
      </c>
      <c r="AK19" s="143" t="str">
        <f t="shared" si="0"/>
        <v/>
      </c>
      <c r="AL19" s="143" t="str">
        <f t="shared" si="0"/>
        <v/>
      </c>
      <c r="AM19" s="143" t="str">
        <f t="shared" si="0"/>
        <v/>
      </c>
      <c r="AN19" s="143" t="str">
        <f t="shared" si="0"/>
        <v/>
      </c>
      <c r="AP19" s="9">
        <f t="shared" si="1"/>
        <v>1.3857147260921904E-2</v>
      </c>
      <c r="AQ19" s="9">
        <f t="shared" si="2"/>
        <v>0.76370621202822908</v>
      </c>
    </row>
    <row r="20" spans="2:43" x14ac:dyDescent="0.35">
      <c r="B20" s="3" t="s">
        <v>106</v>
      </c>
      <c r="D20" s="141">
        <v>26938169</v>
      </c>
      <c r="E20" s="141">
        <v>24178004</v>
      </c>
      <c r="F20" s="141">
        <v>26989895</v>
      </c>
      <c r="G20" s="141">
        <v>26736534</v>
      </c>
      <c r="H20" s="141">
        <f>+SUM(D20:G20)</f>
        <v>104842602</v>
      </c>
      <c r="J20" s="141">
        <v>3101953</v>
      </c>
      <c r="K20" s="141">
        <v>2834368</v>
      </c>
      <c r="L20" s="141">
        <v>3133555</v>
      </c>
      <c r="M20" s="141">
        <v>2979460</v>
      </c>
      <c r="N20" s="141">
        <f>+SUM(J20:M20)</f>
        <v>12049336</v>
      </c>
      <c r="P20" s="2">
        <f>+IFERROR(J20/D20,"")</f>
        <v>0.11515084785458135</v>
      </c>
      <c r="Q20" s="2">
        <f>+IFERROR(K20/E20,"")</f>
        <v>0.11722919724887133</v>
      </c>
      <c r="R20" s="2">
        <f>+IFERROR(L20/F20,"")</f>
        <v>0.11610104448350021</v>
      </c>
      <c r="S20" s="2">
        <f>+IFERROR(M20/G20,"")</f>
        <v>0.11143778022985328</v>
      </c>
      <c r="T20" s="2" t="str">
        <f>+IFERROR(#REF!/#REF!,"")</f>
        <v/>
      </c>
      <c r="U20" s="2" t="str">
        <f>+IFERROR(#REF!/#REF!,"")</f>
        <v/>
      </c>
      <c r="V20" s="2" t="str">
        <f>+IFERROR(#REF!/#REF!,"")</f>
        <v/>
      </c>
      <c r="W20" s="2" t="str">
        <f>+IFERROR(#REF!/#REF!,"")</f>
        <v/>
      </c>
      <c r="X20" s="2" t="str">
        <f>+IFERROR(#REF!/#REF!,"")</f>
        <v/>
      </c>
      <c r="Y20" s="2" t="str">
        <f>+IFERROR(#REF!/#REF!,"")</f>
        <v/>
      </c>
      <c r="Z20" s="2" t="str">
        <f>+IFERROR(#REF!/#REF!,"")</f>
        <v/>
      </c>
      <c r="AA20" s="2" t="str">
        <f>+IFERROR(#REF!/#REF!,"")</f>
        <v/>
      </c>
      <c r="AB20" s="2">
        <f>+IFERROR(N20/H20,"")</f>
        <v>0.11492786109982277</v>
      </c>
      <c r="AD20" s="143">
        <f t="shared" si="0"/>
        <v>2.0783493942899828E-3</v>
      </c>
      <c r="AE20" s="143">
        <f t="shared" si="0"/>
        <v>-1.128152765371121E-3</v>
      </c>
      <c r="AF20" s="143">
        <f t="shared" si="0"/>
        <v>-4.6632642536469371E-3</v>
      </c>
      <c r="AG20" s="143" t="str">
        <f t="shared" si="0"/>
        <v/>
      </c>
      <c r="AH20" s="143" t="str">
        <f t="shared" si="0"/>
        <v/>
      </c>
      <c r="AI20" s="143" t="str">
        <f t="shared" si="0"/>
        <v/>
      </c>
      <c r="AJ20" s="143" t="str">
        <f t="shared" si="0"/>
        <v/>
      </c>
      <c r="AK20" s="143" t="str">
        <f t="shared" si="0"/>
        <v/>
      </c>
      <c r="AL20" s="143" t="str">
        <f t="shared" si="0"/>
        <v/>
      </c>
      <c r="AM20" s="143" t="str">
        <f t="shared" si="0"/>
        <v/>
      </c>
      <c r="AN20" s="143" t="str">
        <f t="shared" si="0"/>
        <v/>
      </c>
      <c r="AP20" s="9">
        <f t="shared" si="1"/>
        <v>6.941863566832524E-3</v>
      </c>
      <c r="AQ20" s="9">
        <f t="shared" si="2"/>
        <v>0.77064807559506165</v>
      </c>
    </row>
    <row r="21" spans="2:43" x14ac:dyDescent="0.35">
      <c r="B21" s="3" t="s">
        <v>101</v>
      </c>
      <c r="D21" s="141">
        <v>36780760</v>
      </c>
      <c r="E21" s="141">
        <v>31907945</v>
      </c>
      <c r="F21" s="141">
        <v>36021480</v>
      </c>
      <c r="G21" s="141">
        <v>34017494</v>
      </c>
      <c r="H21" s="141">
        <f>+SUM(D21:G21)</f>
        <v>138727679</v>
      </c>
      <c r="J21" s="141">
        <v>4646038</v>
      </c>
      <c r="K21" s="141">
        <v>4091600</v>
      </c>
      <c r="L21" s="141">
        <v>4568231</v>
      </c>
      <c r="M21" s="141">
        <v>4733195</v>
      </c>
      <c r="N21" s="141">
        <f>+SUM(J21:M21)</f>
        <v>18039064</v>
      </c>
      <c r="P21" s="2">
        <f>+IFERROR(J21/D21,"")</f>
        <v>0.12631707447045684</v>
      </c>
      <c r="Q21" s="2">
        <f>+IFERROR(K21/E21,"")</f>
        <v>0.12823138563138428</v>
      </c>
      <c r="R21" s="2">
        <f>+IFERROR(L21/F21,"")</f>
        <v>0.12681963650577377</v>
      </c>
      <c r="S21" s="2">
        <f>+IFERROR(M21/G21,"")</f>
        <v>0.1391400260113223</v>
      </c>
      <c r="T21" s="2" t="str">
        <f>+IFERROR(#REF!/#REF!,"")</f>
        <v/>
      </c>
      <c r="U21" s="2" t="str">
        <f>+IFERROR(#REF!/#REF!,"")</f>
        <v/>
      </c>
      <c r="V21" s="2" t="str">
        <f>+IFERROR(#REF!/#REF!,"")</f>
        <v/>
      </c>
      <c r="W21" s="2" t="str">
        <f>+IFERROR(#REF!/#REF!,"")</f>
        <v/>
      </c>
      <c r="X21" s="2" t="str">
        <f>+IFERROR(#REF!/#REF!,"")</f>
        <v/>
      </c>
      <c r="Y21" s="2" t="str">
        <f>+IFERROR(#REF!/#REF!,"")</f>
        <v/>
      </c>
      <c r="Z21" s="2" t="str">
        <f>+IFERROR(#REF!/#REF!,"")</f>
        <v/>
      </c>
      <c r="AA21" s="2" t="str">
        <f>+IFERROR(#REF!/#REF!,"")</f>
        <v/>
      </c>
      <c r="AB21" s="2">
        <f>+IFERROR(N21/H21,"")</f>
        <v>0.13003219062001317</v>
      </c>
      <c r="AD21" s="143">
        <f t="shared" si="0"/>
        <v>1.9143111609274399E-3</v>
      </c>
      <c r="AE21" s="143">
        <f t="shared" si="0"/>
        <v>-1.4117491256105119E-3</v>
      </c>
      <c r="AF21" s="143">
        <f t="shared" si="0"/>
        <v>1.2320389505548535E-2</v>
      </c>
      <c r="AG21" s="143" t="str">
        <f t="shared" si="0"/>
        <v/>
      </c>
      <c r="AH21" s="143" t="str">
        <f t="shared" si="0"/>
        <v/>
      </c>
      <c r="AI21" s="143" t="str">
        <f t="shared" si="0"/>
        <v/>
      </c>
      <c r="AJ21" s="143" t="str">
        <f t="shared" si="0"/>
        <v/>
      </c>
      <c r="AK21" s="143" t="str">
        <f t="shared" si="0"/>
        <v/>
      </c>
      <c r="AL21" s="143" t="str">
        <f t="shared" si="0"/>
        <v/>
      </c>
      <c r="AM21" s="143" t="str">
        <f t="shared" si="0"/>
        <v/>
      </c>
      <c r="AN21" s="143" t="str">
        <f t="shared" si="0"/>
        <v/>
      </c>
      <c r="AP21" s="9">
        <f t="shared" si="1"/>
        <v>1.0392665717128328E-2</v>
      </c>
      <c r="AQ21" s="9">
        <f t="shared" si="2"/>
        <v>0.78104074131219003</v>
      </c>
    </row>
    <row r="22" spans="2:43" x14ac:dyDescent="0.35">
      <c r="B22" s="3" t="s">
        <v>116</v>
      </c>
      <c r="D22" s="141">
        <v>28641304</v>
      </c>
      <c r="E22" s="141">
        <v>25547377</v>
      </c>
      <c r="F22" s="141">
        <v>26124768</v>
      </c>
      <c r="G22" s="141">
        <v>21706193</v>
      </c>
      <c r="H22" s="141">
        <f>+SUM(D22:G22)</f>
        <v>102019642</v>
      </c>
      <c r="J22" s="141">
        <v>3057251</v>
      </c>
      <c r="K22" s="141">
        <v>2780900</v>
      </c>
      <c r="L22" s="141">
        <v>2765010</v>
      </c>
      <c r="M22" s="141">
        <v>2302943</v>
      </c>
      <c r="N22" s="141">
        <f>+SUM(J22:M22)</f>
        <v>10906104</v>
      </c>
      <c r="P22" s="2">
        <f>+IFERROR(J22/D22,"")</f>
        <v>0.10674273070807111</v>
      </c>
      <c r="Q22" s="2">
        <f>+IFERROR(K22/E22,"")</f>
        <v>0.10885266225178421</v>
      </c>
      <c r="R22" s="2">
        <f>+IFERROR(L22/F22,"")</f>
        <v>0.10583864323694664</v>
      </c>
      <c r="S22" s="2">
        <f>+IFERROR(M22/G22,"")</f>
        <v>0.10609612657548931</v>
      </c>
      <c r="T22" s="2" t="str">
        <f>+IFERROR(#REF!/#REF!,"")</f>
        <v/>
      </c>
      <c r="U22" s="2" t="str">
        <f>+IFERROR(#REF!/#REF!,"")</f>
        <v/>
      </c>
      <c r="V22" s="2" t="str">
        <f>+IFERROR(#REF!/#REF!,"")</f>
        <v/>
      </c>
      <c r="W22" s="2" t="str">
        <f>+IFERROR(#REF!/#REF!,"")</f>
        <v/>
      </c>
      <c r="X22" s="2" t="str">
        <f>+IFERROR(#REF!/#REF!,"")</f>
        <v/>
      </c>
      <c r="Y22" s="2" t="str">
        <f>+IFERROR(#REF!/#REF!,"")</f>
        <v/>
      </c>
      <c r="Z22" s="2" t="str">
        <f>+IFERROR(#REF!/#REF!,"")</f>
        <v/>
      </c>
      <c r="AA22" s="2" t="str">
        <f>+IFERROR(#REF!/#REF!,"")</f>
        <v/>
      </c>
      <c r="AB22" s="2">
        <f>+IFERROR(N22/H22,"")</f>
        <v>0.10690200226344648</v>
      </c>
      <c r="AD22" s="143">
        <f t="shared" si="0"/>
        <v>2.1099315437130978E-3</v>
      </c>
      <c r="AE22" s="143">
        <f t="shared" si="0"/>
        <v>-3.0140190148375684E-3</v>
      </c>
      <c r="AF22" s="143">
        <f t="shared" si="0"/>
        <v>2.5748333854266892E-4</v>
      </c>
      <c r="AG22" s="143" t="str">
        <f t="shared" si="0"/>
        <v/>
      </c>
      <c r="AH22" s="143" t="str">
        <f t="shared" si="0"/>
        <v/>
      </c>
      <c r="AI22" s="143" t="str">
        <f t="shared" si="0"/>
        <v/>
      </c>
      <c r="AJ22" s="143" t="str">
        <f t="shared" si="0"/>
        <v/>
      </c>
      <c r="AK22" s="143" t="str">
        <f t="shared" si="0"/>
        <v/>
      </c>
      <c r="AL22" s="143" t="str">
        <f t="shared" si="0"/>
        <v/>
      </c>
      <c r="AM22" s="143" t="str">
        <f t="shared" si="0"/>
        <v/>
      </c>
      <c r="AN22" s="143" t="str">
        <f t="shared" si="0"/>
        <v/>
      </c>
      <c r="AP22" s="9">
        <f t="shared" si="1"/>
        <v>6.2832247365071786E-3</v>
      </c>
      <c r="AQ22" s="9">
        <f t="shared" si="2"/>
        <v>0.78732396604869725</v>
      </c>
    </row>
    <row r="23" spans="2:43" x14ac:dyDescent="0.35">
      <c r="B23" s="3" t="s">
        <v>104</v>
      </c>
      <c r="D23" s="141">
        <v>22248417</v>
      </c>
      <c r="E23" s="141">
        <v>20226779</v>
      </c>
      <c r="F23" s="141">
        <v>21900808</v>
      </c>
      <c r="G23" s="141">
        <v>19698513</v>
      </c>
      <c r="H23" s="141">
        <f>+SUM(D23:G23)</f>
        <v>84074517</v>
      </c>
      <c r="J23" s="141">
        <v>2672173</v>
      </c>
      <c r="K23" s="141">
        <v>2596110</v>
      </c>
      <c r="L23" s="141">
        <v>2947580</v>
      </c>
      <c r="M23" s="141">
        <v>2335292</v>
      </c>
      <c r="N23" s="141">
        <f>+SUM(J23:M23)</f>
        <v>10551155</v>
      </c>
      <c r="P23" s="2">
        <f>+IFERROR(J23/D23,"")</f>
        <v>0.12010620800572014</v>
      </c>
      <c r="Q23" s="2">
        <f>+IFERROR(K23/E23,"")</f>
        <v>0.12835014413318108</v>
      </c>
      <c r="R23" s="2">
        <f>+IFERROR(L23/F23,"")</f>
        <v>0.13458772845275846</v>
      </c>
      <c r="S23" s="2">
        <f>+IFERROR(M23/G23,"")</f>
        <v>0.11855168966307254</v>
      </c>
      <c r="T23" s="2" t="str">
        <f>+IFERROR(#REF!/#REF!,"")</f>
        <v/>
      </c>
      <c r="U23" s="2" t="str">
        <f>+IFERROR(#REF!/#REF!,"")</f>
        <v/>
      </c>
      <c r="V23" s="2" t="str">
        <f>+IFERROR(#REF!/#REF!,"")</f>
        <v/>
      </c>
      <c r="W23" s="2" t="str">
        <f>+IFERROR(#REF!/#REF!,"")</f>
        <v/>
      </c>
      <c r="X23" s="2" t="str">
        <f>+IFERROR(#REF!/#REF!,"")</f>
        <v/>
      </c>
      <c r="Y23" s="2" t="str">
        <f>+IFERROR(#REF!/#REF!,"")</f>
        <v/>
      </c>
      <c r="Z23" s="2" t="str">
        <f>+IFERROR(#REF!/#REF!,"")</f>
        <v/>
      </c>
      <c r="AA23" s="2" t="str">
        <f>+IFERROR(#REF!/#REF!,"")</f>
        <v/>
      </c>
      <c r="AB23" s="2">
        <f>+IFERROR(N23/H23,"")</f>
        <v>0.12549765822621378</v>
      </c>
      <c r="AD23" s="143">
        <f t="shared" si="0"/>
        <v>8.243936127460938E-3</v>
      </c>
      <c r="AE23" s="143">
        <f t="shared" si="0"/>
        <v>6.2375843195773828E-3</v>
      </c>
      <c r="AF23" s="143">
        <f t="shared" si="0"/>
        <v>-1.6036038789685916E-2</v>
      </c>
      <c r="AG23" s="143" t="str">
        <f t="shared" si="0"/>
        <v/>
      </c>
      <c r="AH23" s="143" t="str">
        <f t="shared" si="0"/>
        <v/>
      </c>
      <c r="AI23" s="143" t="str">
        <f t="shared" si="0"/>
        <v/>
      </c>
      <c r="AJ23" s="143" t="str">
        <f t="shared" si="0"/>
        <v/>
      </c>
      <c r="AK23" s="143" t="str">
        <f t="shared" si="0"/>
        <v/>
      </c>
      <c r="AL23" s="143" t="str">
        <f t="shared" si="0"/>
        <v/>
      </c>
      <c r="AM23" s="143" t="str">
        <f t="shared" si="0"/>
        <v/>
      </c>
      <c r="AN23" s="143" t="str">
        <f t="shared" si="0"/>
        <v/>
      </c>
      <c r="AP23" s="9">
        <f t="shared" si="1"/>
        <v>6.0787315153717041E-3</v>
      </c>
      <c r="AQ23" s="9">
        <f t="shared" si="2"/>
        <v>0.793402697564069</v>
      </c>
    </row>
    <row r="24" spans="2:43" x14ac:dyDescent="0.35">
      <c r="B24" s="3" t="s">
        <v>126</v>
      </c>
      <c r="D24" s="141">
        <v>12497425</v>
      </c>
      <c r="E24" s="141">
        <v>11128566</v>
      </c>
      <c r="F24" s="141">
        <v>11661067</v>
      </c>
      <c r="G24" s="141">
        <v>10570936</v>
      </c>
      <c r="H24" s="141">
        <f>+SUM(D24:G24)</f>
        <v>45857994</v>
      </c>
      <c r="J24" s="141">
        <v>2161136</v>
      </c>
      <c r="K24" s="141">
        <v>1834963</v>
      </c>
      <c r="L24" s="141">
        <v>1969148</v>
      </c>
      <c r="M24" s="141">
        <v>2013552</v>
      </c>
      <c r="N24" s="141">
        <f>+SUM(J24:M24)</f>
        <v>7978799</v>
      </c>
      <c r="P24" s="2">
        <f>+IFERROR(J24/D24,"")</f>
        <v>0.17292650285958908</v>
      </c>
      <c r="Q24" s="2">
        <f>+IFERROR(K24/E24,"")</f>
        <v>0.16488764140860557</v>
      </c>
      <c r="R24" s="2">
        <f>+IFERROR(L24/F24,"")</f>
        <v>0.16886516474007052</v>
      </c>
      <c r="S24" s="2">
        <f>+IFERROR(M24/G24,"")</f>
        <v>0.19048001047400154</v>
      </c>
      <c r="T24" s="2" t="str">
        <f>+IFERROR(#REF!/#REF!,"")</f>
        <v/>
      </c>
      <c r="U24" s="2" t="str">
        <f>+IFERROR(#REF!/#REF!,"")</f>
        <v/>
      </c>
      <c r="V24" s="2" t="str">
        <f>+IFERROR(#REF!/#REF!,"")</f>
        <v/>
      </c>
      <c r="W24" s="2" t="str">
        <f>+IFERROR(#REF!/#REF!,"")</f>
        <v/>
      </c>
      <c r="X24" s="2" t="str">
        <f>+IFERROR(#REF!/#REF!,"")</f>
        <v/>
      </c>
      <c r="Y24" s="2" t="str">
        <f>+IFERROR(#REF!/#REF!,"")</f>
        <v/>
      </c>
      <c r="Z24" s="2" t="str">
        <f>+IFERROR(#REF!/#REF!,"")</f>
        <v/>
      </c>
      <c r="AA24" s="2" t="str">
        <f>+IFERROR(#REF!/#REF!,"")</f>
        <v/>
      </c>
      <c r="AB24" s="2">
        <f>+IFERROR(N24/H24,"")</f>
        <v>0.17398927218665516</v>
      </c>
      <c r="AD24" s="143">
        <f t="shared" si="0"/>
        <v>-8.0388614509835088E-3</v>
      </c>
      <c r="AE24" s="143">
        <f t="shared" si="0"/>
        <v>3.9775233314649494E-3</v>
      </c>
      <c r="AF24" s="143">
        <f t="shared" si="0"/>
        <v>2.1614845733931021E-2</v>
      </c>
      <c r="AG24" s="143" t="str">
        <f t="shared" si="0"/>
        <v/>
      </c>
      <c r="AH24" s="143" t="str">
        <f t="shared" si="0"/>
        <v/>
      </c>
      <c r="AI24" s="143" t="str">
        <f t="shared" si="0"/>
        <v/>
      </c>
      <c r="AJ24" s="143" t="str">
        <f t="shared" si="0"/>
        <v/>
      </c>
      <c r="AK24" s="143" t="str">
        <f t="shared" si="0"/>
        <v/>
      </c>
      <c r="AL24" s="143" t="str">
        <f t="shared" si="0"/>
        <v/>
      </c>
      <c r="AM24" s="143" t="str">
        <f t="shared" si="0"/>
        <v/>
      </c>
      <c r="AN24" s="143" t="str">
        <f t="shared" si="0"/>
        <v/>
      </c>
      <c r="AP24" s="9">
        <f t="shared" si="1"/>
        <v>4.5967457530589053E-3</v>
      </c>
      <c r="AQ24" s="9">
        <f t="shared" si="2"/>
        <v>0.79799944331712791</v>
      </c>
    </row>
    <row r="25" spans="2:43" x14ac:dyDescent="0.35">
      <c r="B25" s="3" t="s">
        <v>119</v>
      </c>
      <c r="D25" s="141">
        <v>67606300</v>
      </c>
      <c r="E25" s="141">
        <v>65505007</v>
      </c>
      <c r="F25" s="141">
        <v>70832981</v>
      </c>
      <c r="G25" s="141">
        <v>67984029</v>
      </c>
      <c r="H25" s="141">
        <f>+SUM(D25:G25)</f>
        <v>271928317</v>
      </c>
      <c r="J25" s="141">
        <v>7738430</v>
      </c>
      <c r="K25" s="141">
        <v>7385861</v>
      </c>
      <c r="L25" s="141">
        <v>7820780</v>
      </c>
      <c r="M25" s="141">
        <v>7403580</v>
      </c>
      <c r="N25" s="141">
        <f>+SUM(J25:M25)</f>
        <v>30348651</v>
      </c>
      <c r="P25" s="2">
        <f>+IFERROR(J25/D25,"")</f>
        <v>0.11446314914438448</v>
      </c>
      <c r="Q25" s="2">
        <f>+IFERROR(K25/E25,"")</f>
        <v>0.11275261752128353</v>
      </c>
      <c r="R25" s="2">
        <f>+IFERROR(L25/F25,"")</f>
        <v>0.11041156096479972</v>
      </c>
      <c r="S25" s="2">
        <f>+IFERROR(M25/G25,"")</f>
        <v>0.10890175396930359</v>
      </c>
      <c r="T25" s="2" t="str">
        <f>+IFERROR(#REF!/#REF!,"")</f>
        <v/>
      </c>
      <c r="U25" s="2" t="str">
        <f>+IFERROR(#REF!/#REF!,"")</f>
        <v/>
      </c>
      <c r="V25" s="2" t="str">
        <f>+IFERROR(#REF!/#REF!,"")</f>
        <v/>
      </c>
      <c r="W25" s="2" t="str">
        <f>+IFERROR(#REF!/#REF!,"")</f>
        <v/>
      </c>
      <c r="X25" s="2" t="str">
        <f>+IFERROR(#REF!/#REF!,"")</f>
        <v/>
      </c>
      <c r="Y25" s="2" t="str">
        <f>+IFERROR(#REF!/#REF!,"")</f>
        <v/>
      </c>
      <c r="Z25" s="2" t="str">
        <f>+IFERROR(#REF!/#REF!,"")</f>
        <v/>
      </c>
      <c r="AA25" s="2" t="str">
        <f>+IFERROR(#REF!/#REF!,"")</f>
        <v/>
      </c>
      <c r="AB25" s="2">
        <f>+IFERROR(N25/H25,"")</f>
        <v>0.1116053353134238</v>
      </c>
      <c r="AD25" s="143">
        <f t="shared" si="0"/>
        <v>-1.7105316231009471E-3</v>
      </c>
      <c r="AE25" s="143">
        <f t="shared" si="0"/>
        <v>-2.3410565564838115E-3</v>
      </c>
      <c r="AF25" s="143">
        <f t="shared" si="0"/>
        <v>-1.5098069954961324E-3</v>
      </c>
      <c r="AG25" s="143" t="str">
        <f t="shared" si="0"/>
        <v/>
      </c>
      <c r="AH25" s="143" t="str">
        <f t="shared" si="0"/>
        <v/>
      </c>
      <c r="AI25" s="143" t="str">
        <f t="shared" si="0"/>
        <v/>
      </c>
      <c r="AJ25" s="143" t="str">
        <f t="shared" si="0"/>
        <v/>
      </c>
      <c r="AK25" s="143" t="str">
        <f t="shared" si="0"/>
        <v/>
      </c>
      <c r="AL25" s="143" t="str">
        <f t="shared" si="0"/>
        <v/>
      </c>
      <c r="AM25" s="143" t="str">
        <f t="shared" si="0"/>
        <v/>
      </c>
      <c r="AN25" s="143" t="str">
        <f t="shared" si="0"/>
        <v/>
      </c>
      <c r="AP25" s="9">
        <f t="shared" si="1"/>
        <v>1.7484465092467788E-2</v>
      </c>
      <c r="AQ25" s="9">
        <f t="shared" si="2"/>
        <v>0.81548390840959573</v>
      </c>
    </row>
    <row r="26" spans="2:43" x14ac:dyDescent="0.35">
      <c r="B26" s="3" t="s">
        <v>102</v>
      </c>
      <c r="D26" s="141">
        <v>8178101</v>
      </c>
      <c r="E26" s="141">
        <v>7487729</v>
      </c>
      <c r="F26" s="141">
        <v>7223250</v>
      </c>
      <c r="G26" s="141">
        <v>6543174</v>
      </c>
      <c r="H26" s="141">
        <f>+SUM(D26:G26)</f>
        <v>29432254</v>
      </c>
      <c r="J26" s="141">
        <v>856869</v>
      </c>
      <c r="K26" s="141">
        <v>795944</v>
      </c>
      <c r="L26" s="141">
        <v>829623</v>
      </c>
      <c r="M26" s="141">
        <v>658406</v>
      </c>
      <c r="N26" s="141">
        <f>+SUM(J26:M26)</f>
        <v>3140842</v>
      </c>
      <c r="P26" s="2">
        <f>+IFERROR(J26/D26,"")</f>
        <v>0.10477603541457851</v>
      </c>
      <c r="Q26" s="2">
        <f>+IFERROR(K26/E26,"")</f>
        <v>0.10629978729198132</v>
      </c>
      <c r="R26" s="2">
        <f>+IFERROR(L26/F26,"")</f>
        <v>0.11485453223964281</v>
      </c>
      <c r="S26" s="2">
        <f>+IFERROR(M26/G26,"")</f>
        <v>0.10062486493558019</v>
      </c>
      <c r="T26" s="2" t="str">
        <f>+IFERROR(#REF!/#REF!,"")</f>
        <v/>
      </c>
      <c r="U26" s="2" t="str">
        <f>+IFERROR(#REF!/#REF!,"")</f>
        <v/>
      </c>
      <c r="V26" s="2" t="str">
        <f>+IFERROR(#REF!/#REF!,"")</f>
        <v/>
      </c>
      <c r="W26" s="2" t="str">
        <f>+IFERROR(#REF!/#REF!,"")</f>
        <v/>
      </c>
      <c r="X26" s="2" t="str">
        <f>+IFERROR(#REF!/#REF!,"")</f>
        <v/>
      </c>
      <c r="Y26" s="2" t="str">
        <f>+IFERROR(#REF!/#REF!,"")</f>
        <v/>
      </c>
      <c r="Z26" s="2" t="str">
        <f>+IFERROR(#REF!/#REF!,"")</f>
        <v/>
      </c>
      <c r="AA26" s="2" t="str">
        <f>+IFERROR(#REF!/#REF!,"")</f>
        <v/>
      </c>
      <c r="AB26" s="2">
        <f>+IFERROR(N26/H26,"")</f>
        <v>0.10671428698597124</v>
      </c>
      <c r="AD26" s="143">
        <f t="shared" si="0"/>
        <v>1.5237518774028069E-3</v>
      </c>
      <c r="AE26" s="143">
        <f t="shared" si="0"/>
        <v>8.554744947661494E-3</v>
      </c>
      <c r="AF26" s="143">
        <f t="shared" si="0"/>
        <v>-1.4229667304062624E-2</v>
      </c>
      <c r="AG26" s="143" t="str">
        <f t="shared" si="0"/>
        <v/>
      </c>
      <c r="AH26" s="143" t="str">
        <f t="shared" si="0"/>
        <v/>
      </c>
      <c r="AI26" s="143" t="str">
        <f t="shared" si="0"/>
        <v/>
      </c>
      <c r="AJ26" s="143" t="str">
        <f t="shared" si="0"/>
        <v/>
      </c>
      <c r="AK26" s="143" t="str">
        <f t="shared" si="0"/>
        <v/>
      </c>
      <c r="AL26" s="143" t="str">
        <f t="shared" si="0"/>
        <v/>
      </c>
      <c r="AM26" s="143" t="str">
        <f t="shared" si="0"/>
        <v/>
      </c>
      <c r="AN26" s="143" t="str">
        <f t="shared" si="0"/>
        <v/>
      </c>
      <c r="AP26" s="9">
        <f t="shared" si="1"/>
        <v>1.8095019218467639E-3</v>
      </c>
      <c r="AQ26" s="9">
        <f t="shared" si="2"/>
        <v>0.81729341033144254</v>
      </c>
    </row>
    <row r="27" spans="2:43" x14ac:dyDescent="0.35">
      <c r="B27" s="3" t="s">
        <v>113</v>
      </c>
      <c r="D27" s="141">
        <v>19358396</v>
      </c>
      <c r="E27" s="141">
        <v>21917490</v>
      </c>
      <c r="F27" s="141">
        <v>22303979</v>
      </c>
      <c r="G27" s="141">
        <v>21815238</v>
      </c>
      <c r="H27" s="141">
        <f>+SUM(D27:G27)</f>
        <v>85395103</v>
      </c>
      <c r="J27" s="141">
        <v>2381328</v>
      </c>
      <c r="K27" s="141">
        <v>2524748</v>
      </c>
      <c r="L27" s="141">
        <v>2620956</v>
      </c>
      <c r="M27" s="141">
        <v>3044679</v>
      </c>
      <c r="N27" s="141">
        <f>+SUM(J27:M27)</f>
        <v>10571711</v>
      </c>
      <c r="P27" s="2">
        <f>+IFERROR(J27/D27,"")</f>
        <v>0.12301267109113792</v>
      </c>
      <c r="Q27" s="2">
        <f>+IFERROR(K27/E27,"")</f>
        <v>0.11519329996272383</v>
      </c>
      <c r="R27" s="2">
        <f>+IFERROR(L27/F27,"")</f>
        <v>0.11751069170213978</v>
      </c>
      <c r="S27" s="2">
        <f>+IFERROR(M27/G27,"")</f>
        <v>0.13956661852600463</v>
      </c>
      <c r="T27" s="2" t="str">
        <f>+IFERROR(#REF!/#REF!,"")</f>
        <v/>
      </c>
      <c r="U27" s="2" t="str">
        <f>+IFERROR(#REF!/#REF!,"")</f>
        <v/>
      </c>
      <c r="V27" s="2" t="str">
        <f>+IFERROR(#REF!/#REF!,"")</f>
        <v/>
      </c>
      <c r="W27" s="2" t="str">
        <f>+IFERROR(#REF!/#REF!,"")</f>
        <v/>
      </c>
      <c r="X27" s="2" t="str">
        <f>+IFERROR(#REF!/#REF!,"")</f>
        <v/>
      </c>
      <c r="Y27" s="2" t="str">
        <f>+IFERROR(#REF!/#REF!,"")</f>
        <v/>
      </c>
      <c r="Z27" s="2" t="str">
        <f>+IFERROR(#REF!/#REF!,"")</f>
        <v/>
      </c>
      <c r="AA27" s="2" t="str">
        <f>+IFERROR(#REF!/#REF!,"")</f>
        <v/>
      </c>
      <c r="AB27" s="2">
        <f>+IFERROR(N27/H27,"")</f>
        <v>0.12379762572568125</v>
      </c>
      <c r="AD27" s="143">
        <f t="shared" si="0"/>
        <v>-7.8193711284140904E-3</v>
      </c>
      <c r="AE27" s="143">
        <f t="shared" si="0"/>
        <v>2.3173917394159471E-3</v>
      </c>
      <c r="AF27" s="143">
        <f t="shared" si="0"/>
        <v>2.2055926823864855E-2</v>
      </c>
      <c r="AG27" s="143" t="str">
        <f t="shared" si="0"/>
        <v/>
      </c>
      <c r="AH27" s="143" t="str">
        <f t="shared" si="0"/>
        <v/>
      </c>
      <c r="AI27" s="143" t="str">
        <f t="shared" si="0"/>
        <v/>
      </c>
      <c r="AJ27" s="143" t="str">
        <f t="shared" si="0"/>
        <v/>
      </c>
      <c r="AK27" s="143" t="str">
        <f t="shared" si="0"/>
        <v/>
      </c>
      <c r="AL27" s="143" t="str">
        <f t="shared" si="0"/>
        <v/>
      </c>
      <c r="AM27" s="143" t="str">
        <f t="shared" si="0"/>
        <v/>
      </c>
      <c r="AN27" s="143" t="str">
        <f t="shared" si="0"/>
        <v/>
      </c>
      <c r="AP27" s="9">
        <f t="shared" si="1"/>
        <v>6.0905742382802363E-3</v>
      </c>
      <c r="AQ27" s="9">
        <f t="shared" si="2"/>
        <v>0.82338398456972273</v>
      </c>
    </row>
    <row r="28" spans="2:43" x14ac:dyDescent="0.35">
      <c r="B28" s="3" t="s">
        <v>110</v>
      </c>
      <c r="D28" s="141">
        <v>14962013</v>
      </c>
      <c r="E28" s="141"/>
      <c r="F28" s="141"/>
      <c r="G28" s="141"/>
      <c r="H28" s="141">
        <f>+SUM(D28:G28)</f>
        <v>14962013</v>
      </c>
      <c r="J28" s="141">
        <v>1780020</v>
      </c>
      <c r="K28" s="141"/>
      <c r="L28" s="141"/>
      <c r="M28" s="141"/>
      <c r="N28" s="141">
        <f>+SUM(J28:M28)</f>
        <v>1780020</v>
      </c>
      <c r="P28" s="2">
        <f>+IFERROR(J28/D28,"")</f>
        <v>0.11896928575052033</v>
      </c>
      <c r="Q28" s="2" t="str">
        <f>+IFERROR(K28/E28,"")</f>
        <v/>
      </c>
      <c r="R28" s="2" t="str">
        <f>+IFERROR(L28/F28,"")</f>
        <v/>
      </c>
      <c r="S28" s="2" t="str">
        <f>+IFERROR(M28/G28,"")</f>
        <v/>
      </c>
      <c r="T28" s="2" t="str">
        <f>+IFERROR(#REF!/#REF!,"")</f>
        <v/>
      </c>
      <c r="U28" s="2" t="str">
        <f>+IFERROR(#REF!/#REF!,"")</f>
        <v/>
      </c>
      <c r="V28" s="2" t="str">
        <f>+IFERROR(#REF!/#REF!,"")</f>
        <v/>
      </c>
      <c r="W28" s="2" t="str">
        <f>+IFERROR(#REF!/#REF!,"")</f>
        <v/>
      </c>
      <c r="X28" s="2" t="str">
        <f>+IFERROR(#REF!/#REF!,"")</f>
        <v/>
      </c>
      <c r="Y28" s="2" t="str">
        <f>+IFERROR(#REF!/#REF!,"")</f>
        <v/>
      </c>
      <c r="Z28" s="2" t="str">
        <f>+IFERROR(#REF!/#REF!,"")</f>
        <v/>
      </c>
      <c r="AA28" s="2" t="str">
        <f>+IFERROR(#REF!/#REF!,"")</f>
        <v/>
      </c>
      <c r="AB28" s="2">
        <f>+IFERROR(N28/H28,"")</f>
        <v>0.11896928575052033</v>
      </c>
      <c r="AD28" s="143" t="str">
        <f t="shared" si="0"/>
        <v/>
      </c>
      <c r="AE28" s="143" t="str">
        <f t="shared" si="0"/>
        <v/>
      </c>
      <c r="AF28" s="143" t="str">
        <f t="shared" ref="AF28:AN55" si="3">+IFERROR(S28-R28,"")</f>
        <v/>
      </c>
      <c r="AG28" s="143" t="str">
        <f t="shared" si="3"/>
        <v/>
      </c>
      <c r="AH28" s="143" t="str">
        <f t="shared" si="3"/>
        <v/>
      </c>
      <c r="AI28" s="143" t="str">
        <f t="shared" si="3"/>
        <v/>
      </c>
      <c r="AJ28" s="143" t="str">
        <f t="shared" si="3"/>
        <v/>
      </c>
      <c r="AK28" s="143" t="str">
        <f t="shared" si="3"/>
        <v/>
      </c>
      <c r="AL28" s="143" t="str">
        <f t="shared" si="3"/>
        <v/>
      </c>
      <c r="AM28" s="143" t="str">
        <f t="shared" si="3"/>
        <v/>
      </c>
      <c r="AN28" s="143" t="str">
        <f t="shared" si="3"/>
        <v/>
      </c>
      <c r="AP28" s="9">
        <f t="shared" si="1"/>
        <v>1.0255051387257547E-3</v>
      </c>
      <c r="AQ28" s="9">
        <f t="shared" si="2"/>
        <v>0.82440948970844852</v>
      </c>
    </row>
    <row r="29" spans="2:43" x14ac:dyDescent="0.35">
      <c r="B29" s="3" t="s">
        <v>105</v>
      </c>
      <c r="D29" s="141">
        <v>17818213</v>
      </c>
      <c r="E29" s="141">
        <v>17828135</v>
      </c>
      <c r="F29" s="141">
        <v>21258432</v>
      </c>
      <c r="G29" s="141">
        <v>16289653</v>
      </c>
      <c r="H29" s="141">
        <f>+SUM(D29:G29)</f>
        <v>73194433</v>
      </c>
      <c r="J29" s="141">
        <v>1437341</v>
      </c>
      <c r="K29" s="141">
        <v>1432740</v>
      </c>
      <c r="L29" s="141">
        <v>1668189</v>
      </c>
      <c r="M29" s="141">
        <v>1326311</v>
      </c>
      <c r="N29" s="141">
        <f>+SUM(J29:M29)</f>
        <v>5864581</v>
      </c>
      <c r="P29" s="2">
        <f>+IFERROR(J29/D29,"")</f>
        <v>8.0666955771602905E-2</v>
      </c>
      <c r="Q29" s="2">
        <f>+IFERROR(K29/E29,"")</f>
        <v>8.0363986474188132E-2</v>
      </c>
      <c r="R29" s="2">
        <f>+IFERROR(L29/F29,"")</f>
        <v>7.8471874125053062E-2</v>
      </c>
      <c r="S29" s="2">
        <f>+IFERROR(M29/G29,"")</f>
        <v>8.1420457513735861E-2</v>
      </c>
      <c r="T29" s="2" t="str">
        <f>+IFERROR(#REF!/#REF!,"")</f>
        <v/>
      </c>
      <c r="U29" s="2" t="str">
        <f>+IFERROR(#REF!/#REF!,"")</f>
        <v/>
      </c>
      <c r="V29" s="2" t="str">
        <f>+IFERROR(#REF!/#REF!,"")</f>
        <v/>
      </c>
      <c r="W29" s="2" t="str">
        <f>+IFERROR(#REF!/#REF!,"")</f>
        <v/>
      </c>
      <c r="X29" s="2" t="str">
        <f>+IFERROR(#REF!/#REF!,"")</f>
        <v/>
      </c>
      <c r="Y29" s="2" t="str">
        <f>+IFERROR(#REF!/#REF!,"")</f>
        <v/>
      </c>
      <c r="Z29" s="2" t="str">
        <f>+IFERROR(#REF!/#REF!,"")</f>
        <v/>
      </c>
      <c r="AA29" s="2" t="str">
        <f>+IFERROR(#REF!/#REF!,"")</f>
        <v/>
      </c>
      <c r="AB29" s="2">
        <f>+IFERROR(N29/H29,"")</f>
        <v>8.0123320307707011E-2</v>
      </c>
      <c r="AD29" s="143">
        <f t="shared" ref="AD29:AE44" si="4">+IFERROR(Q29-P29,"")</f>
        <v>-3.0296929741477352E-4</v>
      </c>
      <c r="AE29" s="143">
        <f t="shared" si="4"/>
        <v>-1.8921123491350694E-3</v>
      </c>
      <c r="AF29" s="143">
        <f t="shared" si="3"/>
        <v>2.9485833886827989E-3</v>
      </c>
      <c r="AG29" s="143" t="str">
        <f t="shared" si="3"/>
        <v/>
      </c>
      <c r="AH29" s="143" t="str">
        <f t="shared" si="3"/>
        <v/>
      </c>
      <c r="AI29" s="143" t="str">
        <f t="shared" si="3"/>
        <v/>
      </c>
      <c r="AJ29" s="143" t="str">
        <f t="shared" si="3"/>
        <v/>
      </c>
      <c r="AK29" s="143" t="str">
        <f t="shared" si="3"/>
        <v/>
      </c>
      <c r="AL29" s="143" t="str">
        <f t="shared" si="3"/>
        <v/>
      </c>
      <c r="AM29" s="143" t="str">
        <f t="shared" si="3"/>
        <v/>
      </c>
      <c r="AN29" s="143" t="str">
        <f t="shared" si="3"/>
        <v/>
      </c>
      <c r="AP29" s="9">
        <f t="shared" si="1"/>
        <v>3.3787024595079971E-3</v>
      </c>
      <c r="AQ29" s="9">
        <f t="shared" si="2"/>
        <v>0.82778819216795652</v>
      </c>
    </row>
    <row r="30" spans="2:43" x14ac:dyDescent="0.35">
      <c r="B30" s="3" t="s">
        <v>111</v>
      </c>
      <c r="D30" s="141">
        <v>1386395</v>
      </c>
      <c r="E30" s="141">
        <v>1346597</v>
      </c>
      <c r="F30" s="141">
        <v>1293575</v>
      </c>
      <c r="G30" s="141">
        <v>935057</v>
      </c>
      <c r="H30" s="141">
        <f>+SUM(D30:G30)</f>
        <v>4961624</v>
      </c>
      <c r="J30" s="141">
        <v>117773</v>
      </c>
      <c r="K30" s="141">
        <v>111252</v>
      </c>
      <c r="L30" s="141">
        <v>128470</v>
      </c>
      <c r="M30" s="141">
        <v>106023</v>
      </c>
      <c r="N30" s="141">
        <f>+SUM(J30:M30)</f>
        <v>463518</v>
      </c>
      <c r="P30" s="2">
        <f>+IFERROR(J30/D30,"")</f>
        <v>8.4949094594253441E-2</v>
      </c>
      <c r="Q30" s="2">
        <f>+IFERROR(K30/E30,"")</f>
        <v>8.2617145292912433E-2</v>
      </c>
      <c r="R30" s="2">
        <f>+IFERROR(L30/F30,"")</f>
        <v>9.9313916858319001E-2</v>
      </c>
      <c r="S30" s="2">
        <f>+IFERROR(M30/G30,"")</f>
        <v>0.1133866705452181</v>
      </c>
      <c r="T30" s="2" t="str">
        <f>+IFERROR(#REF!/#REF!,"")</f>
        <v/>
      </c>
      <c r="U30" s="2" t="str">
        <f>+IFERROR(#REF!/#REF!,"")</f>
        <v/>
      </c>
      <c r="V30" s="2" t="str">
        <f>+IFERROR(#REF!/#REF!,"")</f>
        <v/>
      </c>
      <c r="W30" s="2" t="str">
        <f>+IFERROR(#REF!/#REF!,"")</f>
        <v/>
      </c>
      <c r="X30" s="2" t="str">
        <f>+IFERROR(#REF!/#REF!,"")</f>
        <v/>
      </c>
      <c r="Y30" s="2" t="str">
        <f>+IFERROR(#REF!/#REF!,"")</f>
        <v/>
      </c>
      <c r="Z30" s="2" t="str">
        <f>+IFERROR(#REF!/#REF!,"")</f>
        <v/>
      </c>
      <c r="AA30" s="2" t="str">
        <f>+IFERROR(#REF!/#REF!,"")</f>
        <v/>
      </c>
      <c r="AB30" s="2">
        <f>+IFERROR(N30/H30,"")</f>
        <v>9.3420621957649344E-2</v>
      </c>
      <c r="AD30" s="143">
        <f t="shared" si="4"/>
        <v>-2.3319493013410075E-3</v>
      </c>
      <c r="AE30" s="143">
        <f t="shared" si="4"/>
        <v>1.6696771565406568E-2</v>
      </c>
      <c r="AF30" s="143">
        <f t="shared" si="3"/>
        <v>1.40727536868991E-2</v>
      </c>
      <c r="AG30" s="143" t="str">
        <f t="shared" si="3"/>
        <v/>
      </c>
      <c r="AH30" s="143" t="str">
        <f t="shared" si="3"/>
        <v/>
      </c>
      <c r="AI30" s="143" t="str">
        <f t="shared" si="3"/>
        <v/>
      </c>
      <c r="AJ30" s="143" t="str">
        <f t="shared" si="3"/>
        <v/>
      </c>
      <c r="AK30" s="143" t="str">
        <f t="shared" si="3"/>
        <v/>
      </c>
      <c r="AL30" s="143" t="str">
        <f t="shared" si="3"/>
        <v/>
      </c>
      <c r="AM30" s="143" t="str">
        <f t="shared" si="3"/>
        <v/>
      </c>
      <c r="AN30" s="143" t="str">
        <f t="shared" si="3"/>
        <v/>
      </c>
      <c r="AP30" s="9">
        <f t="shared" si="1"/>
        <v>2.6704199441123378E-4</v>
      </c>
      <c r="AQ30" s="9">
        <f t="shared" si="2"/>
        <v>0.8280552341623677</v>
      </c>
    </row>
    <row r="31" spans="2:43" x14ac:dyDescent="0.35">
      <c r="B31" s="3" t="s">
        <v>112</v>
      </c>
      <c r="D31" s="141">
        <v>7052280</v>
      </c>
      <c r="E31" s="141">
        <v>6727339</v>
      </c>
      <c r="F31" s="141">
        <v>7092825</v>
      </c>
      <c r="G31" s="141">
        <v>6597185</v>
      </c>
      <c r="H31" s="141">
        <f>+SUM(D31:G31)</f>
        <v>27469629</v>
      </c>
      <c r="J31" s="141">
        <v>994482</v>
      </c>
      <c r="K31" s="141">
        <v>901855</v>
      </c>
      <c r="L31" s="141">
        <v>939239</v>
      </c>
      <c r="M31" s="141">
        <v>847725</v>
      </c>
      <c r="N31" s="141">
        <f>+SUM(J31:M31)</f>
        <v>3683301</v>
      </c>
      <c r="P31" s="2">
        <f>+IFERROR(J31/D31,"")</f>
        <v>0.14101567152750599</v>
      </c>
      <c r="Q31" s="2">
        <f>+IFERROR(K31/E31,"")</f>
        <v>0.13405820637253452</v>
      </c>
      <c r="R31" s="2">
        <f>+IFERROR(L31/F31,"")</f>
        <v>0.13242100291491754</v>
      </c>
      <c r="S31" s="2">
        <f>+IFERROR(M31/G31,"")</f>
        <v>0.12849798815707003</v>
      </c>
      <c r="T31" s="2" t="str">
        <f>+IFERROR(#REF!/#REF!,"")</f>
        <v/>
      </c>
      <c r="U31" s="2" t="str">
        <f>+IFERROR(#REF!/#REF!,"")</f>
        <v/>
      </c>
      <c r="V31" s="2" t="str">
        <f>+IFERROR(#REF!/#REF!,"")</f>
        <v/>
      </c>
      <c r="W31" s="2" t="str">
        <f>+IFERROR(#REF!/#REF!,"")</f>
        <v/>
      </c>
      <c r="X31" s="2" t="str">
        <f>+IFERROR(#REF!/#REF!,"")</f>
        <v/>
      </c>
      <c r="Y31" s="2" t="str">
        <f>+IFERROR(#REF!/#REF!,"")</f>
        <v/>
      </c>
      <c r="Z31" s="2" t="str">
        <f>+IFERROR(#REF!/#REF!,"")</f>
        <v/>
      </c>
      <c r="AA31" s="2" t="str">
        <f>+IFERROR(#REF!/#REF!,"")</f>
        <v/>
      </c>
      <c r="AB31" s="2">
        <f>+IFERROR(N31/H31,"")</f>
        <v>0.13408630309495626</v>
      </c>
      <c r="AD31" s="143">
        <f t="shared" si="4"/>
        <v>-6.9574651549714761E-3</v>
      </c>
      <c r="AE31" s="143">
        <f t="shared" si="4"/>
        <v>-1.6372034576169758E-3</v>
      </c>
      <c r="AF31" s="143">
        <f t="shared" si="3"/>
        <v>-3.9230147578475094E-3</v>
      </c>
      <c r="AG31" s="143" t="str">
        <f t="shared" si="3"/>
        <v/>
      </c>
      <c r="AH31" s="143" t="str">
        <f t="shared" si="3"/>
        <v/>
      </c>
      <c r="AI31" s="143" t="str">
        <f t="shared" si="3"/>
        <v/>
      </c>
      <c r="AJ31" s="143" t="str">
        <f t="shared" si="3"/>
        <v/>
      </c>
      <c r="AK31" s="143" t="str">
        <f t="shared" si="3"/>
        <v/>
      </c>
      <c r="AL31" s="143" t="str">
        <f t="shared" si="3"/>
        <v/>
      </c>
      <c r="AM31" s="143" t="str">
        <f t="shared" si="3"/>
        <v/>
      </c>
      <c r="AN31" s="143" t="str">
        <f t="shared" si="3"/>
        <v/>
      </c>
      <c r="AP31" s="9">
        <f t="shared" si="1"/>
        <v>2.1220234059020184E-3</v>
      </c>
      <c r="AQ31" s="9">
        <f t="shared" si="2"/>
        <v>0.83017725756826977</v>
      </c>
    </row>
    <row r="32" spans="2:43" x14ac:dyDescent="0.35">
      <c r="B32" s="3" t="s">
        <v>118</v>
      </c>
      <c r="D32" s="141">
        <v>6782256</v>
      </c>
      <c r="E32" s="141">
        <v>5988928</v>
      </c>
      <c r="F32" s="141">
        <v>6341614</v>
      </c>
      <c r="G32" s="141">
        <v>5787737</v>
      </c>
      <c r="H32" s="141">
        <f>+SUM(D32:G32)</f>
        <v>24900535</v>
      </c>
      <c r="J32" s="141">
        <v>853252</v>
      </c>
      <c r="K32" s="141">
        <v>682310</v>
      </c>
      <c r="L32" s="141">
        <v>724549</v>
      </c>
      <c r="M32" s="141">
        <v>684814</v>
      </c>
      <c r="N32" s="141">
        <f>+SUM(J32:M32)</f>
        <v>2944925</v>
      </c>
      <c r="P32" s="2">
        <f>+IFERROR(J32/D32,"")</f>
        <v>0.12580651629782186</v>
      </c>
      <c r="Q32" s="2">
        <f>+IFERROR(K32/E32,"")</f>
        <v>0.11392856952028811</v>
      </c>
      <c r="R32" s="2">
        <f>+IFERROR(L32/F32,"")</f>
        <v>0.11425309077468292</v>
      </c>
      <c r="S32" s="2">
        <f>+IFERROR(M32/G32,"")</f>
        <v>0.1183215477828381</v>
      </c>
      <c r="T32" s="2" t="str">
        <f>+IFERROR(#REF!/#REF!,"")</f>
        <v/>
      </c>
      <c r="U32" s="2" t="str">
        <f>+IFERROR(#REF!/#REF!,"")</f>
        <v/>
      </c>
      <c r="V32" s="2" t="str">
        <f>+IFERROR(#REF!/#REF!,"")</f>
        <v/>
      </c>
      <c r="W32" s="2" t="str">
        <f>+IFERROR(#REF!/#REF!,"")</f>
        <v/>
      </c>
      <c r="X32" s="2" t="str">
        <f>+IFERROR(#REF!/#REF!,"")</f>
        <v/>
      </c>
      <c r="Y32" s="2" t="str">
        <f>+IFERROR(#REF!/#REF!,"")</f>
        <v/>
      </c>
      <c r="Z32" s="2" t="str">
        <f>+IFERROR(#REF!/#REF!,"")</f>
        <v/>
      </c>
      <c r="AA32" s="2" t="str">
        <f>+IFERROR(#REF!/#REF!,"")</f>
        <v/>
      </c>
      <c r="AB32" s="2">
        <f>+IFERROR(N32/H32,"")</f>
        <v>0.1182675392315868</v>
      </c>
      <c r="AD32" s="143">
        <f t="shared" si="4"/>
        <v>-1.1877946777533746E-2</v>
      </c>
      <c r="AE32" s="143">
        <f t="shared" si="4"/>
        <v>3.2452125439480506E-4</v>
      </c>
      <c r="AF32" s="143">
        <f t="shared" si="3"/>
        <v>4.0684570081551824E-3</v>
      </c>
      <c r="AG32" s="143" t="str">
        <f t="shared" si="3"/>
        <v/>
      </c>
      <c r="AH32" s="143" t="str">
        <f t="shared" si="3"/>
        <v/>
      </c>
      <c r="AI32" s="143" t="str">
        <f t="shared" si="3"/>
        <v/>
      </c>
      <c r="AJ32" s="143" t="str">
        <f t="shared" si="3"/>
        <v/>
      </c>
      <c r="AK32" s="143" t="str">
        <f t="shared" si="3"/>
        <v/>
      </c>
      <c r="AL32" s="143" t="str">
        <f t="shared" si="3"/>
        <v/>
      </c>
      <c r="AM32" s="143" t="str">
        <f t="shared" si="3"/>
        <v/>
      </c>
      <c r="AN32" s="143" t="str">
        <f t="shared" si="3"/>
        <v/>
      </c>
      <c r="AP32" s="9">
        <f t="shared" si="1"/>
        <v>1.6966302180098779E-3</v>
      </c>
      <c r="AQ32" s="9">
        <f t="shared" si="2"/>
        <v>0.83187388778627969</v>
      </c>
    </row>
    <row r="33" spans="2:43" x14ac:dyDescent="0.35">
      <c r="B33" s="3" t="s">
        <v>124</v>
      </c>
      <c r="D33" s="141">
        <v>3736418</v>
      </c>
      <c r="E33" s="141"/>
      <c r="F33" s="141"/>
      <c r="G33" s="141"/>
      <c r="H33" s="141">
        <f>+SUM(D33:G33)</f>
        <v>3736418</v>
      </c>
      <c r="J33" s="141">
        <v>449523</v>
      </c>
      <c r="K33" s="141"/>
      <c r="L33" s="141"/>
      <c r="M33" s="141"/>
      <c r="N33" s="141">
        <f>+SUM(J33:M33)</f>
        <v>449523</v>
      </c>
      <c r="P33" s="2">
        <f>+IFERROR(J33/D33,"")</f>
        <v>0.12030854149616023</v>
      </c>
      <c r="Q33" s="2" t="str">
        <f>+IFERROR(K33/E33,"")</f>
        <v/>
      </c>
      <c r="R33" s="2" t="str">
        <f>+IFERROR(L33/F33,"")</f>
        <v/>
      </c>
      <c r="S33" s="2" t="str">
        <f>+IFERROR(M33/G33,"")</f>
        <v/>
      </c>
      <c r="T33" s="2" t="str">
        <f>+IFERROR(#REF!/#REF!,"")</f>
        <v/>
      </c>
      <c r="U33" s="2" t="str">
        <f>+IFERROR(#REF!/#REF!,"")</f>
        <v/>
      </c>
      <c r="V33" s="2" t="str">
        <f>+IFERROR(#REF!/#REF!,"")</f>
        <v/>
      </c>
      <c r="W33" s="2" t="str">
        <f>+IFERROR(#REF!/#REF!,"")</f>
        <v/>
      </c>
      <c r="X33" s="2" t="str">
        <f>+IFERROR(#REF!/#REF!,"")</f>
        <v/>
      </c>
      <c r="Y33" s="2" t="str">
        <f>+IFERROR(#REF!/#REF!,"")</f>
        <v/>
      </c>
      <c r="Z33" s="2" t="str">
        <f>+IFERROR(#REF!/#REF!,"")</f>
        <v/>
      </c>
      <c r="AA33" s="2" t="str">
        <f>+IFERROR(#REF!/#REF!,"")</f>
        <v/>
      </c>
      <c r="AB33" s="2">
        <f>+IFERROR(N33/H33,"")</f>
        <v>0.12030854149616023</v>
      </c>
      <c r="AD33" s="143" t="str">
        <f t="shared" si="4"/>
        <v/>
      </c>
      <c r="AE33" s="143" t="str">
        <f t="shared" si="4"/>
        <v/>
      </c>
      <c r="AF33" s="143" t="str">
        <f t="shared" si="3"/>
        <v/>
      </c>
      <c r="AG33" s="143" t="str">
        <f t="shared" si="3"/>
        <v/>
      </c>
      <c r="AH33" s="143" t="str">
        <f t="shared" si="3"/>
        <v/>
      </c>
      <c r="AI33" s="143" t="str">
        <f t="shared" si="3"/>
        <v/>
      </c>
      <c r="AJ33" s="143" t="str">
        <f t="shared" si="3"/>
        <v/>
      </c>
      <c r="AK33" s="143" t="str">
        <f t="shared" si="3"/>
        <v/>
      </c>
      <c r="AL33" s="143" t="str">
        <f t="shared" si="3"/>
        <v/>
      </c>
      <c r="AM33" s="143" t="str">
        <f t="shared" si="3"/>
        <v/>
      </c>
      <c r="AN33" s="143" t="str">
        <f t="shared" si="3"/>
        <v/>
      </c>
      <c r="AP33" s="9">
        <f t="shared" si="1"/>
        <v>2.5897919488287628E-4</v>
      </c>
      <c r="AQ33" s="9">
        <f t="shared" si="2"/>
        <v>0.83213286698116251</v>
      </c>
    </row>
    <row r="34" spans="2:43" x14ac:dyDescent="0.35">
      <c r="B34" s="3" t="s">
        <v>125</v>
      </c>
      <c r="D34" s="141">
        <v>35127775</v>
      </c>
      <c r="E34" s="141">
        <v>15324416</v>
      </c>
      <c r="F34" s="141">
        <v>18779046</v>
      </c>
      <c r="G34" s="141">
        <v>14603562</v>
      </c>
      <c r="H34" s="141">
        <f>+SUM(D34:G34)</f>
        <v>83834799</v>
      </c>
      <c r="J34" s="141">
        <v>6153532</v>
      </c>
      <c r="K34" s="141">
        <v>3909788</v>
      </c>
      <c r="L34" s="141">
        <v>3151374</v>
      </c>
      <c r="M34" s="141">
        <v>2013652</v>
      </c>
      <c r="N34" s="141">
        <f>+SUM(J34:M34)</f>
        <v>15228346</v>
      </c>
      <c r="P34" s="2">
        <f>+IFERROR(J34/D34,"")</f>
        <v>0.17517568362926489</v>
      </c>
      <c r="Q34" s="2">
        <f>+IFERROR(K34/E34,"")</f>
        <v>0.25513455129383072</v>
      </c>
      <c r="R34" s="2">
        <f>+IFERROR(L34/F34,"")</f>
        <v>0.16781331703431579</v>
      </c>
      <c r="S34" s="2">
        <f>+IFERROR(M34/G34,"")</f>
        <v>0.1378877290348752</v>
      </c>
      <c r="T34" s="2" t="str">
        <f>+IFERROR(#REF!/#REF!,"")</f>
        <v/>
      </c>
      <c r="U34" s="2" t="str">
        <f>+IFERROR(#REF!/#REF!,"")</f>
        <v/>
      </c>
      <c r="V34" s="2" t="str">
        <f>+IFERROR(#REF!/#REF!,"")</f>
        <v/>
      </c>
      <c r="W34" s="2" t="str">
        <f>+IFERROR(#REF!/#REF!,"")</f>
        <v/>
      </c>
      <c r="X34" s="2" t="str">
        <f>+IFERROR(#REF!/#REF!,"")</f>
        <v/>
      </c>
      <c r="Y34" s="2" t="str">
        <f>+IFERROR(#REF!/#REF!,"")</f>
        <v/>
      </c>
      <c r="Z34" s="2" t="str">
        <f>+IFERROR(#REF!/#REF!,"")</f>
        <v/>
      </c>
      <c r="AA34" s="2" t="str">
        <f>+IFERROR(#REF!/#REF!,"")</f>
        <v/>
      </c>
      <c r="AB34" s="2">
        <f>+IFERROR(N34/H34,"")</f>
        <v>0.18164707474279268</v>
      </c>
      <c r="AD34" s="143">
        <f t="shared" si="4"/>
        <v>7.9958867664565836E-2</v>
      </c>
      <c r="AE34" s="143">
        <f t="shared" si="4"/>
        <v>-8.7321234259514935E-2</v>
      </c>
      <c r="AF34" s="143">
        <f t="shared" si="3"/>
        <v>-2.9925587999440589E-2</v>
      </c>
      <c r="AG34" s="143" t="str">
        <f t="shared" si="3"/>
        <v/>
      </c>
      <c r="AH34" s="143" t="str">
        <f t="shared" si="3"/>
        <v/>
      </c>
      <c r="AI34" s="143" t="str">
        <f t="shared" si="3"/>
        <v/>
      </c>
      <c r="AJ34" s="143" t="str">
        <f t="shared" si="3"/>
        <v/>
      </c>
      <c r="AK34" s="143" t="str">
        <f t="shared" si="3"/>
        <v/>
      </c>
      <c r="AL34" s="143" t="str">
        <f t="shared" si="3"/>
        <v/>
      </c>
      <c r="AM34" s="143" t="str">
        <f t="shared" si="3"/>
        <v/>
      </c>
      <c r="AN34" s="143" t="str">
        <f t="shared" si="3"/>
        <v/>
      </c>
      <c r="AP34" s="9">
        <f t="shared" si="1"/>
        <v>8.7733548371893531E-3</v>
      </c>
      <c r="AQ34" s="9">
        <f t="shared" si="2"/>
        <v>0.84090622181835184</v>
      </c>
    </row>
    <row r="35" spans="2:43" x14ac:dyDescent="0.35">
      <c r="B35" s="3" t="s">
        <v>108</v>
      </c>
      <c r="D35" s="141">
        <v>12624659</v>
      </c>
      <c r="E35" s="141">
        <v>11817624</v>
      </c>
      <c r="F35" s="141">
        <v>12917063</v>
      </c>
      <c r="G35" s="141">
        <v>10886805</v>
      </c>
      <c r="H35" s="141">
        <f>+SUM(D35:G35)</f>
        <v>48246151</v>
      </c>
      <c r="J35" s="141">
        <v>1216141</v>
      </c>
      <c r="K35" s="141">
        <v>1077901</v>
      </c>
      <c r="L35" s="141">
        <v>1126231</v>
      </c>
      <c r="M35" s="141">
        <v>1044480</v>
      </c>
      <c r="N35" s="141">
        <f>+SUM(J35:M35)</f>
        <v>4464753</v>
      </c>
      <c r="P35" s="2">
        <f>+IFERROR(J35/D35,"")</f>
        <v>9.6330601880019101E-2</v>
      </c>
      <c r="Q35" s="2">
        <f>+IFERROR(K35/E35,"")</f>
        <v>9.1211312866274985E-2</v>
      </c>
      <c r="R35" s="2">
        <f>+IFERROR(L35/F35,"")</f>
        <v>8.7189402110990716E-2</v>
      </c>
      <c r="S35" s="2">
        <f>+IFERROR(M35/G35,"")</f>
        <v>9.5939993414045716E-2</v>
      </c>
      <c r="T35" s="2" t="str">
        <f>+IFERROR(#REF!/#REF!,"")</f>
        <v/>
      </c>
      <c r="U35" s="2" t="str">
        <f>+IFERROR(#REF!/#REF!,"")</f>
        <v/>
      </c>
      <c r="V35" s="2" t="str">
        <f>+IFERROR(#REF!/#REF!,"")</f>
        <v/>
      </c>
      <c r="W35" s="2" t="str">
        <f>+IFERROR(#REF!/#REF!,"")</f>
        <v/>
      </c>
      <c r="X35" s="2" t="str">
        <f>+IFERROR(#REF!/#REF!,"")</f>
        <v/>
      </c>
      <c r="Y35" s="2" t="str">
        <f>+IFERROR(#REF!/#REF!,"")</f>
        <v/>
      </c>
      <c r="Z35" s="2" t="str">
        <f>+IFERROR(#REF!/#REF!,"")</f>
        <v/>
      </c>
      <c r="AA35" s="2" t="str">
        <f>+IFERROR(#REF!/#REF!,"")</f>
        <v/>
      </c>
      <c r="AB35" s="2">
        <f>+IFERROR(N35/H35,"")</f>
        <v>9.2541123125034375E-2</v>
      </c>
      <c r="AD35" s="143">
        <f t="shared" si="4"/>
        <v>-5.119289013744116E-3</v>
      </c>
      <c r="AE35" s="143">
        <f t="shared" si="4"/>
        <v>-4.0219107552842692E-3</v>
      </c>
      <c r="AF35" s="143">
        <f t="shared" si="3"/>
        <v>8.7505913030549998E-3</v>
      </c>
      <c r="AG35" s="143" t="str">
        <f t="shared" si="3"/>
        <v/>
      </c>
      <c r="AH35" s="143" t="str">
        <f t="shared" si="3"/>
        <v/>
      </c>
      <c r="AI35" s="143" t="str">
        <f t="shared" si="3"/>
        <v/>
      </c>
      <c r="AJ35" s="143" t="str">
        <f t="shared" si="3"/>
        <v/>
      </c>
      <c r="AK35" s="143" t="str">
        <f t="shared" si="3"/>
        <v/>
      </c>
      <c r="AL35" s="143" t="str">
        <f t="shared" si="3"/>
        <v/>
      </c>
      <c r="AM35" s="143" t="str">
        <f t="shared" si="3"/>
        <v/>
      </c>
      <c r="AN35" s="143" t="str">
        <f t="shared" si="3"/>
        <v/>
      </c>
      <c r="AP35" s="9">
        <f t="shared" si="1"/>
        <v>2.5722335393092376E-3</v>
      </c>
      <c r="AQ35" s="9">
        <f t="shared" si="2"/>
        <v>0.84347845535766108</v>
      </c>
    </row>
    <row r="36" spans="2:43" x14ac:dyDescent="0.35">
      <c r="B36" s="3" t="s">
        <v>120</v>
      </c>
      <c r="D36" s="141">
        <v>7510377</v>
      </c>
      <c r="E36" s="141">
        <v>6963525</v>
      </c>
      <c r="F36" s="141">
        <v>7232857</v>
      </c>
      <c r="G36" s="141">
        <v>6471297</v>
      </c>
      <c r="H36" s="141">
        <f>+SUM(D36:G36)</f>
        <v>28178056</v>
      </c>
      <c r="J36" s="141">
        <v>949309</v>
      </c>
      <c r="K36" s="141">
        <v>912910</v>
      </c>
      <c r="L36" s="141">
        <v>939290</v>
      </c>
      <c r="M36" s="141">
        <v>780494</v>
      </c>
      <c r="N36" s="141">
        <f>+SUM(J36:M36)</f>
        <v>3582003</v>
      </c>
      <c r="P36" s="2">
        <f>+IFERROR(J36/D36,"")</f>
        <v>0.12639964678204568</v>
      </c>
      <c r="Q36" s="2">
        <f>+IFERROR(K36/E36,"")</f>
        <v>0.13109883284686993</v>
      </c>
      <c r="R36" s="2">
        <f>+IFERROR(L36/F36,"")</f>
        <v>0.12986431226277528</v>
      </c>
      <c r="S36" s="2">
        <f>+IFERROR(M36/G36,"")</f>
        <v>0.12060858897374051</v>
      </c>
      <c r="T36" s="2" t="str">
        <f>+IFERROR(#REF!/#REF!,"")</f>
        <v/>
      </c>
      <c r="U36" s="2" t="str">
        <f>+IFERROR(#REF!/#REF!,"")</f>
        <v/>
      </c>
      <c r="V36" s="2" t="str">
        <f>+IFERROR(#REF!/#REF!,"")</f>
        <v/>
      </c>
      <c r="W36" s="2" t="str">
        <f>+IFERROR(#REF!/#REF!,"")</f>
        <v/>
      </c>
      <c r="X36" s="2" t="str">
        <f>+IFERROR(#REF!/#REF!,"")</f>
        <v/>
      </c>
      <c r="Y36" s="2" t="str">
        <f>+IFERROR(#REF!/#REF!,"")</f>
        <v/>
      </c>
      <c r="Z36" s="2" t="str">
        <f>+IFERROR(#REF!/#REF!,"")</f>
        <v/>
      </c>
      <c r="AA36" s="2" t="str">
        <f>+IFERROR(#REF!/#REF!,"")</f>
        <v/>
      </c>
      <c r="AB36" s="2">
        <f>+IFERROR(N36/H36,"")</f>
        <v>0.12712030240837055</v>
      </c>
      <c r="AD36" s="143">
        <f t="shared" si="4"/>
        <v>4.6991860648242512E-3</v>
      </c>
      <c r="AE36" s="143">
        <f t="shared" si="4"/>
        <v>-1.2345205840946505E-3</v>
      </c>
      <c r="AF36" s="143">
        <f t="shared" si="3"/>
        <v>-9.2557232890347757E-3</v>
      </c>
      <c r="AG36" s="143" t="str">
        <f t="shared" si="3"/>
        <v/>
      </c>
      <c r="AH36" s="143" t="str">
        <f t="shared" si="3"/>
        <v/>
      </c>
      <c r="AI36" s="143" t="str">
        <f t="shared" si="3"/>
        <v/>
      </c>
      <c r="AJ36" s="143" t="str">
        <f t="shared" si="3"/>
        <v/>
      </c>
      <c r="AK36" s="143" t="str">
        <f t="shared" si="3"/>
        <v/>
      </c>
      <c r="AL36" s="143" t="str">
        <f t="shared" si="3"/>
        <v/>
      </c>
      <c r="AM36" s="143" t="str">
        <f t="shared" si="3"/>
        <v/>
      </c>
      <c r="AN36" s="143" t="str">
        <f t="shared" si="3"/>
        <v/>
      </c>
      <c r="AP36" s="9">
        <f t="shared" si="1"/>
        <v>2.0636636012129469E-3</v>
      </c>
      <c r="AQ36" s="9">
        <f t="shared" si="2"/>
        <v>0.84554211895887399</v>
      </c>
    </row>
    <row r="37" spans="2:43" x14ac:dyDescent="0.35">
      <c r="B37" s="3" t="s">
        <v>109</v>
      </c>
      <c r="D37" s="141">
        <v>15997835</v>
      </c>
      <c r="E37" s="141">
        <v>14358346</v>
      </c>
      <c r="F37" s="141">
        <v>14282715</v>
      </c>
      <c r="G37" s="141">
        <v>12965365</v>
      </c>
      <c r="H37" s="141">
        <f>+SUM(D37:G37)</f>
        <v>57604261</v>
      </c>
      <c r="J37" s="141">
        <v>1675354</v>
      </c>
      <c r="K37" s="141">
        <v>1474112</v>
      </c>
      <c r="L37" s="141">
        <v>1340020</v>
      </c>
      <c r="M37" s="141">
        <v>1156213</v>
      </c>
      <c r="N37" s="141">
        <f>+SUM(J37:M37)</f>
        <v>5645699</v>
      </c>
      <c r="P37" s="2">
        <f>+IFERROR(J37/D37,"")</f>
        <v>0.10472379543857029</v>
      </c>
      <c r="Q37" s="2">
        <f>+IFERROR(K37/E37,"")</f>
        <v>0.10266586416011983</v>
      </c>
      <c r="R37" s="2">
        <f>+IFERROR(L37/F37,"")</f>
        <v>9.3821097739470408E-2</v>
      </c>
      <c r="S37" s="2">
        <f>+IFERROR(M37/G37,"")</f>
        <v>8.9177049778390347E-2</v>
      </c>
      <c r="T37" s="2" t="str">
        <f>+IFERROR(#REF!/#REF!,"")</f>
        <v/>
      </c>
      <c r="U37" s="2" t="str">
        <f>+IFERROR(#REF!/#REF!,"")</f>
        <v/>
      </c>
      <c r="V37" s="2" t="str">
        <f>+IFERROR(#REF!/#REF!,"")</f>
        <v/>
      </c>
      <c r="W37" s="2" t="str">
        <f>+IFERROR(#REF!/#REF!,"")</f>
        <v/>
      </c>
      <c r="X37" s="2" t="str">
        <f>+IFERROR(#REF!/#REF!,"")</f>
        <v/>
      </c>
      <c r="Y37" s="2" t="str">
        <f>+IFERROR(#REF!/#REF!,"")</f>
        <v/>
      </c>
      <c r="Z37" s="2" t="str">
        <f>+IFERROR(#REF!/#REF!,"")</f>
        <v/>
      </c>
      <c r="AA37" s="2" t="str">
        <f>+IFERROR(#REF!/#REF!,"")</f>
        <v/>
      </c>
      <c r="AB37" s="2">
        <f>+IFERROR(N37/H37,"")</f>
        <v>9.8008357402588675E-2</v>
      </c>
      <c r="AD37" s="143">
        <f t="shared" si="4"/>
        <v>-2.0579312784504561E-3</v>
      </c>
      <c r="AE37" s="143">
        <f t="shared" si="4"/>
        <v>-8.844766420649422E-3</v>
      </c>
      <c r="AF37" s="143">
        <f t="shared" si="3"/>
        <v>-4.6440479610800611E-3</v>
      </c>
      <c r="AG37" s="143" t="str">
        <f t="shared" si="3"/>
        <v/>
      </c>
      <c r="AH37" s="143" t="str">
        <f t="shared" si="3"/>
        <v/>
      </c>
      <c r="AI37" s="143" t="str">
        <f t="shared" si="3"/>
        <v/>
      </c>
      <c r="AJ37" s="143" t="str">
        <f t="shared" si="3"/>
        <v/>
      </c>
      <c r="AK37" s="143" t="str">
        <f t="shared" si="3"/>
        <v/>
      </c>
      <c r="AL37" s="143" t="str">
        <f t="shared" si="3"/>
        <v/>
      </c>
      <c r="AM37" s="143" t="str">
        <f t="shared" si="3"/>
        <v/>
      </c>
      <c r="AN37" s="143" t="str">
        <f t="shared" si="3"/>
        <v/>
      </c>
      <c r="AP37" s="9">
        <f t="shared" ref="AP37:AP67" si="5">+N37/$N$236</f>
        <v>3.2526001596604836E-3</v>
      </c>
      <c r="AQ37" s="9">
        <f t="shared" si="2"/>
        <v>0.84879471911853444</v>
      </c>
    </row>
    <row r="38" spans="2:43" x14ac:dyDescent="0.35">
      <c r="B38" s="3" t="s">
        <v>130</v>
      </c>
      <c r="D38" s="141">
        <v>16475048</v>
      </c>
      <c r="E38" s="141">
        <v>17999997</v>
      </c>
      <c r="F38" s="141">
        <v>18848898</v>
      </c>
      <c r="G38" s="141">
        <v>12331570</v>
      </c>
      <c r="H38" s="141">
        <f>+SUM(D38:G38)</f>
        <v>65655513</v>
      </c>
      <c r="J38" s="141">
        <v>1881566</v>
      </c>
      <c r="K38" s="141">
        <v>2319936</v>
      </c>
      <c r="L38" s="141">
        <v>2115666</v>
      </c>
      <c r="M38" s="141">
        <v>1427361</v>
      </c>
      <c r="N38" s="141">
        <f>+SUM(J38:M38)</f>
        <v>7744529</v>
      </c>
      <c r="P38" s="2">
        <f>+IFERROR(J38/D38,"")</f>
        <v>0.1142070117185698</v>
      </c>
      <c r="Q38" s="2">
        <f>+IFERROR(K38/E38,"")</f>
        <v>0.12888535481422581</v>
      </c>
      <c r="R38" s="2">
        <f>+IFERROR(L38/F38,"")</f>
        <v>0.11224348500373868</v>
      </c>
      <c r="S38" s="2">
        <f>+IFERROR(M38/G38,"")</f>
        <v>0.11574852188326384</v>
      </c>
      <c r="T38" s="2" t="str">
        <f>+IFERROR(#REF!/#REF!,"")</f>
        <v/>
      </c>
      <c r="U38" s="2" t="str">
        <f>+IFERROR(#REF!/#REF!,"")</f>
        <v/>
      </c>
      <c r="V38" s="2" t="str">
        <f>+IFERROR(#REF!/#REF!,"")</f>
        <v/>
      </c>
      <c r="W38" s="2" t="str">
        <f>+IFERROR(#REF!/#REF!,"")</f>
        <v/>
      </c>
      <c r="X38" s="2" t="str">
        <f>+IFERROR(#REF!/#REF!,"")</f>
        <v/>
      </c>
      <c r="Y38" s="2" t="str">
        <f>+IFERROR(#REF!/#REF!,"")</f>
        <v/>
      </c>
      <c r="Z38" s="2" t="str">
        <f>+IFERROR(#REF!/#REF!,"")</f>
        <v/>
      </c>
      <c r="AA38" s="2" t="str">
        <f>+IFERROR(#REF!/#REF!,"")</f>
        <v/>
      </c>
      <c r="AB38" s="2">
        <f>+IFERROR(N38/H38,"")</f>
        <v>0.11795702517776382</v>
      </c>
      <c r="AD38" s="143">
        <f t="shared" si="4"/>
        <v>1.4678343095656007E-2</v>
      </c>
      <c r="AE38" s="143">
        <f t="shared" si="4"/>
        <v>-1.6641869810487125E-2</v>
      </c>
      <c r="AF38" s="143">
        <f t="shared" si="3"/>
        <v>3.5050368795251641E-3</v>
      </c>
      <c r="AG38" s="143" t="str">
        <f t="shared" si="3"/>
        <v/>
      </c>
      <c r="AH38" s="143" t="str">
        <f t="shared" si="3"/>
        <v/>
      </c>
      <c r="AI38" s="143" t="str">
        <f t="shared" si="3"/>
        <v/>
      </c>
      <c r="AJ38" s="143" t="str">
        <f t="shared" si="3"/>
        <v/>
      </c>
      <c r="AK38" s="143" t="str">
        <f t="shared" si="3"/>
        <v/>
      </c>
      <c r="AL38" s="143" t="str">
        <f t="shared" si="3"/>
        <v/>
      </c>
      <c r="AM38" s="143" t="str">
        <f t="shared" si="3"/>
        <v/>
      </c>
      <c r="AN38" s="143" t="str">
        <f t="shared" si="3"/>
        <v/>
      </c>
      <c r="AP38" s="9">
        <f t="shared" si="5"/>
        <v>4.4617781185102585E-3</v>
      </c>
      <c r="AQ38" s="9">
        <f t="shared" si="2"/>
        <v>0.85325649723704466</v>
      </c>
    </row>
    <row r="39" spans="2:43" x14ac:dyDescent="0.35">
      <c r="B39" s="3" t="s">
        <v>153</v>
      </c>
      <c r="D39" s="141">
        <v>5278984</v>
      </c>
      <c r="E39" s="141">
        <v>5158166</v>
      </c>
      <c r="F39" s="141">
        <v>5785072</v>
      </c>
      <c r="G39" s="141">
        <v>5209450</v>
      </c>
      <c r="H39" s="141">
        <f>+SUM(D39:G39)</f>
        <v>21431672</v>
      </c>
      <c r="J39" s="141">
        <v>459124</v>
      </c>
      <c r="K39" s="141">
        <v>514427</v>
      </c>
      <c r="L39" s="141">
        <v>540622</v>
      </c>
      <c r="M39" s="141">
        <v>423034</v>
      </c>
      <c r="N39" s="141">
        <f>+SUM(J39:M39)</f>
        <v>1937207</v>
      </c>
      <c r="P39" s="2">
        <f>+IFERROR(J39/D39,"")</f>
        <v>8.697203855893483E-2</v>
      </c>
      <c r="Q39" s="2">
        <f>+IFERROR(K39/E39,"")</f>
        <v>9.9730601923241707E-2</v>
      </c>
      <c r="R39" s="2">
        <f>+IFERROR(L39/F39,"")</f>
        <v>9.3451213744617179E-2</v>
      </c>
      <c r="S39" s="2">
        <f>+IFERROR(M39/G39,"")</f>
        <v>8.1205117622781681E-2</v>
      </c>
      <c r="T39" s="2" t="str">
        <f>+IFERROR(#REF!/#REF!,"")</f>
        <v/>
      </c>
      <c r="U39" s="2" t="str">
        <f>+IFERROR(#REF!/#REF!,"")</f>
        <v/>
      </c>
      <c r="V39" s="2" t="str">
        <f>+IFERROR(#REF!/#REF!,"")</f>
        <v/>
      </c>
      <c r="W39" s="2" t="str">
        <f>+IFERROR(#REF!/#REF!,"")</f>
        <v/>
      </c>
      <c r="X39" s="2" t="str">
        <f>+IFERROR(#REF!/#REF!,"")</f>
        <v/>
      </c>
      <c r="Y39" s="2" t="str">
        <f>+IFERROR(#REF!/#REF!,"")</f>
        <v/>
      </c>
      <c r="Z39" s="2" t="str">
        <f>+IFERROR(#REF!/#REF!,"")</f>
        <v/>
      </c>
      <c r="AA39" s="2" t="str">
        <f>+IFERROR(#REF!/#REF!,"")</f>
        <v/>
      </c>
      <c r="AB39" s="2">
        <f>+IFERROR(N39/H39,"")</f>
        <v>9.03899145153024E-2</v>
      </c>
      <c r="AD39" s="143">
        <f t="shared" si="4"/>
        <v>1.2758563364306877E-2</v>
      </c>
      <c r="AE39" s="143">
        <f t="shared" si="4"/>
        <v>-6.2793881786245287E-3</v>
      </c>
      <c r="AF39" s="143">
        <f t="shared" si="3"/>
        <v>-1.2246096121835498E-2</v>
      </c>
      <c r="AG39" s="143" t="str">
        <f t="shared" si="3"/>
        <v/>
      </c>
      <c r="AH39" s="143" t="str">
        <f t="shared" si="3"/>
        <v/>
      </c>
      <c r="AI39" s="143" t="str">
        <f t="shared" si="3"/>
        <v/>
      </c>
      <c r="AJ39" s="143" t="str">
        <f t="shared" si="3"/>
        <v/>
      </c>
      <c r="AK39" s="143" t="str">
        <f t="shared" si="3"/>
        <v/>
      </c>
      <c r="AL39" s="143" t="str">
        <f t="shared" si="3"/>
        <v/>
      </c>
      <c r="AM39" s="143" t="str">
        <f t="shared" si="3"/>
        <v/>
      </c>
      <c r="AN39" s="143" t="str">
        <f t="shared" si="3"/>
        <v/>
      </c>
      <c r="AP39" s="9">
        <f t="shared" si="5"/>
        <v>1.1160637146074219E-3</v>
      </c>
      <c r="AQ39" s="9">
        <f t="shared" si="2"/>
        <v>0.85437256095165204</v>
      </c>
    </row>
    <row r="40" spans="2:43" x14ac:dyDescent="0.35">
      <c r="B40" s="3" t="s">
        <v>107</v>
      </c>
      <c r="D40" s="141">
        <v>5578643</v>
      </c>
      <c r="E40" s="141">
        <v>5093001</v>
      </c>
      <c r="F40" s="141">
        <v>5316870</v>
      </c>
      <c r="G40" s="141">
        <v>5115372</v>
      </c>
      <c r="H40" s="141">
        <f>+SUM(D40:G40)</f>
        <v>21103886</v>
      </c>
      <c r="J40" s="141">
        <v>466159</v>
      </c>
      <c r="K40" s="141">
        <v>417583</v>
      </c>
      <c r="L40" s="141">
        <v>445421</v>
      </c>
      <c r="M40" s="141">
        <v>404593</v>
      </c>
      <c r="N40" s="141">
        <f>+SUM(J40:M40)</f>
        <v>1733756</v>
      </c>
      <c r="P40" s="2">
        <f>+IFERROR(J40/D40,"")</f>
        <v>8.3561360710839541E-2</v>
      </c>
      <c r="Q40" s="2">
        <f>+IFERROR(K40/E40,"")</f>
        <v>8.1991540940204014E-2</v>
      </c>
      <c r="R40" s="2">
        <f>+IFERROR(L40/F40,"")</f>
        <v>8.3775040578385404E-2</v>
      </c>
      <c r="S40" s="2">
        <f>+IFERROR(M40/G40,"")</f>
        <v>7.9093563478863316E-2</v>
      </c>
      <c r="T40" s="2" t="str">
        <f>+IFERROR(#REF!/#REF!,"")</f>
        <v/>
      </c>
      <c r="U40" s="2" t="str">
        <f>+IFERROR(#REF!/#REF!,"")</f>
        <v/>
      </c>
      <c r="V40" s="2" t="str">
        <f>+IFERROR(#REF!/#REF!,"")</f>
        <v/>
      </c>
      <c r="W40" s="2" t="str">
        <f>+IFERROR(#REF!/#REF!,"")</f>
        <v/>
      </c>
      <c r="X40" s="2" t="str">
        <f>+IFERROR(#REF!/#REF!,"")</f>
        <v/>
      </c>
      <c r="Y40" s="2" t="str">
        <f>+IFERROR(#REF!/#REF!,"")</f>
        <v/>
      </c>
      <c r="Z40" s="2" t="str">
        <f>+IFERROR(#REF!/#REF!,"")</f>
        <v/>
      </c>
      <c r="AA40" s="2" t="str">
        <f>+IFERROR(#REF!/#REF!,"")</f>
        <v/>
      </c>
      <c r="AB40" s="2">
        <f>+IFERROR(N40/H40,"")</f>
        <v>8.2153400563289625E-2</v>
      </c>
      <c r="AD40" s="143">
        <f t="shared" si="4"/>
        <v>-1.5698197706355277E-3</v>
      </c>
      <c r="AE40" s="143">
        <f t="shared" si="4"/>
        <v>1.7834996381813906E-3</v>
      </c>
      <c r="AF40" s="143">
        <f t="shared" si="3"/>
        <v>-4.6814770995220883E-3</v>
      </c>
      <c r="AG40" s="143" t="str">
        <f t="shared" si="3"/>
        <v/>
      </c>
      <c r="AH40" s="143" t="str">
        <f t="shared" si="3"/>
        <v/>
      </c>
      <c r="AI40" s="143" t="str">
        <f t="shared" si="3"/>
        <v/>
      </c>
      <c r="AJ40" s="143" t="str">
        <f t="shared" si="3"/>
        <v/>
      </c>
      <c r="AK40" s="143" t="str">
        <f t="shared" si="3"/>
        <v/>
      </c>
      <c r="AL40" s="143" t="str">
        <f t="shared" si="3"/>
        <v/>
      </c>
      <c r="AM40" s="143" t="str">
        <f t="shared" si="3"/>
        <v/>
      </c>
      <c r="AN40" s="143" t="str">
        <f t="shared" si="3"/>
        <v/>
      </c>
      <c r="AP40" s="9">
        <f t="shared" si="5"/>
        <v>9.9885152262143661E-4</v>
      </c>
      <c r="AQ40" s="9">
        <f t="shared" si="2"/>
        <v>0.85537141247427351</v>
      </c>
    </row>
    <row r="41" spans="2:43" x14ac:dyDescent="0.35">
      <c r="B41" s="3" t="s">
        <v>129</v>
      </c>
      <c r="D41" s="141">
        <v>10207779</v>
      </c>
      <c r="E41" s="141">
        <v>9325983</v>
      </c>
      <c r="F41" s="141">
        <v>9312989</v>
      </c>
      <c r="G41" s="141">
        <v>8681667</v>
      </c>
      <c r="H41" s="141">
        <f>+SUM(D41:G41)</f>
        <v>37528418</v>
      </c>
      <c r="J41" s="141">
        <v>1045267</v>
      </c>
      <c r="K41" s="141">
        <v>986529</v>
      </c>
      <c r="L41" s="141">
        <v>994048</v>
      </c>
      <c r="M41" s="141">
        <v>908275</v>
      </c>
      <c r="N41" s="141">
        <f>+SUM(J41:M41)</f>
        <v>3934119</v>
      </c>
      <c r="P41" s="2">
        <f>+IFERROR(J41/D41,"")</f>
        <v>0.10239906251888878</v>
      </c>
      <c r="Q41" s="2">
        <f>+IFERROR(K41/E41,"")</f>
        <v>0.10578284348148607</v>
      </c>
      <c r="R41" s="2">
        <f>+IFERROR(L41/F41,"")</f>
        <v>0.1067378045866907</v>
      </c>
      <c r="S41" s="2">
        <f>+IFERROR(M41/G41,"")</f>
        <v>0.10461988463736285</v>
      </c>
      <c r="T41" s="2" t="str">
        <f>+IFERROR(#REF!/#REF!,"")</f>
        <v/>
      </c>
      <c r="U41" s="2" t="str">
        <f>+IFERROR(#REF!/#REF!,"")</f>
        <v/>
      </c>
      <c r="V41" s="2" t="str">
        <f>+IFERROR(#REF!/#REF!,"")</f>
        <v/>
      </c>
      <c r="W41" s="2" t="str">
        <f>+IFERROR(#REF!/#REF!,"")</f>
        <v/>
      </c>
      <c r="X41" s="2" t="str">
        <f>+IFERROR(#REF!/#REF!,"")</f>
        <v/>
      </c>
      <c r="Y41" s="2" t="str">
        <f>+IFERROR(#REF!/#REF!,"")</f>
        <v/>
      </c>
      <c r="Z41" s="2" t="str">
        <f>+IFERROR(#REF!/#REF!,"")</f>
        <v/>
      </c>
      <c r="AA41" s="2" t="str">
        <f>+IFERROR(#REF!/#REF!,"")</f>
        <v/>
      </c>
      <c r="AB41" s="2">
        <f>+IFERROR(N41/H41,"")</f>
        <v>0.10483039812656104</v>
      </c>
      <c r="AD41" s="143">
        <f t="shared" si="4"/>
        <v>3.3837809625972964E-3</v>
      </c>
      <c r="AE41" s="143">
        <f t="shared" si="4"/>
        <v>9.5496110520462696E-4</v>
      </c>
      <c r="AF41" s="143">
        <f t="shared" si="3"/>
        <v>-2.1179199493278483E-3</v>
      </c>
      <c r="AG41" s="143" t="str">
        <f t="shared" si="3"/>
        <v/>
      </c>
      <c r="AH41" s="143" t="str">
        <f t="shared" si="3"/>
        <v/>
      </c>
      <c r="AI41" s="143" t="str">
        <f t="shared" si="3"/>
        <v/>
      </c>
      <c r="AJ41" s="143" t="str">
        <f t="shared" si="3"/>
        <v/>
      </c>
      <c r="AK41" s="143" t="str">
        <f t="shared" si="3"/>
        <v/>
      </c>
      <c r="AL41" s="143" t="str">
        <f t="shared" si="3"/>
        <v/>
      </c>
      <c r="AM41" s="143" t="str">
        <f t="shared" si="3"/>
        <v/>
      </c>
      <c r="AN41" s="143" t="str">
        <f t="shared" si="3"/>
        <v/>
      </c>
      <c r="AP41" s="9">
        <f t="shared" si="5"/>
        <v>2.2665246743624381E-3</v>
      </c>
      <c r="AQ41" s="9">
        <f t="shared" si="2"/>
        <v>0.8576379371486359</v>
      </c>
    </row>
    <row r="42" spans="2:43" x14ac:dyDescent="0.35">
      <c r="B42" s="3" t="s">
        <v>122</v>
      </c>
      <c r="D42" s="141">
        <v>9476729</v>
      </c>
      <c r="E42" s="141">
        <v>8701845</v>
      </c>
      <c r="F42" s="141">
        <v>8592481</v>
      </c>
      <c r="G42" s="141">
        <v>7922999</v>
      </c>
      <c r="H42" s="141">
        <f>+SUM(D42:G42)</f>
        <v>34694054</v>
      </c>
      <c r="J42" s="141">
        <v>976917</v>
      </c>
      <c r="K42" s="141">
        <v>905202</v>
      </c>
      <c r="L42" s="141">
        <v>862131</v>
      </c>
      <c r="M42" s="141">
        <v>809352</v>
      </c>
      <c r="N42" s="141">
        <f>+SUM(J42:M42)</f>
        <v>3553602</v>
      </c>
      <c r="P42" s="2">
        <f>+IFERROR(J42/D42,"")</f>
        <v>0.10308588543578696</v>
      </c>
      <c r="Q42" s="2">
        <f>+IFERROR(K42/E42,"")</f>
        <v>0.10402414660339272</v>
      </c>
      <c r="R42" s="2">
        <f>+IFERROR(L42/F42,"")</f>
        <v>0.10033551427114008</v>
      </c>
      <c r="S42" s="2">
        <f>+IFERROR(M42/G42,"")</f>
        <v>0.10215222796317404</v>
      </c>
      <c r="T42" s="2" t="str">
        <f>+IFERROR(#REF!/#REF!,"")</f>
        <v/>
      </c>
      <c r="U42" s="2" t="str">
        <f>+IFERROR(#REF!/#REF!,"")</f>
        <v/>
      </c>
      <c r="V42" s="2" t="str">
        <f>+IFERROR(#REF!/#REF!,"")</f>
        <v/>
      </c>
      <c r="W42" s="2" t="str">
        <f>+IFERROR(#REF!/#REF!,"")</f>
        <v/>
      </c>
      <c r="X42" s="2" t="str">
        <f>+IFERROR(#REF!/#REF!,"")</f>
        <v/>
      </c>
      <c r="Y42" s="2" t="str">
        <f>+IFERROR(#REF!/#REF!,"")</f>
        <v/>
      </c>
      <c r="Z42" s="2" t="str">
        <f>+IFERROR(#REF!/#REF!,"")</f>
        <v/>
      </c>
      <c r="AA42" s="2" t="str">
        <f>+IFERROR(#REF!/#REF!,"")</f>
        <v/>
      </c>
      <c r="AB42" s="2">
        <f>+IFERROR(N42/H42,"")</f>
        <v>0.10242683083389448</v>
      </c>
      <c r="AD42" s="143">
        <f t="shared" si="4"/>
        <v>9.3826116760575839E-4</v>
      </c>
      <c r="AE42" s="143">
        <f t="shared" si="4"/>
        <v>-3.6886323322526393E-3</v>
      </c>
      <c r="AF42" s="143">
        <f t="shared" si="3"/>
        <v>1.8167136920339555E-3</v>
      </c>
      <c r="AG42" s="143" t="str">
        <f t="shared" si="3"/>
        <v/>
      </c>
      <c r="AH42" s="143" t="str">
        <f t="shared" si="3"/>
        <v/>
      </c>
      <c r="AI42" s="143" t="str">
        <f t="shared" si="3"/>
        <v/>
      </c>
      <c r="AJ42" s="143" t="str">
        <f t="shared" si="3"/>
        <v/>
      </c>
      <c r="AK42" s="143" t="str">
        <f t="shared" si="3"/>
        <v/>
      </c>
      <c r="AL42" s="143" t="str">
        <f t="shared" si="3"/>
        <v/>
      </c>
      <c r="AM42" s="143" t="str">
        <f t="shared" si="3"/>
        <v/>
      </c>
      <c r="AN42" s="143" t="str">
        <f t="shared" si="3"/>
        <v/>
      </c>
      <c r="AP42" s="9">
        <f t="shared" si="5"/>
        <v>2.0473012168324622E-3</v>
      </c>
      <c r="AQ42" s="9">
        <f t="shared" si="2"/>
        <v>0.8596852383654684</v>
      </c>
    </row>
    <row r="43" spans="2:43" x14ac:dyDescent="0.35">
      <c r="B43" s="3" t="s">
        <v>128</v>
      </c>
      <c r="D43" s="141">
        <v>1281976</v>
      </c>
      <c r="E43" s="141">
        <v>1480520</v>
      </c>
      <c r="F43" s="141">
        <v>1319055</v>
      </c>
      <c r="G43" s="141">
        <v>1167325</v>
      </c>
      <c r="H43" s="141">
        <f>+SUM(D43:G43)</f>
        <v>5248876</v>
      </c>
      <c r="J43" s="141">
        <v>184234</v>
      </c>
      <c r="K43" s="141">
        <v>194460</v>
      </c>
      <c r="L43" s="141">
        <v>168022</v>
      </c>
      <c r="M43" s="141">
        <v>155130</v>
      </c>
      <c r="N43" s="141">
        <f>+SUM(J43:M43)</f>
        <v>701846</v>
      </c>
      <c r="P43" s="2">
        <f>+IFERROR(J43/D43,"")</f>
        <v>0.14371095870749531</v>
      </c>
      <c r="Q43" s="2">
        <f>+IFERROR(K43/E43,"")</f>
        <v>0.13134574338745847</v>
      </c>
      <c r="R43" s="2">
        <f>+IFERROR(L43/F43,"")</f>
        <v>0.12738058685953202</v>
      </c>
      <c r="S43" s="2">
        <f>+IFERROR(M43/G43,"")</f>
        <v>0.13289358147902255</v>
      </c>
      <c r="T43" s="2" t="str">
        <f>+IFERROR(#REF!/#REF!,"")</f>
        <v/>
      </c>
      <c r="U43" s="2" t="str">
        <f>+IFERROR(#REF!/#REF!,"")</f>
        <v/>
      </c>
      <c r="V43" s="2" t="str">
        <f>+IFERROR(#REF!/#REF!,"")</f>
        <v/>
      </c>
      <c r="W43" s="2" t="str">
        <f>+IFERROR(#REF!/#REF!,"")</f>
        <v/>
      </c>
      <c r="X43" s="2" t="str">
        <f>+IFERROR(#REF!/#REF!,"")</f>
        <v/>
      </c>
      <c r="Y43" s="2" t="str">
        <f>+IFERROR(#REF!/#REF!,"")</f>
        <v/>
      </c>
      <c r="Z43" s="2" t="str">
        <f>+IFERROR(#REF!/#REF!,"")</f>
        <v/>
      </c>
      <c r="AA43" s="2" t="str">
        <f>+IFERROR(#REF!/#REF!,"")</f>
        <v/>
      </c>
      <c r="AB43" s="2">
        <f>+IFERROR(N43/H43,"")</f>
        <v>0.13371357982166088</v>
      </c>
      <c r="AD43" s="143">
        <f t="shared" si="4"/>
        <v>-1.2365215320036843E-2</v>
      </c>
      <c r="AE43" s="143">
        <f t="shared" si="4"/>
        <v>-3.96515652792645E-3</v>
      </c>
      <c r="AF43" s="143">
        <f t="shared" si="3"/>
        <v>5.5129946194905355E-3</v>
      </c>
      <c r="AG43" s="143" t="str">
        <f t="shared" si="3"/>
        <v/>
      </c>
      <c r="AH43" s="143" t="str">
        <f t="shared" si="3"/>
        <v/>
      </c>
      <c r="AI43" s="143" t="str">
        <f t="shared" si="3"/>
        <v/>
      </c>
      <c r="AJ43" s="143" t="str">
        <f t="shared" si="3"/>
        <v/>
      </c>
      <c r="AK43" s="143" t="str">
        <f t="shared" si="3"/>
        <v/>
      </c>
      <c r="AL43" s="143" t="str">
        <f t="shared" si="3"/>
        <v/>
      </c>
      <c r="AM43" s="143" t="str">
        <f t="shared" si="3"/>
        <v/>
      </c>
      <c r="AN43" s="143" t="str">
        <f t="shared" si="3"/>
        <v/>
      </c>
      <c r="AP43" s="9">
        <f t="shared" si="5"/>
        <v>4.0434752395709938E-4</v>
      </c>
      <c r="AQ43" s="9">
        <f t="shared" si="2"/>
        <v>0.86008958588942552</v>
      </c>
    </row>
    <row r="44" spans="2:43" x14ac:dyDescent="0.35">
      <c r="B44" s="3" t="s">
        <v>133</v>
      </c>
      <c r="D44" s="141">
        <v>11160201</v>
      </c>
      <c r="E44" s="141">
        <v>11380026</v>
      </c>
      <c r="F44" s="141">
        <v>12233645</v>
      </c>
      <c r="G44" s="141">
        <v>10740643</v>
      </c>
      <c r="H44" s="141">
        <f>+SUM(D44:G44)</f>
        <v>45514515</v>
      </c>
      <c r="J44" s="141">
        <v>995678</v>
      </c>
      <c r="K44" s="141">
        <v>961819</v>
      </c>
      <c r="L44" s="141">
        <v>1030825</v>
      </c>
      <c r="M44" s="141">
        <v>928614</v>
      </c>
      <c r="N44" s="141">
        <f>+SUM(J44:M44)</f>
        <v>3916936</v>
      </c>
      <c r="P44" s="2">
        <f>+IFERROR(J44/D44,"")</f>
        <v>8.9216851918706486E-2</v>
      </c>
      <c r="Q44" s="2">
        <f>+IFERROR(K44/E44,"")</f>
        <v>8.4518172454087534E-2</v>
      </c>
      <c r="R44" s="2">
        <f>+IFERROR(L44/F44,"")</f>
        <v>8.4261477262091558E-2</v>
      </c>
      <c r="S44" s="2">
        <f>+IFERROR(M44/G44,"")</f>
        <v>8.6457952284607176E-2</v>
      </c>
      <c r="T44" s="2" t="str">
        <f>+IFERROR(#REF!/#REF!,"")</f>
        <v/>
      </c>
      <c r="U44" s="2" t="str">
        <f>+IFERROR(#REF!/#REF!,"")</f>
        <v/>
      </c>
      <c r="V44" s="2" t="str">
        <f>+IFERROR(#REF!/#REF!,"")</f>
        <v/>
      </c>
      <c r="W44" s="2" t="str">
        <f>+IFERROR(#REF!/#REF!,"")</f>
        <v/>
      </c>
      <c r="X44" s="2" t="str">
        <f>+IFERROR(#REF!/#REF!,"")</f>
        <v/>
      </c>
      <c r="Y44" s="2" t="str">
        <f>+IFERROR(#REF!/#REF!,"")</f>
        <v/>
      </c>
      <c r="Z44" s="2" t="str">
        <f>+IFERROR(#REF!/#REF!,"")</f>
        <v/>
      </c>
      <c r="AA44" s="2" t="str">
        <f>+IFERROR(#REF!/#REF!,"")</f>
        <v/>
      </c>
      <c r="AB44" s="2">
        <f>+IFERROR(N44/H44,"")</f>
        <v>8.605905171130572E-2</v>
      </c>
      <c r="AD44" s="143">
        <f t="shared" si="4"/>
        <v>-4.6986794646189517E-3</v>
      </c>
      <c r="AE44" s="143">
        <f t="shared" si="4"/>
        <v>-2.566951919959759E-4</v>
      </c>
      <c r="AF44" s="143">
        <f t="shared" si="3"/>
        <v>2.1964750225156177E-3</v>
      </c>
      <c r="AG44" s="143" t="str">
        <f t="shared" si="3"/>
        <v/>
      </c>
      <c r="AH44" s="143" t="str">
        <f t="shared" si="3"/>
        <v/>
      </c>
      <c r="AI44" s="143" t="str">
        <f t="shared" si="3"/>
        <v/>
      </c>
      <c r="AJ44" s="143" t="str">
        <f t="shared" si="3"/>
        <v/>
      </c>
      <c r="AK44" s="143" t="str">
        <f t="shared" si="3"/>
        <v/>
      </c>
      <c r="AL44" s="143" t="str">
        <f t="shared" si="3"/>
        <v/>
      </c>
      <c r="AM44" s="143" t="str">
        <f t="shared" si="3"/>
        <v/>
      </c>
      <c r="AN44" s="143" t="str">
        <f t="shared" si="3"/>
        <v/>
      </c>
      <c r="AP44" s="9">
        <f t="shared" si="5"/>
        <v>2.2566252042448415E-3</v>
      </c>
      <c r="AQ44" s="9">
        <f t="shared" si="2"/>
        <v>0.86234621109367038</v>
      </c>
    </row>
    <row r="45" spans="2:43" x14ac:dyDescent="0.35">
      <c r="B45" s="3" t="s">
        <v>127</v>
      </c>
      <c r="D45" s="141">
        <v>2980259</v>
      </c>
      <c r="E45" s="141">
        <v>3028404</v>
      </c>
      <c r="F45" s="141">
        <v>3240633</v>
      </c>
      <c r="G45" s="141">
        <v>3290338</v>
      </c>
      <c r="H45" s="141">
        <f>+SUM(D45:G45)</f>
        <v>12539634</v>
      </c>
      <c r="J45" s="141">
        <v>372815</v>
      </c>
      <c r="K45" s="141">
        <v>382637</v>
      </c>
      <c r="L45" s="141">
        <v>382099</v>
      </c>
      <c r="M45" s="141">
        <v>405672</v>
      </c>
      <c r="N45" s="141">
        <f>+SUM(J45:M45)</f>
        <v>1543223</v>
      </c>
      <c r="P45" s="2">
        <f>+IFERROR(J45/D45,"")</f>
        <v>0.12509483236188532</v>
      </c>
      <c r="Q45" s="2">
        <f>+IFERROR(K45/E45,"")</f>
        <v>0.12634939063612385</v>
      </c>
      <c r="R45" s="2">
        <f>+IFERROR(L45/F45,"")</f>
        <v>0.11790875424646975</v>
      </c>
      <c r="S45" s="2">
        <f>+IFERROR(M45/G45,"")</f>
        <v>0.12329189280858076</v>
      </c>
      <c r="T45" s="2" t="str">
        <f>+IFERROR(#REF!/#REF!,"")</f>
        <v/>
      </c>
      <c r="U45" s="2" t="str">
        <f>+IFERROR(#REF!/#REF!,"")</f>
        <v/>
      </c>
      <c r="V45" s="2" t="str">
        <f>+IFERROR(#REF!/#REF!,"")</f>
        <v/>
      </c>
      <c r="W45" s="2" t="str">
        <f>+IFERROR(#REF!/#REF!,"")</f>
        <v/>
      </c>
      <c r="X45" s="2" t="str">
        <f>+IFERROR(#REF!/#REF!,"")</f>
        <v/>
      </c>
      <c r="Y45" s="2" t="str">
        <f>+IFERROR(#REF!/#REF!,"")</f>
        <v/>
      </c>
      <c r="Z45" s="2" t="str">
        <f>+IFERROR(#REF!/#REF!,"")</f>
        <v/>
      </c>
      <c r="AA45" s="2" t="str">
        <f>+IFERROR(#REF!/#REF!,"")</f>
        <v/>
      </c>
      <c r="AB45" s="2">
        <f>+IFERROR(N45/H45,"")</f>
        <v>0.1230676270136752</v>
      </c>
      <c r="AD45" s="143">
        <f t="shared" ref="AD45:AD108" si="6">+IFERROR(Q45-P45,"")</f>
        <v>1.2545582742385375E-3</v>
      </c>
      <c r="AE45" s="143">
        <f t="shared" ref="AE45:AE108" si="7">+IFERROR(R45-Q45,"")</f>
        <v>-8.440636389654102E-3</v>
      </c>
      <c r="AF45" s="143">
        <f t="shared" si="3"/>
        <v>5.3831385621110062E-3</v>
      </c>
      <c r="AG45" s="143" t="str">
        <f t="shared" si="3"/>
        <v/>
      </c>
      <c r="AH45" s="143" t="str">
        <f t="shared" si="3"/>
        <v/>
      </c>
      <c r="AI45" s="143" t="str">
        <f t="shared" si="3"/>
        <v/>
      </c>
      <c r="AJ45" s="143" t="str">
        <f t="shared" si="3"/>
        <v/>
      </c>
      <c r="AK45" s="143" t="str">
        <f t="shared" si="3"/>
        <v/>
      </c>
      <c r="AL45" s="143" t="str">
        <f t="shared" si="3"/>
        <v/>
      </c>
      <c r="AM45" s="143" t="str">
        <f t="shared" si="3"/>
        <v/>
      </c>
      <c r="AN45" s="143" t="str">
        <f t="shared" si="3"/>
        <v/>
      </c>
      <c r="AP45" s="9">
        <f t="shared" si="5"/>
        <v>8.8908164891393095E-4</v>
      </c>
      <c r="AQ45" s="9">
        <f t="shared" si="2"/>
        <v>0.86323529274258426</v>
      </c>
    </row>
    <row r="46" spans="2:43" x14ac:dyDescent="0.35">
      <c r="B46" s="3" t="s">
        <v>132</v>
      </c>
      <c r="D46" s="141">
        <v>2863563</v>
      </c>
      <c r="E46" s="141">
        <v>4501186</v>
      </c>
      <c r="F46" s="141">
        <v>12761238</v>
      </c>
      <c r="G46" s="141">
        <v>11148390</v>
      </c>
      <c r="H46" s="141">
        <f>+SUM(D46:G46)</f>
        <v>31274377</v>
      </c>
      <c r="J46" s="141">
        <v>218068</v>
      </c>
      <c r="K46" s="141">
        <v>354704</v>
      </c>
      <c r="L46" s="141">
        <v>1350322</v>
      </c>
      <c r="M46" s="141">
        <v>1253293</v>
      </c>
      <c r="N46" s="141">
        <f>+SUM(J46:M46)</f>
        <v>3176387</v>
      </c>
      <c r="P46" s="2">
        <f>+IFERROR(J46/D46,"")</f>
        <v>7.6152681117894042E-2</v>
      </c>
      <c r="Q46" s="2">
        <f>+IFERROR(K46/E46,"")</f>
        <v>7.8802342316002943E-2</v>
      </c>
      <c r="R46" s="2">
        <f>+IFERROR(L46/F46,"")</f>
        <v>0.1058143418373672</v>
      </c>
      <c r="S46" s="2">
        <f>+IFERROR(M46/G46,"")</f>
        <v>0.11241919236768717</v>
      </c>
      <c r="T46" s="2" t="str">
        <f>+IFERROR(#REF!/#REF!,"")</f>
        <v/>
      </c>
      <c r="U46" s="2" t="str">
        <f>+IFERROR(#REF!/#REF!,"")</f>
        <v/>
      </c>
      <c r="V46" s="2" t="str">
        <f>+IFERROR(#REF!/#REF!,"")</f>
        <v/>
      </c>
      <c r="W46" s="2" t="str">
        <f>+IFERROR(#REF!/#REF!,"")</f>
        <v/>
      </c>
      <c r="X46" s="2" t="str">
        <f>+IFERROR(#REF!/#REF!,"")</f>
        <v/>
      </c>
      <c r="Y46" s="2" t="str">
        <f>+IFERROR(#REF!/#REF!,"")</f>
        <v/>
      </c>
      <c r="Z46" s="2" t="str">
        <f>+IFERROR(#REF!/#REF!,"")</f>
        <v/>
      </c>
      <c r="AA46" s="2" t="str">
        <f>+IFERROR(#REF!/#REF!,"")</f>
        <v/>
      </c>
      <c r="AB46" s="2">
        <f>+IFERROR(N46/H46,"")</f>
        <v>0.10156515667762143</v>
      </c>
      <c r="AD46" s="143">
        <f t="shared" si="6"/>
        <v>2.6496611981089019E-3</v>
      </c>
      <c r="AE46" s="143">
        <f t="shared" si="7"/>
        <v>2.7011999521364252E-2</v>
      </c>
      <c r="AF46" s="143">
        <f t="shared" si="3"/>
        <v>6.6048505303199778E-3</v>
      </c>
      <c r="AG46" s="143" t="str">
        <f t="shared" si="3"/>
        <v/>
      </c>
      <c r="AH46" s="143" t="str">
        <f t="shared" si="3"/>
        <v/>
      </c>
      <c r="AI46" s="143" t="str">
        <f t="shared" si="3"/>
        <v/>
      </c>
      <c r="AJ46" s="143" t="str">
        <f t="shared" si="3"/>
        <v/>
      </c>
      <c r="AK46" s="143" t="str">
        <f t="shared" si="3"/>
        <v/>
      </c>
      <c r="AL46" s="143" t="str">
        <f t="shared" si="3"/>
        <v/>
      </c>
      <c r="AM46" s="143" t="str">
        <f t="shared" si="3"/>
        <v/>
      </c>
      <c r="AN46" s="143" t="str">
        <f t="shared" si="3"/>
        <v/>
      </c>
      <c r="AP46" s="9">
        <f t="shared" si="5"/>
        <v>1.8299801075727709E-3</v>
      </c>
      <c r="AQ46" s="9">
        <f t="shared" si="2"/>
        <v>0.865065272850157</v>
      </c>
    </row>
    <row r="47" spans="2:43" x14ac:dyDescent="0.35">
      <c r="B47" s="3" t="s">
        <v>131</v>
      </c>
      <c r="D47" s="141">
        <v>3453511</v>
      </c>
      <c r="E47" s="141">
        <v>3182667</v>
      </c>
      <c r="F47" s="141">
        <v>3347535</v>
      </c>
      <c r="G47" s="141">
        <v>2756811</v>
      </c>
      <c r="H47" s="141">
        <f>+SUM(D47:G47)</f>
        <v>12740524</v>
      </c>
      <c r="J47" s="141">
        <v>399103</v>
      </c>
      <c r="K47" s="141">
        <v>377928</v>
      </c>
      <c r="L47" s="141">
        <v>363635</v>
      </c>
      <c r="M47" s="141">
        <v>288595</v>
      </c>
      <c r="N47" s="141">
        <f>+SUM(J47:M47)</f>
        <v>1429261</v>
      </c>
      <c r="P47" s="2">
        <f>+IFERROR(J47/D47,"")</f>
        <v>0.11556442125130049</v>
      </c>
      <c r="Q47" s="2">
        <f>+IFERROR(K47/E47,"")</f>
        <v>0.11874569347028766</v>
      </c>
      <c r="R47" s="2">
        <f>+IFERROR(L47/F47,"")</f>
        <v>0.10862769171942938</v>
      </c>
      <c r="S47" s="2">
        <f>+IFERROR(M47/G47,"")</f>
        <v>0.10468436174986243</v>
      </c>
      <c r="T47" s="2" t="str">
        <f>+IFERROR(#REF!/#REF!,"")</f>
        <v/>
      </c>
      <c r="U47" s="2" t="str">
        <f>+IFERROR(#REF!/#REF!,"")</f>
        <v/>
      </c>
      <c r="V47" s="2" t="str">
        <f>+IFERROR(#REF!/#REF!,"")</f>
        <v/>
      </c>
      <c r="W47" s="2" t="str">
        <f>+IFERROR(#REF!/#REF!,"")</f>
        <v/>
      </c>
      <c r="X47" s="2" t="str">
        <f>+IFERROR(#REF!/#REF!,"")</f>
        <v/>
      </c>
      <c r="Y47" s="2" t="str">
        <f>+IFERROR(#REF!/#REF!,"")</f>
        <v/>
      </c>
      <c r="Z47" s="2" t="str">
        <f>+IFERROR(#REF!/#REF!,"")</f>
        <v/>
      </c>
      <c r="AA47" s="2" t="str">
        <f>+IFERROR(#REF!/#REF!,"")</f>
        <v/>
      </c>
      <c r="AB47" s="2">
        <f>+IFERROR(N47/H47,"")</f>
        <v>0.11218227758921062</v>
      </c>
      <c r="AD47" s="143">
        <f t="shared" si="6"/>
        <v>3.1812722189871606E-3</v>
      </c>
      <c r="AE47" s="143">
        <f t="shared" si="7"/>
        <v>-1.011800175085828E-2</v>
      </c>
      <c r="AF47" s="143">
        <f t="shared" si="3"/>
        <v>-3.9433299695669499E-3</v>
      </c>
      <c r="AG47" s="143" t="str">
        <f t="shared" si="3"/>
        <v/>
      </c>
      <c r="AH47" s="143" t="str">
        <f t="shared" si="3"/>
        <v/>
      </c>
      <c r="AI47" s="143" t="str">
        <f t="shared" si="3"/>
        <v/>
      </c>
      <c r="AJ47" s="143" t="str">
        <f t="shared" si="3"/>
        <v/>
      </c>
      <c r="AK47" s="143" t="str">
        <f t="shared" si="3"/>
        <v/>
      </c>
      <c r="AL47" s="143" t="str">
        <f t="shared" si="3"/>
        <v/>
      </c>
      <c r="AM47" s="143" t="str">
        <f t="shared" si="3"/>
        <v/>
      </c>
      <c r="AN47" s="143" t="str">
        <f t="shared" si="3"/>
        <v/>
      </c>
      <c r="AP47" s="9">
        <f t="shared" si="5"/>
        <v>8.234258604287091E-4</v>
      </c>
      <c r="AQ47" s="9">
        <f t="shared" si="2"/>
        <v>0.86588869871058571</v>
      </c>
    </row>
    <row r="48" spans="2:43" x14ac:dyDescent="0.35">
      <c r="B48" s="3" t="s">
        <v>142</v>
      </c>
      <c r="D48" s="141">
        <v>15133532</v>
      </c>
      <c r="E48" s="141">
        <v>14211360</v>
      </c>
      <c r="F48" s="141">
        <v>13316186</v>
      </c>
      <c r="G48" s="141">
        <v>11868703</v>
      </c>
      <c r="H48" s="141">
        <f>+SUM(D48:G48)</f>
        <v>54529781</v>
      </c>
      <c r="J48" s="141">
        <v>1426250</v>
      </c>
      <c r="K48" s="141">
        <v>1516965</v>
      </c>
      <c r="L48" s="141">
        <v>1318657</v>
      </c>
      <c r="M48" s="141">
        <v>1104919</v>
      </c>
      <c r="N48" s="141">
        <f>+SUM(J48:M48)</f>
        <v>5366791</v>
      </c>
      <c r="P48" s="2">
        <f>+IFERROR(J48/D48,"")</f>
        <v>9.4244357496980874E-2</v>
      </c>
      <c r="Q48" s="2">
        <f>+IFERROR(K48/E48,"")</f>
        <v>0.10674312662546019</v>
      </c>
      <c r="R48" s="2">
        <f>+IFERROR(L48/F48,"")</f>
        <v>9.9026628195190425E-2</v>
      </c>
      <c r="S48" s="2">
        <f>+IFERROR(M48/G48,"")</f>
        <v>9.3095176448513367E-2</v>
      </c>
      <c r="T48" s="2" t="str">
        <f>+IFERROR(#REF!/#REF!,"")</f>
        <v/>
      </c>
      <c r="U48" s="2" t="str">
        <f>+IFERROR(#REF!/#REF!,"")</f>
        <v/>
      </c>
      <c r="V48" s="2" t="str">
        <f>+IFERROR(#REF!/#REF!,"")</f>
        <v/>
      </c>
      <c r="W48" s="2" t="str">
        <f>+IFERROR(#REF!/#REF!,"")</f>
        <v/>
      </c>
      <c r="X48" s="2" t="str">
        <f>+IFERROR(#REF!/#REF!,"")</f>
        <v/>
      </c>
      <c r="Y48" s="2" t="str">
        <f>+IFERROR(#REF!/#REF!,"")</f>
        <v/>
      </c>
      <c r="Z48" s="2" t="str">
        <f>+IFERROR(#REF!/#REF!,"")</f>
        <v/>
      </c>
      <c r="AA48" s="2" t="str">
        <f>+IFERROR(#REF!/#REF!,"")</f>
        <v/>
      </c>
      <c r="AB48" s="2">
        <f>+IFERROR(N48/H48,"")</f>
        <v>9.8419448997970491E-2</v>
      </c>
      <c r="AD48" s="143">
        <f t="shared" si="6"/>
        <v>1.2498769128479317E-2</v>
      </c>
      <c r="AE48" s="143">
        <f t="shared" si="7"/>
        <v>-7.7164984302697665E-3</v>
      </c>
      <c r="AF48" s="143">
        <f t="shared" si="3"/>
        <v>-5.9314517466770578E-3</v>
      </c>
      <c r="AG48" s="143" t="str">
        <f t="shared" si="3"/>
        <v/>
      </c>
      <c r="AH48" s="143" t="str">
        <f t="shared" si="3"/>
        <v/>
      </c>
      <c r="AI48" s="143" t="str">
        <f t="shared" si="3"/>
        <v/>
      </c>
      <c r="AJ48" s="143" t="str">
        <f t="shared" si="3"/>
        <v/>
      </c>
      <c r="AK48" s="143" t="str">
        <f t="shared" si="3"/>
        <v/>
      </c>
      <c r="AL48" s="143" t="str">
        <f t="shared" si="3"/>
        <v/>
      </c>
      <c r="AM48" s="143" t="str">
        <f t="shared" si="3"/>
        <v/>
      </c>
      <c r="AN48" s="143" t="str">
        <f t="shared" si="3"/>
        <v/>
      </c>
      <c r="AP48" s="9">
        <f t="shared" si="5"/>
        <v>3.0919156801424317E-3</v>
      </c>
      <c r="AQ48" s="9">
        <f t="shared" si="2"/>
        <v>0.86898061439072816</v>
      </c>
    </row>
    <row r="49" spans="2:43" x14ac:dyDescent="0.35">
      <c r="B49" s="3" t="s">
        <v>114</v>
      </c>
      <c r="D49" s="141">
        <v>2175485</v>
      </c>
      <c r="E49" s="141">
        <v>2066154</v>
      </c>
      <c r="F49" s="141">
        <v>2402709</v>
      </c>
      <c r="G49" s="141">
        <v>2265673</v>
      </c>
      <c r="H49" s="141">
        <f>+SUM(D49:G49)</f>
        <v>8910021</v>
      </c>
      <c r="J49" s="141">
        <v>240751</v>
      </c>
      <c r="K49" s="141">
        <v>234621</v>
      </c>
      <c r="L49" s="141">
        <v>257408</v>
      </c>
      <c r="M49" s="141">
        <v>239489</v>
      </c>
      <c r="N49" s="141">
        <f>+SUM(J49:M49)</f>
        <v>972269</v>
      </c>
      <c r="P49" s="2">
        <f>+IFERROR(J49/D49,"")</f>
        <v>0.11066543782191098</v>
      </c>
      <c r="Q49" s="2">
        <f>+IFERROR(K49/E49,"")</f>
        <v>0.11355445915454511</v>
      </c>
      <c r="R49" s="2">
        <f>+IFERROR(L49/F49,"")</f>
        <v>0.10713240762822297</v>
      </c>
      <c r="S49" s="2">
        <f>+IFERROR(M49/G49,"")</f>
        <v>0.10570325020424395</v>
      </c>
      <c r="T49" s="2" t="str">
        <f>+IFERROR(#REF!/#REF!,"")</f>
        <v/>
      </c>
      <c r="U49" s="2" t="str">
        <f>+IFERROR(#REF!/#REF!,"")</f>
        <v/>
      </c>
      <c r="V49" s="2" t="str">
        <f>+IFERROR(#REF!/#REF!,"")</f>
        <v/>
      </c>
      <c r="W49" s="2" t="str">
        <f>+IFERROR(#REF!/#REF!,"")</f>
        <v/>
      </c>
      <c r="X49" s="2" t="str">
        <f>+IFERROR(#REF!/#REF!,"")</f>
        <v/>
      </c>
      <c r="Y49" s="2" t="str">
        <f>+IFERROR(#REF!/#REF!,"")</f>
        <v/>
      </c>
      <c r="Z49" s="2" t="str">
        <f>+IFERROR(#REF!/#REF!,"")</f>
        <v/>
      </c>
      <c r="AA49" s="2" t="str">
        <f>+IFERROR(#REF!/#REF!,"")</f>
        <v/>
      </c>
      <c r="AB49" s="2">
        <f>+IFERROR(N49/H49,"")</f>
        <v>0.1091208427005952</v>
      </c>
      <c r="AD49" s="143">
        <f t="shared" si="6"/>
        <v>2.8890213326341341E-3</v>
      </c>
      <c r="AE49" s="143">
        <f t="shared" si="7"/>
        <v>-6.4220515263221367E-3</v>
      </c>
      <c r="AF49" s="143">
        <f t="shared" si="3"/>
        <v>-1.4291574239790189E-3</v>
      </c>
      <c r="AG49" s="143" t="str">
        <f t="shared" si="3"/>
        <v/>
      </c>
      <c r="AH49" s="143" t="str">
        <f t="shared" si="3"/>
        <v/>
      </c>
      <c r="AI49" s="143" t="str">
        <f t="shared" si="3"/>
        <v/>
      </c>
      <c r="AJ49" s="143" t="str">
        <f t="shared" si="3"/>
        <v/>
      </c>
      <c r="AK49" s="143" t="str">
        <f t="shared" si="3"/>
        <v/>
      </c>
      <c r="AL49" s="143" t="str">
        <f t="shared" si="3"/>
        <v/>
      </c>
      <c r="AM49" s="143" t="str">
        <f t="shared" si="3"/>
        <v/>
      </c>
      <c r="AN49" s="143" t="str">
        <f t="shared" si="3"/>
        <v/>
      </c>
      <c r="AP49" s="9">
        <f t="shared" si="5"/>
        <v>5.601436251973297E-4</v>
      </c>
      <c r="AQ49" s="9">
        <f t="shared" si="2"/>
        <v>0.86954075801592545</v>
      </c>
    </row>
    <row r="50" spans="2:43" x14ac:dyDescent="0.35">
      <c r="B50" s="3" t="s">
        <v>138</v>
      </c>
      <c r="D50" s="141">
        <v>44594304</v>
      </c>
      <c r="E50" s="141">
        <v>64433440</v>
      </c>
      <c r="F50" s="141">
        <v>53279406</v>
      </c>
      <c r="G50" s="141">
        <v>45460099</v>
      </c>
      <c r="H50" s="141">
        <f>+SUM(D50:G50)</f>
        <v>207767249</v>
      </c>
      <c r="J50" s="141">
        <v>4589705</v>
      </c>
      <c r="K50" s="141">
        <v>7451069</v>
      </c>
      <c r="L50" s="141">
        <v>6290142</v>
      </c>
      <c r="M50" s="141">
        <v>4453858</v>
      </c>
      <c r="N50" s="141">
        <f>+SUM(J50:M50)</f>
        <v>22784774</v>
      </c>
      <c r="P50" s="2">
        <f>+IFERROR(J50/D50,"")</f>
        <v>0.10292132824855837</v>
      </c>
      <c r="Q50" s="2">
        <f>+IFERROR(K50/E50,"")</f>
        <v>0.11563978269668669</v>
      </c>
      <c r="R50" s="2">
        <f>+IFERROR(L50/F50,"")</f>
        <v>0.11805953692501751</v>
      </c>
      <c r="S50" s="2">
        <f>+IFERROR(M50/G50,"")</f>
        <v>9.7972905866307067E-2</v>
      </c>
      <c r="T50" s="2" t="str">
        <f>+IFERROR(#REF!/#REF!,"")</f>
        <v/>
      </c>
      <c r="U50" s="2" t="str">
        <f>+IFERROR(#REF!/#REF!,"")</f>
        <v/>
      </c>
      <c r="V50" s="2" t="str">
        <f>+IFERROR(#REF!/#REF!,"")</f>
        <v/>
      </c>
      <c r="W50" s="2" t="str">
        <f>+IFERROR(#REF!/#REF!,"")</f>
        <v/>
      </c>
      <c r="X50" s="2" t="str">
        <f>+IFERROR(#REF!/#REF!,"")</f>
        <v/>
      </c>
      <c r="Y50" s="2" t="str">
        <f>+IFERROR(#REF!/#REF!,"")</f>
        <v/>
      </c>
      <c r="Z50" s="2" t="str">
        <f>+IFERROR(#REF!/#REF!,"")</f>
        <v/>
      </c>
      <c r="AA50" s="2" t="str">
        <f>+IFERROR(#REF!/#REF!,"")</f>
        <v/>
      </c>
      <c r="AB50" s="2">
        <f>+IFERROR(N50/H50,"")</f>
        <v>0.10966489718502265</v>
      </c>
      <c r="AD50" s="143">
        <f t="shared" si="6"/>
        <v>1.2718454448128316E-2</v>
      </c>
      <c r="AE50" s="143">
        <f t="shared" si="7"/>
        <v>2.4197542283308227E-3</v>
      </c>
      <c r="AF50" s="143">
        <f t="shared" si="3"/>
        <v>-2.0086631058710447E-2</v>
      </c>
      <c r="AG50" s="143" t="str">
        <f t="shared" si="3"/>
        <v/>
      </c>
      <c r="AH50" s="143" t="str">
        <f t="shared" si="3"/>
        <v/>
      </c>
      <c r="AI50" s="143" t="str">
        <f t="shared" si="3"/>
        <v/>
      </c>
      <c r="AJ50" s="143" t="str">
        <f t="shared" si="3"/>
        <v/>
      </c>
      <c r="AK50" s="143" t="str">
        <f t="shared" si="3"/>
        <v/>
      </c>
      <c r="AL50" s="143" t="str">
        <f t="shared" si="3"/>
        <v/>
      </c>
      <c r="AM50" s="143" t="str">
        <f t="shared" si="3"/>
        <v/>
      </c>
      <c r="AN50" s="143" t="str">
        <f t="shared" si="3"/>
        <v/>
      </c>
      <c r="AP50" s="9">
        <f t="shared" si="5"/>
        <v>1.3126764205854411E-2</v>
      </c>
      <c r="AQ50" s="9">
        <f t="shared" si="2"/>
        <v>0.88266752222177991</v>
      </c>
    </row>
    <row r="51" spans="2:43" x14ac:dyDescent="0.35">
      <c r="B51" s="3" t="s">
        <v>160</v>
      </c>
      <c r="D51" s="141">
        <v>18200655</v>
      </c>
      <c r="E51" s="141">
        <v>31966565</v>
      </c>
      <c r="F51" s="141">
        <v>34938377</v>
      </c>
      <c r="G51" s="141">
        <v>20700903</v>
      </c>
      <c r="H51" s="141">
        <f>+SUM(D51:G51)</f>
        <v>105806500</v>
      </c>
      <c r="J51" s="141">
        <v>3189914</v>
      </c>
      <c r="K51" s="141">
        <v>5676856</v>
      </c>
      <c r="L51" s="141">
        <v>5968224</v>
      </c>
      <c r="M51" s="141">
        <v>3558555</v>
      </c>
      <c r="N51" s="141">
        <f>+SUM(J51:M51)</f>
        <v>18393549</v>
      </c>
      <c r="P51" s="2">
        <f>+IFERROR(J51/D51,"")</f>
        <v>0.17526369243304704</v>
      </c>
      <c r="Q51" s="2">
        <f>+IFERROR(K51/E51,"")</f>
        <v>0.1775873009815099</v>
      </c>
      <c r="R51" s="2">
        <f>+IFERROR(L51/F51,"")</f>
        <v>0.17082144370930566</v>
      </c>
      <c r="S51" s="2">
        <f>+IFERROR(M51/G51,"")</f>
        <v>0.17190337059209446</v>
      </c>
      <c r="T51" s="2" t="str">
        <f>+IFERROR(#REF!/#REF!,"")</f>
        <v/>
      </c>
      <c r="U51" s="2" t="str">
        <f>+IFERROR(#REF!/#REF!,"")</f>
        <v/>
      </c>
      <c r="V51" s="2" t="str">
        <f>+IFERROR(#REF!/#REF!,"")</f>
        <v/>
      </c>
      <c r="W51" s="2" t="str">
        <f>+IFERROR(#REF!/#REF!,"")</f>
        <v/>
      </c>
      <c r="X51" s="2" t="str">
        <f>+IFERROR(#REF!/#REF!,"")</f>
        <v/>
      </c>
      <c r="Y51" s="2" t="str">
        <f>+IFERROR(#REF!/#REF!,"")</f>
        <v/>
      </c>
      <c r="Z51" s="2" t="str">
        <f>+IFERROR(#REF!/#REF!,"")</f>
        <v/>
      </c>
      <c r="AA51" s="2" t="str">
        <f>+IFERROR(#REF!/#REF!,"")</f>
        <v/>
      </c>
      <c r="AB51" s="2">
        <f>+IFERROR(N51/H51,"")</f>
        <v>0.17384138970668153</v>
      </c>
      <c r="AD51" s="143">
        <f t="shared" si="6"/>
        <v>2.3236085484628632E-3</v>
      </c>
      <c r="AE51" s="143">
        <f t="shared" si="7"/>
        <v>-6.7658572722042454E-3</v>
      </c>
      <c r="AF51" s="143">
        <f t="shared" si="3"/>
        <v>1.0819268827887973E-3</v>
      </c>
      <c r="AG51" s="143" t="str">
        <f t="shared" si="3"/>
        <v/>
      </c>
      <c r="AH51" s="143" t="str">
        <f t="shared" si="3"/>
        <v/>
      </c>
      <c r="AI51" s="143" t="str">
        <f t="shared" si="3"/>
        <v/>
      </c>
      <c r="AJ51" s="143" t="str">
        <f t="shared" si="3"/>
        <v/>
      </c>
      <c r="AK51" s="143" t="str">
        <f t="shared" si="3"/>
        <v/>
      </c>
      <c r="AL51" s="143" t="str">
        <f t="shared" si="3"/>
        <v/>
      </c>
      <c r="AM51" s="143" t="str">
        <f t="shared" si="3"/>
        <v/>
      </c>
      <c r="AN51" s="143" t="str">
        <f t="shared" si="3"/>
        <v/>
      </c>
      <c r="AP51" s="9">
        <f t="shared" si="5"/>
        <v>1.0596891618579548E-2</v>
      </c>
      <c r="AQ51" s="9">
        <f t="shared" si="2"/>
        <v>0.89326441384035948</v>
      </c>
    </row>
    <row r="52" spans="2:43" x14ac:dyDescent="0.35">
      <c r="B52" s="3" t="s">
        <v>141</v>
      </c>
      <c r="D52" s="141">
        <v>7099598</v>
      </c>
      <c r="E52" s="141">
        <v>6648618</v>
      </c>
      <c r="F52" s="141">
        <v>6385122</v>
      </c>
      <c r="G52" s="141">
        <v>5855437</v>
      </c>
      <c r="H52" s="141">
        <f>+SUM(D52:G52)</f>
        <v>25988775</v>
      </c>
      <c r="J52" s="141">
        <v>715915</v>
      </c>
      <c r="K52" s="141">
        <v>640915</v>
      </c>
      <c r="L52" s="141">
        <v>601916</v>
      </c>
      <c r="M52" s="141">
        <v>535625</v>
      </c>
      <c r="N52" s="141">
        <f>+SUM(J52:M52)</f>
        <v>2494371</v>
      </c>
      <c r="P52" s="2">
        <f>+IFERROR(J52/D52,"")</f>
        <v>0.10083880805645616</v>
      </c>
      <c r="Q52" s="2">
        <f>+IFERROR(K52/E52,"")</f>
        <v>9.639822892516911E-2</v>
      </c>
      <c r="R52" s="2">
        <f>+IFERROR(L52/F52,"")</f>
        <v>9.4268519849738192E-2</v>
      </c>
      <c r="S52" s="2">
        <f>+IFERROR(M52/G52,"")</f>
        <v>9.14748122129911E-2</v>
      </c>
      <c r="T52" s="2" t="str">
        <f>+IFERROR(#REF!/#REF!,"")</f>
        <v/>
      </c>
      <c r="U52" s="2" t="str">
        <f>+IFERROR(#REF!/#REF!,"")</f>
        <v/>
      </c>
      <c r="V52" s="2" t="str">
        <f>+IFERROR(#REF!/#REF!,"")</f>
        <v/>
      </c>
      <c r="W52" s="2" t="str">
        <f>+IFERROR(#REF!/#REF!,"")</f>
        <v/>
      </c>
      <c r="X52" s="2" t="str">
        <f>+IFERROR(#REF!/#REF!,"")</f>
        <v/>
      </c>
      <c r="Y52" s="2" t="str">
        <f>+IFERROR(#REF!/#REF!,"")</f>
        <v/>
      </c>
      <c r="Z52" s="2" t="str">
        <f>+IFERROR(#REF!/#REF!,"")</f>
        <v/>
      </c>
      <c r="AA52" s="2" t="str">
        <f>+IFERROR(#REF!/#REF!,"")</f>
        <v/>
      </c>
      <c r="AB52" s="2">
        <f>+IFERROR(N52/H52,"")</f>
        <v>9.5978783147724359E-2</v>
      </c>
      <c r="AD52" s="143">
        <f t="shared" si="6"/>
        <v>-4.4405791312870507E-3</v>
      </c>
      <c r="AE52" s="143">
        <f t="shared" si="7"/>
        <v>-2.1297090754309189E-3</v>
      </c>
      <c r="AF52" s="143">
        <f t="shared" si="3"/>
        <v>-2.793707636747092E-3</v>
      </c>
      <c r="AG52" s="143" t="str">
        <f t="shared" si="3"/>
        <v/>
      </c>
      <c r="AH52" s="143" t="str">
        <f t="shared" si="3"/>
        <v/>
      </c>
      <c r="AI52" s="143" t="str">
        <f t="shared" si="3"/>
        <v/>
      </c>
      <c r="AJ52" s="143" t="str">
        <f t="shared" si="3"/>
        <v/>
      </c>
      <c r="AK52" s="143" t="str">
        <f t="shared" si="3"/>
        <v/>
      </c>
      <c r="AL52" s="143" t="str">
        <f t="shared" si="3"/>
        <v/>
      </c>
      <c r="AM52" s="143" t="str">
        <f t="shared" si="3"/>
        <v/>
      </c>
      <c r="AN52" s="143" t="str">
        <f t="shared" si="3"/>
        <v/>
      </c>
      <c r="AP52" s="9">
        <f t="shared" si="5"/>
        <v>1.4370570433975458E-3</v>
      </c>
      <c r="AQ52" s="9">
        <f t="shared" si="2"/>
        <v>0.89470147088375707</v>
      </c>
    </row>
    <row r="53" spans="2:43" x14ac:dyDescent="0.35">
      <c r="B53" s="3" t="s">
        <v>115</v>
      </c>
      <c r="D53" s="141">
        <v>1429200</v>
      </c>
      <c r="E53" s="141">
        <v>1267793</v>
      </c>
      <c r="F53" s="141">
        <v>1245815</v>
      </c>
      <c r="G53" s="141">
        <v>1160921</v>
      </c>
      <c r="H53" s="141">
        <f>+SUM(D53:G53)</f>
        <v>5103729</v>
      </c>
      <c r="J53" s="141">
        <v>145532</v>
      </c>
      <c r="K53" s="141">
        <v>146621</v>
      </c>
      <c r="L53" s="141">
        <v>148237</v>
      </c>
      <c r="M53" s="141">
        <v>107412</v>
      </c>
      <c r="N53" s="141">
        <f>+SUM(J53:M53)</f>
        <v>547802</v>
      </c>
      <c r="P53" s="2">
        <f>+IFERROR(J53/D53,"")</f>
        <v>0.10182759585782256</v>
      </c>
      <c r="Q53" s="2">
        <f>+IFERROR(K53/E53,"")</f>
        <v>0.11565058333655415</v>
      </c>
      <c r="R53" s="2">
        <f>+IFERROR(L53/F53,"")</f>
        <v>0.11898797172934987</v>
      </c>
      <c r="S53" s="2">
        <f>+IFERROR(M53/G53,"")</f>
        <v>9.2523091579874941E-2</v>
      </c>
      <c r="T53" s="2" t="str">
        <f>+IFERROR(#REF!/#REF!,"")</f>
        <v/>
      </c>
      <c r="U53" s="2" t="str">
        <f>+IFERROR(#REF!/#REF!,"")</f>
        <v/>
      </c>
      <c r="V53" s="2" t="str">
        <f>+IFERROR(#REF!/#REF!,"")</f>
        <v/>
      </c>
      <c r="W53" s="2" t="str">
        <f>+IFERROR(#REF!/#REF!,"")</f>
        <v/>
      </c>
      <c r="X53" s="2" t="str">
        <f>+IFERROR(#REF!/#REF!,"")</f>
        <v/>
      </c>
      <c r="Y53" s="2" t="str">
        <f>+IFERROR(#REF!/#REF!,"")</f>
        <v/>
      </c>
      <c r="Z53" s="2" t="str">
        <f>+IFERROR(#REF!/#REF!,"")</f>
        <v/>
      </c>
      <c r="AA53" s="2" t="str">
        <f>+IFERROR(#REF!/#REF!,"")</f>
        <v/>
      </c>
      <c r="AB53" s="2">
        <f>+IFERROR(N53/H53,"")</f>
        <v>0.10733367700361833</v>
      </c>
      <c r="AD53" s="143">
        <f t="shared" si="6"/>
        <v>1.3822987478731591E-2</v>
      </c>
      <c r="AE53" s="143">
        <f t="shared" si="7"/>
        <v>3.3373883927957232E-3</v>
      </c>
      <c r="AF53" s="143">
        <f t="shared" si="3"/>
        <v>-2.6464880149474929E-2</v>
      </c>
      <c r="AG53" s="143" t="str">
        <f t="shared" si="3"/>
        <v/>
      </c>
      <c r="AH53" s="143" t="str">
        <f t="shared" si="3"/>
        <v/>
      </c>
      <c r="AI53" s="143" t="str">
        <f t="shared" si="3"/>
        <v/>
      </c>
      <c r="AJ53" s="143" t="str">
        <f t="shared" si="3"/>
        <v/>
      </c>
      <c r="AK53" s="143" t="str">
        <f t="shared" si="3"/>
        <v/>
      </c>
      <c r="AL53" s="143" t="str">
        <f t="shared" si="3"/>
        <v/>
      </c>
      <c r="AM53" s="143" t="str">
        <f t="shared" si="3"/>
        <v/>
      </c>
      <c r="AN53" s="143" t="str">
        <f t="shared" si="3"/>
        <v/>
      </c>
      <c r="AP53" s="9">
        <f t="shared" si="5"/>
        <v>3.1559969326425873E-4</v>
      </c>
      <c r="AQ53" s="9">
        <f t="shared" si="2"/>
        <v>0.89501707057702129</v>
      </c>
    </row>
    <row r="54" spans="2:43" x14ac:dyDescent="0.35">
      <c r="B54" s="3" t="s">
        <v>139</v>
      </c>
      <c r="D54" s="141">
        <v>5911946</v>
      </c>
      <c r="E54" s="141">
        <v>5948043</v>
      </c>
      <c r="F54" s="141">
        <v>7698363</v>
      </c>
      <c r="G54" s="141">
        <v>7832760</v>
      </c>
      <c r="H54" s="141">
        <f>+SUM(D54:G54)</f>
        <v>27391112</v>
      </c>
      <c r="J54" s="141">
        <v>495108</v>
      </c>
      <c r="K54" s="141">
        <v>489005</v>
      </c>
      <c r="L54" s="141">
        <v>620147</v>
      </c>
      <c r="M54" s="141">
        <v>661251</v>
      </c>
      <c r="N54" s="141">
        <f>+SUM(J54:M54)</f>
        <v>2265511</v>
      </c>
      <c r="P54" s="2">
        <f>+IFERROR(J54/D54,"")</f>
        <v>8.3747043697625118E-2</v>
      </c>
      <c r="Q54" s="2">
        <f>+IFERROR(K54/E54,"")</f>
        <v>8.2212754682506495E-2</v>
      </c>
      <c r="R54" s="2">
        <f>+IFERROR(L54/F54,"")</f>
        <v>8.0555697360594716E-2</v>
      </c>
      <c r="S54" s="2">
        <f>+IFERROR(M54/G54,"")</f>
        <v>8.4421200189971346E-2</v>
      </c>
      <c r="T54" s="2" t="str">
        <f>+IFERROR(#REF!/#REF!,"")</f>
        <v/>
      </c>
      <c r="U54" s="2" t="str">
        <f>+IFERROR(#REF!/#REF!,"")</f>
        <v/>
      </c>
      <c r="V54" s="2" t="str">
        <f>+IFERROR(#REF!/#REF!,"")</f>
        <v/>
      </c>
      <c r="W54" s="2" t="str">
        <f>+IFERROR(#REF!/#REF!,"")</f>
        <v/>
      </c>
      <c r="X54" s="2" t="str">
        <f>+IFERROR(#REF!/#REF!,"")</f>
        <v/>
      </c>
      <c r="Y54" s="2" t="str">
        <f>+IFERROR(#REF!/#REF!,"")</f>
        <v/>
      </c>
      <c r="Z54" s="2" t="str">
        <f>+IFERROR(#REF!/#REF!,"")</f>
        <v/>
      </c>
      <c r="AA54" s="2" t="str">
        <f>+IFERROR(#REF!/#REF!,"")</f>
        <v/>
      </c>
      <c r="AB54" s="2">
        <f>+IFERROR(N54/H54,"")</f>
        <v>8.2709712552013218E-2</v>
      </c>
      <c r="AD54" s="143">
        <f t="shared" si="6"/>
        <v>-1.5342890151186228E-3</v>
      </c>
      <c r="AE54" s="143">
        <f t="shared" si="7"/>
        <v>-1.6570573219117785E-3</v>
      </c>
      <c r="AF54" s="143">
        <f t="shared" si="3"/>
        <v>3.8655028293766297E-3</v>
      </c>
      <c r="AG54" s="143" t="str">
        <f t="shared" si="3"/>
        <v/>
      </c>
      <c r="AH54" s="143" t="str">
        <f t="shared" si="3"/>
        <v/>
      </c>
      <c r="AI54" s="143" t="str">
        <f t="shared" si="3"/>
        <v/>
      </c>
      <c r="AJ54" s="143" t="str">
        <f t="shared" si="3"/>
        <v/>
      </c>
      <c r="AK54" s="143" t="str">
        <f t="shared" si="3"/>
        <v/>
      </c>
      <c r="AL54" s="143" t="str">
        <f t="shared" si="3"/>
        <v/>
      </c>
      <c r="AM54" s="143" t="str">
        <f t="shared" si="3"/>
        <v/>
      </c>
      <c r="AN54" s="143" t="str">
        <f t="shared" si="3"/>
        <v/>
      </c>
      <c r="AP54" s="9">
        <f t="shared" si="5"/>
        <v>1.3052062180985175E-3</v>
      </c>
      <c r="AQ54" s="9">
        <f t="shared" si="2"/>
        <v>0.89632227679511978</v>
      </c>
    </row>
    <row r="55" spans="2:43" x14ac:dyDescent="0.35">
      <c r="B55" s="3" t="s">
        <v>123</v>
      </c>
      <c r="D55" s="141">
        <v>3019706</v>
      </c>
      <c r="E55" s="141">
        <v>2555019</v>
      </c>
      <c r="F55" s="141">
        <v>2424152</v>
      </c>
      <c r="G55" s="141">
        <v>2499357</v>
      </c>
      <c r="H55" s="141">
        <f>+SUM(D55:G55)</f>
        <v>10498234</v>
      </c>
      <c r="J55" s="141">
        <v>324884</v>
      </c>
      <c r="K55" s="141">
        <v>284863</v>
      </c>
      <c r="L55" s="141">
        <v>266384</v>
      </c>
      <c r="M55" s="141">
        <v>280387</v>
      </c>
      <c r="N55" s="141">
        <f>+SUM(J55:M55)</f>
        <v>1156518</v>
      </c>
      <c r="P55" s="2">
        <f>+IFERROR(J55/D55,"")</f>
        <v>0.1075879572382212</v>
      </c>
      <c r="Q55" s="2">
        <f>+IFERROR(K55/E55,"")</f>
        <v>0.11149153881047461</v>
      </c>
      <c r="R55" s="2">
        <f>+IFERROR(L55/F55,"")</f>
        <v>0.10988749880370538</v>
      </c>
      <c r="S55" s="2">
        <f>+IFERROR(M55/G55,"")</f>
        <v>0.1121836536357151</v>
      </c>
      <c r="T55" s="2" t="str">
        <f>+IFERROR(#REF!/#REF!,"")</f>
        <v/>
      </c>
      <c r="U55" s="2" t="str">
        <f>+IFERROR(#REF!/#REF!,"")</f>
        <v/>
      </c>
      <c r="V55" s="2" t="str">
        <f>+IFERROR(#REF!/#REF!,"")</f>
        <v/>
      </c>
      <c r="W55" s="2" t="str">
        <f>+IFERROR(#REF!/#REF!,"")</f>
        <v/>
      </c>
      <c r="X55" s="2" t="str">
        <f>+IFERROR(#REF!/#REF!,"")</f>
        <v/>
      </c>
      <c r="Y55" s="2" t="str">
        <f>+IFERROR(#REF!/#REF!,"")</f>
        <v/>
      </c>
      <c r="Z55" s="2" t="str">
        <f>+IFERROR(#REF!/#REF!,"")</f>
        <v/>
      </c>
      <c r="AA55" s="2" t="str">
        <f>+IFERROR(#REF!/#REF!,"")</f>
        <v/>
      </c>
      <c r="AB55" s="2">
        <f>+IFERROR(N55/H55,"")</f>
        <v>0.11016309981278756</v>
      </c>
      <c r="AD55" s="143">
        <f t="shared" si="6"/>
        <v>3.9035815722534006E-3</v>
      </c>
      <c r="AE55" s="143">
        <f t="shared" si="7"/>
        <v>-1.6040400067692251E-3</v>
      </c>
      <c r="AF55" s="143">
        <f t="shared" si="3"/>
        <v>2.2961548320097197E-3</v>
      </c>
      <c r="AG55" s="143" t="str">
        <f t="shared" si="3"/>
        <v/>
      </c>
      <c r="AH55" s="143" t="str">
        <f t="shared" si="3"/>
        <v/>
      </c>
      <c r="AI55" s="143" t="str">
        <f t="shared" ref="AI55:AN86" si="8">+IFERROR(V55-U55,"")</f>
        <v/>
      </c>
      <c r="AJ55" s="143" t="str">
        <f t="shared" si="8"/>
        <v/>
      </c>
      <c r="AK55" s="143" t="str">
        <f t="shared" si="8"/>
        <v/>
      </c>
      <c r="AL55" s="143" t="str">
        <f t="shared" si="8"/>
        <v/>
      </c>
      <c r="AM55" s="143" t="str">
        <f t="shared" si="8"/>
        <v/>
      </c>
      <c r="AN55" s="143" t="str">
        <f t="shared" si="8"/>
        <v/>
      </c>
      <c r="AP55" s="9">
        <f t="shared" si="5"/>
        <v>6.6629316076720054E-4</v>
      </c>
      <c r="AQ55" s="9">
        <f t="shared" si="2"/>
        <v>0.89698856995588694</v>
      </c>
    </row>
    <row r="56" spans="2:43" x14ac:dyDescent="0.35">
      <c r="B56" s="3" t="s">
        <v>158</v>
      </c>
      <c r="D56" s="141">
        <v>12994735</v>
      </c>
      <c r="E56" s="141">
        <v>12006717</v>
      </c>
      <c r="F56" s="141">
        <v>12790692</v>
      </c>
      <c r="G56" s="141">
        <v>11542060</v>
      </c>
      <c r="H56" s="141">
        <f>+SUM(D56:G56)</f>
        <v>49334204</v>
      </c>
      <c r="J56" s="141">
        <v>1194717</v>
      </c>
      <c r="K56" s="141">
        <v>1131193</v>
      </c>
      <c r="L56" s="141">
        <v>1164916</v>
      </c>
      <c r="M56" s="141">
        <v>1036312</v>
      </c>
      <c r="N56" s="141">
        <f>+SUM(J56:M56)</f>
        <v>4527138</v>
      </c>
      <c r="P56" s="2">
        <f>+IFERROR(J56/D56,"")</f>
        <v>9.1938542802142559E-2</v>
      </c>
      <c r="Q56" s="2">
        <f>+IFERROR(K56/E56,"")</f>
        <v>9.4213347412119397E-2</v>
      </c>
      <c r="R56" s="2">
        <f>+IFERROR(L56/F56,"")</f>
        <v>9.107529131340196E-2</v>
      </c>
      <c r="S56" s="2">
        <f>+IFERROR(M56/G56,"")</f>
        <v>8.9785705497978693E-2</v>
      </c>
      <c r="T56" s="2" t="str">
        <f>+IFERROR(#REF!/#REF!,"")</f>
        <v/>
      </c>
      <c r="U56" s="2" t="str">
        <f>+IFERROR(#REF!/#REF!,"")</f>
        <v/>
      </c>
      <c r="V56" s="2" t="str">
        <f>+IFERROR(#REF!/#REF!,"")</f>
        <v/>
      </c>
      <c r="W56" s="2" t="str">
        <f>+IFERROR(#REF!/#REF!,"")</f>
        <v/>
      </c>
      <c r="X56" s="2" t="str">
        <f>+IFERROR(#REF!/#REF!,"")</f>
        <v/>
      </c>
      <c r="Y56" s="2" t="str">
        <f>+IFERROR(#REF!/#REF!,"")</f>
        <v/>
      </c>
      <c r="Z56" s="2" t="str">
        <f>+IFERROR(#REF!/#REF!,"")</f>
        <v/>
      </c>
      <c r="AA56" s="2" t="str">
        <f>+IFERROR(#REF!/#REF!,"")</f>
        <v/>
      </c>
      <c r="AB56" s="2">
        <f>+IFERROR(N56/H56,"")</f>
        <v>9.1764691288015912E-2</v>
      </c>
      <c r="AD56" s="143">
        <f t="shared" si="6"/>
        <v>2.2748046099768382E-3</v>
      </c>
      <c r="AE56" s="143">
        <f t="shared" si="7"/>
        <v>-3.1380560987174372E-3</v>
      </c>
      <c r="AF56" s="143">
        <f t="shared" ref="AF56:AN87" si="9">+IFERROR(S56-R56,"")</f>
        <v>-1.2895858154232664E-3</v>
      </c>
      <c r="AG56" s="143" t="str">
        <f t="shared" si="9"/>
        <v/>
      </c>
      <c r="AH56" s="143" t="str">
        <f t="shared" si="9"/>
        <v/>
      </c>
      <c r="AI56" s="143" t="str">
        <f t="shared" si="8"/>
        <v/>
      </c>
      <c r="AJ56" s="143" t="str">
        <f t="shared" si="8"/>
        <v/>
      </c>
      <c r="AK56" s="143" t="str">
        <f t="shared" si="8"/>
        <v/>
      </c>
      <c r="AL56" s="143" t="str">
        <f t="shared" si="8"/>
        <v/>
      </c>
      <c r="AM56" s="143" t="str">
        <f t="shared" si="8"/>
        <v/>
      </c>
      <c r="AN56" s="143" t="str">
        <f t="shared" si="8"/>
        <v/>
      </c>
      <c r="AP56" s="9">
        <f t="shared" si="5"/>
        <v>2.6081747860814122E-3</v>
      </c>
      <c r="AQ56" s="9">
        <f t="shared" si="2"/>
        <v>0.89959674474196838</v>
      </c>
    </row>
    <row r="57" spans="2:43" x14ac:dyDescent="0.35">
      <c r="B57" s="3" t="s">
        <v>156</v>
      </c>
      <c r="D57" s="141">
        <v>9613454</v>
      </c>
      <c r="E57" s="141">
        <v>7949526</v>
      </c>
      <c r="F57" s="141">
        <v>7495987</v>
      </c>
      <c r="G57" s="141">
        <v>5580476</v>
      </c>
      <c r="H57" s="141">
        <f>+SUM(D57:G57)</f>
        <v>30639443</v>
      </c>
      <c r="J57" s="141">
        <v>1094971</v>
      </c>
      <c r="K57" s="141">
        <v>924914</v>
      </c>
      <c r="L57" s="141">
        <v>818779</v>
      </c>
      <c r="M57" s="141">
        <v>613737</v>
      </c>
      <c r="N57" s="141">
        <f>+SUM(J57:M57)</f>
        <v>3452401</v>
      </c>
      <c r="P57" s="2">
        <f>+IFERROR(J57/D57,"")</f>
        <v>0.11389985326813859</v>
      </c>
      <c r="Q57" s="2">
        <f>+IFERROR(K57/E57,"")</f>
        <v>0.1163483206420106</v>
      </c>
      <c r="R57" s="2">
        <f>+IFERROR(L57/F57,"")</f>
        <v>0.10922897811855864</v>
      </c>
      <c r="S57" s="2">
        <f>+IFERROR(M57/G57,"")</f>
        <v>0.10997932792829859</v>
      </c>
      <c r="T57" s="2" t="str">
        <f>+IFERROR(#REF!/#REF!,"")</f>
        <v/>
      </c>
      <c r="U57" s="2" t="str">
        <f>+IFERROR(#REF!/#REF!,"")</f>
        <v/>
      </c>
      <c r="V57" s="2" t="str">
        <f>+IFERROR(#REF!/#REF!,"")</f>
        <v/>
      </c>
      <c r="W57" s="2" t="str">
        <f>+IFERROR(#REF!/#REF!,"")</f>
        <v/>
      </c>
      <c r="X57" s="2" t="str">
        <f>+IFERROR(#REF!/#REF!,"")</f>
        <v/>
      </c>
      <c r="Y57" s="2" t="str">
        <f>+IFERROR(#REF!/#REF!,"")</f>
        <v/>
      </c>
      <c r="Z57" s="2" t="str">
        <f>+IFERROR(#REF!/#REF!,"")</f>
        <v/>
      </c>
      <c r="AA57" s="2" t="str">
        <f>+IFERROR(#REF!/#REF!,"")</f>
        <v/>
      </c>
      <c r="AB57" s="2">
        <f>+IFERROR(N57/H57,"")</f>
        <v>0.11267832120838489</v>
      </c>
      <c r="AD57" s="143">
        <f t="shared" si="6"/>
        <v>2.4484673738720125E-3</v>
      </c>
      <c r="AE57" s="143">
        <f t="shared" si="7"/>
        <v>-7.1193425234519631E-3</v>
      </c>
      <c r="AF57" s="143">
        <f t="shared" si="9"/>
        <v>7.5034980973995302E-4</v>
      </c>
      <c r="AG57" s="143" t="str">
        <f t="shared" si="9"/>
        <v/>
      </c>
      <c r="AH57" s="143" t="str">
        <f t="shared" si="9"/>
        <v/>
      </c>
      <c r="AI57" s="143" t="str">
        <f t="shared" si="8"/>
        <v/>
      </c>
      <c r="AJ57" s="143" t="str">
        <f t="shared" si="8"/>
        <v/>
      </c>
      <c r="AK57" s="143" t="str">
        <f t="shared" si="8"/>
        <v/>
      </c>
      <c r="AL57" s="143" t="str">
        <f t="shared" si="8"/>
        <v/>
      </c>
      <c r="AM57" s="143" t="str">
        <f t="shared" si="8"/>
        <v/>
      </c>
      <c r="AN57" s="143" t="str">
        <f t="shared" si="8"/>
        <v/>
      </c>
      <c r="AP57" s="9">
        <f t="shared" si="5"/>
        <v>1.98899729578428E-3</v>
      </c>
      <c r="AQ57" s="9">
        <f t="shared" si="2"/>
        <v>0.90158574203775266</v>
      </c>
    </row>
    <row r="58" spans="2:43" x14ac:dyDescent="0.35">
      <c r="B58" s="3" t="s">
        <v>137</v>
      </c>
      <c r="D58" s="141">
        <v>4460173</v>
      </c>
      <c r="E58" s="141">
        <v>5104276</v>
      </c>
      <c r="F58" s="141">
        <v>5883450</v>
      </c>
      <c r="G58" s="141">
        <v>4208166</v>
      </c>
      <c r="H58" s="141">
        <f>+SUM(D58:G58)</f>
        <v>19656065</v>
      </c>
      <c r="J58" s="141">
        <v>410507</v>
      </c>
      <c r="K58" s="141">
        <v>484141</v>
      </c>
      <c r="L58" s="141">
        <v>497763</v>
      </c>
      <c r="M58" s="141">
        <v>359252</v>
      </c>
      <c r="N58" s="141">
        <f>+SUM(J58:M58)</f>
        <v>1751663</v>
      </c>
      <c r="P58" s="2">
        <f>+IFERROR(J58/D58,"")</f>
        <v>9.203835815337208E-2</v>
      </c>
      <c r="Q58" s="2">
        <f>+IFERROR(K58/E58,"")</f>
        <v>9.4850082558231574E-2</v>
      </c>
      <c r="R58" s="2">
        <f>+IFERROR(L58/F58,"")</f>
        <v>8.4603931366800098E-2</v>
      </c>
      <c r="S58" s="2">
        <f>+IFERROR(M58/G58,"")</f>
        <v>8.5370206403454621E-2</v>
      </c>
      <c r="T58" s="2" t="str">
        <f>+IFERROR(#REF!/#REF!,"")</f>
        <v/>
      </c>
      <c r="U58" s="2" t="str">
        <f>+IFERROR(#REF!/#REF!,"")</f>
        <v/>
      </c>
      <c r="V58" s="2" t="str">
        <f>+IFERROR(#REF!/#REF!,"")</f>
        <v/>
      </c>
      <c r="W58" s="2" t="str">
        <f>+IFERROR(#REF!/#REF!,"")</f>
        <v/>
      </c>
      <c r="X58" s="2" t="str">
        <f>+IFERROR(#REF!/#REF!,"")</f>
        <v/>
      </c>
      <c r="Y58" s="2" t="str">
        <f>+IFERROR(#REF!/#REF!,"")</f>
        <v/>
      </c>
      <c r="Z58" s="2" t="str">
        <f>+IFERROR(#REF!/#REF!,"")</f>
        <v/>
      </c>
      <c r="AA58" s="2" t="str">
        <f>+IFERROR(#REF!/#REF!,"")</f>
        <v/>
      </c>
      <c r="AB58" s="2">
        <f>+IFERROR(N58/H58,"")</f>
        <v>8.9115649546335954E-2</v>
      </c>
      <c r="AD58" s="143">
        <f t="shared" si="6"/>
        <v>2.8117244048594947E-3</v>
      </c>
      <c r="AE58" s="143">
        <f t="shared" si="7"/>
        <v>-1.0246151191431477E-2</v>
      </c>
      <c r="AF58" s="143">
        <f t="shared" si="9"/>
        <v>7.6627503665452346E-4</v>
      </c>
      <c r="AG58" s="143" t="str">
        <f t="shared" si="9"/>
        <v/>
      </c>
      <c r="AH58" s="143" t="str">
        <f t="shared" si="9"/>
        <v/>
      </c>
      <c r="AI58" s="143" t="str">
        <f t="shared" si="8"/>
        <v/>
      </c>
      <c r="AJ58" s="143" t="str">
        <f t="shared" si="8"/>
        <v/>
      </c>
      <c r="AK58" s="143" t="str">
        <f t="shared" si="8"/>
        <v/>
      </c>
      <c r="AL58" s="143" t="str">
        <f t="shared" si="8"/>
        <v/>
      </c>
      <c r="AM58" s="143" t="str">
        <f t="shared" si="8"/>
        <v/>
      </c>
      <c r="AN58" s="143" t="str">
        <f t="shared" si="8"/>
        <v/>
      </c>
      <c r="AP58" s="9">
        <f t="shared" si="5"/>
        <v>1.0091681036256735E-3</v>
      </c>
      <c r="AQ58" s="9">
        <f t="shared" si="2"/>
        <v>0.90259491014137838</v>
      </c>
    </row>
    <row r="59" spans="2:43" x14ac:dyDescent="0.35">
      <c r="B59" s="3" t="s">
        <v>143</v>
      </c>
      <c r="D59" s="141">
        <v>3160605</v>
      </c>
      <c r="E59" s="141">
        <v>2445668</v>
      </c>
      <c r="F59" s="141">
        <v>2344914</v>
      </c>
      <c r="G59" s="141">
        <v>1958610</v>
      </c>
      <c r="H59" s="141">
        <f>+SUM(D59:G59)</f>
        <v>9909797</v>
      </c>
      <c r="J59" s="141">
        <v>458948</v>
      </c>
      <c r="K59" s="141">
        <v>352212</v>
      </c>
      <c r="L59" s="141">
        <v>335310</v>
      </c>
      <c r="M59" s="141">
        <v>312422</v>
      </c>
      <c r="N59" s="141">
        <f>+SUM(J59:M59)</f>
        <v>1458892</v>
      </c>
      <c r="P59" s="2">
        <f>+IFERROR(J59/D59,"")</f>
        <v>0.1452089077882241</v>
      </c>
      <c r="Q59" s="2">
        <f>+IFERROR(K59/E59,"")</f>
        <v>0.14401464139858722</v>
      </c>
      <c r="R59" s="2">
        <f>+IFERROR(L59/F59,"")</f>
        <v>0.14299458317021435</v>
      </c>
      <c r="S59" s="2">
        <f>+IFERROR(M59/G59,"")</f>
        <v>0.15951210297098453</v>
      </c>
      <c r="T59" s="2" t="str">
        <f>+IFERROR(#REF!/#REF!,"")</f>
        <v/>
      </c>
      <c r="U59" s="2" t="str">
        <f>+IFERROR(#REF!/#REF!,"")</f>
        <v/>
      </c>
      <c r="V59" s="2" t="str">
        <f>+IFERROR(#REF!/#REF!,"")</f>
        <v/>
      </c>
      <c r="W59" s="2" t="str">
        <f>+IFERROR(#REF!/#REF!,"")</f>
        <v/>
      </c>
      <c r="X59" s="2" t="str">
        <f>+IFERROR(#REF!/#REF!,"")</f>
        <v/>
      </c>
      <c r="Y59" s="2" t="str">
        <f>+IFERROR(#REF!/#REF!,"")</f>
        <v/>
      </c>
      <c r="Z59" s="2" t="str">
        <f>+IFERROR(#REF!/#REF!,"")</f>
        <v/>
      </c>
      <c r="AA59" s="2" t="str">
        <f>+IFERROR(#REF!/#REF!,"")</f>
        <v/>
      </c>
      <c r="AB59" s="2">
        <f>+IFERROR(N59/H59,"")</f>
        <v>0.14721714279313694</v>
      </c>
      <c r="AD59" s="143">
        <f t="shared" si="6"/>
        <v>-1.1942663896368777E-3</v>
      </c>
      <c r="AE59" s="143">
        <f t="shared" si="7"/>
        <v>-1.0200582283728665E-3</v>
      </c>
      <c r="AF59" s="143">
        <f t="shared" si="9"/>
        <v>1.6517519800770181E-2</v>
      </c>
      <c r="AG59" s="143" t="str">
        <f t="shared" si="9"/>
        <v/>
      </c>
      <c r="AH59" s="143" t="str">
        <f t="shared" si="9"/>
        <v/>
      </c>
      <c r="AI59" s="143" t="str">
        <f t="shared" si="8"/>
        <v/>
      </c>
      <c r="AJ59" s="143" t="str">
        <f t="shared" si="8"/>
        <v/>
      </c>
      <c r="AK59" s="143" t="str">
        <f t="shared" si="8"/>
        <v/>
      </c>
      <c r="AL59" s="143" t="str">
        <f t="shared" si="8"/>
        <v/>
      </c>
      <c r="AM59" s="143" t="str">
        <f t="shared" si="8"/>
        <v/>
      </c>
      <c r="AN59" s="143" t="str">
        <f t="shared" si="8"/>
        <v/>
      </c>
      <c r="AP59" s="9">
        <f t="shared" si="5"/>
        <v>8.4049687242047488E-4</v>
      </c>
      <c r="AQ59" s="9">
        <f t="shared" si="2"/>
        <v>0.90343540701379887</v>
      </c>
    </row>
    <row r="60" spans="2:43" x14ac:dyDescent="0.35">
      <c r="B60" s="3" t="s">
        <v>144</v>
      </c>
      <c r="D60" s="141">
        <v>14861391</v>
      </c>
      <c r="E60" s="141">
        <v>38396548</v>
      </c>
      <c r="F60" s="141">
        <v>48785263</v>
      </c>
      <c r="G60" s="141">
        <v>17867101</v>
      </c>
      <c r="H60" s="141">
        <f>+SUM(D60:G60)</f>
        <v>119910303</v>
      </c>
      <c r="J60" s="141">
        <v>1783923</v>
      </c>
      <c r="K60" s="141">
        <v>5145387</v>
      </c>
      <c r="L60" s="141">
        <v>5065133</v>
      </c>
      <c r="M60" s="141">
        <v>1798485</v>
      </c>
      <c r="N60" s="141">
        <f>+SUM(J60:M60)</f>
        <v>13792928</v>
      </c>
      <c r="P60" s="2">
        <f>+IFERROR(J60/D60,"")</f>
        <v>0.12003741776257687</v>
      </c>
      <c r="Q60" s="2">
        <f>+IFERROR(K60/E60,"")</f>
        <v>0.13400649975096721</v>
      </c>
      <c r="R60" s="2">
        <f>+IFERROR(L60/F60,"")</f>
        <v>0.10382506290885425</v>
      </c>
      <c r="S60" s="2">
        <f>+IFERROR(M60/G60,"")</f>
        <v>0.1006590268897008</v>
      </c>
      <c r="T60" s="2" t="str">
        <f>+IFERROR(#REF!/#REF!,"")</f>
        <v/>
      </c>
      <c r="U60" s="2" t="str">
        <f>+IFERROR(#REF!/#REF!,"")</f>
        <v/>
      </c>
      <c r="V60" s="2" t="str">
        <f>+IFERROR(#REF!/#REF!,"")</f>
        <v/>
      </c>
      <c r="W60" s="2" t="str">
        <f>+IFERROR(#REF!/#REF!,"")</f>
        <v/>
      </c>
      <c r="X60" s="2" t="str">
        <f>+IFERROR(#REF!/#REF!,"")</f>
        <v/>
      </c>
      <c r="Y60" s="2" t="str">
        <f>+IFERROR(#REF!/#REF!,"")</f>
        <v/>
      </c>
      <c r="Z60" s="2" t="str">
        <f>+IFERROR(#REF!/#REF!,"")</f>
        <v/>
      </c>
      <c r="AA60" s="2" t="str">
        <f>+IFERROR(#REF!/#REF!,"")</f>
        <v/>
      </c>
      <c r="AB60" s="2">
        <f>+IFERROR(N60/H60,"")</f>
        <v>0.11502704650825543</v>
      </c>
      <c r="AD60" s="143">
        <f t="shared" si="6"/>
        <v>1.3969081988390336E-2</v>
      </c>
      <c r="AE60" s="143">
        <f t="shared" si="7"/>
        <v>-3.0181436842112955E-2</v>
      </c>
      <c r="AF60" s="143">
        <f t="shared" si="9"/>
        <v>-3.1660360191534537E-3</v>
      </c>
      <c r="AG60" s="143" t="str">
        <f t="shared" si="9"/>
        <v/>
      </c>
      <c r="AH60" s="143" t="str">
        <f t="shared" si="9"/>
        <v/>
      </c>
      <c r="AI60" s="143" t="str">
        <f t="shared" si="8"/>
        <v/>
      </c>
      <c r="AJ60" s="143" t="str">
        <f t="shared" si="8"/>
        <v/>
      </c>
      <c r="AK60" s="143" t="str">
        <f t="shared" si="8"/>
        <v/>
      </c>
      <c r="AL60" s="143" t="str">
        <f t="shared" si="8"/>
        <v/>
      </c>
      <c r="AM60" s="143" t="str">
        <f t="shared" si="8"/>
        <v/>
      </c>
      <c r="AN60" s="143" t="str">
        <f t="shared" si="8"/>
        <v/>
      </c>
      <c r="AP60" s="9">
        <f t="shared" si="5"/>
        <v>7.9463818058641729E-3</v>
      </c>
      <c r="AQ60" s="9">
        <f t="shared" si="2"/>
        <v>0.91138178881966303</v>
      </c>
    </row>
    <row r="61" spans="2:43" x14ac:dyDescent="0.35">
      <c r="B61" s="3" t="s">
        <v>140</v>
      </c>
      <c r="D61" s="141">
        <v>691192</v>
      </c>
      <c r="E61" s="141">
        <v>691709</v>
      </c>
      <c r="F61" s="141">
        <v>785103</v>
      </c>
      <c r="G61" s="141">
        <v>664922</v>
      </c>
      <c r="H61" s="141">
        <f>+SUM(D61:G61)</f>
        <v>2832926</v>
      </c>
      <c r="J61" s="141">
        <v>77158</v>
      </c>
      <c r="K61" s="141">
        <v>80198</v>
      </c>
      <c r="L61" s="141">
        <v>83269</v>
      </c>
      <c r="M61" s="141">
        <v>67844</v>
      </c>
      <c r="N61" s="141">
        <f>+SUM(J61:M61)</f>
        <v>308469</v>
      </c>
      <c r="P61" s="2">
        <f>+IFERROR(J61/D61,"")</f>
        <v>0.11163034294378407</v>
      </c>
      <c r="Q61" s="2">
        <f>+IFERROR(K61/E61,"")</f>
        <v>0.11594181946454361</v>
      </c>
      <c r="R61" s="2">
        <f>+IFERROR(L61/F61,"")</f>
        <v>0.10606124291971882</v>
      </c>
      <c r="S61" s="2">
        <f>+IFERROR(M61/G61,"")</f>
        <v>0.10203302041442455</v>
      </c>
      <c r="T61" s="2" t="str">
        <f>+IFERROR(#REF!/#REF!,"")</f>
        <v/>
      </c>
      <c r="U61" s="2" t="str">
        <f>+IFERROR(#REF!/#REF!,"")</f>
        <v/>
      </c>
      <c r="V61" s="2" t="str">
        <f>+IFERROR(#REF!/#REF!,"")</f>
        <v/>
      </c>
      <c r="W61" s="2" t="str">
        <f>+IFERROR(#REF!/#REF!,"")</f>
        <v/>
      </c>
      <c r="X61" s="2" t="str">
        <f>+IFERROR(#REF!/#REF!,"")</f>
        <v/>
      </c>
      <c r="Y61" s="2" t="str">
        <f>+IFERROR(#REF!/#REF!,"")</f>
        <v/>
      </c>
      <c r="Z61" s="2" t="str">
        <f>+IFERROR(#REF!/#REF!,"")</f>
        <v/>
      </c>
      <c r="AA61" s="2" t="str">
        <f>+IFERROR(#REF!/#REF!,"")</f>
        <v/>
      </c>
      <c r="AB61" s="2">
        <f>+IFERROR(N61/H61,"")</f>
        <v>0.10888706588170675</v>
      </c>
      <c r="AD61" s="143">
        <f t="shared" si="6"/>
        <v>4.3114765207595412E-3</v>
      </c>
      <c r="AE61" s="143">
        <f t="shared" si="7"/>
        <v>-9.8805765448247984E-3</v>
      </c>
      <c r="AF61" s="143">
        <f t="shared" si="9"/>
        <v>-4.0282225052942627E-3</v>
      </c>
      <c r="AG61" s="143" t="str">
        <f t="shared" si="9"/>
        <v/>
      </c>
      <c r="AH61" s="143" t="str">
        <f t="shared" si="9"/>
        <v/>
      </c>
      <c r="AI61" s="143" t="str">
        <f t="shared" si="8"/>
        <v/>
      </c>
      <c r="AJ61" s="143" t="str">
        <f t="shared" si="8"/>
        <v/>
      </c>
      <c r="AK61" s="143" t="str">
        <f t="shared" si="8"/>
        <v/>
      </c>
      <c r="AL61" s="143" t="str">
        <f t="shared" si="8"/>
        <v/>
      </c>
      <c r="AM61" s="143" t="str">
        <f t="shared" si="8"/>
        <v/>
      </c>
      <c r="AN61" s="143" t="str">
        <f t="shared" si="8"/>
        <v/>
      </c>
      <c r="AP61" s="9">
        <f t="shared" si="5"/>
        <v>1.7771516310917564E-4</v>
      </c>
      <c r="AQ61" s="9">
        <f t="shared" si="2"/>
        <v>0.91155950398277219</v>
      </c>
    </row>
    <row r="62" spans="2:43" x14ac:dyDescent="0.35">
      <c r="B62" s="3" t="s">
        <v>151</v>
      </c>
      <c r="D62" s="141">
        <v>145160</v>
      </c>
      <c r="E62" s="141"/>
      <c r="F62" s="141"/>
      <c r="G62" s="141"/>
      <c r="H62" s="141">
        <f>+SUM(D62:G62)</f>
        <v>145160</v>
      </c>
      <c r="J62" s="141">
        <v>21088</v>
      </c>
      <c r="K62" s="141"/>
      <c r="L62" s="141"/>
      <c r="M62" s="141"/>
      <c r="N62" s="141">
        <f>+SUM(J62:M62)</f>
        <v>21088</v>
      </c>
      <c r="P62" s="2">
        <f>+IFERROR(J62/D62,"")</f>
        <v>0.14527418021493524</v>
      </c>
      <c r="Q62" s="2" t="str">
        <f>+IFERROR(K62/E62,"")</f>
        <v/>
      </c>
      <c r="R62" s="2" t="str">
        <f>+IFERROR(L62/F62,"")</f>
        <v/>
      </c>
      <c r="S62" s="2" t="str">
        <f>+IFERROR(M62/G62,"")</f>
        <v/>
      </c>
      <c r="T62" s="2" t="str">
        <f>+IFERROR(#REF!/#REF!,"")</f>
        <v/>
      </c>
      <c r="U62" s="2" t="str">
        <f>+IFERROR(#REF!/#REF!,"")</f>
        <v/>
      </c>
      <c r="V62" s="2" t="str">
        <f>+IFERROR(#REF!/#REF!,"")</f>
        <v/>
      </c>
      <c r="W62" s="2" t="str">
        <f>+IFERROR(#REF!/#REF!,"")</f>
        <v/>
      </c>
      <c r="X62" s="2" t="str">
        <f>+IFERROR(#REF!/#REF!,"")</f>
        <v/>
      </c>
      <c r="Y62" s="2" t="str">
        <f>+IFERROR(#REF!/#REF!,"")</f>
        <v/>
      </c>
      <c r="Z62" s="2" t="str">
        <f>+IFERROR(#REF!/#REF!,"")</f>
        <v/>
      </c>
      <c r="AA62" s="2" t="str">
        <f>+IFERROR(#REF!/#REF!,"")</f>
        <v/>
      </c>
      <c r="AB62" s="2">
        <f>+IFERROR(N62/H62,"")</f>
        <v>0.14527418021493524</v>
      </c>
      <c r="AD62" s="143" t="str">
        <f t="shared" si="6"/>
        <v/>
      </c>
      <c r="AE62" s="143" t="str">
        <f t="shared" si="7"/>
        <v/>
      </c>
      <c r="AF62" s="143" t="str">
        <f t="shared" si="9"/>
        <v/>
      </c>
      <c r="AG62" s="143" t="str">
        <f t="shared" si="9"/>
        <v/>
      </c>
      <c r="AH62" s="143" t="str">
        <f t="shared" si="9"/>
        <v/>
      </c>
      <c r="AI62" s="143" t="str">
        <f t="shared" si="8"/>
        <v/>
      </c>
      <c r="AJ62" s="143" t="str">
        <f t="shared" si="8"/>
        <v/>
      </c>
      <c r="AK62" s="143" t="str">
        <f t="shared" si="8"/>
        <v/>
      </c>
      <c r="AL62" s="143" t="str">
        <f t="shared" si="8"/>
        <v/>
      </c>
      <c r="AM62" s="143" t="str">
        <f t="shared" si="8"/>
        <v/>
      </c>
      <c r="AN62" s="143" t="str">
        <f t="shared" si="8"/>
        <v/>
      </c>
      <c r="AP62" s="9">
        <f t="shared" si="5"/>
        <v>1.2149218753412161E-5</v>
      </c>
      <c r="AQ62" s="9">
        <f t="shared" si="2"/>
        <v>0.91157165320152556</v>
      </c>
    </row>
    <row r="63" spans="2:43" x14ac:dyDescent="0.35">
      <c r="B63" s="3" t="s">
        <v>183</v>
      </c>
      <c r="D63" s="141">
        <v>1149771</v>
      </c>
      <c r="E63" s="141">
        <v>752949</v>
      </c>
      <c r="F63" s="141">
        <v>731898</v>
      </c>
      <c r="G63" s="141">
        <v>554425</v>
      </c>
      <c r="H63" s="141">
        <f>+SUM(D63:G63)</f>
        <v>3189043</v>
      </c>
      <c r="J63" s="141">
        <v>158291</v>
      </c>
      <c r="K63" s="141">
        <v>98337</v>
      </c>
      <c r="L63" s="141">
        <v>70731</v>
      </c>
      <c r="M63" s="141">
        <v>73584</v>
      </c>
      <c r="N63" s="141">
        <f>+SUM(J63:M63)</f>
        <v>400943</v>
      </c>
      <c r="P63" s="2">
        <f>+IFERROR(J63/D63,"")</f>
        <v>0.1376717624640037</v>
      </c>
      <c r="Q63" s="2">
        <f>+IFERROR(K63/E63,"")</f>
        <v>0.13060247108369891</v>
      </c>
      <c r="R63" s="2">
        <f>+IFERROR(L63/F63,"")</f>
        <v>9.6640515481665482E-2</v>
      </c>
      <c r="S63" s="2">
        <f>+IFERROR(M63/G63,"")</f>
        <v>0.13272128782071516</v>
      </c>
      <c r="T63" s="2" t="str">
        <f>+IFERROR(#REF!/#REF!,"")</f>
        <v/>
      </c>
      <c r="U63" s="2" t="str">
        <f>+IFERROR(#REF!/#REF!,"")</f>
        <v/>
      </c>
      <c r="V63" s="2" t="str">
        <f>+IFERROR(#REF!/#REF!,"")</f>
        <v/>
      </c>
      <c r="W63" s="2" t="str">
        <f>+IFERROR(#REF!/#REF!,"")</f>
        <v/>
      </c>
      <c r="X63" s="2" t="str">
        <f>+IFERROR(#REF!/#REF!,"")</f>
        <v/>
      </c>
      <c r="Y63" s="2" t="str">
        <f>+IFERROR(#REF!/#REF!,"")</f>
        <v/>
      </c>
      <c r="Z63" s="2" t="str">
        <f>+IFERROR(#REF!/#REF!,"")</f>
        <v/>
      </c>
      <c r="AA63" s="2" t="str">
        <f>+IFERROR(#REF!/#REF!,"")</f>
        <v/>
      </c>
      <c r="AB63" s="2">
        <f>+IFERROR(N63/H63,"")</f>
        <v>0.12572517836855759</v>
      </c>
      <c r="AD63" s="143">
        <f t="shared" si="6"/>
        <v>-7.069291380304793E-3</v>
      </c>
      <c r="AE63" s="143">
        <f t="shared" si="7"/>
        <v>-3.3961955602033425E-2</v>
      </c>
      <c r="AF63" s="143">
        <f t="shared" si="9"/>
        <v>3.6080772339049674E-2</v>
      </c>
      <c r="AG63" s="143" t="str">
        <f t="shared" si="9"/>
        <v/>
      </c>
      <c r="AH63" s="143" t="str">
        <f t="shared" si="9"/>
        <v/>
      </c>
      <c r="AI63" s="143" t="str">
        <f t="shared" si="8"/>
        <v/>
      </c>
      <c r="AJ63" s="143" t="str">
        <f t="shared" si="8"/>
        <v/>
      </c>
      <c r="AK63" s="143" t="str">
        <f t="shared" si="8"/>
        <v/>
      </c>
      <c r="AL63" s="143" t="str">
        <f t="shared" si="8"/>
        <v/>
      </c>
      <c r="AM63" s="143" t="str">
        <f t="shared" si="8"/>
        <v/>
      </c>
      <c r="AN63" s="143" t="str">
        <f t="shared" si="8"/>
        <v/>
      </c>
      <c r="AP63" s="9">
        <f t="shared" si="5"/>
        <v>2.3099128483731657E-4</v>
      </c>
      <c r="AQ63" s="9">
        <f t="shared" si="2"/>
        <v>0.91180264448636283</v>
      </c>
    </row>
    <row r="64" spans="2:43" x14ac:dyDescent="0.35">
      <c r="B64" s="3" t="s">
        <v>136</v>
      </c>
      <c r="D64" s="141">
        <v>3481239</v>
      </c>
      <c r="E64" s="141">
        <v>3272180</v>
      </c>
      <c r="F64" s="141">
        <v>2786294</v>
      </c>
      <c r="G64" s="141">
        <v>1806701</v>
      </c>
      <c r="H64" s="141">
        <f>+SUM(D64:G64)</f>
        <v>11346414</v>
      </c>
      <c r="J64" s="141">
        <v>462725</v>
      </c>
      <c r="K64" s="141">
        <v>417007</v>
      </c>
      <c r="L64" s="141">
        <v>318447</v>
      </c>
      <c r="M64" s="141">
        <v>221633</v>
      </c>
      <c r="N64" s="141">
        <f>+SUM(J64:M64)</f>
        <v>1419812</v>
      </c>
      <c r="P64" s="2">
        <f>+IFERROR(J64/D64,"")</f>
        <v>0.13291963005125473</v>
      </c>
      <c r="Q64" s="2">
        <f>+IFERROR(K64/E64,"")</f>
        <v>0.12744011637501604</v>
      </c>
      <c r="R64" s="2">
        <f>+IFERROR(L64/F64,"")</f>
        <v>0.11429052354130612</v>
      </c>
      <c r="S64" s="2">
        <f>+IFERROR(M64/G64,"")</f>
        <v>0.12267276101579619</v>
      </c>
      <c r="T64" s="2" t="str">
        <f>+IFERROR(#REF!/#REF!,"")</f>
        <v/>
      </c>
      <c r="U64" s="2" t="str">
        <f>+IFERROR(#REF!/#REF!,"")</f>
        <v/>
      </c>
      <c r="V64" s="2" t="str">
        <f>+IFERROR(#REF!/#REF!,"")</f>
        <v/>
      </c>
      <c r="W64" s="2" t="str">
        <f>+IFERROR(#REF!/#REF!,"")</f>
        <v/>
      </c>
      <c r="X64" s="2" t="str">
        <f>+IFERROR(#REF!/#REF!,"")</f>
        <v/>
      </c>
      <c r="Y64" s="2" t="str">
        <f>+IFERROR(#REF!/#REF!,"")</f>
        <v/>
      </c>
      <c r="Z64" s="2" t="str">
        <f>+IFERROR(#REF!/#REF!,"")</f>
        <v/>
      </c>
      <c r="AA64" s="2" t="str">
        <f>+IFERROR(#REF!/#REF!,"")</f>
        <v/>
      </c>
      <c r="AB64" s="2">
        <f>+IFERROR(N64/H64,"")</f>
        <v>0.12513310372775047</v>
      </c>
      <c r="AD64" s="143">
        <f t="shared" si="6"/>
        <v>-5.4795136762386953E-3</v>
      </c>
      <c r="AE64" s="143">
        <f t="shared" si="7"/>
        <v>-1.3149592833709922E-2</v>
      </c>
      <c r="AF64" s="143">
        <f t="shared" si="9"/>
        <v>8.3822374744900729E-3</v>
      </c>
      <c r="AG64" s="143" t="str">
        <f t="shared" si="9"/>
        <v/>
      </c>
      <c r="AH64" s="143" t="str">
        <f t="shared" si="9"/>
        <v/>
      </c>
      <c r="AI64" s="143" t="str">
        <f t="shared" si="8"/>
        <v/>
      </c>
      <c r="AJ64" s="143" t="str">
        <f t="shared" si="8"/>
        <v/>
      </c>
      <c r="AK64" s="143" t="str">
        <f t="shared" si="8"/>
        <v/>
      </c>
      <c r="AL64" s="143" t="str">
        <f t="shared" si="8"/>
        <v/>
      </c>
      <c r="AM64" s="143" t="str">
        <f t="shared" si="8"/>
        <v/>
      </c>
      <c r="AN64" s="143" t="str">
        <f t="shared" si="8"/>
        <v/>
      </c>
      <c r="AP64" s="9">
        <f t="shared" si="5"/>
        <v>8.1798210246204598E-4</v>
      </c>
      <c r="AQ64" s="9">
        <f t="shared" si="2"/>
        <v>0.91262062658882492</v>
      </c>
    </row>
    <row r="65" spans="2:43" x14ac:dyDescent="0.35">
      <c r="B65" s="3" t="s">
        <v>165</v>
      </c>
      <c r="D65" s="141">
        <v>1947636</v>
      </c>
      <c r="E65" s="141">
        <v>2315963</v>
      </c>
      <c r="F65" s="141">
        <v>2971046</v>
      </c>
      <c r="G65" s="141">
        <v>1715927</v>
      </c>
      <c r="H65" s="141">
        <f>+SUM(D65:G65)</f>
        <v>8950572</v>
      </c>
      <c r="J65" s="141">
        <v>491532</v>
      </c>
      <c r="K65" s="141">
        <v>485125</v>
      </c>
      <c r="L65" s="141">
        <v>460803</v>
      </c>
      <c r="M65" s="141">
        <v>212230</v>
      </c>
      <c r="N65" s="141">
        <f>+SUM(J65:M65)</f>
        <v>1649690</v>
      </c>
      <c r="P65" s="2">
        <f>+IFERROR(J65/D65,"")</f>
        <v>0.25237364682106922</v>
      </c>
      <c r="Q65" s="2">
        <f>+IFERROR(K65/E65,"")</f>
        <v>0.20947009947913675</v>
      </c>
      <c r="R65" s="2">
        <f>+IFERROR(L65/F65,"")</f>
        <v>0.15509790154713188</v>
      </c>
      <c r="S65" s="2">
        <f>+IFERROR(M65/G65,"")</f>
        <v>0.12368241772522957</v>
      </c>
      <c r="T65" s="2" t="str">
        <f>+IFERROR(#REF!/#REF!,"")</f>
        <v/>
      </c>
      <c r="U65" s="2" t="str">
        <f>+IFERROR(#REF!/#REF!,"")</f>
        <v/>
      </c>
      <c r="V65" s="2" t="str">
        <f>+IFERROR(#REF!/#REF!,"")</f>
        <v/>
      </c>
      <c r="W65" s="2" t="str">
        <f>+IFERROR(#REF!/#REF!,"")</f>
        <v/>
      </c>
      <c r="X65" s="2" t="str">
        <f>+IFERROR(#REF!/#REF!,"")</f>
        <v/>
      </c>
      <c r="Y65" s="2" t="str">
        <f>+IFERROR(#REF!/#REF!,"")</f>
        <v/>
      </c>
      <c r="Z65" s="2" t="str">
        <f>+IFERROR(#REF!/#REF!,"")</f>
        <v/>
      </c>
      <c r="AA65" s="2" t="str">
        <f>+IFERROR(#REF!/#REF!,"")</f>
        <v/>
      </c>
      <c r="AB65" s="2">
        <f>+IFERROR(N65/H65,"")</f>
        <v>0.18431112559063265</v>
      </c>
      <c r="AD65" s="143">
        <f t="shared" si="6"/>
        <v>-4.2903547341932469E-2</v>
      </c>
      <c r="AE65" s="143">
        <f t="shared" si="7"/>
        <v>-5.4372197932004873E-2</v>
      </c>
      <c r="AF65" s="143">
        <f t="shared" si="9"/>
        <v>-3.1415483821902304E-2</v>
      </c>
      <c r="AG65" s="143" t="str">
        <f t="shared" si="9"/>
        <v/>
      </c>
      <c r="AH65" s="143" t="str">
        <f t="shared" si="9"/>
        <v/>
      </c>
      <c r="AI65" s="143" t="str">
        <f t="shared" si="8"/>
        <v/>
      </c>
      <c r="AJ65" s="143" t="str">
        <f t="shared" si="8"/>
        <v/>
      </c>
      <c r="AK65" s="143" t="str">
        <f t="shared" si="8"/>
        <v/>
      </c>
      <c r="AL65" s="143" t="str">
        <f t="shared" si="8"/>
        <v/>
      </c>
      <c r="AM65" s="143" t="str">
        <f t="shared" si="8"/>
        <v/>
      </c>
      <c r="AN65" s="143" t="str">
        <f t="shared" si="8"/>
        <v/>
      </c>
      <c r="AP65" s="9">
        <f t="shared" si="5"/>
        <v>9.5041941793041096E-4</v>
      </c>
      <c r="AQ65" s="9">
        <f t="shared" si="2"/>
        <v>0.91357104600675532</v>
      </c>
    </row>
    <row r="66" spans="2:43" x14ac:dyDescent="0.35">
      <c r="B66" s="3" t="s">
        <v>146</v>
      </c>
      <c r="D66" s="141">
        <v>1685794</v>
      </c>
      <c r="E66" s="141">
        <v>1524825</v>
      </c>
      <c r="F66" s="141">
        <v>1518090</v>
      </c>
      <c r="G66" s="141">
        <v>1321266</v>
      </c>
      <c r="H66" s="141">
        <f>+SUM(D66:G66)</f>
        <v>6049975</v>
      </c>
      <c r="J66" s="141">
        <v>180587</v>
      </c>
      <c r="K66" s="141">
        <v>151516</v>
      </c>
      <c r="L66" s="141">
        <v>170014</v>
      </c>
      <c r="M66" s="141">
        <v>144670</v>
      </c>
      <c r="N66" s="141">
        <f>+SUM(J66:M66)</f>
        <v>646787</v>
      </c>
      <c r="P66" s="2">
        <f>+IFERROR(J66/D66,"")</f>
        <v>0.10712281571769741</v>
      </c>
      <c r="Q66" s="2">
        <f>+IFERROR(K66/E66,"")</f>
        <v>9.9366156772088599E-2</v>
      </c>
      <c r="R66" s="2">
        <f>+IFERROR(L66/F66,"")</f>
        <v>0.1119920426325185</v>
      </c>
      <c r="S66" s="2">
        <f>+IFERROR(M66/G66,"")</f>
        <v>0.10949347065617369</v>
      </c>
      <c r="T66" s="2" t="str">
        <f>+IFERROR(#REF!/#REF!,"")</f>
        <v/>
      </c>
      <c r="U66" s="2" t="str">
        <f>+IFERROR(#REF!/#REF!,"")</f>
        <v/>
      </c>
      <c r="V66" s="2" t="str">
        <f>+IFERROR(#REF!/#REF!,"")</f>
        <v/>
      </c>
      <c r="W66" s="2" t="str">
        <f>+IFERROR(#REF!/#REF!,"")</f>
        <v/>
      </c>
      <c r="X66" s="2" t="str">
        <f>+IFERROR(#REF!/#REF!,"")</f>
        <v/>
      </c>
      <c r="Y66" s="2" t="str">
        <f>+IFERROR(#REF!/#REF!,"")</f>
        <v/>
      </c>
      <c r="Z66" s="2" t="str">
        <f>+IFERROR(#REF!/#REF!,"")</f>
        <v/>
      </c>
      <c r="AA66" s="2" t="str">
        <f>+IFERROR(#REF!/#REF!,"")</f>
        <v/>
      </c>
      <c r="AB66" s="2">
        <f>+IFERROR(N66/H66,"")</f>
        <v>0.10690738391480957</v>
      </c>
      <c r="AD66" s="143">
        <f t="shared" si="6"/>
        <v>-7.7566589456088131E-3</v>
      </c>
      <c r="AE66" s="143">
        <f t="shared" si="7"/>
        <v>1.2625885860429897E-2</v>
      </c>
      <c r="AF66" s="143">
        <f t="shared" si="9"/>
        <v>-2.4985719763448017E-3</v>
      </c>
      <c r="AG66" s="143" t="str">
        <f t="shared" si="9"/>
        <v/>
      </c>
      <c r="AH66" s="143" t="str">
        <f t="shared" si="9"/>
        <v/>
      </c>
      <c r="AI66" s="143" t="str">
        <f t="shared" si="8"/>
        <v/>
      </c>
      <c r="AJ66" s="143" t="str">
        <f t="shared" si="8"/>
        <v/>
      </c>
      <c r="AK66" s="143" t="str">
        <f t="shared" si="8"/>
        <v/>
      </c>
      <c r="AL66" s="143" t="str">
        <f t="shared" si="8"/>
        <v/>
      </c>
      <c r="AM66" s="143" t="str">
        <f t="shared" si="8"/>
        <v/>
      </c>
      <c r="AN66" s="143" t="str">
        <f t="shared" si="8"/>
        <v/>
      </c>
      <c r="AP66" s="9">
        <f t="shared" si="5"/>
        <v>3.7262693237211645E-4</v>
      </c>
      <c r="AQ66" s="9">
        <f t="shared" si="2"/>
        <v>0.91394367293912748</v>
      </c>
    </row>
    <row r="67" spans="2:43" x14ac:dyDescent="0.35">
      <c r="B67" s="3" t="s">
        <v>145</v>
      </c>
      <c r="D67" s="141">
        <v>11020173</v>
      </c>
      <c r="E67" s="141">
        <v>9004367</v>
      </c>
      <c r="F67" s="141">
        <v>2832175</v>
      </c>
      <c r="G67" s="141">
        <v>2525300</v>
      </c>
      <c r="H67" s="141">
        <f>+SUM(D67:G67)</f>
        <v>25382015</v>
      </c>
      <c r="J67" s="141">
        <v>1316794</v>
      </c>
      <c r="K67" s="141">
        <v>994496</v>
      </c>
      <c r="L67" s="141">
        <v>279227</v>
      </c>
      <c r="M67" s="141">
        <v>214873</v>
      </c>
      <c r="N67" s="141">
        <f>+SUM(J67:M67)</f>
        <v>2805390</v>
      </c>
      <c r="P67" s="2">
        <f>+IFERROR(J67/D67,"")</f>
        <v>0.11948941273426469</v>
      </c>
      <c r="Q67" s="2">
        <f>+IFERROR(K67/E67,"")</f>
        <v>0.11044596471911906</v>
      </c>
      <c r="R67" s="2">
        <f>+IFERROR(L67/F67,"")</f>
        <v>9.8591012207932066E-2</v>
      </c>
      <c r="S67" s="2">
        <f>+IFERROR(M67/G67,"")</f>
        <v>8.5088108343563146E-2</v>
      </c>
      <c r="T67" s="2" t="str">
        <f>+IFERROR(#REF!/#REF!,"")</f>
        <v/>
      </c>
      <c r="U67" s="2" t="str">
        <f>+IFERROR(#REF!/#REF!,"")</f>
        <v/>
      </c>
      <c r="V67" s="2" t="str">
        <f>+IFERROR(#REF!/#REF!,"")</f>
        <v/>
      </c>
      <c r="W67" s="2" t="str">
        <f>+IFERROR(#REF!/#REF!,"")</f>
        <v/>
      </c>
      <c r="X67" s="2" t="str">
        <f>+IFERROR(#REF!/#REF!,"")</f>
        <v/>
      </c>
      <c r="Y67" s="2" t="str">
        <f>+IFERROR(#REF!/#REF!,"")</f>
        <v/>
      </c>
      <c r="Z67" s="2" t="str">
        <f>+IFERROR(#REF!/#REF!,"")</f>
        <v/>
      </c>
      <c r="AA67" s="2" t="str">
        <f>+IFERROR(#REF!/#REF!,"")</f>
        <v/>
      </c>
      <c r="AB67" s="2">
        <f>+IFERROR(N67/H67,"")</f>
        <v>0.11052668592308372</v>
      </c>
      <c r="AD67" s="143">
        <f t="shared" si="6"/>
        <v>-9.0434480151456303E-3</v>
      </c>
      <c r="AE67" s="143">
        <f t="shared" si="7"/>
        <v>-1.1854952511186997E-2</v>
      </c>
      <c r="AF67" s="143">
        <f t="shared" si="9"/>
        <v>-1.350290386436892E-2</v>
      </c>
      <c r="AG67" s="143" t="str">
        <f t="shared" si="9"/>
        <v/>
      </c>
      <c r="AH67" s="143" t="str">
        <f t="shared" si="9"/>
        <v/>
      </c>
      <c r="AI67" s="143" t="str">
        <f t="shared" si="8"/>
        <v/>
      </c>
      <c r="AJ67" s="143" t="str">
        <f t="shared" si="8"/>
        <v/>
      </c>
      <c r="AK67" s="143" t="str">
        <f t="shared" si="8"/>
        <v/>
      </c>
      <c r="AL67" s="143" t="str">
        <f t="shared" si="8"/>
        <v/>
      </c>
      <c r="AM67" s="143" t="str">
        <f t="shared" si="8"/>
        <v/>
      </c>
      <c r="AN67" s="143" t="str">
        <f t="shared" si="8"/>
        <v/>
      </c>
      <c r="AP67" s="9">
        <f t="shared" si="5"/>
        <v>1.6162413125301092E-3</v>
      </c>
      <c r="AQ67" s="9">
        <f t="shared" si="2"/>
        <v>0.91555991425165761</v>
      </c>
    </row>
    <row r="68" spans="2:43" x14ac:dyDescent="0.35">
      <c r="B68" s="3" t="s">
        <v>121</v>
      </c>
      <c r="D68" s="141">
        <v>2474277</v>
      </c>
      <c r="E68" s="141">
        <v>2255095</v>
      </c>
      <c r="F68" s="141">
        <v>2283250</v>
      </c>
      <c r="G68" s="141">
        <v>2029746</v>
      </c>
      <c r="H68" s="141">
        <f>+SUM(D68:G68)</f>
        <v>9042368</v>
      </c>
      <c r="J68" s="141">
        <v>412683</v>
      </c>
      <c r="K68" s="141">
        <v>366076</v>
      </c>
      <c r="L68" s="141">
        <v>378613</v>
      </c>
      <c r="M68" s="141">
        <v>361401</v>
      </c>
      <c r="N68" s="141">
        <f>+SUM(J68:M68)</f>
        <v>1518773</v>
      </c>
      <c r="P68" s="2">
        <f>+IFERROR(J68/D68,"")</f>
        <v>0.16678932876149274</v>
      </c>
      <c r="Q68" s="2">
        <f>+IFERROR(K68/E68,"")</f>
        <v>0.16233285072247511</v>
      </c>
      <c r="R68" s="2">
        <f>+IFERROR(L68/F68,"")</f>
        <v>0.16582196430526661</v>
      </c>
      <c r="S68" s="2">
        <f>+IFERROR(M68/G68,"")</f>
        <v>0.17805232772967652</v>
      </c>
      <c r="T68" s="2" t="str">
        <f>+IFERROR(#REF!/#REF!,"")</f>
        <v/>
      </c>
      <c r="U68" s="2" t="str">
        <f>+IFERROR(#REF!/#REF!,"")</f>
        <v/>
      </c>
      <c r="V68" s="2" t="str">
        <f>+IFERROR(#REF!/#REF!,"")</f>
        <v/>
      </c>
      <c r="W68" s="2" t="str">
        <f>+IFERROR(#REF!/#REF!,"")</f>
        <v/>
      </c>
      <c r="X68" s="2" t="str">
        <f>+IFERROR(#REF!/#REF!,"")</f>
        <v/>
      </c>
      <c r="Y68" s="2" t="str">
        <f>+IFERROR(#REF!/#REF!,"")</f>
        <v/>
      </c>
      <c r="Z68" s="2" t="str">
        <f>+IFERROR(#REF!/#REF!,"")</f>
        <v/>
      </c>
      <c r="AA68" s="2" t="str">
        <f>+IFERROR(#REF!/#REF!,"")</f>
        <v/>
      </c>
      <c r="AB68" s="2">
        <f>+IFERROR(N68/H68,"")</f>
        <v>0.16796186574136332</v>
      </c>
      <c r="AD68" s="143">
        <f t="shared" si="6"/>
        <v>-4.4564780390176362E-3</v>
      </c>
      <c r="AE68" s="143">
        <f t="shared" si="7"/>
        <v>3.4891135827914976E-3</v>
      </c>
      <c r="AF68" s="143">
        <f t="shared" si="9"/>
        <v>1.2230363424409918E-2</v>
      </c>
      <c r="AG68" s="143" t="str">
        <f t="shared" si="9"/>
        <v/>
      </c>
      <c r="AH68" s="143" t="str">
        <f t="shared" si="9"/>
        <v/>
      </c>
      <c r="AI68" s="143" t="str">
        <f t="shared" si="8"/>
        <v/>
      </c>
      <c r="AJ68" s="143" t="str">
        <f t="shared" si="8"/>
        <v/>
      </c>
      <c r="AK68" s="143" t="str">
        <f t="shared" si="8"/>
        <v/>
      </c>
      <c r="AL68" s="143" t="str">
        <f t="shared" si="8"/>
        <v/>
      </c>
      <c r="AM68" s="143" t="str">
        <f t="shared" si="8"/>
        <v/>
      </c>
      <c r="AN68" s="143" t="str">
        <f t="shared" si="8"/>
        <v/>
      </c>
      <c r="AP68" s="9">
        <f t="shared" ref="AP68:AP131" si="10">+N68/$N$236</f>
        <v>8.7499551468968361E-4</v>
      </c>
      <c r="AQ68" s="9">
        <f t="shared" si="2"/>
        <v>0.91643490976634734</v>
      </c>
    </row>
    <row r="69" spans="2:43" x14ac:dyDescent="0.35">
      <c r="B69" s="3" t="s">
        <v>117</v>
      </c>
      <c r="D69" s="141">
        <v>2979775</v>
      </c>
      <c r="E69" s="141">
        <v>2721414</v>
      </c>
      <c r="F69" s="141">
        <v>3122756</v>
      </c>
      <c r="G69" s="141">
        <v>2631476</v>
      </c>
      <c r="H69" s="141">
        <f>+SUM(D69:G69)</f>
        <v>11455421</v>
      </c>
      <c r="J69" s="141">
        <v>313554</v>
      </c>
      <c r="K69" s="141">
        <v>289265</v>
      </c>
      <c r="L69" s="141">
        <v>322724</v>
      </c>
      <c r="M69" s="141">
        <v>288649</v>
      </c>
      <c r="N69" s="141">
        <f>+SUM(J69:M69)</f>
        <v>1214192</v>
      </c>
      <c r="P69" s="2">
        <f>+IFERROR(J69/D69,"")</f>
        <v>0.10522740810967271</v>
      </c>
      <c r="Q69" s="2">
        <f>+IFERROR(K69/E69,"")</f>
        <v>0.10629217017329962</v>
      </c>
      <c r="R69" s="2">
        <f>+IFERROR(L69/F69,"")</f>
        <v>0.10334589061713435</v>
      </c>
      <c r="S69" s="2">
        <f>+IFERROR(M69/G69,"")</f>
        <v>0.10969091110844256</v>
      </c>
      <c r="T69" s="2" t="str">
        <f>+IFERROR(#REF!/#REF!,"")</f>
        <v/>
      </c>
      <c r="U69" s="2" t="str">
        <f>+IFERROR(#REF!/#REF!,"")</f>
        <v/>
      </c>
      <c r="V69" s="2" t="str">
        <f>+IFERROR(#REF!/#REF!,"")</f>
        <v/>
      </c>
      <c r="W69" s="2" t="str">
        <f>+IFERROR(#REF!/#REF!,"")</f>
        <v/>
      </c>
      <c r="X69" s="2" t="str">
        <f>+IFERROR(#REF!/#REF!,"")</f>
        <v/>
      </c>
      <c r="Y69" s="2" t="str">
        <f>+IFERROR(#REF!/#REF!,"")</f>
        <v/>
      </c>
      <c r="Z69" s="2" t="str">
        <f>+IFERROR(#REF!/#REF!,"")</f>
        <v/>
      </c>
      <c r="AA69" s="2" t="str">
        <f>+IFERROR(#REF!/#REF!,"")</f>
        <v/>
      </c>
      <c r="AB69" s="2">
        <f>+IFERROR(N69/H69,"")</f>
        <v>0.10599278717037112</v>
      </c>
      <c r="AD69" s="143">
        <f t="shared" si="6"/>
        <v>1.0647620636269062E-3</v>
      </c>
      <c r="AE69" s="143">
        <f t="shared" si="7"/>
        <v>-2.9462795561652627E-3</v>
      </c>
      <c r="AF69" s="143">
        <f t="shared" si="9"/>
        <v>6.3450204913082092E-3</v>
      </c>
      <c r="AG69" s="143" t="str">
        <f t="shared" si="9"/>
        <v/>
      </c>
      <c r="AH69" s="143" t="str">
        <f t="shared" si="9"/>
        <v/>
      </c>
      <c r="AI69" s="143" t="str">
        <f t="shared" si="8"/>
        <v/>
      </c>
      <c r="AJ69" s="143" t="str">
        <f t="shared" si="8"/>
        <v/>
      </c>
      <c r="AK69" s="143" t="str">
        <f t="shared" si="8"/>
        <v/>
      </c>
      <c r="AL69" s="143" t="str">
        <f t="shared" si="8"/>
        <v/>
      </c>
      <c r="AM69" s="143" t="str">
        <f t="shared" si="8"/>
        <v/>
      </c>
      <c r="AN69" s="143" t="str">
        <f t="shared" si="8"/>
        <v/>
      </c>
      <c r="AP69" s="9">
        <f t="shared" si="10"/>
        <v>6.9952030617616745E-4</v>
      </c>
      <c r="AQ69" s="9">
        <f t="shared" si="2"/>
        <v>0.91713443007252349</v>
      </c>
    </row>
    <row r="70" spans="2:43" x14ac:dyDescent="0.35">
      <c r="B70" s="3" t="s">
        <v>134</v>
      </c>
      <c r="D70" s="141">
        <v>3890940</v>
      </c>
      <c r="E70" s="141">
        <v>3593240</v>
      </c>
      <c r="F70" s="141">
        <v>4068504</v>
      </c>
      <c r="G70" s="141">
        <v>3547253</v>
      </c>
      <c r="H70" s="141">
        <f>+SUM(D70:G70)</f>
        <v>15099937</v>
      </c>
      <c r="J70" s="141">
        <v>364708</v>
      </c>
      <c r="K70" s="141">
        <v>367543</v>
      </c>
      <c r="L70" s="141">
        <v>379797</v>
      </c>
      <c r="M70" s="141">
        <v>327731</v>
      </c>
      <c r="N70" s="141">
        <f>+SUM(J70:M70)</f>
        <v>1439779</v>
      </c>
      <c r="P70" s="2">
        <f>+IFERROR(J70/D70,"")</f>
        <v>9.3732619881057022E-2</v>
      </c>
      <c r="Q70" s="2">
        <f>+IFERROR(K70/E70,"")</f>
        <v>0.10228735069185471</v>
      </c>
      <c r="R70" s="2">
        <f>+IFERROR(L70/F70,"")</f>
        <v>9.33505288430342E-2</v>
      </c>
      <c r="S70" s="2">
        <f>+IFERROR(M70/G70,"")</f>
        <v>9.2390083255973005E-2</v>
      </c>
      <c r="T70" s="2" t="str">
        <f>+IFERROR(#REF!/#REF!,"")</f>
        <v/>
      </c>
      <c r="U70" s="2" t="str">
        <f>+IFERROR(#REF!/#REF!,"")</f>
        <v/>
      </c>
      <c r="V70" s="2" t="str">
        <f>+IFERROR(#REF!/#REF!,"")</f>
        <v/>
      </c>
      <c r="W70" s="2" t="str">
        <f>+IFERROR(#REF!/#REF!,"")</f>
        <v/>
      </c>
      <c r="X70" s="2" t="str">
        <f>+IFERROR(#REF!/#REF!,"")</f>
        <v/>
      </c>
      <c r="Y70" s="2" t="str">
        <f>+IFERROR(#REF!/#REF!,"")</f>
        <v/>
      </c>
      <c r="Z70" s="2" t="str">
        <f>+IFERROR(#REF!/#REF!,"")</f>
        <v/>
      </c>
      <c r="AA70" s="2" t="str">
        <f>+IFERROR(#REF!/#REF!,"")</f>
        <v/>
      </c>
      <c r="AB70" s="2">
        <f>+IFERROR(N70/H70,"")</f>
        <v>9.5350000466889365E-2</v>
      </c>
      <c r="AD70" s="143">
        <f t="shared" si="6"/>
        <v>8.5547308107976894E-3</v>
      </c>
      <c r="AE70" s="143">
        <f t="shared" si="7"/>
        <v>-8.9368218488205114E-3</v>
      </c>
      <c r="AF70" s="143">
        <f t="shared" si="9"/>
        <v>-9.6044558706119554E-4</v>
      </c>
      <c r="AG70" s="143" t="str">
        <f t="shared" si="9"/>
        <v/>
      </c>
      <c r="AH70" s="143" t="str">
        <f t="shared" si="9"/>
        <v/>
      </c>
      <c r="AI70" s="143" t="str">
        <f t="shared" si="8"/>
        <v/>
      </c>
      <c r="AJ70" s="143" t="str">
        <f t="shared" si="8"/>
        <v/>
      </c>
      <c r="AK70" s="143" t="str">
        <f t="shared" si="8"/>
        <v/>
      </c>
      <c r="AL70" s="143" t="str">
        <f t="shared" si="8"/>
        <v/>
      </c>
      <c r="AM70" s="143" t="str">
        <f t="shared" si="8"/>
        <v/>
      </c>
      <c r="AN70" s="143" t="str">
        <f t="shared" si="8"/>
        <v/>
      </c>
      <c r="AP70" s="9">
        <f t="shared" si="10"/>
        <v>8.2948549068517677E-4</v>
      </c>
      <c r="AQ70" s="9">
        <f t="shared" ref="AQ70:AQ133" si="11">+AP70+AQ69</f>
        <v>0.91796391556320867</v>
      </c>
    </row>
    <row r="71" spans="2:43" x14ac:dyDescent="0.35">
      <c r="B71" s="3" t="s">
        <v>152</v>
      </c>
      <c r="D71" s="141">
        <v>2849040</v>
      </c>
      <c r="E71" s="141">
        <v>2752581</v>
      </c>
      <c r="F71" s="141">
        <v>3096516</v>
      </c>
      <c r="G71" s="141">
        <v>2762110</v>
      </c>
      <c r="H71" s="141">
        <f>+SUM(D71:G71)</f>
        <v>11460247</v>
      </c>
      <c r="J71" s="141">
        <v>233828</v>
      </c>
      <c r="K71" s="141">
        <v>283092</v>
      </c>
      <c r="L71" s="141">
        <v>284735</v>
      </c>
      <c r="M71" s="141">
        <v>270122</v>
      </c>
      <c r="N71" s="141">
        <f>+SUM(J71:M71)</f>
        <v>1071777</v>
      </c>
      <c r="P71" s="2">
        <f>+IFERROR(J71/D71,"")</f>
        <v>8.207255777384663E-2</v>
      </c>
      <c r="Q71" s="2">
        <f>+IFERROR(K71/E71,"")</f>
        <v>0.10284601979015331</v>
      </c>
      <c r="R71" s="2">
        <f>+IFERROR(L71/F71,"")</f>
        <v>9.1953343693363762E-2</v>
      </c>
      <c r="S71" s="2">
        <f>+IFERROR(M71/G71,"")</f>
        <v>9.7795525884197224E-2</v>
      </c>
      <c r="T71" s="2" t="str">
        <f>+IFERROR(#REF!/#REF!,"")</f>
        <v/>
      </c>
      <c r="U71" s="2" t="str">
        <f>+IFERROR(#REF!/#REF!,"")</f>
        <v/>
      </c>
      <c r="V71" s="2" t="str">
        <f>+IFERROR(#REF!/#REF!,"")</f>
        <v/>
      </c>
      <c r="W71" s="2" t="str">
        <f>+IFERROR(#REF!/#REF!,"")</f>
        <v/>
      </c>
      <c r="X71" s="2" t="str">
        <f>+IFERROR(#REF!/#REF!,"")</f>
        <v/>
      </c>
      <c r="Y71" s="2" t="str">
        <f>+IFERROR(#REF!/#REF!,"")</f>
        <v/>
      </c>
      <c r="Z71" s="2" t="str">
        <f>+IFERROR(#REF!/#REF!,"")</f>
        <v/>
      </c>
      <c r="AA71" s="2" t="str">
        <f>+IFERROR(#REF!/#REF!,"")</f>
        <v/>
      </c>
      <c r="AB71" s="2">
        <f>+IFERROR(N71/H71,"")</f>
        <v>9.3521282743731435E-2</v>
      </c>
      <c r="AD71" s="143">
        <f t="shared" si="6"/>
        <v>2.0773462016306685E-2</v>
      </c>
      <c r="AE71" s="143">
        <f t="shared" si="7"/>
        <v>-1.0892676096789553E-2</v>
      </c>
      <c r="AF71" s="143">
        <f t="shared" si="9"/>
        <v>5.8421821908334615E-3</v>
      </c>
      <c r="AG71" s="143" t="str">
        <f t="shared" si="9"/>
        <v/>
      </c>
      <c r="AH71" s="143" t="str">
        <f t="shared" si="9"/>
        <v/>
      </c>
      <c r="AI71" s="143" t="str">
        <f t="shared" si="8"/>
        <v/>
      </c>
      <c r="AJ71" s="143" t="str">
        <f t="shared" si="8"/>
        <v/>
      </c>
      <c r="AK71" s="143" t="str">
        <f t="shared" si="8"/>
        <v/>
      </c>
      <c r="AL71" s="143" t="str">
        <f t="shared" si="8"/>
        <v/>
      </c>
      <c r="AM71" s="143" t="str">
        <f t="shared" si="8"/>
        <v/>
      </c>
      <c r="AN71" s="143" t="str">
        <f t="shared" si="8"/>
        <v/>
      </c>
      <c r="AP71" s="9">
        <f t="shared" si="10"/>
        <v>6.174721750699841E-4</v>
      </c>
      <c r="AQ71" s="9">
        <f t="shared" si="11"/>
        <v>0.91858138773827869</v>
      </c>
    </row>
    <row r="72" spans="2:43" x14ac:dyDescent="0.35">
      <c r="B72" s="3" t="s">
        <v>135</v>
      </c>
      <c r="D72" s="141">
        <v>28536949</v>
      </c>
      <c r="E72" s="141">
        <v>28471618</v>
      </c>
      <c r="F72" s="141">
        <v>32939740</v>
      </c>
      <c r="G72" s="141">
        <v>30600761</v>
      </c>
      <c r="H72" s="141">
        <f>+SUM(D72:G72)</f>
        <v>120549068</v>
      </c>
      <c r="J72" s="141">
        <v>4156992</v>
      </c>
      <c r="K72" s="141">
        <v>4206555</v>
      </c>
      <c r="L72" s="141">
        <v>5157338</v>
      </c>
      <c r="M72" s="141">
        <v>4551398</v>
      </c>
      <c r="N72" s="141">
        <f>+SUM(J72:M72)</f>
        <v>18072283</v>
      </c>
      <c r="P72" s="2">
        <f>+IFERROR(J72/D72,"")</f>
        <v>0.14567051299001865</v>
      </c>
      <c r="Q72" s="2">
        <f>+IFERROR(K72/E72,"")</f>
        <v>0.14774555488908286</v>
      </c>
      <c r="R72" s="2">
        <f>+IFERROR(L72/F72,"")</f>
        <v>0.15656887394982474</v>
      </c>
      <c r="S72" s="2">
        <f>+IFERROR(M72/G72,"")</f>
        <v>0.14873479780453827</v>
      </c>
      <c r="T72" s="2" t="str">
        <f>+IFERROR(#REF!/#REF!,"")</f>
        <v/>
      </c>
      <c r="U72" s="2" t="str">
        <f>+IFERROR(#REF!/#REF!,"")</f>
        <v/>
      </c>
      <c r="V72" s="2" t="str">
        <f>+IFERROR(#REF!/#REF!,"")</f>
        <v/>
      </c>
      <c r="W72" s="2" t="str">
        <f>+IFERROR(#REF!/#REF!,"")</f>
        <v/>
      </c>
      <c r="X72" s="2" t="str">
        <f>+IFERROR(#REF!/#REF!,"")</f>
        <v/>
      </c>
      <c r="Y72" s="2" t="str">
        <f>+IFERROR(#REF!/#REF!,"")</f>
        <v/>
      </c>
      <c r="Z72" s="2" t="str">
        <f>+IFERROR(#REF!/#REF!,"")</f>
        <v/>
      </c>
      <c r="AA72" s="2" t="str">
        <f>+IFERROR(#REF!/#REF!,"")</f>
        <v/>
      </c>
      <c r="AB72" s="2">
        <f>+IFERROR(N72/H72,"")</f>
        <v>0.1499164058240583</v>
      </c>
      <c r="AD72" s="143">
        <f t="shared" si="6"/>
        <v>2.0750418990642117E-3</v>
      </c>
      <c r="AE72" s="143">
        <f t="shared" si="7"/>
        <v>8.8233190607418799E-3</v>
      </c>
      <c r="AF72" s="143">
        <f t="shared" si="9"/>
        <v>-7.8340761452864727E-3</v>
      </c>
      <c r="AG72" s="143" t="str">
        <f t="shared" si="9"/>
        <v/>
      </c>
      <c r="AH72" s="143" t="str">
        <f t="shared" si="9"/>
        <v/>
      </c>
      <c r="AI72" s="143" t="str">
        <f t="shared" si="8"/>
        <v/>
      </c>
      <c r="AJ72" s="143" t="str">
        <f t="shared" si="8"/>
        <v/>
      </c>
      <c r="AK72" s="143" t="str">
        <f t="shared" si="8"/>
        <v/>
      </c>
      <c r="AL72" s="143" t="str">
        <f t="shared" si="8"/>
        <v/>
      </c>
      <c r="AM72" s="143" t="str">
        <f t="shared" si="8"/>
        <v/>
      </c>
      <c r="AN72" s="143" t="str">
        <f t="shared" si="8"/>
        <v/>
      </c>
      <c r="AP72" s="9">
        <f t="shared" si="10"/>
        <v>1.0411803847713001E-2</v>
      </c>
      <c r="AQ72" s="9">
        <f t="shared" si="11"/>
        <v>0.9289931915859917</v>
      </c>
    </row>
    <row r="73" spans="2:43" x14ac:dyDescent="0.35">
      <c r="B73" s="3" t="s">
        <v>149</v>
      </c>
      <c r="D73" s="141">
        <v>1285668</v>
      </c>
      <c r="E73" s="141">
        <v>1205950</v>
      </c>
      <c r="F73" s="141">
        <v>1185469</v>
      </c>
      <c r="G73" s="141">
        <v>1075504</v>
      </c>
      <c r="H73" s="141">
        <f>+SUM(D73:G73)</f>
        <v>4752591</v>
      </c>
      <c r="J73" s="141">
        <v>141679</v>
      </c>
      <c r="K73" s="141">
        <v>130563</v>
      </c>
      <c r="L73" s="141">
        <v>146139</v>
      </c>
      <c r="M73" s="141">
        <v>112489</v>
      </c>
      <c r="N73" s="141">
        <f>+SUM(J73:M73)</f>
        <v>530870</v>
      </c>
      <c r="P73" s="2">
        <f>+IFERROR(J73/D73,"")</f>
        <v>0.11019874493259535</v>
      </c>
      <c r="Q73" s="2">
        <f>+IFERROR(K73/E73,"")</f>
        <v>0.10826568265682657</v>
      </c>
      <c r="R73" s="2">
        <f>+IFERROR(L73/F73,"")</f>
        <v>0.12327526067741966</v>
      </c>
      <c r="S73" s="2">
        <f>+IFERROR(M73/G73,"")</f>
        <v>0.10459189366101847</v>
      </c>
      <c r="T73" s="2" t="str">
        <f>+IFERROR(#REF!/#REF!,"")</f>
        <v/>
      </c>
      <c r="U73" s="2" t="str">
        <f>+IFERROR(#REF!/#REF!,"")</f>
        <v/>
      </c>
      <c r="V73" s="2" t="str">
        <f>+IFERROR(#REF!/#REF!,"")</f>
        <v/>
      </c>
      <c r="W73" s="2" t="str">
        <f>+IFERROR(#REF!/#REF!,"")</f>
        <v/>
      </c>
      <c r="X73" s="2" t="str">
        <f>+IFERROR(#REF!/#REF!,"")</f>
        <v/>
      </c>
      <c r="Y73" s="2" t="str">
        <f>+IFERROR(#REF!/#REF!,"")</f>
        <v/>
      </c>
      <c r="Z73" s="2" t="str">
        <f>+IFERROR(#REF!/#REF!,"")</f>
        <v/>
      </c>
      <c r="AA73" s="2" t="str">
        <f>+IFERROR(#REF!/#REF!,"")</f>
        <v/>
      </c>
      <c r="AB73" s="2">
        <f>+IFERROR(N73/H73,"")</f>
        <v>0.11170117521158458</v>
      </c>
      <c r="AD73" s="143">
        <f t="shared" si="6"/>
        <v>-1.9330622757687821E-3</v>
      </c>
      <c r="AE73" s="143">
        <f t="shared" si="7"/>
        <v>1.5009578020593092E-2</v>
      </c>
      <c r="AF73" s="143">
        <f t="shared" si="9"/>
        <v>-1.8683367016401192E-2</v>
      </c>
      <c r="AG73" s="143" t="str">
        <f t="shared" si="9"/>
        <v/>
      </c>
      <c r="AH73" s="143" t="str">
        <f t="shared" si="9"/>
        <v/>
      </c>
      <c r="AI73" s="143" t="str">
        <f t="shared" si="8"/>
        <v/>
      </c>
      <c r="AJ73" s="143" t="str">
        <f t="shared" si="8"/>
        <v/>
      </c>
      <c r="AK73" s="143" t="str">
        <f t="shared" si="8"/>
        <v/>
      </c>
      <c r="AL73" s="143" t="str">
        <f t="shared" si="8"/>
        <v/>
      </c>
      <c r="AM73" s="143" t="str">
        <f t="shared" si="8"/>
        <v/>
      </c>
      <c r="AN73" s="143" t="str">
        <f t="shared" si="8"/>
        <v/>
      </c>
      <c r="AP73" s="9">
        <f t="shared" si="10"/>
        <v>3.0584482926896404E-4</v>
      </c>
      <c r="AQ73" s="9">
        <f t="shared" si="11"/>
        <v>0.92929903641526068</v>
      </c>
    </row>
    <row r="74" spans="2:43" x14ac:dyDescent="0.35">
      <c r="B74" s="3" t="s">
        <v>150</v>
      </c>
      <c r="D74" s="141">
        <v>2460118</v>
      </c>
      <c r="E74" s="141">
        <v>1804572</v>
      </c>
      <c r="F74" s="141">
        <v>2011789</v>
      </c>
      <c r="G74" s="141">
        <v>1895820</v>
      </c>
      <c r="H74" s="141">
        <f>+SUM(D74:G74)</f>
        <v>8172299</v>
      </c>
      <c r="J74" s="141">
        <v>286847</v>
      </c>
      <c r="K74" s="141">
        <v>206921</v>
      </c>
      <c r="L74" s="141">
        <v>223688</v>
      </c>
      <c r="M74" s="141">
        <v>227432</v>
      </c>
      <c r="N74" s="141">
        <f>+SUM(J74:M74)</f>
        <v>944888</v>
      </c>
      <c r="P74" s="2">
        <f>+IFERROR(J74/D74,"")</f>
        <v>0.11659887859037656</v>
      </c>
      <c r="Q74" s="2">
        <f>+IFERROR(K74/E74,"")</f>
        <v>0.11466486236071489</v>
      </c>
      <c r="R74" s="2">
        <f>+IFERROR(L74/F74,"")</f>
        <v>0.11118859880434777</v>
      </c>
      <c r="S74" s="2">
        <f>+IFERROR(M74/G74,"")</f>
        <v>0.11996497557785021</v>
      </c>
      <c r="T74" s="2" t="str">
        <f>+IFERROR(#REF!/#REF!,"")</f>
        <v/>
      </c>
      <c r="U74" s="2" t="str">
        <f>+IFERROR(#REF!/#REF!,"")</f>
        <v/>
      </c>
      <c r="V74" s="2" t="str">
        <f>+IFERROR(#REF!/#REF!,"")</f>
        <v/>
      </c>
      <c r="W74" s="2" t="str">
        <f>+IFERROR(#REF!/#REF!,"")</f>
        <v/>
      </c>
      <c r="X74" s="2" t="str">
        <f>+IFERROR(#REF!/#REF!,"")</f>
        <v/>
      </c>
      <c r="Y74" s="2" t="str">
        <f>+IFERROR(#REF!/#REF!,"")</f>
        <v/>
      </c>
      <c r="Z74" s="2" t="str">
        <f>+IFERROR(#REF!/#REF!,"")</f>
        <v/>
      </c>
      <c r="AA74" s="2" t="str">
        <f>+IFERROR(#REF!/#REF!,"")</f>
        <v/>
      </c>
      <c r="AB74" s="2">
        <f>+IFERROR(N74/H74,"")</f>
        <v>0.11562083080905386</v>
      </c>
      <c r="AD74" s="143">
        <f t="shared" si="6"/>
        <v>-1.9340162296616614E-3</v>
      </c>
      <c r="AE74" s="143">
        <f t="shared" si="7"/>
        <v>-3.4762635563671263E-3</v>
      </c>
      <c r="AF74" s="143">
        <f t="shared" si="9"/>
        <v>8.7763767735024451E-3</v>
      </c>
      <c r="AG74" s="143" t="str">
        <f t="shared" si="9"/>
        <v/>
      </c>
      <c r="AH74" s="143" t="str">
        <f t="shared" si="9"/>
        <v/>
      </c>
      <c r="AI74" s="143" t="str">
        <f t="shared" si="8"/>
        <v/>
      </c>
      <c r="AJ74" s="143" t="str">
        <f t="shared" si="8"/>
        <v/>
      </c>
      <c r="AK74" s="143" t="str">
        <f t="shared" si="8"/>
        <v/>
      </c>
      <c r="AL74" s="143" t="str">
        <f t="shared" si="8"/>
        <v/>
      </c>
      <c r="AM74" s="143" t="str">
        <f t="shared" si="8"/>
        <v/>
      </c>
      <c r="AN74" s="143" t="str">
        <f t="shared" si="8"/>
        <v/>
      </c>
      <c r="AP74" s="9">
        <f t="shared" si="10"/>
        <v>5.4436888322620023E-4</v>
      </c>
      <c r="AQ74" s="9">
        <f t="shared" si="11"/>
        <v>0.92984340529848686</v>
      </c>
    </row>
    <row r="75" spans="2:43" x14ac:dyDescent="0.35">
      <c r="B75" s="3" t="s">
        <v>174</v>
      </c>
      <c r="D75" s="141">
        <v>10694331</v>
      </c>
      <c r="E75" s="141">
        <v>8967499</v>
      </c>
      <c r="F75" s="141">
        <v>7479322</v>
      </c>
      <c r="G75" s="141">
        <v>6369900</v>
      </c>
      <c r="H75" s="141">
        <f>+SUM(D75:G75)</f>
        <v>33511052</v>
      </c>
      <c r="J75" s="141">
        <v>1039167</v>
      </c>
      <c r="K75" s="141">
        <v>838195</v>
      </c>
      <c r="L75" s="141">
        <v>707895</v>
      </c>
      <c r="M75" s="141">
        <v>592163</v>
      </c>
      <c r="N75" s="141">
        <f>+SUM(J75:M75)</f>
        <v>3177420</v>
      </c>
      <c r="P75" s="2">
        <f>+IFERROR(J75/D75,"")</f>
        <v>9.7169893095697152E-2</v>
      </c>
      <c r="Q75" s="2">
        <f>+IFERROR(K75/E75,"")</f>
        <v>9.3470319874025071E-2</v>
      </c>
      <c r="R75" s="2">
        <f>+IFERROR(L75/F75,"")</f>
        <v>9.4646947945281668E-2</v>
      </c>
      <c r="S75" s="2">
        <f>+IFERROR(M75/G75,"")</f>
        <v>9.296268387258827E-2</v>
      </c>
      <c r="T75" s="2" t="str">
        <f>+IFERROR(#REF!/#REF!,"")</f>
        <v/>
      </c>
      <c r="U75" s="2" t="str">
        <f>+IFERROR(#REF!/#REF!,"")</f>
        <v/>
      </c>
      <c r="V75" s="2" t="str">
        <f>+IFERROR(#REF!/#REF!,"")</f>
        <v/>
      </c>
      <c r="W75" s="2" t="str">
        <f>+IFERROR(#REF!/#REF!,"")</f>
        <v/>
      </c>
      <c r="X75" s="2" t="str">
        <f>+IFERROR(#REF!/#REF!,"")</f>
        <v/>
      </c>
      <c r="Y75" s="2" t="str">
        <f>+IFERROR(#REF!/#REF!,"")</f>
        <v/>
      </c>
      <c r="Z75" s="2" t="str">
        <f>+IFERROR(#REF!/#REF!,"")</f>
        <v/>
      </c>
      <c r="AA75" s="2" t="str">
        <f>+IFERROR(#REF!/#REF!,"")</f>
        <v/>
      </c>
      <c r="AB75" s="2">
        <f>+IFERROR(N75/H75,"")</f>
        <v>9.4817077064605432E-2</v>
      </c>
      <c r="AD75" s="143">
        <f t="shared" si="6"/>
        <v>-3.6995732216720811E-3</v>
      </c>
      <c r="AE75" s="143">
        <f t="shared" si="7"/>
        <v>1.1766280712565969E-3</v>
      </c>
      <c r="AF75" s="143">
        <f t="shared" si="9"/>
        <v>-1.6842640726933977E-3</v>
      </c>
      <c r="AG75" s="143" t="str">
        <f t="shared" si="9"/>
        <v/>
      </c>
      <c r="AH75" s="143" t="str">
        <f t="shared" si="9"/>
        <v/>
      </c>
      <c r="AI75" s="143" t="str">
        <f t="shared" si="8"/>
        <v/>
      </c>
      <c r="AJ75" s="143" t="str">
        <f t="shared" si="8"/>
        <v/>
      </c>
      <c r="AK75" s="143" t="str">
        <f t="shared" si="8"/>
        <v/>
      </c>
      <c r="AL75" s="143" t="str">
        <f t="shared" si="8"/>
        <v/>
      </c>
      <c r="AM75" s="143" t="str">
        <f t="shared" si="8"/>
        <v/>
      </c>
      <c r="AN75" s="143" t="str">
        <f t="shared" si="8"/>
        <v/>
      </c>
      <c r="AP75" s="9">
        <f t="shared" si="10"/>
        <v>1.8305752395422453E-3</v>
      </c>
      <c r="AQ75" s="9">
        <f t="shared" si="11"/>
        <v>0.93167398053802908</v>
      </c>
    </row>
    <row r="76" spans="2:43" x14ac:dyDescent="0.35">
      <c r="B76" s="3" t="s">
        <v>191</v>
      </c>
      <c r="D76" s="141">
        <v>8839</v>
      </c>
      <c r="E76" s="141">
        <v>1231</v>
      </c>
      <c r="F76" s="141">
        <v>13422</v>
      </c>
      <c r="G76" s="141"/>
      <c r="H76" s="141">
        <f>+SUM(D76:G76)</f>
        <v>23492</v>
      </c>
      <c r="J76" s="141">
        <v>6392</v>
      </c>
      <c r="K76" s="141">
        <v>1231</v>
      </c>
      <c r="L76" s="141">
        <v>12645</v>
      </c>
      <c r="M76" s="141"/>
      <c r="N76" s="141">
        <f>+SUM(J76:M76)</f>
        <v>20268</v>
      </c>
      <c r="P76" s="2">
        <f>+IFERROR(J76/D76,"")</f>
        <v>0.72315872836293693</v>
      </c>
      <c r="Q76" s="2">
        <f>+IFERROR(K76/E76,"")</f>
        <v>1</v>
      </c>
      <c r="R76" s="2">
        <f>+IFERROR(L76/F76,"")</f>
        <v>0.94210996870809116</v>
      </c>
      <c r="S76" s="2" t="str">
        <f>+IFERROR(M76/G76,"")</f>
        <v/>
      </c>
      <c r="T76" s="2" t="str">
        <f>+IFERROR(#REF!/#REF!,"")</f>
        <v/>
      </c>
      <c r="U76" s="2" t="str">
        <f>+IFERROR(#REF!/#REF!,"")</f>
        <v/>
      </c>
      <c r="V76" s="2" t="str">
        <f>+IFERROR(#REF!/#REF!,"")</f>
        <v/>
      </c>
      <c r="W76" s="2" t="str">
        <f>+IFERROR(#REF!/#REF!,"")</f>
        <v/>
      </c>
      <c r="X76" s="2" t="str">
        <f>+IFERROR(#REF!/#REF!,"")</f>
        <v/>
      </c>
      <c r="Y76" s="2" t="str">
        <f>+IFERROR(#REF!/#REF!,"")</f>
        <v/>
      </c>
      <c r="Z76" s="2" t="str">
        <f>+IFERROR(#REF!/#REF!,"")</f>
        <v/>
      </c>
      <c r="AA76" s="2" t="str">
        <f>+IFERROR(#REF!/#REF!,"")</f>
        <v/>
      </c>
      <c r="AB76" s="2">
        <f>+IFERROR(N76/H76,"")</f>
        <v>0.8627617912480845</v>
      </c>
      <c r="AD76" s="143">
        <f t="shared" si="6"/>
        <v>0.27684127163706307</v>
      </c>
      <c r="AE76" s="143">
        <f t="shared" si="7"/>
        <v>-5.7890031291908839E-2</v>
      </c>
      <c r="AF76" s="143" t="str">
        <f t="shared" si="9"/>
        <v/>
      </c>
      <c r="AG76" s="143" t="str">
        <f t="shared" si="9"/>
        <v/>
      </c>
      <c r="AH76" s="143" t="str">
        <f t="shared" si="9"/>
        <v/>
      </c>
      <c r="AI76" s="143" t="str">
        <f t="shared" si="8"/>
        <v/>
      </c>
      <c r="AJ76" s="143" t="str">
        <f t="shared" si="8"/>
        <v/>
      </c>
      <c r="AK76" s="143" t="str">
        <f t="shared" si="8"/>
        <v/>
      </c>
      <c r="AL76" s="143" t="str">
        <f t="shared" si="8"/>
        <v/>
      </c>
      <c r="AM76" s="143" t="str">
        <f t="shared" si="8"/>
        <v/>
      </c>
      <c r="AN76" s="143" t="str">
        <f t="shared" si="8"/>
        <v/>
      </c>
      <c r="AP76" s="9">
        <f t="shared" si="10"/>
        <v>1.1676800345891393E-5</v>
      </c>
      <c r="AQ76" s="9">
        <f t="shared" si="11"/>
        <v>0.93168565733837494</v>
      </c>
    </row>
    <row r="77" spans="2:43" x14ac:dyDescent="0.35">
      <c r="B77" s="3" t="s">
        <v>147</v>
      </c>
      <c r="D77" s="141">
        <v>1676016</v>
      </c>
      <c r="E77" s="141">
        <v>1401453</v>
      </c>
      <c r="F77" s="141">
        <v>1979309</v>
      </c>
      <c r="G77" s="141">
        <v>1458719</v>
      </c>
      <c r="H77" s="141">
        <f>+SUM(D77:G77)</f>
        <v>6515497</v>
      </c>
      <c r="J77" s="141">
        <v>202738</v>
      </c>
      <c r="K77" s="141">
        <v>201296</v>
      </c>
      <c r="L77" s="141">
        <v>258928</v>
      </c>
      <c r="M77" s="141">
        <v>157512</v>
      </c>
      <c r="N77" s="141">
        <f>+SUM(J77:M77)</f>
        <v>820474</v>
      </c>
      <c r="P77" s="2">
        <f>+IFERROR(J77/D77,"")</f>
        <v>0.12096423900487824</v>
      </c>
      <c r="Q77" s="2">
        <f>+IFERROR(K77/E77,"")</f>
        <v>0.14363378579231698</v>
      </c>
      <c r="R77" s="2">
        <f>+IFERROR(L77/F77,"")</f>
        <v>0.13081737111284797</v>
      </c>
      <c r="S77" s="2">
        <f>+IFERROR(M77/G77,"")</f>
        <v>0.10797967257573254</v>
      </c>
      <c r="T77" s="2" t="str">
        <f>+IFERROR(#REF!/#REF!,"")</f>
        <v/>
      </c>
      <c r="U77" s="2" t="str">
        <f>+IFERROR(#REF!/#REF!,"")</f>
        <v/>
      </c>
      <c r="V77" s="2" t="str">
        <f>+IFERROR(#REF!/#REF!,"")</f>
        <v/>
      </c>
      <c r="W77" s="2" t="str">
        <f>+IFERROR(#REF!/#REF!,"")</f>
        <v/>
      </c>
      <c r="X77" s="2" t="str">
        <f>+IFERROR(#REF!/#REF!,"")</f>
        <v/>
      </c>
      <c r="Y77" s="2" t="str">
        <f>+IFERROR(#REF!/#REF!,"")</f>
        <v/>
      </c>
      <c r="Z77" s="2" t="str">
        <f>+IFERROR(#REF!/#REF!,"")</f>
        <v/>
      </c>
      <c r="AA77" s="2" t="str">
        <f>+IFERROR(#REF!/#REF!,"")</f>
        <v/>
      </c>
      <c r="AB77" s="2">
        <f>+IFERROR(N77/H77,"")</f>
        <v>0.12592654098374997</v>
      </c>
      <c r="AD77" s="143">
        <f t="shared" si="6"/>
        <v>2.2669546787438738E-2</v>
      </c>
      <c r="AE77" s="143">
        <f t="shared" si="7"/>
        <v>-1.2816414679469007E-2</v>
      </c>
      <c r="AF77" s="143">
        <f t="shared" si="9"/>
        <v>-2.2837698537115425E-2</v>
      </c>
      <c r="AG77" s="143" t="str">
        <f t="shared" si="9"/>
        <v/>
      </c>
      <c r="AH77" s="143" t="str">
        <f t="shared" si="9"/>
        <v/>
      </c>
      <c r="AI77" s="143" t="str">
        <f t="shared" si="8"/>
        <v/>
      </c>
      <c r="AJ77" s="143" t="str">
        <f t="shared" si="8"/>
        <v/>
      </c>
      <c r="AK77" s="143" t="str">
        <f t="shared" si="8"/>
        <v/>
      </c>
      <c r="AL77" s="143" t="str">
        <f t="shared" si="8"/>
        <v/>
      </c>
      <c r="AM77" s="143" t="str">
        <f t="shared" si="8"/>
        <v/>
      </c>
      <c r="AN77" s="143" t="str">
        <f t="shared" si="8"/>
        <v/>
      </c>
      <c r="AP77" s="9">
        <f t="shared" si="10"/>
        <v>4.7269148840511612E-4</v>
      </c>
      <c r="AQ77" s="9">
        <f t="shared" si="11"/>
        <v>0.93215834882678006</v>
      </c>
    </row>
    <row r="78" spans="2:43" x14ac:dyDescent="0.35">
      <c r="B78" s="3" t="s">
        <v>178</v>
      </c>
      <c r="D78" s="141">
        <v>6305905</v>
      </c>
      <c r="E78" s="141">
        <v>5125822</v>
      </c>
      <c r="F78" s="141">
        <v>4516579</v>
      </c>
      <c r="G78" s="141">
        <v>3775842</v>
      </c>
      <c r="H78" s="141">
        <f>+SUM(D78:G78)</f>
        <v>19724148</v>
      </c>
      <c r="J78" s="141">
        <v>731570</v>
      </c>
      <c r="K78" s="141">
        <v>586746</v>
      </c>
      <c r="L78" s="141">
        <v>503109</v>
      </c>
      <c r="M78" s="141">
        <v>418172</v>
      </c>
      <c r="N78" s="141">
        <f>+SUM(J78:M78)</f>
        <v>2239597</v>
      </c>
      <c r="P78" s="2">
        <f>+IFERROR(J78/D78,"")</f>
        <v>0.11601348260083208</v>
      </c>
      <c r="Q78" s="2">
        <f>+IFERROR(K78/E78,"")</f>
        <v>0.11446866473318816</v>
      </c>
      <c r="R78" s="2">
        <f>+IFERROR(L78/F78,"")</f>
        <v>0.11139160856037279</v>
      </c>
      <c r="S78" s="2">
        <f>+IFERROR(M78/G78,"")</f>
        <v>0.11074933749876187</v>
      </c>
      <c r="T78" s="2" t="str">
        <f>+IFERROR(#REF!/#REF!,"")</f>
        <v/>
      </c>
      <c r="U78" s="2" t="str">
        <f>+IFERROR(#REF!/#REF!,"")</f>
        <v/>
      </c>
      <c r="V78" s="2" t="str">
        <f>+IFERROR(#REF!/#REF!,"")</f>
        <v/>
      </c>
      <c r="W78" s="2" t="str">
        <f>+IFERROR(#REF!/#REF!,"")</f>
        <v/>
      </c>
      <c r="X78" s="2" t="str">
        <f>+IFERROR(#REF!/#REF!,"")</f>
        <v/>
      </c>
      <c r="Y78" s="2" t="str">
        <f>+IFERROR(#REF!/#REF!,"")</f>
        <v/>
      </c>
      <c r="Z78" s="2" t="str">
        <f>+IFERROR(#REF!/#REF!,"")</f>
        <v/>
      </c>
      <c r="AA78" s="2" t="str">
        <f>+IFERROR(#REF!/#REF!,"")</f>
        <v/>
      </c>
      <c r="AB78" s="2">
        <f>+IFERROR(N78/H78,"")</f>
        <v>0.11354594378423849</v>
      </c>
      <c r="AD78" s="143">
        <f t="shared" si="6"/>
        <v>-1.5448178676439189E-3</v>
      </c>
      <c r="AE78" s="143">
        <f t="shared" si="7"/>
        <v>-3.0770561728153678E-3</v>
      </c>
      <c r="AF78" s="143">
        <f t="shared" si="9"/>
        <v>-6.4227106161092451E-4</v>
      </c>
      <c r="AG78" s="143" t="str">
        <f t="shared" si="9"/>
        <v/>
      </c>
      <c r="AH78" s="143" t="str">
        <f t="shared" si="9"/>
        <v/>
      </c>
      <c r="AI78" s="143" t="str">
        <f t="shared" si="8"/>
        <v/>
      </c>
      <c r="AJ78" s="143" t="str">
        <f t="shared" si="8"/>
        <v/>
      </c>
      <c r="AK78" s="143" t="str">
        <f t="shared" si="8"/>
        <v/>
      </c>
      <c r="AL78" s="143" t="str">
        <f t="shared" si="8"/>
        <v/>
      </c>
      <c r="AM78" s="143" t="str">
        <f t="shared" si="8"/>
        <v/>
      </c>
      <c r="AN78" s="143" t="str">
        <f t="shared" si="8"/>
        <v/>
      </c>
      <c r="AP78" s="9">
        <f t="shared" si="10"/>
        <v>1.2902766441808429E-3</v>
      </c>
      <c r="AQ78" s="9">
        <f t="shared" si="11"/>
        <v>0.93344862547096086</v>
      </c>
    </row>
    <row r="79" spans="2:43" x14ac:dyDescent="0.35">
      <c r="B79" s="3" t="s">
        <v>176</v>
      </c>
      <c r="D79" s="141">
        <v>10938470</v>
      </c>
      <c r="E79" s="141">
        <v>10189183</v>
      </c>
      <c r="F79" s="141">
        <v>10980195</v>
      </c>
      <c r="G79" s="141">
        <v>10426239</v>
      </c>
      <c r="H79" s="141">
        <f>+SUM(D79:G79)</f>
        <v>42534087</v>
      </c>
      <c r="J79" s="141">
        <v>1451120</v>
      </c>
      <c r="K79" s="141">
        <v>1332920</v>
      </c>
      <c r="L79" s="141">
        <v>1402291</v>
      </c>
      <c r="M79" s="141">
        <v>1338007</v>
      </c>
      <c r="N79" s="141">
        <f>+SUM(J79:M79)</f>
        <v>5524338</v>
      </c>
      <c r="P79" s="2">
        <f>+IFERROR(J79/D79,"")</f>
        <v>0.13266206334158251</v>
      </c>
      <c r="Q79" s="2">
        <f>+IFERROR(K79/E79,"")</f>
        <v>0.13081716169000007</v>
      </c>
      <c r="R79" s="2">
        <f>+IFERROR(L79/F79,"")</f>
        <v>0.12771093773835529</v>
      </c>
      <c r="S79" s="2">
        <f>+IFERROR(M79/G79,"")</f>
        <v>0.12833074323349003</v>
      </c>
      <c r="T79" s="2" t="str">
        <f>+IFERROR(#REF!/#REF!,"")</f>
        <v/>
      </c>
      <c r="U79" s="2" t="str">
        <f>+IFERROR(#REF!/#REF!,"")</f>
        <v/>
      </c>
      <c r="V79" s="2" t="str">
        <f>+IFERROR(#REF!/#REF!,"")</f>
        <v/>
      </c>
      <c r="W79" s="2" t="str">
        <f>+IFERROR(#REF!/#REF!,"")</f>
        <v/>
      </c>
      <c r="X79" s="2" t="str">
        <f>+IFERROR(#REF!/#REF!,"")</f>
        <v/>
      </c>
      <c r="Y79" s="2" t="str">
        <f>+IFERROR(#REF!/#REF!,"")</f>
        <v/>
      </c>
      <c r="Z79" s="2" t="str">
        <f>+IFERROR(#REF!/#REF!,"")</f>
        <v/>
      </c>
      <c r="AA79" s="2" t="str">
        <f>+IFERROR(#REF!/#REF!,"")</f>
        <v/>
      </c>
      <c r="AB79" s="2">
        <f>+IFERROR(N79/H79,"")</f>
        <v>0.12988025345412962</v>
      </c>
      <c r="AD79" s="143">
        <f t="shared" si="6"/>
        <v>-1.8449016515824368E-3</v>
      </c>
      <c r="AE79" s="143">
        <f t="shared" si="7"/>
        <v>-3.106223951644782E-3</v>
      </c>
      <c r="AF79" s="143">
        <f t="shared" si="9"/>
        <v>6.1980549513473981E-4</v>
      </c>
      <c r="AG79" s="143" t="str">
        <f t="shared" si="9"/>
        <v/>
      </c>
      <c r="AH79" s="143" t="str">
        <f t="shared" si="9"/>
        <v/>
      </c>
      <c r="AI79" s="143" t="str">
        <f t="shared" si="8"/>
        <v/>
      </c>
      <c r="AJ79" s="143" t="str">
        <f t="shared" si="8"/>
        <v/>
      </c>
      <c r="AK79" s="143" t="str">
        <f t="shared" si="8"/>
        <v/>
      </c>
      <c r="AL79" s="143" t="str">
        <f t="shared" si="8"/>
        <v/>
      </c>
      <c r="AM79" s="143" t="str">
        <f t="shared" si="8"/>
        <v/>
      </c>
      <c r="AN79" s="143" t="str">
        <f t="shared" si="8"/>
        <v/>
      </c>
      <c r="AP79" s="9">
        <f t="shared" si="10"/>
        <v>3.1826816592274007E-3</v>
      </c>
      <c r="AQ79" s="9">
        <f t="shared" si="11"/>
        <v>0.93663130713018827</v>
      </c>
    </row>
    <row r="80" spans="2:43" x14ac:dyDescent="0.35">
      <c r="B80" s="3" t="s">
        <v>197</v>
      </c>
      <c r="D80" s="141">
        <v>67282</v>
      </c>
      <c r="E80" s="141">
        <v>9934</v>
      </c>
      <c r="F80" s="141">
        <v>7784</v>
      </c>
      <c r="G80" s="141">
        <v>6635</v>
      </c>
      <c r="H80" s="141">
        <f>+SUM(D80:G80)</f>
        <v>91635</v>
      </c>
      <c r="J80" s="141">
        <v>27188</v>
      </c>
      <c r="K80" s="141">
        <v>1176</v>
      </c>
      <c r="L80" s="141">
        <v>2877</v>
      </c>
      <c r="M80" s="141">
        <v>2519</v>
      </c>
      <c r="N80" s="141">
        <f>+SUM(J80:M80)</f>
        <v>33760</v>
      </c>
      <c r="P80" s="2">
        <f>+IFERROR(J80/D80,"")</f>
        <v>0.40409024702000534</v>
      </c>
      <c r="Q80" s="2">
        <f>+IFERROR(K80/E80,"")</f>
        <v>0.11838131669015502</v>
      </c>
      <c r="R80" s="2">
        <f>+IFERROR(L80/F80,"")</f>
        <v>0.36960431654676257</v>
      </c>
      <c r="S80" s="2">
        <f>+IFERROR(M80/G80,"")</f>
        <v>0.37965335342878676</v>
      </c>
      <c r="T80" s="2" t="str">
        <f>+IFERROR(#REF!/#REF!,"")</f>
        <v/>
      </c>
      <c r="U80" s="2" t="str">
        <f>+IFERROR(#REF!/#REF!,"")</f>
        <v/>
      </c>
      <c r="V80" s="2" t="str">
        <f>+IFERROR(#REF!/#REF!,"")</f>
        <v/>
      </c>
      <c r="W80" s="2" t="str">
        <f>+IFERROR(#REF!/#REF!,"")</f>
        <v/>
      </c>
      <c r="X80" s="2" t="str">
        <f>+IFERROR(#REF!/#REF!,"")</f>
        <v/>
      </c>
      <c r="Y80" s="2" t="str">
        <f>+IFERROR(#REF!/#REF!,"")</f>
        <v/>
      </c>
      <c r="Z80" s="2" t="str">
        <f>+IFERROR(#REF!/#REF!,"")</f>
        <v/>
      </c>
      <c r="AA80" s="2" t="str">
        <f>+IFERROR(#REF!/#REF!,"")</f>
        <v/>
      </c>
      <c r="AB80" s="2">
        <f>+IFERROR(N80/H80,"")</f>
        <v>0.36841818082610356</v>
      </c>
      <c r="AD80" s="143">
        <f t="shared" si="6"/>
        <v>-0.28570893032985034</v>
      </c>
      <c r="AE80" s="143">
        <f t="shared" si="7"/>
        <v>0.25122299985660757</v>
      </c>
      <c r="AF80" s="143">
        <f t="shared" si="9"/>
        <v>1.0049036882024187E-2</v>
      </c>
      <c r="AG80" s="143" t="str">
        <f t="shared" si="9"/>
        <v/>
      </c>
      <c r="AH80" s="143" t="str">
        <f t="shared" si="9"/>
        <v/>
      </c>
      <c r="AI80" s="143" t="str">
        <f t="shared" si="8"/>
        <v/>
      </c>
      <c r="AJ80" s="143" t="str">
        <f t="shared" si="8"/>
        <v/>
      </c>
      <c r="AK80" s="143" t="str">
        <f t="shared" si="8"/>
        <v/>
      </c>
      <c r="AL80" s="143" t="str">
        <f t="shared" si="8"/>
        <v/>
      </c>
      <c r="AM80" s="143" t="str">
        <f t="shared" si="8"/>
        <v/>
      </c>
      <c r="AN80" s="143" t="str">
        <f t="shared" si="8"/>
        <v/>
      </c>
      <c r="AP80" s="9">
        <f t="shared" si="10"/>
        <v>1.9449811509635555E-5</v>
      </c>
      <c r="AQ80" s="9">
        <f t="shared" si="11"/>
        <v>0.93665075694169786</v>
      </c>
    </row>
    <row r="81" spans="2:43" x14ac:dyDescent="0.35">
      <c r="B81" s="3" t="s">
        <v>169</v>
      </c>
      <c r="D81" s="141">
        <v>1283706</v>
      </c>
      <c r="E81" s="141">
        <v>1173417</v>
      </c>
      <c r="F81" s="141">
        <v>1307799</v>
      </c>
      <c r="G81" s="141">
        <v>1232833</v>
      </c>
      <c r="H81" s="141">
        <f>+SUM(D81:G81)</f>
        <v>4997755</v>
      </c>
      <c r="J81" s="141">
        <v>206746</v>
      </c>
      <c r="K81" s="141">
        <v>154301</v>
      </c>
      <c r="L81" s="141">
        <v>161411</v>
      </c>
      <c r="M81" s="141">
        <v>141354</v>
      </c>
      <c r="N81" s="141">
        <f>+SUM(J81:M81)</f>
        <v>663812</v>
      </c>
      <c r="P81" s="2">
        <f>+IFERROR(J81/D81,"")</f>
        <v>0.16105401080932863</v>
      </c>
      <c r="Q81" s="2">
        <f>+IFERROR(K81/E81,"")</f>
        <v>0.1314971574470116</v>
      </c>
      <c r="R81" s="2">
        <f>+IFERROR(L81/F81,"")</f>
        <v>0.12342187140378606</v>
      </c>
      <c r="S81" s="2">
        <f>+IFERROR(M81/G81,"")</f>
        <v>0.11465786525831155</v>
      </c>
      <c r="T81" s="2" t="str">
        <f>+IFERROR(#REF!/#REF!,"")</f>
        <v/>
      </c>
      <c r="U81" s="2" t="str">
        <f>+IFERROR(#REF!/#REF!,"")</f>
        <v/>
      </c>
      <c r="V81" s="2" t="str">
        <f>+IFERROR(#REF!/#REF!,"")</f>
        <v/>
      </c>
      <c r="W81" s="2" t="str">
        <f>+IFERROR(#REF!/#REF!,"")</f>
        <v/>
      </c>
      <c r="X81" s="2" t="str">
        <f>+IFERROR(#REF!/#REF!,"")</f>
        <v/>
      </c>
      <c r="Y81" s="2" t="str">
        <f>+IFERROR(#REF!/#REF!,"")</f>
        <v/>
      </c>
      <c r="Z81" s="2" t="str">
        <f>+IFERROR(#REF!/#REF!,"")</f>
        <v/>
      </c>
      <c r="AA81" s="2" t="str">
        <f>+IFERROR(#REF!/#REF!,"")</f>
        <v/>
      </c>
      <c r="AB81" s="2">
        <f>+IFERROR(N81/H81,"")</f>
        <v>0.13282203709465551</v>
      </c>
      <c r="AD81" s="143">
        <f t="shared" si="6"/>
        <v>-2.9556853362317032E-2</v>
      </c>
      <c r="AE81" s="143">
        <f t="shared" si="7"/>
        <v>-8.0752860432255352E-3</v>
      </c>
      <c r="AF81" s="143">
        <f t="shared" si="9"/>
        <v>-8.7640061454745122E-3</v>
      </c>
      <c r="AG81" s="143" t="str">
        <f t="shared" si="9"/>
        <v/>
      </c>
      <c r="AH81" s="143" t="str">
        <f t="shared" si="9"/>
        <v/>
      </c>
      <c r="AI81" s="143" t="str">
        <f t="shared" si="8"/>
        <v/>
      </c>
      <c r="AJ81" s="143" t="str">
        <f t="shared" si="8"/>
        <v/>
      </c>
      <c r="AK81" s="143" t="str">
        <f t="shared" si="8"/>
        <v/>
      </c>
      <c r="AL81" s="143" t="str">
        <f t="shared" si="8"/>
        <v/>
      </c>
      <c r="AM81" s="143" t="str">
        <f t="shared" si="8"/>
        <v/>
      </c>
      <c r="AN81" s="143" t="str">
        <f t="shared" si="8"/>
        <v/>
      </c>
      <c r="AP81" s="9">
        <f t="shared" si="10"/>
        <v>3.8243537552826412E-4</v>
      </c>
      <c r="AQ81" s="9">
        <f t="shared" si="11"/>
        <v>0.93703319231722615</v>
      </c>
    </row>
    <row r="82" spans="2:43" x14ac:dyDescent="0.35">
      <c r="B82" s="3" t="s">
        <v>148</v>
      </c>
      <c r="D82" s="141">
        <v>5500895</v>
      </c>
      <c r="E82" s="141">
        <v>5578458</v>
      </c>
      <c r="F82" s="141">
        <v>6259712</v>
      </c>
      <c r="G82" s="141">
        <v>9508995</v>
      </c>
      <c r="H82" s="141">
        <f>+SUM(D82:G82)</f>
        <v>26848060</v>
      </c>
      <c r="J82" s="141">
        <v>814880</v>
      </c>
      <c r="K82" s="141">
        <v>784535</v>
      </c>
      <c r="L82" s="141">
        <v>860085</v>
      </c>
      <c r="M82" s="141">
        <v>1421800</v>
      </c>
      <c r="N82" s="141">
        <f>+SUM(J82:M82)</f>
        <v>3881300</v>
      </c>
      <c r="P82" s="2">
        <f>+IFERROR(J82/D82,"")</f>
        <v>0.1481358942499357</v>
      </c>
      <c r="Q82" s="2">
        <f>+IFERROR(K82/E82,"")</f>
        <v>0.14063653432543546</v>
      </c>
      <c r="R82" s="2">
        <f>+IFERROR(L82/F82,"")</f>
        <v>0.13740009125020447</v>
      </c>
      <c r="S82" s="2">
        <f>+IFERROR(M82/G82,"")</f>
        <v>0.1495215845628271</v>
      </c>
      <c r="T82" s="2" t="str">
        <f>+IFERROR(#REF!/#REF!,"")</f>
        <v/>
      </c>
      <c r="U82" s="2" t="str">
        <f>+IFERROR(#REF!/#REF!,"")</f>
        <v/>
      </c>
      <c r="V82" s="2" t="str">
        <f>+IFERROR(#REF!/#REF!,"")</f>
        <v/>
      </c>
      <c r="W82" s="2" t="str">
        <f>+IFERROR(#REF!/#REF!,"")</f>
        <v/>
      </c>
      <c r="X82" s="2" t="str">
        <f>+IFERROR(#REF!/#REF!,"")</f>
        <v/>
      </c>
      <c r="Y82" s="2" t="str">
        <f>+IFERROR(#REF!/#REF!,"")</f>
        <v/>
      </c>
      <c r="Z82" s="2" t="str">
        <f>+IFERROR(#REF!/#REF!,"")</f>
        <v/>
      </c>
      <c r="AA82" s="2" t="str">
        <f>+IFERROR(#REF!/#REF!,"")</f>
        <v/>
      </c>
      <c r="AB82" s="2">
        <f>+IFERROR(N82/H82,"")</f>
        <v>0.14456538014292281</v>
      </c>
      <c r="AD82" s="143">
        <f t="shared" si="6"/>
        <v>-7.4993599245002374E-3</v>
      </c>
      <c r="AE82" s="143">
        <f t="shared" si="7"/>
        <v>-3.2364430752309936E-3</v>
      </c>
      <c r="AF82" s="143">
        <f t="shared" si="9"/>
        <v>1.2121493312622633E-2</v>
      </c>
      <c r="AG82" s="143" t="str">
        <f t="shared" si="9"/>
        <v/>
      </c>
      <c r="AH82" s="143" t="str">
        <f t="shared" si="9"/>
        <v/>
      </c>
      <c r="AI82" s="143" t="str">
        <f t="shared" si="8"/>
        <v/>
      </c>
      <c r="AJ82" s="143" t="str">
        <f t="shared" si="8"/>
        <v/>
      </c>
      <c r="AK82" s="143" t="str">
        <f t="shared" si="8"/>
        <v/>
      </c>
      <c r="AL82" s="143" t="str">
        <f t="shared" si="8"/>
        <v/>
      </c>
      <c r="AM82" s="143" t="str">
        <f t="shared" si="8"/>
        <v/>
      </c>
      <c r="AN82" s="143" t="str">
        <f t="shared" si="8"/>
        <v/>
      </c>
      <c r="AP82" s="9">
        <f t="shared" si="10"/>
        <v>2.2360945915979999E-3</v>
      </c>
      <c r="AQ82" s="9">
        <f t="shared" si="11"/>
        <v>0.93926928690882416</v>
      </c>
    </row>
    <row r="83" spans="2:43" x14ac:dyDescent="0.35">
      <c r="B83" s="3" t="s">
        <v>161</v>
      </c>
      <c r="D83" s="141">
        <v>3826124</v>
      </c>
      <c r="E83" s="141">
        <v>4499058</v>
      </c>
      <c r="F83" s="141">
        <v>6980343</v>
      </c>
      <c r="G83" s="141">
        <v>15971913</v>
      </c>
      <c r="H83" s="141">
        <f>+SUM(D83:G83)</f>
        <v>31277438</v>
      </c>
      <c r="J83" s="141">
        <v>469349</v>
      </c>
      <c r="K83" s="141">
        <v>597810</v>
      </c>
      <c r="L83" s="141">
        <v>759140</v>
      </c>
      <c r="M83" s="141">
        <v>1106351</v>
      </c>
      <c r="N83" s="141">
        <f>+SUM(J83:M83)</f>
        <v>2932650</v>
      </c>
      <c r="P83" s="2">
        <f>+IFERROR(J83/D83,"")</f>
        <v>0.12266957369912737</v>
      </c>
      <c r="Q83" s="2">
        <f>+IFERROR(K83/E83,"")</f>
        <v>0.13287448172484106</v>
      </c>
      <c r="R83" s="2">
        <f>+IFERROR(L83/F83,"")</f>
        <v>0.10875396810729789</v>
      </c>
      <c r="S83" s="2">
        <f>+IFERROR(M83/G83,"")</f>
        <v>6.9268534082298092E-2</v>
      </c>
      <c r="T83" s="2" t="str">
        <f>+IFERROR(#REF!/#REF!,"")</f>
        <v/>
      </c>
      <c r="U83" s="2" t="str">
        <f>+IFERROR(#REF!/#REF!,"")</f>
        <v/>
      </c>
      <c r="V83" s="2" t="str">
        <f>+IFERROR(#REF!/#REF!,"")</f>
        <v/>
      </c>
      <c r="W83" s="2" t="str">
        <f>+IFERROR(#REF!/#REF!,"")</f>
        <v/>
      </c>
      <c r="X83" s="2" t="str">
        <f>+IFERROR(#REF!/#REF!,"")</f>
        <v/>
      </c>
      <c r="Y83" s="2" t="str">
        <f>+IFERROR(#REF!/#REF!,"")</f>
        <v/>
      </c>
      <c r="Z83" s="2" t="str">
        <f>+IFERROR(#REF!/#REF!,"")</f>
        <v/>
      </c>
      <c r="AA83" s="2" t="str">
        <f>+IFERROR(#REF!/#REF!,"")</f>
        <v/>
      </c>
      <c r="AB83" s="2">
        <f>+IFERROR(N83/H83,"")</f>
        <v>9.3762475046709384E-2</v>
      </c>
      <c r="AD83" s="143">
        <f t="shared" si="6"/>
        <v>1.0204908025713694E-2</v>
      </c>
      <c r="AE83" s="143">
        <f t="shared" si="7"/>
        <v>-2.4120513617543179E-2</v>
      </c>
      <c r="AF83" s="143">
        <f t="shared" si="9"/>
        <v>-3.9485434024999794E-2</v>
      </c>
      <c r="AG83" s="143" t="str">
        <f t="shared" si="9"/>
        <v/>
      </c>
      <c r="AH83" s="143" t="str">
        <f t="shared" si="9"/>
        <v/>
      </c>
      <c r="AI83" s="143" t="str">
        <f t="shared" si="8"/>
        <v/>
      </c>
      <c r="AJ83" s="143" t="str">
        <f t="shared" si="8"/>
        <v/>
      </c>
      <c r="AK83" s="143" t="str">
        <f t="shared" si="8"/>
        <v/>
      </c>
      <c r="AL83" s="143" t="str">
        <f t="shared" si="8"/>
        <v/>
      </c>
      <c r="AM83" s="143" t="str">
        <f t="shared" si="8"/>
        <v/>
      </c>
      <c r="AN83" s="143" t="str">
        <f t="shared" si="8"/>
        <v/>
      </c>
      <c r="AP83" s="9">
        <f t="shared" si="10"/>
        <v>1.6895583448972957E-3</v>
      </c>
      <c r="AQ83" s="9">
        <f t="shared" si="11"/>
        <v>0.94095884525372142</v>
      </c>
    </row>
    <row r="84" spans="2:43" x14ac:dyDescent="0.35">
      <c r="B84" s="3" t="s">
        <v>154</v>
      </c>
      <c r="D84" s="141">
        <v>1207659</v>
      </c>
      <c r="E84" s="141">
        <v>1124095</v>
      </c>
      <c r="F84" s="141">
        <v>1215618</v>
      </c>
      <c r="G84" s="141">
        <v>923883</v>
      </c>
      <c r="H84" s="141">
        <f>+SUM(D84:G84)</f>
        <v>4471255</v>
      </c>
      <c r="J84" s="141">
        <v>113666</v>
      </c>
      <c r="K84" s="141">
        <v>113690</v>
      </c>
      <c r="L84" s="141">
        <v>106976</v>
      </c>
      <c r="M84" s="141">
        <v>89857</v>
      </c>
      <c r="N84" s="141">
        <f>+SUM(J84:M84)</f>
        <v>424189</v>
      </c>
      <c r="P84" s="2">
        <f>+IFERROR(J84/D84,"")</f>
        <v>9.412093976859362E-2</v>
      </c>
      <c r="Q84" s="2">
        <f>+IFERROR(K84/E84,"")</f>
        <v>0.10113913859593718</v>
      </c>
      <c r="R84" s="2">
        <f>+IFERROR(L84/F84,"")</f>
        <v>8.8001329364981437E-2</v>
      </c>
      <c r="S84" s="2">
        <f>+IFERROR(M84/G84,"")</f>
        <v>9.7260150906554182E-2</v>
      </c>
      <c r="T84" s="2" t="str">
        <f>+IFERROR(#REF!/#REF!,"")</f>
        <v/>
      </c>
      <c r="U84" s="2" t="str">
        <f>+IFERROR(#REF!/#REF!,"")</f>
        <v/>
      </c>
      <c r="V84" s="2" t="str">
        <f>+IFERROR(#REF!/#REF!,"")</f>
        <v/>
      </c>
      <c r="W84" s="2" t="str">
        <f>+IFERROR(#REF!/#REF!,"")</f>
        <v/>
      </c>
      <c r="X84" s="2" t="str">
        <f>+IFERROR(#REF!/#REF!,"")</f>
        <v/>
      </c>
      <c r="Y84" s="2" t="str">
        <f>+IFERROR(#REF!/#REF!,"")</f>
        <v/>
      </c>
      <c r="Z84" s="2" t="str">
        <f>+IFERROR(#REF!/#REF!,"")</f>
        <v/>
      </c>
      <c r="AA84" s="2" t="str">
        <f>+IFERROR(#REF!/#REF!,"")</f>
        <v/>
      </c>
      <c r="AB84" s="2">
        <f>+IFERROR(N84/H84,"")</f>
        <v>9.487023218313427E-2</v>
      </c>
      <c r="AD84" s="143">
        <f t="shared" si="6"/>
        <v>7.018198827343558E-3</v>
      </c>
      <c r="AE84" s="143">
        <f t="shared" si="7"/>
        <v>-1.3137809230955741E-2</v>
      </c>
      <c r="AF84" s="143">
        <f t="shared" si="9"/>
        <v>9.2588215415727454E-3</v>
      </c>
      <c r="AG84" s="143" t="str">
        <f t="shared" si="9"/>
        <v/>
      </c>
      <c r="AH84" s="143" t="str">
        <f t="shared" si="9"/>
        <v/>
      </c>
      <c r="AI84" s="143" t="str">
        <f t="shared" si="8"/>
        <v/>
      </c>
      <c r="AJ84" s="143" t="str">
        <f t="shared" si="8"/>
        <v/>
      </c>
      <c r="AK84" s="143" t="str">
        <f t="shared" si="8"/>
        <v/>
      </c>
      <c r="AL84" s="143" t="str">
        <f t="shared" si="8"/>
        <v/>
      </c>
      <c r="AM84" s="143" t="str">
        <f t="shared" si="8"/>
        <v/>
      </c>
      <c r="AN84" s="143" t="str">
        <f t="shared" si="8"/>
        <v/>
      </c>
      <c r="AP84" s="9">
        <f t="shared" si="10"/>
        <v>2.4438377057052122E-4</v>
      </c>
      <c r="AQ84" s="9">
        <f t="shared" si="11"/>
        <v>0.94120322902429199</v>
      </c>
    </row>
    <row r="85" spans="2:43" x14ac:dyDescent="0.35">
      <c r="B85" s="3" t="s">
        <v>163</v>
      </c>
      <c r="D85" s="141">
        <v>1106299</v>
      </c>
      <c r="E85" s="141">
        <v>877384</v>
      </c>
      <c r="F85" s="141">
        <v>633136</v>
      </c>
      <c r="G85" s="141">
        <v>771962</v>
      </c>
      <c r="H85" s="141">
        <f>+SUM(D85:G85)</f>
        <v>3388781</v>
      </c>
      <c r="J85" s="141">
        <v>116708</v>
      </c>
      <c r="K85" s="141">
        <v>80689</v>
      </c>
      <c r="L85" s="141">
        <v>65519</v>
      </c>
      <c r="M85" s="141">
        <v>99343</v>
      </c>
      <c r="N85" s="141">
        <f>+SUM(J85:M85)</f>
        <v>362259</v>
      </c>
      <c r="P85" s="2">
        <f>+IFERROR(J85/D85,"")</f>
        <v>0.10549408432982403</v>
      </c>
      <c r="Q85" s="2">
        <f>+IFERROR(K85/E85,"")</f>
        <v>9.1965433607177696E-2</v>
      </c>
      <c r="R85" s="2">
        <f>+IFERROR(L85/F85,"")</f>
        <v>0.10348329584796948</v>
      </c>
      <c r="S85" s="2">
        <f>+IFERROR(M85/G85,"")</f>
        <v>0.12868897691855299</v>
      </c>
      <c r="T85" s="2" t="str">
        <f>+IFERROR(#REF!/#REF!,"")</f>
        <v/>
      </c>
      <c r="U85" s="2" t="str">
        <f>+IFERROR(#REF!/#REF!,"")</f>
        <v/>
      </c>
      <c r="V85" s="2" t="str">
        <f>+IFERROR(#REF!/#REF!,"")</f>
        <v/>
      </c>
      <c r="W85" s="2" t="str">
        <f>+IFERROR(#REF!/#REF!,"")</f>
        <v/>
      </c>
      <c r="X85" s="2" t="str">
        <f>+IFERROR(#REF!/#REF!,"")</f>
        <v/>
      </c>
      <c r="Y85" s="2" t="str">
        <f>+IFERROR(#REF!/#REF!,"")</f>
        <v/>
      </c>
      <c r="Z85" s="2" t="str">
        <f>+IFERROR(#REF!/#REF!,"")</f>
        <v/>
      </c>
      <c r="AA85" s="2" t="str">
        <f>+IFERROR(#REF!/#REF!,"")</f>
        <v/>
      </c>
      <c r="AB85" s="2">
        <f>+IFERROR(N85/H85,"")</f>
        <v>0.10689950162019912</v>
      </c>
      <c r="AD85" s="143">
        <f t="shared" si="6"/>
        <v>-1.3528650722646335E-2</v>
      </c>
      <c r="AE85" s="143">
        <f t="shared" si="7"/>
        <v>1.1517862240791779E-2</v>
      </c>
      <c r="AF85" s="143">
        <f t="shared" si="9"/>
        <v>2.5205681070583519E-2</v>
      </c>
      <c r="AG85" s="143" t="str">
        <f t="shared" si="9"/>
        <v/>
      </c>
      <c r="AH85" s="143" t="str">
        <f t="shared" si="9"/>
        <v/>
      </c>
      <c r="AI85" s="143" t="str">
        <f t="shared" si="8"/>
        <v/>
      </c>
      <c r="AJ85" s="143" t="str">
        <f t="shared" si="8"/>
        <v/>
      </c>
      <c r="AK85" s="143" t="str">
        <f t="shared" si="8"/>
        <v/>
      </c>
      <c r="AL85" s="143" t="str">
        <f t="shared" si="8"/>
        <v/>
      </c>
      <c r="AM85" s="143" t="str">
        <f t="shared" si="8"/>
        <v/>
      </c>
      <c r="AN85" s="143" t="str">
        <f t="shared" si="8"/>
        <v/>
      </c>
      <c r="AP85" s="9">
        <f t="shared" si="10"/>
        <v>2.0870465840251972E-4</v>
      </c>
      <c r="AQ85" s="9">
        <f t="shared" si="11"/>
        <v>0.94141193368269449</v>
      </c>
    </row>
    <row r="86" spans="2:43" x14ac:dyDescent="0.35">
      <c r="B86" s="3" t="s">
        <v>166</v>
      </c>
      <c r="D86" s="141">
        <v>3811622</v>
      </c>
      <c r="E86" s="141">
        <v>2451553</v>
      </c>
      <c r="F86" s="141">
        <v>2425727</v>
      </c>
      <c r="G86" s="141">
        <v>2239670</v>
      </c>
      <c r="H86" s="141">
        <f>+SUM(D86:G86)</f>
        <v>10928572</v>
      </c>
      <c r="J86" s="141">
        <v>453579</v>
      </c>
      <c r="K86" s="141">
        <v>294949</v>
      </c>
      <c r="L86" s="141">
        <v>282527</v>
      </c>
      <c r="M86" s="141">
        <v>257076</v>
      </c>
      <c r="N86" s="141">
        <f>+SUM(J86:M86)</f>
        <v>1288131</v>
      </c>
      <c r="P86" s="2">
        <f>+IFERROR(J86/D86,"")</f>
        <v>0.11899894585559638</v>
      </c>
      <c r="Q86" s="2">
        <f>+IFERROR(K86/E86,"")</f>
        <v>0.12031108444320804</v>
      </c>
      <c r="R86" s="2">
        <f>+IFERROR(L86/F86,"")</f>
        <v>0.11647106207747203</v>
      </c>
      <c r="S86" s="2">
        <f>+IFERROR(M86/G86,"")</f>
        <v>0.11478298142137011</v>
      </c>
      <c r="T86" s="2" t="str">
        <f>+IFERROR(#REF!/#REF!,"")</f>
        <v/>
      </c>
      <c r="U86" s="2" t="str">
        <f>+IFERROR(#REF!/#REF!,"")</f>
        <v/>
      </c>
      <c r="V86" s="2" t="str">
        <f>+IFERROR(#REF!/#REF!,"")</f>
        <v/>
      </c>
      <c r="W86" s="2" t="str">
        <f>+IFERROR(#REF!/#REF!,"")</f>
        <v/>
      </c>
      <c r="X86" s="2" t="str">
        <f>+IFERROR(#REF!/#REF!,"")</f>
        <v/>
      </c>
      <c r="Y86" s="2" t="str">
        <f>+IFERROR(#REF!/#REF!,"")</f>
        <v/>
      </c>
      <c r="Z86" s="2" t="str">
        <f>+IFERROR(#REF!/#REF!,"")</f>
        <v/>
      </c>
      <c r="AA86" s="2" t="str">
        <f>+IFERROR(#REF!/#REF!,"")</f>
        <v/>
      </c>
      <c r="AB86" s="2">
        <f>+IFERROR(N86/H86,"")</f>
        <v>0.11786818991538876</v>
      </c>
      <c r="AD86" s="143">
        <f t="shared" si="6"/>
        <v>1.3121385876116581E-3</v>
      </c>
      <c r="AE86" s="143">
        <f t="shared" si="7"/>
        <v>-3.8400223657360094E-3</v>
      </c>
      <c r="AF86" s="143">
        <f t="shared" si="9"/>
        <v>-1.6880806561019174E-3</v>
      </c>
      <c r="AG86" s="143" t="str">
        <f t="shared" si="9"/>
        <v/>
      </c>
      <c r="AH86" s="143" t="str">
        <f t="shared" si="9"/>
        <v/>
      </c>
      <c r="AI86" s="143" t="str">
        <f t="shared" si="8"/>
        <v/>
      </c>
      <c r="AJ86" s="143" t="str">
        <f t="shared" si="8"/>
        <v/>
      </c>
      <c r="AK86" s="143" t="str">
        <f t="shared" si="8"/>
        <v/>
      </c>
      <c r="AL86" s="143" t="str">
        <f t="shared" si="8"/>
        <v/>
      </c>
      <c r="AM86" s="143" t="str">
        <f t="shared" si="8"/>
        <v/>
      </c>
      <c r="AN86" s="143" t="str">
        <f t="shared" si="8"/>
        <v/>
      </c>
      <c r="AP86" s="9">
        <f t="shared" si="10"/>
        <v>7.4211804353431141E-4</v>
      </c>
      <c r="AQ86" s="9">
        <f t="shared" si="11"/>
        <v>0.94215405172622879</v>
      </c>
    </row>
    <row r="87" spans="2:43" x14ac:dyDescent="0.35">
      <c r="B87" s="3" t="s">
        <v>203</v>
      </c>
      <c r="D87" s="141">
        <v>36880724</v>
      </c>
      <c r="E87" s="141">
        <v>33524150</v>
      </c>
      <c r="F87" s="141">
        <v>35210224</v>
      </c>
      <c r="G87" s="141">
        <v>29938447</v>
      </c>
      <c r="H87" s="141">
        <f>+SUM(D87:G87)</f>
        <v>135553545</v>
      </c>
      <c r="J87" s="141">
        <v>2691624</v>
      </c>
      <c r="K87" s="141">
        <v>2423381</v>
      </c>
      <c r="L87" s="141">
        <v>2445222</v>
      </c>
      <c r="M87" s="141">
        <v>2062969</v>
      </c>
      <c r="N87" s="141">
        <f>+SUM(J87:M87)</f>
        <v>9623196</v>
      </c>
      <c r="P87" s="2">
        <f>+IFERROR(J87/D87,"")</f>
        <v>7.2981864455806233E-2</v>
      </c>
      <c r="Q87" s="2">
        <f>+IFERROR(K87/E87,"")</f>
        <v>7.2287619522046043E-2</v>
      </c>
      <c r="R87" s="2">
        <f>+IFERROR(L87/F87,"")</f>
        <v>6.9446363079087484E-2</v>
      </c>
      <c r="S87" s="2">
        <f>+IFERROR(M87/G87,"")</f>
        <v>6.8907014448678652E-2</v>
      </c>
      <c r="T87" s="2" t="str">
        <f>+IFERROR(#REF!/#REF!,"")</f>
        <v/>
      </c>
      <c r="U87" s="2" t="str">
        <f>+IFERROR(#REF!/#REF!,"")</f>
        <v/>
      </c>
      <c r="V87" s="2" t="str">
        <f>+IFERROR(#REF!/#REF!,"")</f>
        <v/>
      </c>
      <c r="W87" s="2" t="str">
        <f>+IFERROR(#REF!/#REF!,"")</f>
        <v/>
      </c>
      <c r="X87" s="2" t="str">
        <f>+IFERROR(#REF!/#REF!,"")</f>
        <v/>
      </c>
      <c r="Y87" s="2" t="str">
        <f>+IFERROR(#REF!/#REF!,"")</f>
        <v/>
      </c>
      <c r="Z87" s="2" t="str">
        <f>+IFERROR(#REF!/#REF!,"")</f>
        <v/>
      </c>
      <c r="AA87" s="2" t="str">
        <f>+IFERROR(#REF!/#REF!,"")</f>
        <v/>
      </c>
      <c r="AB87" s="2">
        <f>+IFERROR(N87/H87,"")</f>
        <v>7.0991843112623867E-2</v>
      </c>
      <c r="AD87" s="143">
        <f t="shared" si="6"/>
        <v>-6.9424493376019081E-4</v>
      </c>
      <c r="AE87" s="143">
        <f t="shared" si="7"/>
        <v>-2.8412564429585591E-3</v>
      </c>
      <c r="AF87" s="143">
        <f t="shared" si="9"/>
        <v>-5.393486304088313E-4</v>
      </c>
      <c r="AG87" s="143" t="str">
        <f t="shared" si="9"/>
        <v/>
      </c>
      <c r="AH87" s="143" t="str">
        <f t="shared" si="9"/>
        <v/>
      </c>
      <c r="AI87" s="143" t="str">
        <f t="shared" si="9"/>
        <v/>
      </c>
      <c r="AJ87" s="143" t="str">
        <f t="shared" si="9"/>
        <v/>
      </c>
      <c r="AK87" s="143" t="str">
        <f t="shared" si="9"/>
        <v/>
      </c>
      <c r="AL87" s="143" t="str">
        <f t="shared" si="9"/>
        <v/>
      </c>
      <c r="AM87" s="143" t="str">
        <f t="shared" si="9"/>
        <v/>
      </c>
      <c r="AN87" s="143" t="str">
        <f t="shared" si="9"/>
        <v/>
      </c>
      <c r="AP87" s="9">
        <f t="shared" si="10"/>
        <v>5.5441157677807709E-3</v>
      </c>
      <c r="AQ87" s="9">
        <f t="shared" si="11"/>
        <v>0.94769816749400959</v>
      </c>
    </row>
    <row r="88" spans="2:43" x14ac:dyDescent="0.35">
      <c r="B88" s="3" t="s">
        <v>164</v>
      </c>
      <c r="D88" s="141">
        <v>1147838</v>
      </c>
      <c r="E88" s="141">
        <v>1012059</v>
      </c>
      <c r="F88" s="141">
        <v>988538</v>
      </c>
      <c r="G88" s="141">
        <v>832782</v>
      </c>
      <c r="H88" s="141">
        <f>+SUM(D88:G88)</f>
        <v>3981217</v>
      </c>
      <c r="J88" s="141">
        <v>107962</v>
      </c>
      <c r="K88" s="141">
        <v>101851</v>
      </c>
      <c r="L88" s="141">
        <v>93437</v>
      </c>
      <c r="M88" s="141">
        <v>83114</v>
      </c>
      <c r="N88" s="141">
        <f>+SUM(J88:M88)</f>
        <v>386364</v>
      </c>
      <c r="P88" s="2">
        <f>+IFERROR(J88/D88,"")</f>
        <v>9.405682683444877E-2</v>
      </c>
      <c r="Q88" s="2">
        <f>+IFERROR(K88/E88,"")</f>
        <v>0.10063741343143039</v>
      </c>
      <c r="R88" s="2">
        <f>+IFERROR(L88/F88,"")</f>
        <v>9.4520392741604273E-2</v>
      </c>
      <c r="S88" s="2">
        <f>+IFERROR(M88/G88,"")</f>
        <v>9.9802829552031624E-2</v>
      </c>
      <c r="T88" s="2" t="str">
        <f>+IFERROR(#REF!/#REF!,"")</f>
        <v/>
      </c>
      <c r="U88" s="2" t="str">
        <f>+IFERROR(#REF!/#REF!,"")</f>
        <v/>
      </c>
      <c r="V88" s="2" t="str">
        <f>+IFERROR(#REF!/#REF!,"")</f>
        <v/>
      </c>
      <c r="W88" s="2" t="str">
        <f>+IFERROR(#REF!/#REF!,"")</f>
        <v/>
      </c>
      <c r="X88" s="2" t="str">
        <f>+IFERROR(#REF!/#REF!,"")</f>
        <v/>
      </c>
      <c r="Y88" s="2" t="str">
        <f>+IFERROR(#REF!/#REF!,"")</f>
        <v/>
      </c>
      <c r="Z88" s="2" t="str">
        <f>+IFERROR(#REF!/#REF!,"")</f>
        <v/>
      </c>
      <c r="AA88" s="2" t="str">
        <f>+IFERROR(#REF!/#REF!,"")</f>
        <v/>
      </c>
      <c r="AB88" s="2">
        <f>+IFERROR(N88/H88,"")</f>
        <v>9.7046707074746233E-2</v>
      </c>
      <c r="AD88" s="143">
        <f t="shared" si="6"/>
        <v>6.5805865969816163E-3</v>
      </c>
      <c r="AE88" s="143">
        <f t="shared" si="7"/>
        <v>-6.1170206898261137E-3</v>
      </c>
      <c r="AF88" s="143">
        <f t="shared" ref="AF88:AN116" si="12">+IFERROR(S88-R88,"")</f>
        <v>5.2824368104273517E-3</v>
      </c>
      <c r="AG88" s="143" t="str">
        <f t="shared" si="12"/>
        <v/>
      </c>
      <c r="AH88" s="143" t="str">
        <f t="shared" si="12"/>
        <v/>
      </c>
      <c r="AI88" s="143" t="str">
        <f t="shared" si="12"/>
        <v/>
      </c>
      <c r="AJ88" s="143" t="str">
        <f t="shared" si="12"/>
        <v/>
      </c>
      <c r="AK88" s="143" t="str">
        <f t="shared" si="12"/>
        <v/>
      </c>
      <c r="AL88" s="143" t="str">
        <f t="shared" si="12"/>
        <v/>
      </c>
      <c r="AM88" s="143" t="str">
        <f t="shared" si="12"/>
        <v/>
      </c>
      <c r="AN88" s="143" t="str">
        <f t="shared" si="12"/>
        <v/>
      </c>
      <c r="AP88" s="9">
        <f t="shared" si="10"/>
        <v>2.225920312236028E-4</v>
      </c>
      <c r="AQ88" s="9">
        <f t="shared" si="11"/>
        <v>0.94792075952523325</v>
      </c>
    </row>
    <row r="89" spans="2:43" x14ac:dyDescent="0.35">
      <c r="B89" s="3" t="s">
        <v>179</v>
      </c>
      <c r="D89" s="141">
        <v>916077</v>
      </c>
      <c r="E89" s="141">
        <v>875433</v>
      </c>
      <c r="F89" s="141">
        <v>920901</v>
      </c>
      <c r="G89" s="141">
        <v>892460</v>
      </c>
      <c r="H89" s="141">
        <f>+SUM(D89:G89)</f>
        <v>3604871</v>
      </c>
      <c r="J89" s="141">
        <v>102262</v>
      </c>
      <c r="K89" s="141">
        <v>101945</v>
      </c>
      <c r="L89" s="141">
        <v>105234</v>
      </c>
      <c r="M89" s="141">
        <v>95642</v>
      </c>
      <c r="N89" s="141">
        <f>+SUM(J89:M89)</f>
        <v>405083</v>
      </c>
      <c r="P89" s="2">
        <f>+IFERROR(J89/D89,"")</f>
        <v>0.11163035421694902</v>
      </c>
      <c r="Q89" s="2">
        <f>+IFERROR(K89/E89,"")</f>
        <v>0.11645094484672157</v>
      </c>
      <c r="R89" s="2">
        <f>+IFERROR(L89/F89,"")</f>
        <v>0.11427286972215255</v>
      </c>
      <c r="S89" s="2">
        <f>+IFERROR(M89/G89,"")</f>
        <v>0.10716670775160791</v>
      </c>
      <c r="T89" s="2" t="str">
        <f>+IFERROR(#REF!/#REF!,"")</f>
        <v/>
      </c>
      <c r="U89" s="2" t="str">
        <f>+IFERROR(#REF!/#REF!,"")</f>
        <v/>
      </c>
      <c r="V89" s="2" t="str">
        <f>+IFERROR(#REF!/#REF!,"")</f>
        <v/>
      </c>
      <c r="W89" s="2" t="str">
        <f>+IFERROR(#REF!/#REF!,"")</f>
        <v/>
      </c>
      <c r="X89" s="2" t="str">
        <f>+IFERROR(#REF!/#REF!,"")</f>
        <v/>
      </c>
      <c r="Y89" s="2" t="str">
        <f>+IFERROR(#REF!/#REF!,"")</f>
        <v/>
      </c>
      <c r="Z89" s="2" t="str">
        <f>+IFERROR(#REF!/#REF!,"")</f>
        <v/>
      </c>
      <c r="AA89" s="2" t="str">
        <f>+IFERROR(#REF!/#REF!,"")</f>
        <v/>
      </c>
      <c r="AB89" s="2">
        <f>+IFERROR(N89/H89,"")</f>
        <v>0.11237101133438616</v>
      </c>
      <c r="AD89" s="143">
        <f t="shared" si="6"/>
        <v>4.8205906297725531E-3</v>
      </c>
      <c r="AE89" s="143">
        <f t="shared" si="7"/>
        <v>-2.1780751245690233E-3</v>
      </c>
      <c r="AF89" s="143">
        <f t="shared" si="12"/>
        <v>-7.1061619705446305E-3</v>
      </c>
      <c r="AG89" s="143" t="str">
        <f t="shared" si="12"/>
        <v/>
      </c>
      <c r="AH89" s="143" t="str">
        <f t="shared" si="12"/>
        <v/>
      </c>
      <c r="AI89" s="143" t="str">
        <f t="shared" si="12"/>
        <v/>
      </c>
      <c r="AJ89" s="143" t="str">
        <f t="shared" si="12"/>
        <v/>
      </c>
      <c r="AK89" s="143" t="str">
        <f t="shared" si="12"/>
        <v/>
      </c>
      <c r="AL89" s="143" t="str">
        <f t="shared" si="12"/>
        <v/>
      </c>
      <c r="AM89" s="143" t="str">
        <f t="shared" si="12"/>
        <v/>
      </c>
      <c r="AN89" s="143" t="str">
        <f t="shared" si="12"/>
        <v/>
      </c>
      <c r="AP89" s="9">
        <f t="shared" si="10"/>
        <v>2.3337642167528728E-4</v>
      </c>
      <c r="AQ89" s="9">
        <f t="shared" si="11"/>
        <v>0.94815413594690856</v>
      </c>
    </row>
    <row r="90" spans="2:43" x14ac:dyDescent="0.35">
      <c r="B90" s="3" t="s">
        <v>168</v>
      </c>
      <c r="D90" s="141">
        <v>923532</v>
      </c>
      <c r="E90" s="141">
        <v>874472</v>
      </c>
      <c r="F90" s="141">
        <v>870511</v>
      </c>
      <c r="G90" s="141">
        <v>805714</v>
      </c>
      <c r="H90" s="141">
        <f>+SUM(D90:G90)</f>
        <v>3474229</v>
      </c>
      <c r="J90" s="141">
        <v>122868</v>
      </c>
      <c r="K90" s="141">
        <v>106267</v>
      </c>
      <c r="L90" s="141">
        <v>100274</v>
      </c>
      <c r="M90" s="141">
        <v>98722</v>
      </c>
      <c r="N90" s="141">
        <f>+SUM(J90:M90)</f>
        <v>428131</v>
      </c>
      <c r="P90" s="2">
        <f>+IFERROR(J90/D90,"")</f>
        <v>0.1330414105845818</v>
      </c>
      <c r="Q90" s="2">
        <f>+IFERROR(K90/E90,"")</f>
        <v>0.12152132944222342</v>
      </c>
      <c r="R90" s="2">
        <f>+IFERROR(L90/F90,"")</f>
        <v>0.11518981379902149</v>
      </c>
      <c r="S90" s="2">
        <f>+IFERROR(M90/G90,"")</f>
        <v>0.12252734841395334</v>
      </c>
      <c r="T90" s="2" t="str">
        <f>+IFERROR(#REF!/#REF!,"")</f>
        <v/>
      </c>
      <c r="U90" s="2" t="str">
        <f>+IFERROR(#REF!/#REF!,"")</f>
        <v/>
      </c>
      <c r="V90" s="2" t="str">
        <f>+IFERROR(#REF!/#REF!,"")</f>
        <v/>
      </c>
      <c r="W90" s="2" t="str">
        <f>+IFERROR(#REF!/#REF!,"")</f>
        <v/>
      </c>
      <c r="X90" s="2" t="str">
        <f>+IFERROR(#REF!/#REF!,"")</f>
        <v/>
      </c>
      <c r="Y90" s="2" t="str">
        <f>+IFERROR(#REF!/#REF!,"")</f>
        <v/>
      </c>
      <c r="Z90" s="2" t="str">
        <f>+IFERROR(#REF!/#REF!,"")</f>
        <v/>
      </c>
      <c r="AA90" s="2" t="str">
        <f>+IFERROR(#REF!/#REF!,"")</f>
        <v/>
      </c>
      <c r="AB90" s="2">
        <f>+IFERROR(N90/H90,"")</f>
        <v>0.12323050668220201</v>
      </c>
      <c r="AD90" s="143">
        <f t="shared" si="6"/>
        <v>-1.1520081142358377E-2</v>
      </c>
      <c r="AE90" s="143">
        <f t="shared" si="7"/>
        <v>-6.3315156432019321E-3</v>
      </c>
      <c r="AF90" s="143">
        <f t="shared" si="12"/>
        <v>7.3375346149318482E-3</v>
      </c>
      <c r="AG90" s="143" t="str">
        <f t="shared" si="12"/>
        <v/>
      </c>
      <c r="AH90" s="143" t="str">
        <f t="shared" si="12"/>
        <v/>
      </c>
      <c r="AI90" s="143" t="str">
        <f t="shared" si="12"/>
        <v/>
      </c>
      <c r="AJ90" s="143" t="str">
        <f t="shared" si="12"/>
        <v/>
      </c>
      <c r="AK90" s="143" t="str">
        <f t="shared" si="12"/>
        <v/>
      </c>
      <c r="AL90" s="143" t="str">
        <f t="shared" si="12"/>
        <v/>
      </c>
      <c r="AM90" s="143" t="str">
        <f t="shared" si="12"/>
        <v/>
      </c>
      <c r="AN90" s="143" t="str">
        <f t="shared" si="12"/>
        <v/>
      </c>
      <c r="AP90" s="9">
        <f t="shared" si="10"/>
        <v>2.4665483564667589E-4</v>
      </c>
      <c r="AQ90" s="9">
        <f t="shared" si="11"/>
        <v>0.94840079078255524</v>
      </c>
    </row>
    <row r="91" spans="2:43" x14ac:dyDescent="0.35">
      <c r="B91" s="3" t="s">
        <v>170</v>
      </c>
      <c r="D91" s="141">
        <v>101053</v>
      </c>
      <c r="E91" s="141">
        <v>106052</v>
      </c>
      <c r="F91" s="141">
        <v>96713</v>
      </c>
      <c r="G91" s="141">
        <v>100257</v>
      </c>
      <c r="H91" s="141">
        <f>+SUM(D91:G91)</f>
        <v>404075</v>
      </c>
      <c r="J91" s="141">
        <v>13561</v>
      </c>
      <c r="K91" s="141">
        <v>15087</v>
      </c>
      <c r="L91" s="141">
        <v>14849</v>
      </c>
      <c r="M91" s="141">
        <v>16755</v>
      </c>
      <c r="N91" s="141">
        <f>+SUM(J91:M91)</f>
        <v>60252</v>
      </c>
      <c r="P91" s="2">
        <f>+IFERROR(J91/D91,"")</f>
        <v>0.13419690657377811</v>
      </c>
      <c r="Q91" s="2">
        <f>+IFERROR(K91/E91,"")</f>
        <v>0.14226040055821673</v>
      </c>
      <c r="R91" s="2">
        <f>+IFERROR(L91/F91,"")</f>
        <v>0.15353675307352682</v>
      </c>
      <c r="S91" s="2">
        <f>+IFERROR(M91/G91,"")</f>
        <v>0.16712050031419254</v>
      </c>
      <c r="T91" s="2" t="str">
        <f>+IFERROR(#REF!/#REF!,"")</f>
        <v/>
      </c>
      <c r="U91" s="2" t="str">
        <f>+IFERROR(#REF!/#REF!,"")</f>
        <v/>
      </c>
      <c r="V91" s="2" t="str">
        <f>+IFERROR(#REF!/#REF!,"")</f>
        <v/>
      </c>
      <c r="W91" s="2" t="str">
        <f>+IFERROR(#REF!/#REF!,"")</f>
        <v/>
      </c>
      <c r="X91" s="2" t="str">
        <f>+IFERROR(#REF!/#REF!,"")</f>
        <v/>
      </c>
      <c r="Y91" s="2" t="str">
        <f>+IFERROR(#REF!/#REF!,"")</f>
        <v/>
      </c>
      <c r="Z91" s="2" t="str">
        <f>+IFERROR(#REF!/#REF!,"")</f>
        <v/>
      </c>
      <c r="AA91" s="2" t="str">
        <f>+IFERROR(#REF!/#REF!,"")</f>
        <v/>
      </c>
      <c r="AB91" s="2">
        <f>+IFERROR(N91/H91,"")</f>
        <v>0.14911093237641526</v>
      </c>
      <c r="AD91" s="143">
        <f t="shared" si="6"/>
        <v>8.0634939844386189E-3</v>
      </c>
      <c r="AE91" s="143">
        <f t="shared" si="7"/>
        <v>1.127635251531009E-2</v>
      </c>
      <c r="AF91" s="143">
        <f t="shared" si="12"/>
        <v>1.3583747240665717E-2</v>
      </c>
      <c r="AG91" s="143" t="str">
        <f t="shared" si="12"/>
        <v/>
      </c>
      <c r="AH91" s="143" t="str">
        <f t="shared" si="12"/>
        <v/>
      </c>
      <c r="AI91" s="143" t="str">
        <f t="shared" si="12"/>
        <v/>
      </c>
      <c r="AJ91" s="143" t="str">
        <f t="shared" si="12"/>
        <v/>
      </c>
      <c r="AK91" s="143" t="str">
        <f t="shared" si="12"/>
        <v/>
      </c>
      <c r="AL91" s="143" t="str">
        <f t="shared" si="12"/>
        <v/>
      </c>
      <c r="AM91" s="143" t="str">
        <f t="shared" si="12"/>
        <v/>
      </c>
      <c r="AN91" s="143" t="str">
        <f t="shared" si="12"/>
        <v/>
      </c>
      <c r="AP91" s="9">
        <f t="shared" si="10"/>
        <v>3.4712382792611413E-5</v>
      </c>
      <c r="AQ91" s="9">
        <f t="shared" si="11"/>
        <v>0.94843550316534786</v>
      </c>
    </row>
    <row r="92" spans="2:43" x14ac:dyDescent="0.35">
      <c r="B92" s="3" t="s">
        <v>171</v>
      </c>
      <c r="D92" s="141">
        <v>944630</v>
      </c>
      <c r="E92" s="141">
        <v>840438</v>
      </c>
      <c r="F92" s="141">
        <v>666301</v>
      </c>
      <c r="G92" s="141">
        <v>716603</v>
      </c>
      <c r="H92" s="141">
        <f>+SUM(D92:G92)</f>
        <v>3167972</v>
      </c>
      <c r="J92" s="141">
        <v>128242</v>
      </c>
      <c r="K92" s="141">
        <v>98455</v>
      </c>
      <c r="L92" s="141">
        <v>72873</v>
      </c>
      <c r="M92" s="141">
        <v>96874</v>
      </c>
      <c r="N92" s="141">
        <f>+SUM(J92:M92)</f>
        <v>396444</v>
      </c>
      <c r="P92" s="2">
        <f>+IFERROR(J92/D92,"")</f>
        <v>0.13575897441326235</v>
      </c>
      <c r="Q92" s="2">
        <f>+IFERROR(K92/E92,"")</f>
        <v>0.11714724941042647</v>
      </c>
      <c r="R92" s="2">
        <f>+IFERROR(L92/F92,"")</f>
        <v>0.10936948916480689</v>
      </c>
      <c r="S92" s="2">
        <f>+IFERROR(M92/G92,"")</f>
        <v>0.13518503271685997</v>
      </c>
      <c r="T92" s="2" t="str">
        <f>+IFERROR(#REF!/#REF!,"")</f>
        <v/>
      </c>
      <c r="U92" s="2" t="str">
        <f>+IFERROR(#REF!/#REF!,"")</f>
        <v/>
      </c>
      <c r="V92" s="2" t="str">
        <f>+IFERROR(#REF!/#REF!,"")</f>
        <v/>
      </c>
      <c r="W92" s="2" t="str">
        <f>+IFERROR(#REF!/#REF!,"")</f>
        <v/>
      </c>
      <c r="X92" s="2" t="str">
        <f>+IFERROR(#REF!/#REF!,"")</f>
        <v/>
      </c>
      <c r="Y92" s="2" t="str">
        <f>+IFERROR(#REF!/#REF!,"")</f>
        <v/>
      </c>
      <c r="Z92" s="2" t="str">
        <f>+IFERROR(#REF!/#REF!,"")</f>
        <v/>
      </c>
      <c r="AA92" s="2" t="str">
        <f>+IFERROR(#REF!/#REF!,"")</f>
        <v/>
      </c>
      <c r="AB92" s="2">
        <f>+IFERROR(N92/H92,"")</f>
        <v>0.12514125756161987</v>
      </c>
      <c r="AD92" s="143">
        <f t="shared" si="6"/>
        <v>-1.861172500283588E-2</v>
      </c>
      <c r="AE92" s="143">
        <f t="shared" si="7"/>
        <v>-7.7777602456195749E-3</v>
      </c>
      <c r="AF92" s="143">
        <f t="shared" si="12"/>
        <v>2.581554355205308E-2</v>
      </c>
      <c r="AG92" s="143" t="str">
        <f t="shared" si="12"/>
        <v/>
      </c>
      <c r="AH92" s="143" t="str">
        <f t="shared" si="12"/>
        <v/>
      </c>
      <c r="AI92" s="143" t="str">
        <f t="shared" si="12"/>
        <v/>
      </c>
      <c r="AJ92" s="143" t="str">
        <f t="shared" si="12"/>
        <v/>
      </c>
      <c r="AK92" s="143" t="str">
        <f t="shared" si="12"/>
        <v/>
      </c>
      <c r="AL92" s="143" t="str">
        <f t="shared" si="12"/>
        <v/>
      </c>
      <c r="AM92" s="143" t="str">
        <f t="shared" si="12"/>
        <v/>
      </c>
      <c r="AN92" s="143" t="str">
        <f t="shared" si="12"/>
        <v/>
      </c>
      <c r="AP92" s="9">
        <f t="shared" si="10"/>
        <v>2.2839932091605323E-4</v>
      </c>
      <c r="AQ92" s="9">
        <f t="shared" si="11"/>
        <v>0.94866390248626387</v>
      </c>
    </row>
    <row r="93" spans="2:43" x14ac:dyDescent="0.35">
      <c r="B93" s="3" t="s">
        <v>182</v>
      </c>
      <c r="D93" s="141">
        <v>1054541</v>
      </c>
      <c r="E93" s="141">
        <v>1042680</v>
      </c>
      <c r="F93" s="141">
        <v>860752</v>
      </c>
      <c r="G93" s="141">
        <v>864115</v>
      </c>
      <c r="H93" s="141">
        <f>+SUM(D93:G93)</f>
        <v>3822088</v>
      </c>
      <c r="J93" s="141">
        <v>91292</v>
      </c>
      <c r="K93" s="141">
        <v>154453</v>
      </c>
      <c r="L93" s="141">
        <v>115969</v>
      </c>
      <c r="M93" s="141">
        <v>97739</v>
      </c>
      <c r="N93" s="141">
        <f>+SUM(J93:M93)</f>
        <v>459453</v>
      </c>
      <c r="P93" s="2">
        <f>+IFERROR(J93/D93,"")</f>
        <v>8.6570365685165393E-2</v>
      </c>
      <c r="Q93" s="2">
        <f>+IFERROR(K93/E93,"")</f>
        <v>0.1481307783787931</v>
      </c>
      <c r="R93" s="2">
        <f>+IFERROR(L93/F93,"")</f>
        <v>0.13472986411881704</v>
      </c>
      <c r="S93" s="2">
        <f>+IFERROR(M93/G93,"")</f>
        <v>0.11310878760350185</v>
      </c>
      <c r="T93" s="2" t="str">
        <f>+IFERROR(#REF!/#REF!,"")</f>
        <v/>
      </c>
      <c r="U93" s="2" t="str">
        <f>+IFERROR(#REF!/#REF!,"")</f>
        <v/>
      </c>
      <c r="V93" s="2" t="str">
        <f>+IFERROR(#REF!/#REF!,"")</f>
        <v/>
      </c>
      <c r="W93" s="2" t="str">
        <f>+IFERROR(#REF!/#REF!,"")</f>
        <v/>
      </c>
      <c r="X93" s="2" t="str">
        <f>+IFERROR(#REF!/#REF!,"")</f>
        <v/>
      </c>
      <c r="Y93" s="2" t="str">
        <f>+IFERROR(#REF!/#REF!,"")</f>
        <v/>
      </c>
      <c r="Z93" s="2" t="str">
        <f>+IFERROR(#REF!/#REF!,"")</f>
        <v/>
      </c>
      <c r="AA93" s="2" t="str">
        <f>+IFERROR(#REF!/#REF!,"")</f>
        <v/>
      </c>
      <c r="AB93" s="2">
        <f>+IFERROR(N93/H93,"")</f>
        <v>0.12020994807026944</v>
      </c>
      <c r="AD93" s="143">
        <f t="shared" si="6"/>
        <v>6.1560412693627706E-2</v>
      </c>
      <c r="AE93" s="143">
        <f t="shared" si="7"/>
        <v>-1.3400914259976054E-2</v>
      </c>
      <c r="AF93" s="143">
        <f t="shared" si="12"/>
        <v>-2.1621076515315196E-2</v>
      </c>
      <c r="AG93" s="143" t="str">
        <f t="shared" si="12"/>
        <v/>
      </c>
      <c r="AH93" s="143" t="str">
        <f t="shared" si="12"/>
        <v/>
      </c>
      <c r="AI93" s="143" t="str">
        <f t="shared" si="12"/>
        <v/>
      </c>
      <c r="AJ93" s="143" t="str">
        <f t="shared" si="12"/>
        <v/>
      </c>
      <c r="AK93" s="143" t="str">
        <f t="shared" si="12"/>
        <v/>
      </c>
      <c r="AL93" s="143" t="str">
        <f t="shared" si="12"/>
        <v/>
      </c>
      <c r="AM93" s="143" t="str">
        <f t="shared" si="12"/>
        <v/>
      </c>
      <c r="AN93" s="143" t="str">
        <f t="shared" si="12"/>
        <v/>
      </c>
      <c r="AP93" s="9">
        <f t="shared" si="10"/>
        <v>2.6470006657395092E-4</v>
      </c>
      <c r="AQ93" s="9">
        <f t="shared" si="11"/>
        <v>0.94892860255283784</v>
      </c>
    </row>
    <row r="94" spans="2:43" x14ac:dyDescent="0.35">
      <c r="B94" s="3" t="s">
        <v>195</v>
      </c>
      <c r="D94" s="141">
        <v>2100231</v>
      </c>
      <c r="E94" s="141">
        <v>1435649</v>
      </c>
      <c r="F94" s="141">
        <v>973546</v>
      </c>
      <c r="G94" s="141">
        <v>1250806</v>
      </c>
      <c r="H94" s="141">
        <f>+SUM(D94:G94)</f>
        <v>5760232</v>
      </c>
      <c r="J94" s="141">
        <v>230953</v>
      </c>
      <c r="K94" s="141">
        <v>134680</v>
      </c>
      <c r="L94" s="141">
        <v>99873</v>
      </c>
      <c r="M94" s="141">
        <v>117367</v>
      </c>
      <c r="N94" s="141">
        <f>+SUM(J94:M94)</f>
        <v>582873</v>
      </c>
      <c r="P94" s="2">
        <f>+IFERROR(J94/D94,"")</f>
        <v>0.10996552284010663</v>
      </c>
      <c r="Q94" s="2">
        <f>+IFERROR(K94/E94,"")</f>
        <v>9.3811231018166699E-2</v>
      </c>
      <c r="R94" s="2">
        <f>+IFERROR(L94/F94,"")</f>
        <v>0.10258683205518794</v>
      </c>
      <c r="S94" s="2">
        <f>+IFERROR(M94/G94,"")</f>
        <v>9.3833096419428746E-2</v>
      </c>
      <c r="T94" s="2" t="str">
        <f>+IFERROR(#REF!/#REF!,"")</f>
        <v/>
      </c>
      <c r="U94" s="2" t="str">
        <f>+IFERROR(#REF!/#REF!,"")</f>
        <v/>
      </c>
      <c r="V94" s="2" t="str">
        <f>+IFERROR(#REF!/#REF!,"")</f>
        <v/>
      </c>
      <c r="W94" s="2" t="str">
        <f>+IFERROR(#REF!/#REF!,"")</f>
        <v/>
      </c>
      <c r="X94" s="2" t="str">
        <f>+IFERROR(#REF!/#REF!,"")</f>
        <v/>
      </c>
      <c r="Y94" s="2" t="str">
        <f>+IFERROR(#REF!/#REF!,"")</f>
        <v/>
      </c>
      <c r="Z94" s="2" t="str">
        <f>+IFERROR(#REF!/#REF!,"")</f>
        <v/>
      </c>
      <c r="AA94" s="2" t="str">
        <f>+IFERROR(#REF!/#REF!,"")</f>
        <v/>
      </c>
      <c r="AB94" s="2">
        <f>+IFERROR(N94/H94,"")</f>
        <v>0.10118915349242878</v>
      </c>
      <c r="AD94" s="143">
        <f t="shared" si="6"/>
        <v>-1.6154291821939934E-2</v>
      </c>
      <c r="AE94" s="143">
        <f t="shared" si="7"/>
        <v>8.7756010370212412E-3</v>
      </c>
      <c r="AF94" s="143">
        <f t="shared" si="12"/>
        <v>-8.7537356357591939E-3</v>
      </c>
      <c r="AG94" s="143" t="str">
        <f t="shared" si="12"/>
        <v/>
      </c>
      <c r="AH94" s="143" t="str">
        <f t="shared" si="12"/>
        <v/>
      </c>
      <c r="AI94" s="143" t="str">
        <f t="shared" si="12"/>
        <v/>
      </c>
      <c r="AJ94" s="143" t="str">
        <f t="shared" si="12"/>
        <v/>
      </c>
      <c r="AK94" s="143" t="str">
        <f t="shared" si="12"/>
        <v/>
      </c>
      <c r="AL94" s="143" t="str">
        <f t="shared" si="12"/>
        <v/>
      </c>
      <c r="AM94" s="143" t="str">
        <f t="shared" si="12"/>
        <v/>
      </c>
      <c r="AN94" s="143" t="str">
        <f t="shared" si="12"/>
        <v/>
      </c>
      <c r="AP94" s="9">
        <f t="shared" si="10"/>
        <v>3.3580479810591836E-4</v>
      </c>
      <c r="AQ94" s="9">
        <f t="shared" si="11"/>
        <v>0.94926440735094375</v>
      </c>
    </row>
    <row r="95" spans="2:43" x14ac:dyDescent="0.35">
      <c r="B95" s="3" t="s">
        <v>190</v>
      </c>
      <c r="D95" s="141">
        <v>1440046</v>
      </c>
      <c r="E95" s="141">
        <v>1086687</v>
      </c>
      <c r="F95" s="141">
        <v>1162453</v>
      </c>
      <c r="G95" s="141">
        <v>1250949</v>
      </c>
      <c r="H95" s="141">
        <f>+SUM(D95:G95)</f>
        <v>4940135</v>
      </c>
      <c r="J95" s="141">
        <v>180494</v>
      </c>
      <c r="K95" s="141">
        <v>127945</v>
      </c>
      <c r="L95" s="141">
        <v>137795</v>
      </c>
      <c r="M95" s="141">
        <v>133393</v>
      </c>
      <c r="N95" s="141">
        <f>+SUM(J95:M95)</f>
        <v>579627</v>
      </c>
      <c r="P95" s="2">
        <f>+IFERROR(J95/D95,"")</f>
        <v>0.1253390516691828</v>
      </c>
      <c r="Q95" s="2">
        <f>+IFERROR(K95/E95,"")</f>
        <v>0.11773859446188277</v>
      </c>
      <c r="R95" s="2">
        <f>+IFERROR(L95/F95,"")</f>
        <v>0.11853812584250718</v>
      </c>
      <c r="S95" s="2">
        <f>+IFERROR(M95/G95,"")</f>
        <v>0.10663344388939917</v>
      </c>
      <c r="T95" s="2" t="str">
        <f>+IFERROR(#REF!/#REF!,"")</f>
        <v/>
      </c>
      <c r="U95" s="2" t="str">
        <f>+IFERROR(#REF!/#REF!,"")</f>
        <v/>
      </c>
      <c r="V95" s="2" t="str">
        <f>+IFERROR(#REF!/#REF!,"")</f>
        <v/>
      </c>
      <c r="W95" s="2" t="str">
        <f>+IFERROR(#REF!/#REF!,"")</f>
        <v/>
      </c>
      <c r="X95" s="2" t="str">
        <f>+IFERROR(#REF!/#REF!,"")</f>
        <v/>
      </c>
      <c r="Y95" s="2" t="str">
        <f>+IFERROR(#REF!/#REF!,"")</f>
        <v/>
      </c>
      <c r="Z95" s="2" t="str">
        <f>+IFERROR(#REF!/#REF!,"")</f>
        <v/>
      </c>
      <c r="AA95" s="2" t="str">
        <f>+IFERROR(#REF!/#REF!,"")</f>
        <v/>
      </c>
      <c r="AB95" s="2">
        <f>+IFERROR(N95/H95,"")</f>
        <v>0.11733019441776389</v>
      </c>
      <c r="AD95" s="143">
        <f t="shared" si="6"/>
        <v>-7.6004572073000293E-3</v>
      </c>
      <c r="AE95" s="143">
        <f t="shared" si="7"/>
        <v>7.9953138062441309E-4</v>
      </c>
      <c r="AF95" s="143">
        <f t="shared" si="12"/>
        <v>-1.1904681953108009E-2</v>
      </c>
      <c r="AG95" s="143" t="str">
        <f t="shared" si="12"/>
        <v/>
      </c>
      <c r="AH95" s="143" t="str">
        <f t="shared" si="12"/>
        <v/>
      </c>
      <c r="AI95" s="143" t="str">
        <f t="shared" si="12"/>
        <v/>
      </c>
      <c r="AJ95" s="143" t="str">
        <f t="shared" si="12"/>
        <v/>
      </c>
      <c r="AK95" s="143" t="str">
        <f t="shared" si="12"/>
        <v/>
      </c>
      <c r="AL95" s="143" t="str">
        <f t="shared" si="12"/>
        <v/>
      </c>
      <c r="AM95" s="143" t="str">
        <f t="shared" si="12"/>
        <v/>
      </c>
      <c r="AN95" s="143" t="str">
        <f t="shared" si="12"/>
        <v/>
      </c>
      <c r="AP95" s="9">
        <f t="shared" si="10"/>
        <v>3.3393471255614715E-4</v>
      </c>
      <c r="AQ95" s="9">
        <f t="shared" si="11"/>
        <v>0.94959834206349991</v>
      </c>
    </row>
    <row r="96" spans="2:43" x14ac:dyDescent="0.35">
      <c r="B96" s="3" t="s">
        <v>155</v>
      </c>
      <c r="D96" s="141">
        <v>654628</v>
      </c>
      <c r="E96" s="141">
        <v>580085</v>
      </c>
      <c r="F96" s="141">
        <v>638331</v>
      </c>
      <c r="G96" s="141">
        <v>585704</v>
      </c>
      <c r="H96" s="141">
        <f>+SUM(D96:G96)</f>
        <v>2458748</v>
      </c>
      <c r="J96" s="141">
        <v>81292</v>
      </c>
      <c r="K96" s="141">
        <v>53458</v>
      </c>
      <c r="L96" s="141">
        <v>67176</v>
      </c>
      <c r="M96" s="141">
        <v>61090</v>
      </c>
      <c r="N96" s="141">
        <f>+SUM(J96:M96)</f>
        <v>263016</v>
      </c>
      <c r="P96" s="2">
        <f>+IFERROR(J96/D96,"")</f>
        <v>0.12418045057651063</v>
      </c>
      <c r="Q96" s="2">
        <f>+IFERROR(K96/E96,"")</f>
        <v>9.2155459975693216E-2</v>
      </c>
      <c r="R96" s="2">
        <f>+IFERROR(L96/F96,"")</f>
        <v>0.10523693820290726</v>
      </c>
      <c r="S96" s="2">
        <f>+IFERROR(M96/G96,"")</f>
        <v>0.10430183164192151</v>
      </c>
      <c r="T96" s="2" t="str">
        <f>+IFERROR(#REF!/#REF!,"")</f>
        <v/>
      </c>
      <c r="U96" s="2" t="str">
        <f>+IFERROR(#REF!/#REF!,"")</f>
        <v/>
      </c>
      <c r="V96" s="2" t="str">
        <f>+IFERROR(#REF!/#REF!,"")</f>
        <v/>
      </c>
      <c r="W96" s="2" t="str">
        <f>+IFERROR(#REF!/#REF!,"")</f>
        <v/>
      </c>
      <c r="X96" s="2" t="str">
        <f>+IFERROR(#REF!/#REF!,"")</f>
        <v/>
      </c>
      <c r="Y96" s="2" t="str">
        <f>+IFERROR(#REF!/#REF!,"")</f>
        <v/>
      </c>
      <c r="Z96" s="2" t="str">
        <f>+IFERROR(#REF!/#REF!,"")</f>
        <v/>
      </c>
      <c r="AA96" s="2" t="str">
        <f>+IFERROR(#REF!/#REF!,"")</f>
        <v/>
      </c>
      <c r="AB96" s="2">
        <f>+IFERROR(N96/H96,"")</f>
        <v>0.10697151558435432</v>
      </c>
      <c r="AD96" s="143">
        <f t="shared" si="6"/>
        <v>-3.2024990600817413E-2</v>
      </c>
      <c r="AE96" s="143">
        <f t="shared" si="7"/>
        <v>1.3081478227214047E-2</v>
      </c>
      <c r="AF96" s="143">
        <f t="shared" si="12"/>
        <v>-9.3510656098574896E-4</v>
      </c>
      <c r="AG96" s="143" t="str">
        <f t="shared" si="12"/>
        <v/>
      </c>
      <c r="AH96" s="143" t="str">
        <f t="shared" si="12"/>
        <v/>
      </c>
      <c r="AI96" s="143" t="str">
        <f t="shared" si="12"/>
        <v/>
      </c>
      <c r="AJ96" s="143" t="str">
        <f t="shared" si="12"/>
        <v/>
      </c>
      <c r="AK96" s="143" t="str">
        <f t="shared" si="12"/>
        <v/>
      </c>
      <c r="AL96" s="143" t="str">
        <f t="shared" si="12"/>
        <v/>
      </c>
      <c r="AM96" s="143" t="str">
        <f t="shared" si="12"/>
        <v/>
      </c>
      <c r="AN96" s="143" t="str">
        <f t="shared" si="12"/>
        <v/>
      </c>
      <c r="AP96" s="9">
        <f t="shared" si="10"/>
        <v>1.5152878033229575E-4</v>
      </c>
      <c r="AQ96" s="9">
        <f t="shared" si="11"/>
        <v>0.94974987084383222</v>
      </c>
    </row>
    <row r="97" spans="2:43" x14ac:dyDescent="0.35">
      <c r="B97" s="3" t="s">
        <v>173</v>
      </c>
      <c r="D97" s="141">
        <v>870786</v>
      </c>
      <c r="E97" s="141">
        <v>887763</v>
      </c>
      <c r="F97" s="141">
        <v>1101312</v>
      </c>
      <c r="G97" s="141">
        <v>1101668</v>
      </c>
      <c r="H97" s="141">
        <f>+SUM(D97:G97)</f>
        <v>3961529</v>
      </c>
      <c r="J97" s="141">
        <v>124245</v>
      </c>
      <c r="K97" s="141">
        <v>111842</v>
      </c>
      <c r="L97" s="141">
        <v>140597</v>
      </c>
      <c r="M97" s="141">
        <v>128437</v>
      </c>
      <c r="N97" s="141">
        <f>+SUM(J97:M97)</f>
        <v>505121</v>
      </c>
      <c r="P97" s="2">
        <f>+IFERROR(J97/D97,"")</f>
        <v>0.14268143952704798</v>
      </c>
      <c r="Q97" s="2">
        <f>+IFERROR(K97/E97,"")</f>
        <v>0.12598182172494235</v>
      </c>
      <c r="R97" s="2">
        <f>+IFERROR(L97/F97,"")</f>
        <v>0.12766318718038122</v>
      </c>
      <c r="S97" s="2">
        <f>+IFERROR(M97/G97,"")</f>
        <v>0.11658412516293475</v>
      </c>
      <c r="T97" s="2" t="str">
        <f>+IFERROR(#REF!/#REF!,"")</f>
        <v/>
      </c>
      <c r="U97" s="2" t="str">
        <f>+IFERROR(#REF!/#REF!,"")</f>
        <v/>
      </c>
      <c r="V97" s="2" t="str">
        <f>+IFERROR(#REF!/#REF!,"")</f>
        <v/>
      </c>
      <c r="W97" s="2" t="str">
        <f>+IFERROR(#REF!/#REF!,"")</f>
        <v/>
      </c>
      <c r="X97" s="2" t="str">
        <f>+IFERROR(#REF!/#REF!,"")</f>
        <v/>
      </c>
      <c r="Y97" s="2" t="str">
        <f>+IFERROR(#REF!/#REF!,"")</f>
        <v/>
      </c>
      <c r="Z97" s="2" t="str">
        <f>+IFERROR(#REF!/#REF!,"")</f>
        <v/>
      </c>
      <c r="AA97" s="2" t="str">
        <f>+IFERROR(#REF!/#REF!,"")</f>
        <v/>
      </c>
      <c r="AB97" s="2">
        <f>+IFERROR(N97/H97,"")</f>
        <v>0.12750657637492999</v>
      </c>
      <c r="AD97" s="143">
        <f t="shared" si="6"/>
        <v>-1.6699617802105632E-2</v>
      </c>
      <c r="AE97" s="143">
        <f t="shared" si="7"/>
        <v>1.6813654554388713E-3</v>
      </c>
      <c r="AF97" s="143">
        <f t="shared" si="12"/>
        <v>-1.1079062017446475E-2</v>
      </c>
      <c r="AG97" s="143" t="str">
        <f t="shared" si="12"/>
        <v/>
      </c>
      <c r="AH97" s="143" t="str">
        <f t="shared" si="12"/>
        <v/>
      </c>
      <c r="AI97" s="143" t="str">
        <f t="shared" si="12"/>
        <v/>
      </c>
      <c r="AJ97" s="143" t="str">
        <f t="shared" si="12"/>
        <v/>
      </c>
      <c r="AK97" s="143" t="str">
        <f t="shared" si="12"/>
        <v/>
      </c>
      <c r="AL97" s="143" t="str">
        <f t="shared" si="12"/>
        <v/>
      </c>
      <c r="AM97" s="143" t="str">
        <f t="shared" si="12"/>
        <v/>
      </c>
      <c r="AN97" s="143" t="str">
        <f t="shared" si="12"/>
        <v/>
      </c>
      <c r="AP97" s="9">
        <f t="shared" si="10"/>
        <v>2.9101031515280275E-4</v>
      </c>
      <c r="AQ97" s="9">
        <f t="shared" si="11"/>
        <v>0.950040881158985</v>
      </c>
    </row>
    <row r="98" spans="2:43" x14ac:dyDescent="0.35">
      <c r="B98" s="3" t="s">
        <v>204</v>
      </c>
      <c r="D98" s="141">
        <v>9489365</v>
      </c>
      <c r="E98" s="141">
        <v>7143600</v>
      </c>
      <c r="F98" s="141">
        <v>7993654</v>
      </c>
      <c r="G98" s="141">
        <v>14448343</v>
      </c>
      <c r="H98" s="141">
        <f>+SUM(D98:G98)</f>
        <v>39074962</v>
      </c>
      <c r="J98" s="141">
        <v>1919493</v>
      </c>
      <c r="K98" s="141">
        <v>1415468</v>
      </c>
      <c r="L98" s="141">
        <v>1526968</v>
      </c>
      <c r="M98" s="141">
        <v>2746850</v>
      </c>
      <c r="N98" s="141">
        <f>+SUM(J98:M98)</f>
        <v>7608779</v>
      </c>
      <c r="P98" s="2">
        <f>+IFERROR(J98/D98,"")</f>
        <v>0.20227834001537512</v>
      </c>
      <c r="Q98" s="2">
        <f>+IFERROR(K98/E98,"")</f>
        <v>0.19814491292905537</v>
      </c>
      <c r="R98" s="2">
        <f>+IFERROR(L98/F98,"")</f>
        <v>0.19102252862082847</v>
      </c>
      <c r="S98" s="2">
        <f>+IFERROR(M98/G98,"")</f>
        <v>0.19011522636194336</v>
      </c>
      <c r="T98" s="2" t="str">
        <f>+IFERROR(#REF!/#REF!,"")</f>
        <v/>
      </c>
      <c r="U98" s="2" t="str">
        <f>+IFERROR(#REF!/#REF!,"")</f>
        <v/>
      </c>
      <c r="V98" s="2" t="str">
        <f>+IFERROR(#REF!/#REF!,"")</f>
        <v/>
      </c>
      <c r="W98" s="2" t="str">
        <f>+IFERROR(#REF!/#REF!,"")</f>
        <v/>
      </c>
      <c r="X98" s="2" t="str">
        <f>+IFERROR(#REF!/#REF!,"")</f>
        <v/>
      </c>
      <c r="Y98" s="2" t="str">
        <f>+IFERROR(#REF!/#REF!,"")</f>
        <v/>
      </c>
      <c r="Z98" s="2" t="str">
        <f>+IFERROR(#REF!/#REF!,"")</f>
        <v/>
      </c>
      <c r="AA98" s="2" t="str">
        <f>+IFERROR(#REF!/#REF!,"")</f>
        <v/>
      </c>
      <c r="AB98" s="2">
        <f>+IFERROR(N98/H98,"")</f>
        <v>0.19472262058757728</v>
      </c>
      <c r="AD98" s="143">
        <f t="shared" si="6"/>
        <v>-4.133427086319752E-3</v>
      </c>
      <c r="AE98" s="143">
        <f t="shared" si="7"/>
        <v>-7.1223843082268978E-3</v>
      </c>
      <c r="AF98" s="143">
        <f t="shared" si="12"/>
        <v>-9.0730225888510652E-4</v>
      </c>
      <c r="AG98" s="143" t="str">
        <f t="shared" si="12"/>
        <v/>
      </c>
      <c r="AH98" s="143" t="str">
        <f t="shared" si="12"/>
        <v/>
      </c>
      <c r="AI98" s="143" t="str">
        <f t="shared" si="12"/>
        <v/>
      </c>
      <c r="AJ98" s="143" t="str">
        <f t="shared" si="12"/>
        <v/>
      </c>
      <c r="AK98" s="143" t="str">
        <f t="shared" si="12"/>
        <v/>
      </c>
      <c r="AL98" s="143" t="str">
        <f t="shared" si="12"/>
        <v/>
      </c>
      <c r="AM98" s="143" t="str">
        <f t="shared" si="12"/>
        <v/>
      </c>
      <c r="AN98" s="143" t="str">
        <f t="shared" si="12"/>
        <v/>
      </c>
      <c r="AP98" s="9">
        <f t="shared" si="10"/>
        <v>4.3835698272652046E-3</v>
      </c>
      <c r="AQ98" s="9">
        <f t="shared" si="11"/>
        <v>0.95442445098625017</v>
      </c>
    </row>
    <row r="99" spans="2:43" x14ac:dyDescent="0.35">
      <c r="B99" s="3" t="s">
        <v>181</v>
      </c>
      <c r="D99" s="141">
        <v>4674230</v>
      </c>
      <c r="E99" s="141">
        <v>3563872</v>
      </c>
      <c r="F99" s="141">
        <v>5253573</v>
      </c>
      <c r="G99" s="141">
        <v>2248535</v>
      </c>
      <c r="H99" s="141">
        <f>+SUM(D99:G99)</f>
        <v>15740210</v>
      </c>
      <c r="J99" s="141">
        <v>579754</v>
      </c>
      <c r="K99" s="141">
        <v>516934</v>
      </c>
      <c r="L99" s="141">
        <v>670102</v>
      </c>
      <c r="M99" s="141">
        <v>297871</v>
      </c>
      <c r="N99" s="141">
        <f>+SUM(J99:M99)</f>
        <v>2064661</v>
      </c>
      <c r="P99" s="2">
        <f>+IFERROR(J99/D99,"")</f>
        <v>0.12403197959877883</v>
      </c>
      <c r="Q99" s="2">
        <f>+IFERROR(K99/E99,"")</f>
        <v>0.14504841924738038</v>
      </c>
      <c r="R99" s="2">
        <f>+IFERROR(L99/F99,"")</f>
        <v>0.12755166816945343</v>
      </c>
      <c r="S99" s="2">
        <f>+IFERROR(M99/G99,"")</f>
        <v>0.13247336599163456</v>
      </c>
      <c r="T99" s="2" t="str">
        <f>+IFERROR(#REF!/#REF!,"")</f>
        <v/>
      </c>
      <c r="U99" s="2" t="str">
        <f>+IFERROR(#REF!/#REF!,"")</f>
        <v/>
      </c>
      <c r="V99" s="2" t="str">
        <f>+IFERROR(#REF!/#REF!,"")</f>
        <v/>
      </c>
      <c r="W99" s="2" t="str">
        <f>+IFERROR(#REF!/#REF!,"")</f>
        <v/>
      </c>
      <c r="X99" s="2" t="str">
        <f>+IFERROR(#REF!/#REF!,"")</f>
        <v/>
      </c>
      <c r="Y99" s="2" t="str">
        <f>+IFERROR(#REF!/#REF!,"")</f>
        <v/>
      </c>
      <c r="Z99" s="2" t="str">
        <f>+IFERROR(#REF!/#REF!,"")</f>
        <v/>
      </c>
      <c r="AA99" s="2" t="str">
        <f>+IFERROR(#REF!/#REF!,"")</f>
        <v/>
      </c>
      <c r="AB99" s="2">
        <f>+IFERROR(N99/H99,"")</f>
        <v>0.13117112160511199</v>
      </c>
      <c r="AD99" s="143">
        <f t="shared" si="6"/>
        <v>2.1016439648601545E-2</v>
      </c>
      <c r="AE99" s="143">
        <f t="shared" si="7"/>
        <v>-1.7496751077926948E-2</v>
      </c>
      <c r="AF99" s="143">
        <f t="shared" si="12"/>
        <v>4.9216978221811314E-3</v>
      </c>
      <c r="AG99" s="143" t="str">
        <f t="shared" si="12"/>
        <v/>
      </c>
      <c r="AH99" s="143" t="str">
        <f t="shared" si="12"/>
        <v/>
      </c>
      <c r="AI99" s="143" t="str">
        <f t="shared" si="12"/>
        <v/>
      </c>
      <c r="AJ99" s="143" t="str">
        <f t="shared" si="12"/>
        <v/>
      </c>
      <c r="AK99" s="143" t="str">
        <f t="shared" si="12"/>
        <v/>
      </c>
      <c r="AL99" s="143" t="str">
        <f t="shared" si="12"/>
        <v/>
      </c>
      <c r="AM99" s="143" t="str">
        <f t="shared" si="12"/>
        <v/>
      </c>
      <c r="AN99" s="143" t="str">
        <f t="shared" si="12"/>
        <v/>
      </c>
      <c r="AP99" s="9">
        <f t="shared" si="10"/>
        <v>1.1894925142563878E-3</v>
      </c>
      <c r="AQ99" s="9">
        <f t="shared" si="11"/>
        <v>0.95561394350050655</v>
      </c>
    </row>
    <row r="100" spans="2:43" x14ac:dyDescent="0.35">
      <c r="B100" s="3" t="s">
        <v>175</v>
      </c>
      <c r="D100" s="141">
        <v>955783</v>
      </c>
      <c r="E100" s="141">
        <v>1057565</v>
      </c>
      <c r="F100" s="141">
        <v>1391379</v>
      </c>
      <c r="G100" s="141">
        <v>1948165</v>
      </c>
      <c r="H100" s="141">
        <f>+SUM(D100:G100)</f>
        <v>5352892</v>
      </c>
      <c r="J100" s="141">
        <v>81136</v>
      </c>
      <c r="K100" s="141">
        <v>90401</v>
      </c>
      <c r="L100" s="141">
        <v>101731</v>
      </c>
      <c r="M100" s="141">
        <v>87227</v>
      </c>
      <c r="N100" s="141">
        <f>+SUM(J100:M100)</f>
        <v>360495</v>
      </c>
      <c r="P100" s="2">
        <f>+IFERROR(J100/D100,"")</f>
        <v>8.4889561751987641E-2</v>
      </c>
      <c r="Q100" s="2">
        <f>+IFERROR(K100/E100,"")</f>
        <v>8.5480325086401313E-2</v>
      </c>
      <c r="R100" s="2">
        <f>+IFERROR(L100/F100,"")</f>
        <v>7.3115233160770718E-2</v>
      </c>
      <c r="S100" s="2">
        <f>+IFERROR(M100/G100,"")</f>
        <v>4.4773928286361779E-2</v>
      </c>
      <c r="T100" s="2" t="str">
        <f>+IFERROR(#REF!/#REF!,"")</f>
        <v/>
      </c>
      <c r="U100" s="2" t="str">
        <f>+IFERROR(#REF!/#REF!,"")</f>
        <v/>
      </c>
      <c r="V100" s="2" t="str">
        <f>+IFERROR(#REF!/#REF!,"")</f>
        <v/>
      </c>
      <c r="W100" s="2" t="str">
        <f>+IFERROR(#REF!/#REF!,"")</f>
        <v/>
      </c>
      <c r="X100" s="2" t="str">
        <f>+IFERROR(#REF!/#REF!,"")</f>
        <v/>
      </c>
      <c r="Y100" s="2" t="str">
        <f>+IFERROR(#REF!/#REF!,"")</f>
        <v/>
      </c>
      <c r="Z100" s="2" t="str">
        <f>+IFERROR(#REF!/#REF!,"")</f>
        <v/>
      </c>
      <c r="AA100" s="2" t="str">
        <f>+IFERROR(#REF!/#REF!,"")</f>
        <v/>
      </c>
      <c r="AB100" s="2">
        <f>+IFERROR(N100/H100,"")</f>
        <v>6.7345838473856751E-2</v>
      </c>
      <c r="AD100" s="143">
        <f t="shared" si="6"/>
        <v>5.9076333441367146E-4</v>
      </c>
      <c r="AE100" s="143">
        <f t="shared" si="7"/>
        <v>-1.2365091925630595E-2</v>
      </c>
      <c r="AF100" s="143">
        <f t="shared" si="12"/>
        <v>-2.8341304874408939E-2</v>
      </c>
      <c r="AG100" s="143" t="str">
        <f t="shared" si="12"/>
        <v/>
      </c>
      <c r="AH100" s="143" t="str">
        <f t="shared" si="12"/>
        <v/>
      </c>
      <c r="AI100" s="143" t="str">
        <f t="shared" si="12"/>
        <v/>
      </c>
      <c r="AJ100" s="143" t="str">
        <f t="shared" si="12"/>
        <v/>
      </c>
      <c r="AK100" s="143" t="str">
        <f t="shared" si="12"/>
        <v/>
      </c>
      <c r="AL100" s="143" t="str">
        <f t="shared" si="12"/>
        <v/>
      </c>
      <c r="AM100" s="143" t="str">
        <f t="shared" si="12"/>
        <v/>
      </c>
      <c r="AN100" s="143" t="str">
        <f t="shared" si="12"/>
        <v/>
      </c>
      <c r="AP100" s="9">
        <f t="shared" si="10"/>
        <v>2.0768838270634091E-4</v>
      </c>
      <c r="AQ100" s="9">
        <f t="shared" si="11"/>
        <v>0.9558216318832129</v>
      </c>
    </row>
    <row r="101" spans="2:43" x14ac:dyDescent="0.35">
      <c r="B101" s="3" t="s">
        <v>157</v>
      </c>
      <c r="D101" s="141">
        <v>430769</v>
      </c>
      <c r="E101" s="141">
        <v>496043</v>
      </c>
      <c r="F101" s="141">
        <v>496957</v>
      </c>
      <c r="G101" s="141">
        <v>462398</v>
      </c>
      <c r="H101" s="141">
        <f>+SUM(D101:G101)</f>
        <v>1886167</v>
      </c>
      <c r="J101" s="141">
        <v>40474</v>
      </c>
      <c r="K101" s="141">
        <v>36011</v>
      </c>
      <c r="L101" s="141">
        <v>32507</v>
      </c>
      <c r="M101" s="141">
        <v>36112</v>
      </c>
      <c r="N101" s="141">
        <f>+SUM(J101:M101)</f>
        <v>145104</v>
      </c>
      <c r="P101" s="2">
        <f>+IFERROR(J101/D101,"")</f>
        <v>9.3957550334401965E-2</v>
      </c>
      <c r="Q101" s="2">
        <f>+IFERROR(K101/E101,"")</f>
        <v>7.2596528929951637E-2</v>
      </c>
      <c r="R101" s="2">
        <f>+IFERROR(L101/F101,"")</f>
        <v>6.5412098028602067E-2</v>
      </c>
      <c r="S101" s="2">
        <f>+IFERROR(M101/G101,"")</f>
        <v>7.809722360390832E-2</v>
      </c>
      <c r="T101" s="2" t="str">
        <f>+IFERROR(#REF!/#REF!,"")</f>
        <v/>
      </c>
      <c r="U101" s="2" t="str">
        <f>+IFERROR(#REF!/#REF!,"")</f>
        <v/>
      </c>
      <c r="V101" s="2" t="str">
        <f>+IFERROR(#REF!/#REF!,"")</f>
        <v/>
      </c>
      <c r="W101" s="2" t="str">
        <f>+IFERROR(#REF!/#REF!,"")</f>
        <v/>
      </c>
      <c r="X101" s="2" t="str">
        <f>+IFERROR(#REF!/#REF!,"")</f>
        <v/>
      </c>
      <c r="Y101" s="2" t="str">
        <f>+IFERROR(#REF!/#REF!,"")</f>
        <v/>
      </c>
      <c r="Z101" s="2" t="str">
        <f>+IFERROR(#REF!/#REF!,"")</f>
        <v/>
      </c>
      <c r="AA101" s="2" t="str">
        <f>+IFERROR(#REF!/#REF!,"")</f>
        <v/>
      </c>
      <c r="AB101" s="2">
        <f>+IFERROR(N101/H101,"")</f>
        <v>7.6930621731797877E-2</v>
      </c>
      <c r="AD101" s="143">
        <f t="shared" si="6"/>
        <v>-2.1361021404450328E-2</v>
      </c>
      <c r="AE101" s="143">
        <f t="shared" si="7"/>
        <v>-7.18443090134957E-3</v>
      </c>
      <c r="AF101" s="143">
        <f t="shared" si="12"/>
        <v>1.2685125575306253E-2</v>
      </c>
      <c r="AG101" s="143" t="str">
        <f t="shared" si="12"/>
        <v/>
      </c>
      <c r="AH101" s="143" t="str">
        <f t="shared" si="12"/>
        <v/>
      </c>
      <c r="AI101" s="143" t="str">
        <f t="shared" si="12"/>
        <v/>
      </c>
      <c r="AJ101" s="143" t="str">
        <f t="shared" si="12"/>
        <v/>
      </c>
      <c r="AK101" s="143" t="str">
        <f t="shared" si="12"/>
        <v/>
      </c>
      <c r="AL101" s="143" t="str">
        <f t="shared" si="12"/>
        <v/>
      </c>
      <c r="AM101" s="143" t="str">
        <f t="shared" si="12"/>
        <v/>
      </c>
      <c r="AN101" s="143" t="str">
        <f t="shared" si="12"/>
        <v/>
      </c>
      <c r="AP101" s="9">
        <f t="shared" si="10"/>
        <v>8.3597317810845897E-5</v>
      </c>
      <c r="AQ101" s="9">
        <f t="shared" si="11"/>
        <v>0.95590522920102372</v>
      </c>
    </row>
    <row r="102" spans="2:43" x14ac:dyDescent="0.35">
      <c r="B102" s="3" t="s">
        <v>223</v>
      </c>
      <c r="D102" s="141">
        <v>426550</v>
      </c>
      <c r="E102" s="141">
        <v>363714</v>
      </c>
      <c r="F102" s="141">
        <v>424546</v>
      </c>
      <c r="G102" s="141">
        <v>354060</v>
      </c>
      <c r="H102" s="141">
        <f>+SUM(D102:G102)</f>
        <v>1568870</v>
      </c>
      <c r="J102" s="141">
        <v>56195</v>
      </c>
      <c r="K102" s="141">
        <v>61540</v>
      </c>
      <c r="L102" s="141">
        <v>80395</v>
      </c>
      <c r="M102" s="141">
        <v>50338</v>
      </c>
      <c r="N102" s="141">
        <f>+SUM(J102:M102)</f>
        <v>248468</v>
      </c>
      <c r="P102" s="2">
        <f>+IFERROR(J102/D102,"")</f>
        <v>0.13174305474153089</v>
      </c>
      <c r="Q102" s="2">
        <f>+IFERROR(K102/E102,"")</f>
        <v>0.16919887603996547</v>
      </c>
      <c r="R102" s="2">
        <f>+IFERROR(L102/F102,"")</f>
        <v>0.18936699438930057</v>
      </c>
      <c r="S102" s="2">
        <f>+IFERROR(M102/G102,"")</f>
        <v>0.14217364288538667</v>
      </c>
      <c r="T102" s="2" t="str">
        <f>+IFERROR(#REF!/#REF!,"")</f>
        <v/>
      </c>
      <c r="U102" s="2" t="str">
        <f>+IFERROR(#REF!/#REF!,"")</f>
        <v/>
      </c>
      <c r="V102" s="2" t="str">
        <f>+IFERROR(#REF!/#REF!,"")</f>
        <v/>
      </c>
      <c r="W102" s="2" t="str">
        <f>+IFERROR(#REF!/#REF!,"")</f>
        <v/>
      </c>
      <c r="X102" s="2" t="str">
        <f>+IFERROR(#REF!/#REF!,"")</f>
        <v/>
      </c>
      <c r="Y102" s="2" t="str">
        <f>+IFERROR(#REF!/#REF!,"")</f>
        <v/>
      </c>
      <c r="Z102" s="2" t="str">
        <f>+IFERROR(#REF!/#REF!,"")</f>
        <v/>
      </c>
      <c r="AA102" s="2" t="str">
        <f>+IFERROR(#REF!/#REF!,"")</f>
        <v/>
      </c>
      <c r="AB102" s="2">
        <f>+IFERROR(N102/H102,"")</f>
        <v>0.15837386144167459</v>
      </c>
      <c r="AD102" s="143">
        <f t="shared" si="6"/>
        <v>3.7455821298434583E-2</v>
      </c>
      <c r="AE102" s="143">
        <f t="shared" si="7"/>
        <v>2.0168118349335101E-2</v>
      </c>
      <c r="AF102" s="143">
        <f t="shared" si="12"/>
        <v>-4.7193351503913905E-2</v>
      </c>
      <c r="AG102" s="143" t="str">
        <f t="shared" si="12"/>
        <v/>
      </c>
      <c r="AH102" s="143" t="str">
        <f t="shared" si="12"/>
        <v/>
      </c>
      <c r="AI102" s="143" t="str">
        <f t="shared" si="12"/>
        <v/>
      </c>
      <c r="AJ102" s="143" t="str">
        <f t="shared" si="12"/>
        <v/>
      </c>
      <c r="AK102" s="143" t="str">
        <f t="shared" si="12"/>
        <v/>
      </c>
      <c r="AL102" s="143" t="str">
        <f t="shared" si="12"/>
        <v/>
      </c>
      <c r="AM102" s="143" t="str">
        <f t="shared" si="12"/>
        <v/>
      </c>
      <c r="AN102" s="143" t="str">
        <f t="shared" si="12"/>
        <v/>
      </c>
      <c r="AP102" s="9">
        <f t="shared" si="10"/>
        <v>1.431473864388663E-4</v>
      </c>
      <c r="AQ102" s="9">
        <f t="shared" si="11"/>
        <v>0.95604837658746256</v>
      </c>
    </row>
    <row r="103" spans="2:43" x14ac:dyDescent="0.35">
      <c r="B103" s="3" t="s">
        <v>192</v>
      </c>
      <c r="D103" s="141">
        <v>418533</v>
      </c>
      <c r="E103" s="141">
        <v>943454</v>
      </c>
      <c r="F103" s="141">
        <v>669008</v>
      </c>
      <c r="G103" s="141">
        <v>578977</v>
      </c>
      <c r="H103" s="141">
        <f>+SUM(D103:G103)</f>
        <v>2609972</v>
      </c>
      <c r="J103" s="141">
        <v>51616</v>
      </c>
      <c r="K103" s="141">
        <v>128617</v>
      </c>
      <c r="L103" s="141">
        <v>80971</v>
      </c>
      <c r="M103" s="141">
        <v>59496</v>
      </c>
      <c r="N103" s="141">
        <f>+SUM(J103:M103)</f>
        <v>320700</v>
      </c>
      <c r="P103" s="2">
        <f>+IFERROR(J103/D103,"")</f>
        <v>0.12332599818891223</v>
      </c>
      <c r="Q103" s="2">
        <f>+IFERROR(K103/E103,"")</f>
        <v>0.1363256714158825</v>
      </c>
      <c r="R103" s="2">
        <f>+IFERROR(L103/F103,"")</f>
        <v>0.12103143759117978</v>
      </c>
      <c r="S103" s="2">
        <f>+IFERROR(M103/G103,"")</f>
        <v>0.10276055870958604</v>
      </c>
      <c r="T103" s="2" t="str">
        <f>+IFERROR(#REF!/#REF!,"")</f>
        <v/>
      </c>
      <c r="U103" s="2" t="str">
        <f>+IFERROR(#REF!/#REF!,"")</f>
        <v/>
      </c>
      <c r="V103" s="2" t="str">
        <f>+IFERROR(#REF!/#REF!,"")</f>
        <v/>
      </c>
      <c r="W103" s="2" t="str">
        <f>+IFERROR(#REF!/#REF!,"")</f>
        <v/>
      </c>
      <c r="X103" s="2" t="str">
        <f>+IFERROR(#REF!/#REF!,"")</f>
        <v/>
      </c>
      <c r="Y103" s="2" t="str">
        <f>+IFERROR(#REF!/#REF!,"")</f>
        <v/>
      </c>
      <c r="Z103" s="2" t="str">
        <f>+IFERROR(#REF!/#REF!,"")</f>
        <v/>
      </c>
      <c r="AA103" s="2" t="str">
        <f>+IFERROR(#REF!/#REF!,"")</f>
        <v/>
      </c>
      <c r="AB103" s="2">
        <f>+IFERROR(N103/H103,"")</f>
        <v>0.12287488141635236</v>
      </c>
      <c r="AD103" s="143">
        <f t="shared" si="6"/>
        <v>1.2999673226970279E-2</v>
      </c>
      <c r="AE103" s="143">
        <f t="shared" si="7"/>
        <v>-1.5294233824702727E-2</v>
      </c>
      <c r="AF103" s="143">
        <f t="shared" si="12"/>
        <v>-1.8270878881593733E-2</v>
      </c>
      <c r="AG103" s="143" t="str">
        <f t="shared" si="12"/>
        <v/>
      </c>
      <c r="AH103" s="143" t="str">
        <f t="shared" si="12"/>
        <v/>
      </c>
      <c r="AI103" s="143" t="str">
        <f t="shared" si="12"/>
        <v/>
      </c>
      <c r="AJ103" s="143" t="str">
        <f t="shared" si="12"/>
        <v/>
      </c>
      <c r="AK103" s="143" t="str">
        <f t="shared" si="12"/>
        <v/>
      </c>
      <c r="AL103" s="143" t="str">
        <f t="shared" si="12"/>
        <v/>
      </c>
      <c r="AM103" s="143" t="str">
        <f t="shared" si="12"/>
        <v/>
      </c>
      <c r="AN103" s="143" t="str">
        <f t="shared" si="12"/>
        <v/>
      </c>
      <c r="AP103" s="9">
        <f t="shared" si="10"/>
        <v>1.8476168694135433E-4</v>
      </c>
      <c r="AQ103" s="9">
        <f t="shared" si="11"/>
        <v>0.95623313827440393</v>
      </c>
    </row>
    <row r="104" spans="2:43" x14ac:dyDescent="0.35">
      <c r="B104" s="3" t="s">
        <v>198</v>
      </c>
      <c r="D104" s="141">
        <v>1416424</v>
      </c>
      <c r="E104" s="141">
        <v>1128727</v>
      </c>
      <c r="F104" s="141">
        <v>978140</v>
      </c>
      <c r="G104" s="141">
        <v>831335</v>
      </c>
      <c r="H104" s="141">
        <f>+SUM(D104:G104)</f>
        <v>4354626</v>
      </c>
      <c r="J104" s="141">
        <v>189920</v>
      </c>
      <c r="K104" s="141">
        <v>150358</v>
      </c>
      <c r="L104" s="141">
        <v>140250</v>
      </c>
      <c r="M104" s="141">
        <v>102963</v>
      </c>
      <c r="N104" s="141">
        <f>+SUM(J104:M104)</f>
        <v>583491</v>
      </c>
      <c r="P104" s="2">
        <f>+IFERROR(J104/D104,"")</f>
        <v>0.13408414429577584</v>
      </c>
      <c r="Q104" s="2">
        <f>+IFERROR(K104/E104,"")</f>
        <v>0.13321024481561972</v>
      </c>
      <c r="R104" s="2">
        <f>+IFERROR(L104/F104,"")</f>
        <v>0.14338438260371725</v>
      </c>
      <c r="S104" s="2">
        <f>+IFERROR(M104/G104,"")</f>
        <v>0.123852598531278</v>
      </c>
      <c r="T104" s="2" t="str">
        <f>+IFERROR(#REF!/#REF!,"")</f>
        <v/>
      </c>
      <c r="U104" s="2" t="str">
        <f>+IFERROR(#REF!/#REF!,"")</f>
        <v/>
      </c>
      <c r="V104" s="2" t="str">
        <f>+IFERROR(#REF!/#REF!,"")</f>
        <v/>
      </c>
      <c r="W104" s="2" t="str">
        <f>+IFERROR(#REF!/#REF!,"")</f>
        <v/>
      </c>
      <c r="X104" s="2" t="str">
        <f>+IFERROR(#REF!/#REF!,"")</f>
        <v/>
      </c>
      <c r="Y104" s="2" t="str">
        <f>+IFERROR(#REF!/#REF!,"")</f>
        <v/>
      </c>
      <c r="Z104" s="2" t="str">
        <f>+IFERROR(#REF!/#REF!,"")</f>
        <v/>
      </c>
      <c r="AA104" s="2" t="str">
        <f>+IFERROR(#REF!/#REF!,"")</f>
        <v/>
      </c>
      <c r="AB104" s="2">
        <f>+IFERROR(N104/H104,"")</f>
        <v>0.13399336705379519</v>
      </c>
      <c r="AD104" s="143">
        <f t="shared" si="6"/>
        <v>-8.7389948015612062E-4</v>
      </c>
      <c r="AE104" s="143">
        <f t="shared" si="7"/>
        <v>1.0174137788097531E-2</v>
      </c>
      <c r="AF104" s="143">
        <f t="shared" si="12"/>
        <v>-1.9531784072439246E-2</v>
      </c>
      <c r="AG104" s="143" t="str">
        <f t="shared" si="12"/>
        <v/>
      </c>
      <c r="AH104" s="143" t="str">
        <f t="shared" si="12"/>
        <v/>
      </c>
      <c r="AI104" s="143" t="str">
        <f t="shared" si="12"/>
        <v/>
      </c>
      <c r="AJ104" s="143" t="str">
        <f t="shared" si="12"/>
        <v/>
      </c>
      <c r="AK104" s="143" t="str">
        <f t="shared" si="12"/>
        <v/>
      </c>
      <c r="AL104" s="143" t="str">
        <f t="shared" si="12"/>
        <v/>
      </c>
      <c r="AM104" s="143" t="str">
        <f t="shared" si="12"/>
        <v/>
      </c>
      <c r="AN104" s="143" t="str">
        <f t="shared" si="12"/>
        <v/>
      </c>
      <c r="AP104" s="9">
        <f t="shared" si="10"/>
        <v>3.3616084027158648E-4</v>
      </c>
      <c r="AQ104" s="9">
        <f t="shared" si="11"/>
        <v>0.95656929911467548</v>
      </c>
    </row>
    <row r="105" spans="2:43" x14ac:dyDescent="0.35">
      <c r="B105" s="3" t="s">
        <v>180</v>
      </c>
      <c r="D105" s="141">
        <v>25630188</v>
      </c>
      <c r="E105" s="141">
        <v>23300279</v>
      </c>
      <c r="F105" s="141">
        <v>24744228</v>
      </c>
      <c r="G105" s="141">
        <v>22118344</v>
      </c>
      <c r="H105" s="141">
        <f>+SUM(D105:G105)</f>
        <v>95793039</v>
      </c>
      <c r="J105" s="141">
        <v>2464679</v>
      </c>
      <c r="K105" s="141">
        <v>2312130</v>
      </c>
      <c r="L105" s="141">
        <v>2414720</v>
      </c>
      <c r="M105" s="141">
        <v>2138679</v>
      </c>
      <c r="N105" s="141">
        <f>+SUM(J105:M105)</f>
        <v>9330208</v>
      </c>
      <c r="P105" s="2">
        <f>+IFERROR(J105/D105,"")</f>
        <v>9.6163126076172362E-2</v>
      </c>
      <c r="Q105" s="2">
        <f>+IFERROR(K105/E105,"")</f>
        <v>9.9231858983319474E-2</v>
      </c>
      <c r="R105" s="2">
        <f>+IFERROR(L105/F105,"")</f>
        <v>9.7587202963050609E-2</v>
      </c>
      <c r="S105" s="2">
        <f>+IFERROR(M105/G105,"")</f>
        <v>9.6692546241255672E-2</v>
      </c>
      <c r="T105" s="2" t="str">
        <f>+IFERROR(#REF!/#REF!,"")</f>
        <v/>
      </c>
      <c r="U105" s="2" t="str">
        <f>+IFERROR(#REF!/#REF!,"")</f>
        <v/>
      </c>
      <c r="V105" s="2" t="str">
        <f>+IFERROR(#REF!/#REF!,"")</f>
        <v/>
      </c>
      <c r="W105" s="2" t="str">
        <f>+IFERROR(#REF!/#REF!,"")</f>
        <v/>
      </c>
      <c r="X105" s="2" t="str">
        <f>+IFERROR(#REF!/#REF!,"")</f>
        <v/>
      </c>
      <c r="Y105" s="2" t="str">
        <f>+IFERROR(#REF!/#REF!,"")</f>
        <v/>
      </c>
      <c r="Z105" s="2" t="str">
        <f>+IFERROR(#REF!/#REF!,"")</f>
        <v/>
      </c>
      <c r="AA105" s="2" t="str">
        <f>+IFERROR(#REF!/#REF!,"")</f>
        <v/>
      </c>
      <c r="AB105" s="2">
        <f>+IFERROR(N105/H105,"")</f>
        <v>9.7399645082770575E-2</v>
      </c>
      <c r="AD105" s="143">
        <f t="shared" si="6"/>
        <v>3.068732907147112E-3</v>
      </c>
      <c r="AE105" s="143">
        <f t="shared" si="7"/>
        <v>-1.6446560202688643E-3</v>
      </c>
      <c r="AF105" s="143">
        <f t="shared" si="12"/>
        <v>-8.9465672179493694E-4</v>
      </c>
      <c r="AG105" s="143" t="str">
        <f t="shared" si="12"/>
        <v/>
      </c>
      <c r="AH105" s="143" t="str">
        <f t="shared" si="12"/>
        <v/>
      </c>
      <c r="AI105" s="143" t="str">
        <f t="shared" si="12"/>
        <v/>
      </c>
      <c r="AJ105" s="143" t="str">
        <f t="shared" si="12"/>
        <v/>
      </c>
      <c r="AK105" s="143" t="str">
        <f t="shared" si="12"/>
        <v/>
      </c>
      <c r="AL105" s="143" t="str">
        <f t="shared" si="12"/>
        <v/>
      </c>
      <c r="AM105" s="143" t="str">
        <f t="shared" si="12"/>
        <v/>
      </c>
      <c r="AN105" s="143" t="str">
        <f t="shared" si="12"/>
        <v/>
      </c>
      <c r="AP105" s="9">
        <f t="shared" si="10"/>
        <v>5.3753195185335815E-3</v>
      </c>
      <c r="AQ105" s="9">
        <f t="shared" si="11"/>
        <v>0.96194461863320901</v>
      </c>
    </row>
    <row r="106" spans="2:43" x14ac:dyDescent="0.35">
      <c r="B106" s="3" t="s">
        <v>167</v>
      </c>
      <c r="D106" s="141">
        <v>399935</v>
      </c>
      <c r="E106" s="141">
        <v>348679</v>
      </c>
      <c r="F106" s="141">
        <v>337731</v>
      </c>
      <c r="G106" s="141">
        <v>320331</v>
      </c>
      <c r="H106" s="141">
        <f>+SUM(D106:G106)</f>
        <v>1406676</v>
      </c>
      <c r="J106" s="141">
        <v>47593</v>
      </c>
      <c r="K106" s="141">
        <v>39603</v>
      </c>
      <c r="L106" s="141">
        <v>38076</v>
      </c>
      <c r="M106" s="141">
        <v>37269</v>
      </c>
      <c r="N106" s="141">
        <f>+SUM(J106:M106)</f>
        <v>162541</v>
      </c>
      <c r="P106" s="2">
        <f>+IFERROR(J106/D106,"")</f>
        <v>0.11900183779864228</v>
      </c>
      <c r="Q106" s="2">
        <f>+IFERROR(K106/E106,"")</f>
        <v>0.11358011236696217</v>
      </c>
      <c r="R106" s="2">
        <f>+IFERROR(L106/F106,"")</f>
        <v>0.11274061309148405</v>
      </c>
      <c r="S106" s="2">
        <f>+IFERROR(M106/G106,"")</f>
        <v>0.11634528035063731</v>
      </c>
      <c r="T106" s="2" t="str">
        <f>+IFERROR(#REF!/#REF!,"")</f>
        <v/>
      </c>
      <c r="U106" s="2" t="str">
        <f>+IFERROR(#REF!/#REF!,"")</f>
        <v/>
      </c>
      <c r="V106" s="2" t="str">
        <f>+IFERROR(#REF!/#REF!,"")</f>
        <v/>
      </c>
      <c r="W106" s="2" t="str">
        <f>+IFERROR(#REF!/#REF!,"")</f>
        <v/>
      </c>
      <c r="X106" s="2" t="str">
        <f>+IFERROR(#REF!/#REF!,"")</f>
        <v/>
      </c>
      <c r="Y106" s="2" t="str">
        <f>+IFERROR(#REF!/#REF!,"")</f>
        <v/>
      </c>
      <c r="Z106" s="2" t="str">
        <f>+IFERROR(#REF!/#REF!,"")</f>
        <v/>
      </c>
      <c r="AA106" s="2" t="str">
        <f>+IFERROR(#REF!/#REF!,"")</f>
        <v/>
      </c>
      <c r="AB106" s="2">
        <f>+IFERROR(N106/H106,"")</f>
        <v>0.11554970725312723</v>
      </c>
      <c r="AD106" s="143">
        <f t="shared" si="6"/>
        <v>-5.4217254316801106E-3</v>
      </c>
      <c r="AE106" s="143">
        <f t="shared" si="7"/>
        <v>-8.3949927547811998E-4</v>
      </c>
      <c r="AF106" s="143">
        <f t="shared" si="12"/>
        <v>3.6046672591532603E-3</v>
      </c>
      <c r="AG106" s="143" t="str">
        <f t="shared" si="12"/>
        <v/>
      </c>
      <c r="AH106" s="143" t="str">
        <f t="shared" si="12"/>
        <v/>
      </c>
      <c r="AI106" s="143" t="str">
        <f t="shared" si="12"/>
        <v/>
      </c>
      <c r="AJ106" s="143" t="str">
        <f t="shared" si="12"/>
        <v/>
      </c>
      <c r="AK106" s="143" t="str">
        <f t="shared" si="12"/>
        <v/>
      </c>
      <c r="AL106" s="143" t="str">
        <f t="shared" si="12"/>
        <v/>
      </c>
      <c r="AM106" s="143" t="str">
        <f t="shared" si="12"/>
        <v/>
      </c>
      <c r="AN106" s="143" t="str">
        <f t="shared" si="12"/>
        <v/>
      </c>
      <c r="AP106" s="9">
        <f t="shared" si="10"/>
        <v>9.3643122410772285E-5</v>
      </c>
      <c r="AQ106" s="9">
        <f t="shared" si="11"/>
        <v>0.96203826175561979</v>
      </c>
    </row>
    <row r="107" spans="2:43" x14ac:dyDescent="0.35">
      <c r="B107" s="3" t="s">
        <v>187</v>
      </c>
      <c r="D107" s="141">
        <v>900933</v>
      </c>
      <c r="E107" s="141">
        <v>1016092</v>
      </c>
      <c r="F107" s="141">
        <v>782035</v>
      </c>
      <c r="G107" s="141">
        <v>732017</v>
      </c>
      <c r="H107" s="141">
        <f>+SUM(D107:G107)</f>
        <v>3431077</v>
      </c>
      <c r="J107" s="141">
        <v>114354</v>
      </c>
      <c r="K107" s="141">
        <v>128838</v>
      </c>
      <c r="L107" s="141">
        <v>119302</v>
      </c>
      <c r="M107" s="141">
        <v>105297</v>
      </c>
      <c r="N107" s="141">
        <f>+SUM(J107:M107)</f>
        <v>467791</v>
      </c>
      <c r="P107" s="2">
        <f>+IFERROR(J107/D107,"")</f>
        <v>0.12692841754048304</v>
      </c>
      <c r="Q107" s="2">
        <f>+IFERROR(K107/E107,"")</f>
        <v>0.1267975734480736</v>
      </c>
      <c r="R107" s="2">
        <f>+IFERROR(L107/F107,"")</f>
        <v>0.15255327446981273</v>
      </c>
      <c r="S107" s="2">
        <f>+IFERROR(M107/G107,"")</f>
        <v>0.14384501999270508</v>
      </c>
      <c r="T107" s="2" t="str">
        <f>+IFERROR(#REF!/#REF!,"")</f>
        <v/>
      </c>
      <c r="U107" s="2" t="str">
        <f>+IFERROR(#REF!/#REF!,"")</f>
        <v/>
      </c>
      <c r="V107" s="2" t="str">
        <f>+IFERROR(#REF!/#REF!,"")</f>
        <v/>
      </c>
      <c r="W107" s="2" t="str">
        <f>+IFERROR(#REF!/#REF!,"")</f>
        <v/>
      </c>
      <c r="X107" s="2" t="str">
        <f>+IFERROR(#REF!/#REF!,"")</f>
        <v/>
      </c>
      <c r="Y107" s="2" t="str">
        <f>+IFERROR(#REF!/#REF!,"")</f>
        <v/>
      </c>
      <c r="Z107" s="2" t="str">
        <f>+IFERROR(#REF!/#REF!,"")</f>
        <v/>
      </c>
      <c r="AA107" s="2" t="str">
        <f>+IFERROR(#REF!/#REF!,"")</f>
        <v/>
      </c>
      <c r="AB107" s="2">
        <f>+IFERROR(N107/H107,"")</f>
        <v>0.1363394059649492</v>
      </c>
      <c r="AD107" s="143">
        <f t="shared" si="6"/>
        <v>-1.3084409240943229E-4</v>
      </c>
      <c r="AE107" s="143">
        <f t="shared" si="7"/>
        <v>2.575570102173913E-2</v>
      </c>
      <c r="AF107" s="143">
        <f t="shared" si="12"/>
        <v>-8.7082544771076575E-3</v>
      </c>
      <c r="AG107" s="143" t="str">
        <f t="shared" si="12"/>
        <v/>
      </c>
      <c r="AH107" s="143" t="str">
        <f t="shared" si="12"/>
        <v/>
      </c>
      <c r="AI107" s="143" t="str">
        <f t="shared" si="12"/>
        <v/>
      </c>
      <c r="AJ107" s="143" t="str">
        <f t="shared" si="12"/>
        <v/>
      </c>
      <c r="AK107" s="143" t="str">
        <f t="shared" si="12"/>
        <v/>
      </c>
      <c r="AL107" s="143" t="str">
        <f t="shared" si="12"/>
        <v/>
      </c>
      <c r="AM107" s="143" t="str">
        <f t="shared" si="12"/>
        <v/>
      </c>
      <c r="AN107" s="143" t="str">
        <f t="shared" si="12"/>
        <v/>
      </c>
      <c r="AP107" s="9">
        <f t="shared" si="10"/>
        <v>2.6950375521042435E-4</v>
      </c>
      <c r="AQ107" s="9">
        <f t="shared" si="11"/>
        <v>0.96230776551083019</v>
      </c>
    </row>
    <row r="108" spans="2:43" x14ac:dyDescent="0.35">
      <c r="B108" s="3" t="s">
        <v>172</v>
      </c>
      <c r="D108" s="141">
        <v>258585</v>
      </c>
      <c r="E108" s="141">
        <v>227187</v>
      </c>
      <c r="F108" s="141">
        <v>239293</v>
      </c>
      <c r="G108" s="141">
        <v>191879</v>
      </c>
      <c r="H108" s="141">
        <f>+SUM(D108:G108)</f>
        <v>916944</v>
      </c>
      <c r="J108" s="141">
        <v>16488</v>
      </c>
      <c r="K108" s="141">
        <v>14560</v>
      </c>
      <c r="L108" s="141">
        <v>14098</v>
      </c>
      <c r="M108" s="141">
        <v>9749</v>
      </c>
      <c r="N108" s="141">
        <f>+SUM(J108:M108)</f>
        <v>54895</v>
      </c>
      <c r="P108" s="2">
        <f>+IFERROR(J108/D108,"")</f>
        <v>6.3762399211091128E-2</v>
      </c>
      <c r="Q108" s="2">
        <f>+IFERROR(K108/E108,"")</f>
        <v>6.4088174059255154E-2</v>
      </c>
      <c r="R108" s="2">
        <f>+IFERROR(L108/F108,"")</f>
        <v>5.8915221088790728E-2</v>
      </c>
      <c r="S108" s="2">
        <f>+IFERROR(M108/G108,"")</f>
        <v>5.0808061330317546E-2</v>
      </c>
      <c r="T108" s="2" t="str">
        <f>+IFERROR(#REF!/#REF!,"")</f>
        <v/>
      </c>
      <c r="U108" s="2" t="str">
        <f>+IFERROR(#REF!/#REF!,"")</f>
        <v/>
      </c>
      <c r="V108" s="2" t="str">
        <f>+IFERROR(#REF!/#REF!,"")</f>
        <v/>
      </c>
      <c r="W108" s="2" t="str">
        <f>+IFERROR(#REF!/#REF!,"")</f>
        <v/>
      </c>
      <c r="X108" s="2" t="str">
        <f>+IFERROR(#REF!/#REF!,"")</f>
        <v/>
      </c>
      <c r="Y108" s="2" t="str">
        <f>+IFERROR(#REF!/#REF!,"")</f>
        <v/>
      </c>
      <c r="Z108" s="2" t="str">
        <f>+IFERROR(#REF!/#REF!,"")</f>
        <v/>
      </c>
      <c r="AA108" s="2" t="str">
        <f>+IFERROR(#REF!/#REF!,"")</f>
        <v/>
      </c>
      <c r="AB108" s="2">
        <f>+IFERROR(N108/H108,"")</f>
        <v>5.9867341953270863E-2</v>
      </c>
      <c r="AD108" s="143">
        <f t="shared" si="6"/>
        <v>3.2577484816402602E-4</v>
      </c>
      <c r="AE108" s="143">
        <f t="shared" si="7"/>
        <v>-5.1729529704644256E-3</v>
      </c>
      <c r="AF108" s="143">
        <f t="shared" si="12"/>
        <v>-8.1071597584731828E-3</v>
      </c>
      <c r="AG108" s="143" t="str">
        <f t="shared" si="12"/>
        <v/>
      </c>
      <c r="AH108" s="143" t="str">
        <f t="shared" si="12"/>
        <v/>
      </c>
      <c r="AI108" s="143" t="str">
        <f t="shared" si="12"/>
        <v/>
      </c>
      <c r="AJ108" s="143" t="str">
        <f t="shared" si="12"/>
        <v/>
      </c>
      <c r="AK108" s="143" t="str">
        <f t="shared" si="12"/>
        <v/>
      </c>
      <c r="AL108" s="143" t="str">
        <f t="shared" si="12"/>
        <v/>
      </c>
      <c r="AM108" s="143" t="str">
        <f t="shared" si="12"/>
        <v/>
      </c>
      <c r="AN108" s="143" t="str">
        <f t="shared" si="12"/>
        <v/>
      </c>
      <c r="AP108" s="9">
        <f t="shared" si="10"/>
        <v>3.162610790347878E-5</v>
      </c>
      <c r="AQ108" s="9">
        <f t="shared" si="11"/>
        <v>0.96233939161873372</v>
      </c>
    </row>
    <row r="109" spans="2:43" x14ac:dyDescent="0.35">
      <c r="B109" s="3" t="s">
        <v>162</v>
      </c>
      <c r="D109" s="141">
        <v>575232</v>
      </c>
      <c r="E109" s="141">
        <v>480447</v>
      </c>
      <c r="F109" s="141">
        <v>521981</v>
      </c>
      <c r="G109" s="141">
        <v>392634</v>
      </c>
      <c r="H109" s="141">
        <f>+SUM(D109:G109)</f>
        <v>1970294</v>
      </c>
      <c r="J109" s="141">
        <v>54956</v>
      </c>
      <c r="K109" s="141">
        <v>50196</v>
      </c>
      <c r="L109" s="141">
        <v>38188</v>
      </c>
      <c r="M109" s="141">
        <v>39139</v>
      </c>
      <c r="N109" s="141">
        <f>+SUM(J109:M109)</f>
        <v>182479</v>
      </c>
      <c r="P109" s="2">
        <f>+IFERROR(J109/D109,"")</f>
        <v>9.5537105028927455E-2</v>
      </c>
      <c r="Q109" s="2">
        <f>+IFERROR(K109/E109,"")</f>
        <v>0.10447770513709108</v>
      </c>
      <c r="R109" s="2">
        <f>+IFERROR(L109/F109,"")</f>
        <v>7.3159751025420466E-2</v>
      </c>
      <c r="S109" s="2">
        <f>+IFERROR(M109/G109,"")</f>
        <v>9.9683165492545217E-2</v>
      </c>
      <c r="T109" s="2" t="str">
        <f>+IFERROR(#REF!/#REF!,"")</f>
        <v/>
      </c>
      <c r="U109" s="2" t="str">
        <f>+IFERROR(#REF!/#REF!,"")</f>
        <v/>
      </c>
      <c r="V109" s="2" t="str">
        <f>+IFERROR(#REF!/#REF!,"")</f>
        <v/>
      </c>
      <c r="W109" s="2" t="str">
        <f>+IFERROR(#REF!/#REF!,"")</f>
        <v/>
      </c>
      <c r="X109" s="2" t="str">
        <f>+IFERROR(#REF!/#REF!,"")</f>
        <v/>
      </c>
      <c r="Y109" s="2" t="str">
        <f>+IFERROR(#REF!/#REF!,"")</f>
        <v/>
      </c>
      <c r="Z109" s="2" t="str">
        <f>+IFERROR(#REF!/#REF!,"")</f>
        <v/>
      </c>
      <c r="AA109" s="2" t="str">
        <f>+IFERROR(#REF!/#REF!,"")</f>
        <v/>
      </c>
      <c r="AB109" s="2">
        <f>+IFERROR(N109/H109,"")</f>
        <v>9.2615112262433935E-2</v>
      </c>
      <c r="AD109" s="143">
        <f t="shared" ref="AD109:AD172" si="13">+IFERROR(Q109-P109,"")</f>
        <v>8.9406001081636238E-3</v>
      </c>
      <c r="AE109" s="143">
        <f t="shared" ref="AE109:AE172" si="14">+IFERROR(R109-Q109,"")</f>
        <v>-3.1317954111670612E-2</v>
      </c>
      <c r="AF109" s="143">
        <f t="shared" si="12"/>
        <v>2.6523414467124751E-2</v>
      </c>
      <c r="AG109" s="143" t="str">
        <f t="shared" si="12"/>
        <v/>
      </c>
      <c r="AH109" s="143" t="str">
        <f t="shared" si="12"/>
        <v/>
      </c>
      <c r="AI109" s="143" t="str">
        <f t="shared" si="12"/>
        <v/>
      </c>
      <c r="AJ109" s="143" t="str">
        <f t="shared" si="12"/>
        <v/>
      </c>
      <c r="AK109" s="143" t="str">
        <f t="shared" si="12"/>
        <v/>
      </c>
      <c r="AL109" s="143" t="str">
        <f t="shared" si="12"/>
        <v/>
      </c>
      <c r="AM109" s="143" t="str">
        <f t="shared" si="12"/>
        <v/>
      </c>
      <c r="AN109" s="143" t="str">
        <f t="shared" si="12"/>
        <v/>
      </c>
      <c r="AP109" s="9">
        <f t="shared" si="10"/>
        <v>1.0512980315363702E-4</v>
      </c>
      <c r="AQ109" s="9">
        <f t="shared" si="11"/>
        <v>0.96244452142188741</v>
      </c>
    </row>
    <row r="110" spans="2:43" x14ac:dyDescent="0.35">
      <c r="B110" s="3" t="s">
        <v>189</v>
      </c>
      <c r="D110" s="141">
        <v>529163</v>
      </c>
      <c r="E110" s="141">
        <v>438417</v>
      </c>
      <c r="F110" s="141">
        <v>415482</v>
      </c>
      <c r="G110" s="141">
        <v>306869</v>
      </c>
      <c r="H110" s="141">
        <f>+SUM(D110:G110)</f>
        <v>1689931</v>
      </c>
      <c r="J110" s="141">
        <v>45712</v>
      </c>
      <c r="K110" s="141">
        <v>51050</v>
      </c>
      <c r="L110" s="141">
        <v>38641</v>
      </c>
      <c r="M110" s="141">
        <v>35961</v>
      </c>
      <c r="N110" s="141">
        <f>+SUM(J110:M110)</f>
        <v>171364</v>
      </c>
      <c r="P110" s="2">
        <f>+IFERROR(J110/D110,"")</f>
        <v>8.6385480466321343E-2</v>
      </c>
      <c r="Q110" s="2">
        <f>+IFERROR(K110/E110,"")</f>
        <v>0.11644165258190262</v>
      </c>
      <c r="R110" s="2">
        <f>+IFERROR(L110/F110,"")</f>
        <v>9.3002825633842143E-2</v>
      </c>
      <c r="S110" s="2">
        <f>+IFERROR(M110/G110,"")</f>
        <v>0.11718681261385151</v>
      </c>
      <c r="T110" s="2" t="str">
        <f>+IFERROR(#REF!/#REF!,"")</f>
        <v/>
      </c>
      <c r="U110" s="2" t="str">
        <f>+IFERROR(#REF!/#REF!,"")</f>
        <v/>
      </c>
      <c r="V110" s="2" t="str">
        <f>+IFERROR(#REF!/#REF!,"")</f>
        <v/>
      </c>
      <c r="W110" s="2" t="str">
        <f>+IFERROR(#REF!/#REF!,"")</f>
        <v/>
      </c>
      <c r="X110" s="2" t="str">
        <f>+IFERROR(#REF!/#REF!,"")</f>
        <v/>
      </c>
      <c r="Y110" s="2" t="str">
        <f>+IFERROR(#REF!/#REF!,"")</f>
        <v/>
      </c>
      <c r="Z110" s="2" t="str">
        <f>+IFERROR(#REF!/#REF!,"")</f>
        <v/>
      </c>
      <c r="AA110" s="2" t="str">
        <f>+IFERROR(#REF!/#REF!,"")</f>
        <v/>
      </c>
      <c r="AB110" s="2">
        <f>+IFERROR(N110/H110,"")</f>
        <v>0.10140295668876421</v>
      </c>
      <c r="AD110" s="143">
        <f t="shared" si="13"/>
        <v>3.0056172115581273E-2</v>
      </c>
      <c r="AE110" s="143">
        <f t="shared" si="14"/>
        <v>-2.3438826948060473E-2</v>
      </c>
      <c r="AF110" s="143">
        <f t="shared" si="12"/>
        <v>2.418398698000937E-2</v>
      </c>
      <c r="AG110" s="143" t="str">
        <f t="shared" si="12"/>
        <v/>
      </c>
      <c r="AH110" s="143" t="str">
        <f t="shared" si="12"/>
        <v/>
      </c>
      <c r="AI110" s="143" t="str">
        <f t="shared" si="12"/>
        <v/>
      </c>
      <c r="AJ110" s="143" t="str">
        <f t="shared" si="12"/>
        <v/>
      </c>
      <c r="AK110" s="143" t="str">
        <f t="shared" si="12"/>
        <v/>
      </c>
      <c r="AL110" s="143" t="str">
        <f t="shared" si="12"/>
        <v/>
      </c>
      <c r="AM110" s="143" t="str">
        <f t="shared" si="12"/>
        <v/>
      </c>
      <c r="AN110" s="143" t="str">
        <f t="shared" si="12"/>
        <v/>
      </c>
      <c r="AP110" s="9">
        <f t="shared" si="10"/>
        <v>9.8726229251693925E-5</v>
      </c>
      <c r="AQ110" s="9">
        <f t="shared" si="11"/>
        <v>0.96254324765113908</v>
      </c>
    </row>
    <row r="111" spans="2:43" x14ac:dyDescent="0.35">
      <c r="B111" s="3" t="s">
        <v>185</v>
      </c>
      <c r="D111" s="141">
        <v>528193</v>
      </c>
      <c r="E111" s="141">
        <v>485467</v>
      </c>
      <c r="F111" s="141">
        <v>570952</v>
      </c>
      <c r="G111" s="141">
        <v>508993</v>
      </c>
      <c r="H111" s="141">
        <f>+SUM(D111:G111)</f>
        <v>2093605</v>
      </c>
      <c r="J111" s="141">
        <v>50417</v>
      </c>
      <c r="K111" s="141">
        <v>34669</v>
      </c>
      <c r="L111" s="141">
        <v>46430</v>
      </c>
      <c r="M111" s="141">
        <v>39565</v>
      </c>
      <c r="N111" s="141">
        <f>+SUM(J111:M111)</f>
        <v>171081</v>
      </c>
      <c r="P111" s="2">
        <f>+IFERROR(J111/D111,"")</f>
        <v>9.5451851879899963E-2</v>
      </c>
      <c r="Q111" s="2">
        <f>+IFERROR(K111/E111,"")</f>
        <v>7.1413710921648638E-2</v>
      </c>
      <c r="R111" s="2">
        <f>+IFERROR(L111/F111,"")</f>
        <v>8.1320321147837299E-2</v>
      </c>
      <c r="S111" s="2">
        <f>+IFERROR(M111/G111,"")</f>
        <v>7.7731913798421592E-2</v>
      </c>
      <c r="T111" s="2" t="str">
        <f>+IFERROR(#REF!/#REF!,"")</f>
        <v/>
      </c>
      <c r="U111" s="2" t="str">
        <f>+IFERROR(#REF!/#REF!,"")</f>
        <v/>
      </c>
      <c r="V111" s="2" t="str">
        <f>+IFERROR(#REF!/#REF!,"")</f>
        <v/>
      </c>
      <c r="W111" s="2" t="str">
        <f>+IFERROR(#REF!/#REF!,"")</f>
        <v/>
      </c>
      <c r="X111" s="2" t="str">
        <f>+IFERROR(#REF!/#REF!,"")</f>
        <v/>
      </c>
      <c r="Y111" s="2" t="str">
        <f>+IFERROR(#REF!/#REF!,"")</f>
        <v/>
      </c>
      <c r="Z111" s="2" t="str">
        <f>+IFERROR(#REF!/#REF!,"")</f>
        <v/>
      </c>
      <c r="AA111" s="2" t="str">
        <f>+IFERROR(#REF!/#REF!,"")</f>
        <v/>
      </c>
      <c r="AB111" s="2">
        <f>+IFERROR(N111/H111,"")</f>
        <v>8.1715987495253398E-2</v>
      </c>
      <c r="AD111" s="143">
        <f t="shared" si="13"/>
        <v>-2.4038140958251325E-2</v>
      </c>
      <c r="AE111" s="143">
        <f t="shared" si="14"/>
        <v>9.9066102261886613E-3</v>
      </c>
      <c r="AF111" s="143">
        <f t="shared" si="12"/>
        <v>-3.5884073494157065E-3</v>
      </c>
      <c r="AG111" s="143" t="str">
        <f t="shared" si="12"/>
        <v/>
      </c>
      <c r="AH111" s="143" t="str">
        <f t="shared" si="12"/>
        <v/>
      </c>
      <c r="AI111" s="143" t="str">
        <f t="shared" si="12"/>
        <v/>
      </c>
      <c r="AJ111" s="143" t="str">
        <f t="shared" si="12"/>
        <v/>
      </c>
      <c r="AK111" s="143" t="str">
        <f t="shared" si="12"/>
        <v/>
      </c>
      <c r="AL111" s="143" t="str">
        <f t="shared" si="12"/>
        <v/>
      </c>
      <c r="AM111" s="143" t="str">
        <f t="shared" si="12"/>
        <v/>
      </c>
      <c r="AN111" s="143" t="str">
        <f t="shared" si="12"/>
        <v/>
      </c>
      <c r="AP111" s="9">
        <f t="shared" si="10"/>
        <v>9.8563187289098345E-5</v>
      </c>
      <c r="AQ111" s="9">
        <f t="shared" si="11"/>
        <v>0.96264181083842815</v>
      </c>
    </row>
    <row r="112" spans="2:43" x14ac:dyDescent="0.35">
      <c r="B112" s="3" t="s">
        <v>206</v>
      </c>
      <c r="D112" s="141">
        <v>590548</v>
      </c>
      <c r="E112" s="141">
        <v>545238</v>
      </c>
      <c r="F112" s="141">
        <v>582009</v>
      </c>
      <c r="G112" s="141">
        <v>551496</v>
      </c>
      <c r="H112" s="141">
        <f>+SUM(D112:G112)</f>
        <v>2269291</v>
      </c>
      <c r="J112" s="141">
        <v>83793</v>
      </c>
      <c r="K112" s="141">
        <v>64199</v>
      </c>
      <c r="L112" s="141">
        <v>76918</v>
      </c>
      <c r="M112" s="141">
        <v>71899</v>
      </c>
      <c r="N112" s="141">
        <f>+SUM(J112:M112)</f>
        <v>296809</v>
      </c>
      <c r="P112" s="2">
        <f>+IFERROR(J112/D112,"")</f>
        <v>0.14189024431544939</v>
      </c>
      <c r="Q112" s="2">
        <f>+IFERROR(K112/E112,"")</f>
        <v>0.11774491139649107</v>
      </c>
      <c r="R112" s="2">
        <f>+IFERROR(L112/F112,"")</f>
        <v>0.132159468324373</v>
      </c>
      <c r="S112" s="2">
        <f>+IFERROR(M112/G112,"")</f>
        <v>0.13037084584475681</v>
      </c>
      <c r="T112" s="2" t="str">
        <f>+IFERROR(#REF!/#REF!,"")</f>
        <v/>
      </c>
      <c r="U112" s="2" t="str">
        <f>+IFERROR(#REF!/#REF!,"")</f>
        <v/>
      </c>
      <c r="V112" s="2" t="str">
        <f>+IFERROR(#REF!/#REF!,"")</f>
        <v/>
      </c>
      <c r="W112" s="2" t="str">
        <f>+IFERROR(#REF!/#REF!,"")</f>
        <v/>
      </c>
      <c r="X112" s="2" t="str">
        <f>+IFERROR(#REF!/#REF!,"")</f>
        <v/>
      </c>
      <c r="Y112" s="2" t="str">
        <f>+IFERROR(#REF!/#REF!,"")</f>
        <v/>
      </c>
      <c r="Z112" s="2" t="str">
        <f>+IFERROR(#REF!/#REF!,"")</f>
        <v/>
      </c>
      <c r="AA112" s="2" t="str">
        <f>+IFERROR(#REF!/#REF!,"")</f>
        <v/>
      </c>
      <c r="AB112" s="2">
        <f>+IFERROR(N112/H112,"")</f>
        <v>0.13079371486512748</v>
      </c>
      <c r="AD112" s="143">
        <f t="shared" si="13"/>
        <v>-2.4145332918958318E-2</v>
      </c>
      <c r="AE112" s="143">
        <f t="shared" si="14"/>
        <v>1.4414556927881933E-2</v>
      </c>
      <c r="AF112" s="143">
        <f t="shared" si="12"/>
        <v>-1.7886224796161976E-3</v>
      </c>
      <c r="AG112" s="143" t="str">
        <f t="shared" si="12"/>
        <v/>
      </c>
      <c r="AH112" s="143" t="str">
        <f t="shared" si="12"/>
        <v/>
      </c>
      <c r="AI112" s="143" t="str">
        <f t="shared" si="12"/>
        <v/>
      </c>
      <c r="AJ112" s="143" t="str">
        <f t="shared" si="12"/>
        <v/>
      </c>
      <c r="AK112" s="143" t="str">
        <f t="shared" si="12"/>
        <v/>
      </c>
      <c r="AL112" s="143" t="str">
        <f t="shared" si="12"/>
        <v/>
      </c>
      <c r="AM112" s="143" t="str">
        <f t="shared" si="12"/>
        <v/>
      </c>
      <c r="AN112" s="143" t="str">
        <f t="shared" si="12"/>
        <v/>
      </c>
      <c r="AP112" s="9">
        <f t="shared" si="10"/>
        <v>1.7099760380223398E-4</v>
      </c>
      <c r="AQ112" s="9">
        <f t="shared" si="11"/>
        <v>0.96281280844223038</v>
      </c>
    </row>
    <row r="113" spans="2:43" x14ac:dyDescent="0.35">
      <c r="B113" s="3" t="s">
        <v>188</v>
      </c>
      <c r="D113" s="141">
        <v>71942</v>
      </c>
      <c r="E113" s="141">
        <v>63606</v>
      </c>
      <c r="F113" s="141">
        <v>58380</v>
      </c>
      <c r="G113" s="141">
        <v>45323</v>
      </c>
      <c r="H113" s="141">
        <f>+SUM(D113:G113)</f>
        <v>239251</v>
      </c>
      <c r="J113" s="141">
        <v>9955</v>
      </c>
      <c r="K113" s="141">
        <v>8799</v>
      </c>
      <c r="L113" s="141">
        <v>7701</v>
      </c>
      <c r="M113" s="141">
        <v>4174</v>
      </c>
      <c r="N113" s="141">
        <f>+SUM(J113:M113)</f>
        <v>30629</v>
      </c>
      <c r="P113" s="2">
        <f>+IFERROR(J113/D113,"")</f>
        <v>0.13837535792721914</v>
      </c>
      <c r="Q113" s="2">
        <f>+IFERROR(K113/E113,"")</f>
        <v>0.13833600603716631</v>
      </c>
      <c r="R113" s="2">
        <f>+IFERROR(L113/F113,"")</f>
        <v>0.13191161356628983</v>
      </c>
      <c r="S113" s="2">
        <f>+IFERROR(M113/G113,"")</f>
        <v>9.2094521545352248E-2</v>
      </c>
      <c r="T113" s="2" t="str">
        <f>+IFERROR(#REF!/#REF!,"")</f>
        <v/>
      </c>
      <c r="U113" s="2" t="str">
        <f>+IFERROR(#REF!/#REF!,"")</f>
        <v/>
      </c>
      <c r="V113" s="2" t="str">
        <f>+IFERROR(#REF!/#REF!,"")</f>
        <v/>
      </c>
      <c r="W113" s="2" t="str">
        <f>+IFERROR(#REF!/#REF!,"")</f>
        <v/>
      </c>
      <c r="X113" s="2" t="str">
        <f>+IFERROR(#REF!/#REF!,"")</f>
        <v/>
      </c>
      <c r="Y113" s="2" t="str">
        <f>+IFERROR(#REF!/#REF!,"")</f>
        <v/>
      </c>
      <c r="Z113" s="2" t="str">
        <f>+IFERROR(#REF!/#REF!,"")</f>
        <v/>
      </c>
      <c r="AA113" s="2" t="str">
        <f>+IFERROR(#REF!/#REF!,"")</f>
        <v/>
      </c>
      <c r="AB113" s="2">
        <f>+IFERROR(N113/H113,"")</f>
        <v>0.12802036355124952</v>
      </c>
      <c r="AD113" s="143">
        <f t="shared" si="13"/>
        <v>-3.9351890052830019E-5</v>
      </c>
      <c r="AE113" s="143">
        <f t="shared" si="14"/>
        <v>-6.4243924708764777E-3</v>
      </c>
      <c r="AF113" s="143">
        <f t="shared" si="12"/>
        <v>-3.9817092020937583E-2</v>
      </c>
      <c r="AG113" s="143" t="str">
        <f t="shared" si="12"/>
        <v/>
      </c>
      <c r="AH113" s="143" t="str">
        <f t="shared" si="12"/>
        <v/>
      </c>
      <c r="AI113" s="143" t="str">
        <f t="shared" si="12"/>
        <v/>
      </c>
      <c r="AJ113" s="143" t="str">
        <f t="shared" si="12"/>
        <v/>
      </c>
      <c r="AK113" s="143" t="str">
        <f t="shared" si="12"/>
        <v/>
      </c>
      <c r="AL113" s="143" t="str">
        <f t="shared" si="12"/>
        <v/>
      </c>
      <c r="AM113" s="143" t="str">
        <f t="shared" si="12"/>
        <v/>
      </c>
      <c r="AN113" s="143" t="str">
        <f t="shared" si="12"/>
        <v/>
      </c>
      <c r="AP113" s="9">
        <f t="shared" si="10"/>
        <v>1.7645979760919057E-5</v>
      </c>
      <c r="AQ113" s="9">
        <f t="shared" si="11"/>
        <v>0.96283045442199133</v>
      </c>
    </row>
    <row r="114" spans="2:43" x14ac:dyDescent="0.35">
      <c r="B114" s="3" t="s">
        <v>177</v>
      </c>
      <c r="D114" s="141">
        <v>451279</v>
      </c>
      <c r="E114" s="141">
        <v>412123</v>
      </c>
      <c r="F114" s="141">
        <v>337614</v>
      </c>
      <c r="G114" s="141">
        <v>353902</v>
      </c>
      <c r="H114" s="141">
        <f>+SUM(D114:G114)</f>
        <v>1554918</v>
      </c>
      <c r="J114" s="141">
        <v>47851</v>
      </c>
      <c r="K114" s="141">
        <v>34055</v>
      </c>
      <c r="L114" s="141">
        <v>37513</v>
      </c>
      <c r="M114" s="141">
        <v>40316</v>
      </c>
      <c r="N114" s="141">
        <f>+SUM(J114:M114)</f>
        <v>159735</v>
      </c>
      <c r="P114" s="2">
        <f>+IFERROR(J114/D114,"")</f>
        <v>0.106034182844759</v>
      </c>
      <c r="Q114" s="2">
        <f>+IFERROR(K114/E114,"")</f>
        <v>8.2633097400533331E-2</v>
      </c>
      <c r="R114" s="2">
        <f>+IFERROR(L114/F114,"")</f>
        <v>0.11111209843193706</v>
      </c>
      <c r="S114" s="2">
        <f>+IFERROR(M114/G114,"")</f>
        <v>0.11391854242134829</v>
      </c>
      <c r="T114" s="2" t="str">
        <f>+IFERROR(#REF!/#REF!,"")</f>
        <v/>
      </c>
      <c r="U114" s="2" t="str">
        <f>+IFERROR(#REF!/#REF!,"")</f>
        <v/>
      </c>
      <c r="V114" s="2" t="str">
        <f>+IFERROR(#REF!/#REF!,"")</f>
        <v/>
      </c>
      <c r="W114" s="2" t="str">
        <f>+IFERROR(#REF!/#REF!,"")</f>
        <v/>
      </c>
      <c r="X114" s="2" t="str">
        <f>+IFERROR(#REF!/#REF!,"")</f>
        <v/>
      </c>
      <c r="Y114" s="2" t="str">
        <f>+IFERROR(#REF!/#REF!,"")</f>
        <v/>
      </c>
      <c r="Z114" s="2" t="str">
        <f>+IFERROR(#REF!/#REF!,"")</f>
        <v/>
      </c>
      <c r="AA114" s="2" t="str">
        <f>+IFERROR(#REF!/#REF!,"")</f>
        <v/>
      </c>
      <c r="AB114" s="2">
        <f>+IFERROR(N114/H114,"")</f>
        <v>0.10272888988358228</v>
      </c>
      <c r="AD114" s="143">
        <f t="shared" si="13"/>
        <v>-2.3401085444225672E-2</v>
      </c>
      <c r="AE114" s="143">
        <f t="shared" si="14"/>
        <v>2.8479001031403731E-2</v>
      </c>
      <c r="AF114" s="143">
        <f t="shared" si="12"/>
        <v>2.8064439894112253E-3</v>
      </c>
      <c r="AG114" s="143" t="str">
        <f t="shared" si="12"/>
        <v/>
      </c>
      <c r="AH114" s="143" t="str">
        <f t="shared" si="12"/>
        <v/>
      </c>
      <c r="AI114" s="143" t="str">
        <f t="shared" si="12"/>
        <v/>
      </c>
      <c r="AJ114" s="143" t="str">
        <f t="shared" si="12"/>
        <v/>
      </c>
      <c r="AK114" s="143" t="str">
        <f t="shared" si="12"/>
        <v/>
      </c>
      <c r="AL114" s="143" t="str">
        <f t="shared" si="12"/>
        <v/>
      </c>
      <c r="AM114" s="143" t="str">
        <f t="shared" si="12"/>
        <v/>
      </c>
      <c r="AN114" s="143" t="str">
        <f t="shared" si="12"/>
        <v/>
      </c>
      <c r="AP114" s="9">
        <f t="shared" si="10"/>
        <v>9.2026529665036578E-5</v>
      </c>
      <c r="AQ114" s="9">
        <f t="shared" si="11"/>
        <v>0.96292248095165633</v>
      </c>
    </row>
    <row r="115" spans="2:43" x14ac:dyDescent="0.35">
      <c r="B115" s="3" t="s">
        <v>196</v>
      </c>
      <c r="D115" s="141">
        <v>207279</v>
      </c>
      <c r="E115" s="141">
        <v>210377</v>
      </c>
      <c r="F115" s="141">
        <v>364063</v>
      </c>
      <c r="G115" s="141">
        <v>195957</v>
      </c>
      <c r="H115" s="141">
        <f>+SUM(D115:G115)</f>
        <v>977676</v>
      </c>
      <c r="J115" s="141">
        <v>22067</v>
      </c>
      <c r="K115" s="141">
        <v>23000</v>
      </c>
      <c r="L115" s="141">
        <v>41076</v>
      </c>
      <c r="M115" s="141">
        <v>22545</v>
      </c>
      <c r="N115" s="141">
        <f>+SUM(J115:M115)</f>
        <v>108688</v>
      </c>
      <c r="P115" s="2">
        <f>+IFERROR(J115/D115,"")</f>
        <v>0.10646037466410008</v>
      </c>
      <c r="Q115" s="2">
        <f>+IFERROR(K115/E115,"")</f>
        <v>0.10932754055814087</v>
      </c>
      <c r="R115" s="2">
        <f>+IFERROR(L115/F115,"")</f>
        <v>0.11282662616085677</v>
      </c>
      <c r="S115" s="2">
        <f>+IFERROR(M115/G115,"")</f>
        <v>0.11505075093005097</v>
      </c>
      <c r="T115" s="2" t="str">
        <f>+IFERROR(#REF!/#REF!,"")</f>
        <v/>
      </c>
      <c r="U115" s="2" t="str">
        <f>+IFERROR(#REF!/#REF!,"")</f>
        <v/>
      </c>
      <c r="V115" s="2" t="str">
        <f>+IFERROR(#REF!/#REF!,"")</f>
        <v/>
      </c>
      <c r="W115" s="2" t="str">
        <f>+IFERROR(#REF!/#REF!,"")</f>
        <v/>
      </c>
      <c r="X115" s="2" t="str">
        <f>+IFERROR(#REF!/#REF!,"")</f>
        <v/>
      </c>
      <c r="Y115" s="2" t="str">
        <f>+IFERROR(#REF!/#REF!,"")</f>
        <v/>
      </c>
      <c r="Z115" s="2" t="str">
        <f>+IFERROR(#REF!/#REF!,"")</f>
        <v/>
      </c>
      <c r="AA115" s="2" t="str">
        <f>+IFERROR(#REF!/#REF!,"")</f>
        <v/>
      </c>
      <c r="AB115" s="2">
        <f>+IFERROR(N115/H115,"")</f>
        <v>0.11116975357889526</v>
      </c>
      <c r="AD115" s="143">
        <f t="shared" si="13"/>
        <v>2.8671658940407907E-3</v>
      </c>
      <c r="AE115" s="143">
        <f t="shared" si="14"/>
        <v>3.499085602715904E-3</v>
      </c>
      <c r="AF115" s="143">
        <f t="shared" si="12"/>
        <v>2.2241247691942023E-3</v>
      </c>
      <c r="AG115" s="143" t="str">
        <f t="shared" si="12"/>
        <v/>
      </c>
      <c r="AH115" s="143" t="str">
        <f t="shared" si="12"/>
        <v/>
      </c>
      <c r="AI115" s="143" t="str">
        <f t="shared" si="12"/>
        <v/>
      </c>
      <c r="AJ115" s="143" t="str">
        <f t="shared" si="12"/>
        <v/>
      </c>
      <c r="AK115" s="143" t="str">
        <f t="shared" si="12"/>
        <v/>
      </c>
      <c r="AL115" s="143" t="str">
        <f t="shared" si="12"/>
        <v/>
      </c>
      <c r="AM115" s="143" t="str">
        <f t="shared" si="12"/>
        <v/>
      </c>
      <c r="AN115" s="143" t="str">
        <f t="shared" si="12"/>
        <v/>
      </c>
      <c r="AP115" s="9">
        <f t="shared" si="10"/>
        <v>6.2617331556850389E-5</v>
      </c>
      <c r="AQ115" s="9">
        <f t="shared" si="11"/>
        <v>0.96298509828321321</v>
      </c>
    </row>
    <row r="116" spans="2:43" x14ac:dyDescent="0.35">
      <c r="B116" s="3" t="s">
        <v>159</v>
      </c>
      <c r="D116" s="141">
        <v>403227</v>
      </c>
      <c r="E116" s="141">
        <v>298598</v>
      </c>
      <c r="F116" s="141">
        <v>338888</v>
      </c>
      <c r="G116" s="141">
        <v>312355</v>
      </c>
      <c r="H116" s="141">
        <f>+SUM(D116:G116)</f>
        <v>1353068</v>
      </c>
      <c r="J116" s="141">
        <v>59303</v>
      </c>
      <c r="K116" s="141">
        <v>36225</v>
      </c>
      <c r="L116" s="141">
        <v>31080</v>
      </c>
      <c r="M116" s="141">
        <v>36590</v>
      </c>
      <c r="N116" s="141">
        <f>+SUM(J116:M116)</f>
        <v>163198</v>
      </c>
      <c r="P116" s="2">
        <f>+IFERROR(J116/D116,"")</f>
        <v>0.14707100466982617</v>
      </c>
      <c r="Q116" s="2">
        <f>+IFERROR(K116/E116,"")</f>
        <v>0.12131695456767962</v>
      </c>
      <c r="R116" s="2">
        <f>+IFERROR(L116/F116,"")</f>
        <v>9.1711715965156634E-2</v>
      </c>
      <c r="S116" s="2">
        <f>+IFERROR(M116/G116,"")</f>
        <v>0.11714235405228025</v>
      </c>
      <c r="T116" s="2" t="str">
        <f>+IFERROR(#REF!/#REF!,"")</f>
        <v/>
      </c>
      <c r="U116" s="2" t="str">
        <f>+IFERROR(#REF!/#REF!,"")</f>
        <v/>
      </c>
      <c r="V116" s="2" t="str">
        <f>+IFERROR(#REF!/#REF!,"")</f>
        <v/>
      </c>
      <c r="W116" s="2" t="str">
        <f>+IFERROR(#REF!/#REF!,"")</f>
        <v/>
      </c>
      <c r="X116" s="2" t="str">
        <f>+IFERROR(#REF!/#REF!,"")</f>
        <v/>
      </c>
      <c r="Y116" s="2" t="str">
        <f>+IFERROR(#REF!/#REF!,"")</f>
        <v/>
      </c>
      <c r="Z116" s="2" t="str">
        <f>+IFERROR(#REF!/#REF!,"")</f>
        <v/>
      </c>
      <c r="AA116" s="2" t="str">
        <f>+IFERROR(#REF!/#REF!,"")</f>
        <v/>
      </c>
      <c r="AB116" s="2">
        <f>+IFERROR(N116/H116,"")</f>
        <v>0.12061330250955606</v>
      </c>
      <c r="AD116" s="143">
        <f t="shared" si="13"/>
        <v>-2.5754050102146556E-2</v>
      </c>
      <c r="AE116" s="143">
        <f t="shared" si="14"/>
        <v>-2.9605238602522982E-2</v>
      </c>
      <c r="AF116" s="143">
        <f t="shared" si="12"/>
        <v>2.5430638087123619E-2</v>
      </c>
      <c r="AG116" s="143" t="str">
        <f t="shared" si="12"/>
        <v/>
      </c>
      <c r="AH116" s="143" t="str">
        <f t="shared" si="12"/>
        <v/>
      </c>
      <c r="AI116" s="143" t="str">
        <f t="shared" ref="AI116:AN147" si="15">+IFERROR(V116-U116,"")</f>
        <v/>
      </c>
      <c r="AJ116" s="143" t="str">
        <f t="shared" si="15"/>
        <v/>
      </c>
      <c r="AK116" s="143" t="str">
        <f t="shared" si="15"/>
        <v/>
      </c>
      <c r="AL116" s="143" t="str">
        <f t="shared" si="15"/>
        <v/>
      </c>
      <c r="AM116" s="143" t="str">
        <f t="shared" si="15"/>
        <v/>
      </c>
      <c r="AN116" s="143" t="str">
        <f t="shared" si="15"/>
        <v/>
      </c>
      <c r="AP116" s="9">
        <f t="shared" si="10"/>
        <v>9.4021633256798073E-5</v>
      </c>
      <c r="AQ116" s="9">
        <f t="shared" si="11"/>
        <v>0.96307911991646999</v>
      </c>
    </row>
    <row r="117" spans="2:43" x14ac:dyDescent="0.35">
      <c r="B117" s="3" t="s">
        <v>205</v>
      </c>
      <c r="D117" s="141">
        <v>343390</v>
      </c>
      <c r="E117" s="141">
        <v>305365</v>
      </c>
      <c r="F117" s="141">
        <v>320942</v>
      </c>
      <c r="G117" s="141">
        <v>322834</v>
      </c>
      <c r="H117" s="141">
        <f>+SUM(D117:G117)</f>
        <v>1292531</v>
      </c>
      <c r="J117" s="141">
        <v>47243</v>
      </c>
      <c r="K117" s="141">
        <v>37283</v>
      </c>
      <c r="L117" s="141">
        <v>40001</v>
      </c>
      <c r="M117" s="141">
        <v>36125</v>
      </c>
      <c r="N117" s="141">
        <f>+SUM(J117:M117)</f>
        <v>160652</v>
      </c>
      <c r="P117" s="2">
        <f>+IFERROR(J117/D117,"")</f>
        <v>0.13757826378170593</v>
      </c>
      <c r="Q117" s="2">
        <f>+IFERROR(K117/E117,"")</f>
        <v>0.12209323268874953</v>
      </c>
      <c r="R117" s="2">
        <f>+IFERROR(L117/F117,"")</f>
        <v>0.12463622710645537</v>
      </c>
      <c r="S117" s="2">
        <f>+IFERROR(M117/G117,"")</f>
        <v>0.11189961404313052</v>
      </c>
      <c r="T117" s="2" t="str">
        <f>+IFERROR(#REF!/#REF!,"")</f>
        <v/>
      </c>
      <c r="U117" s="2" t="str">
        <f>+IFERROR(#REF!/#REF!,"")</f>
        <v/>
      </c>
      <c r="V117" s="2" t="str">
        <f>+IFERROR(#REF!/#REF!,"")</f>
        <v/>
      </c>
      <c r="W117" s="2" t="str">
        <f>+IFERROR(#REF!/#REF!,"")</f>
        <v/>
      </c>
      <c r="X117" s="2" t="str">
        <f>+IFERROR(#REF!/#REF!,"")</f>
        <v/>
      </c>
      <c r="Y117" s="2" t="str">
        <f>+IFERROR(#REF!/#REF!,"")</f>
        <v/>
      </c>
      <c r="Z117" s="2" t="str">
        <f>+IFERROR(#REF!/#REF!,"")</f>
        <v/>
      </c>
      <c r="AA117" s="2" t="str">
        <f>+IFERROR(#REF!/#REF!,"")</f>
        <v/>
      </c>
      <c r="AB117" s="2">
        <f>+IFERROR(N117/H117,"")</f>
        <v>0.12429257015885886</v>
      </c>
      <c r="AD117" s="143">
        <f t="shared" si="13"/>
        <v>-1.5485031092956403E-2</v>
      </c>
      <c r="AE117" s="143">
        <f t="shared" si="14"/>
        <v>2.5429944177058489E-3</v>
      </c>
      <c r="AF117" s="143">
        <f t="shared" ref="AF117:AN148" si="16">+IFERROR(S117-R117,"")</f>
        <v>-1.2736613063324853E-2</v>
      </c>
      <c r="AG117" s="143" t="str">
        <f t="shared" si="16"/>
        <v/>
      </c>
      <c r="AH117" s="143" t="str">
        <f t="shared" si="16"/>
        <v/>
      </c>
      <c r="AI117" s="143" t="str">
        <f t="shared" si="15"/>
        <v/>
      </c>
      <c r="AJ117" s="143" t="str">
        <f t="shared" si="15"/>
        <v/>
      </c>
      <c r="AK117" s="143" t="str">
        <f t="shared" si="15"/>
        <v/>
      </c>
      <c r="AL117" s="143" t="str">
        <f t="shared" si="15"/>
        <v/>
      </c>
      <c r="AM117" s="143" t="str">
        <f t="shared" si="15"/>
        <v/>
      </c>
      <c r="AN117" s="143" t="str">
        <f t="shared" si="15"/>
        <v/>
      </c>
      <c r="AP117" s="9">
        <f t="shared" si="10"/>
        <v>9.255483171344701E-5</v>
      </c>
      <c r="AQ117" s="9">
        <f t="shared" si="11"/>
        <v>0.96317167474818344</v>
      </c>
    </row>
    <row r="118" spans="2:43" x14ac:dyDescent="0.35">
      <c r="B118" s="3" t="s">
        <v>200</v>
      </c>
      <c r="D118" s="141">
        <v>69103</v>
      </c>
      <c r="E118" s="141">
        <v>74871</v>
      </c>
      <c r="F118" s="141">
        <v>59744</v>
      </c>
      <c r="G118" s="141">
        <v>54254</v>
      </c>
      <c r="H118" s="141">
        <f>+SUM(D118:G118)</f>
        <v>257972</v>
      </c>
      <c r="J118" s="141">
        <v>9690</v>
      </c>
      <c r="K118" s="141">
        <v>7254</v>
      </c>
      <c r="L118" s="141">
        <v>12400</v>
      </c>
      <c r="M118" s="141">
        <v>2884</v>
      </c>
      <c r="N118" s="141">
        <f>+SUM(J118:M118)</f>
        <v>32228</v>
      </c>
      <c r="P118" s="2">
        <f>+IFERROR(J118/D118,"")</f>
        <v>0.14022546054440474</v>
      </c>
      <c r="Q118" s="2">
        <f>+IFERROR(K118/E118,"")</f>
        <v>9.6886645029450658E-2</v>
      </c>
      <c r="R118" s="2">
        <f>+IFERROR(L118/F118,"")</f>
        <v>0.20755222281735405</v>
      </c>
      <c r="S118" s="2">
        <f>+IFERROR(M118/G118,"")</f>
        <v>5.3157370885096027E-2</v>
      </c>
      <c r="T118" s="2" t="str">
        <f>+IFERROR(#REF!/#REF!,"")</f>
        <v/>
      </c>
      <c r="U118" s="2" t="str">
        <f>+IFERROR(#REF!/#REF!,"")</f>
        <v/>
      </c>
      <c r="V118" s="2" t="str">
        <f>+IFERROR(#REF!/#REF!,"")</f>
        <v/>
      </c>
      <c r="W118" s="2" t="str">
        <f>+IFERROR(#REF!/#REF!,"")</f>
        <v/>
      </c>
      <c r="X118" s="2" t="str">
        <f>+IFERROR(#REF!/#REF!,"")</f>
        <v/>
      </c>
      <c r="Y118" s="2" t="str">
        <f>+IFERROR(#REF!/#REF!,"")</f>
        <v/>
      </c>
      <c r="Z118" s="2" t="str">
        <f>+IFERROR(#REF!/#REF!,"")</f>
        <v/>
      </c>
      <c r="AA118" s="2" t="str">
        <f>+IFERROR(#REF!/#REF!,"")</f>
        <v/>
      </c>
      <c r="AB118" s="2">
        <f>+IFERROR(N118/H118,"")</f>
        <v>0.12492828679081451</v>
      </c>
      <c r="AD118" s="143">
        <f t="shared" si="13"/>
        <v>-4.3338815514954082E-2</v>
      </c>
      <c r="AE118" s="143">
        <f t="shared" si="14"/>
        <v>0.1106655777879034</v>
      </c>
      <c r="AF118" s="143">
        <f t="shared" si="16"/>
        <v>-0.15439485193225802</v>
      </c>
      <c r="AG118" s="143" t="str">
        <f t="shared" si="16"/>
        <v/>
      </c>
      <c r="AH118" s="143" t="str">
        <f t="shared" si="16"/>
        <v/>
      </c>
      <c r="AI118" s="143" t="str">
        <f t="shared" si="15"/>
        <v/>
      </c>
      <c r="AJ118" s="143" t="str">
        <f t="shared" si="15"/>
        <v/>
      </c>
      <c r="AK118" s="143" t="str">
        <f t="shared" si="15"/>
        <v/>
      </c>
      <c r="AL118" s="143" t="str">
        <f t="shared" si="15"/>
        <v/>
      </c>
      <c r="AM118" s="143" t="str">
        <f t="shared" si="15"/>
        <v/>
      </c>
      <c r="AN118" s="143" t="str">
        <f t="shared" si="15"/>
        <v/>
      </c>
      <c r="AP118" s="9">
        <f t="shared" si="10"/>
        <v>1.8567195655584555E-5</v>
      </c>
      <c r="AQ118" s="9">
        <f t="shared" si="11"/>
        <v>0.96319024194383907</v>
      </c>
    </row>
    <row r="119" spans="2:43" x14ac:dyDescent="0.35">
      <c r="B119" s="3" t="s">
        <v>194</v>
      </c>
      <c r="D119" s="141">
        <v>532962</v>
      </c>
      <c r="E119" s="141">
        <v>428724</v>
      </c>
      <c r="F119" s="141">
        <v>529451</v>
      </c>
      <c r="G119" s="141">
        <v>546836</v>
      </c>
      <c r="H119" s="141">
        <f>+SUM(D119:G119)</f>
        <v>2037973</v>
      </c>
      <c r="J119" s="141">
        <v>77364</v>
      </c>
      <c r="K119" s="141">
        <v>55643</v>
      </c>
      <c r="L119" s="141">
        <v>80209</v>
      </c>
      <c r="M119" s="141">
        <v>104746</v>
      </c>
      <c r="N119" s="141">
        <f>+SUM(J119:M119)</f>
        <v>317962</v>
      </c>
      <c r="P119" s="2">
        <f>+IFERROR(J119/D119,"")</f>
        <v>0.14515856665203147</v>
      </c>
      <c r="Q119" s="2">
        <f>+IFERROR(K119/E119,"")</f>
        <v>0.12978746233007715</v>
      </c>
      <c r="R119" s="2">
        <f>+IFERROR(L119/F119,"")</f>
        <v>0.15149466145120133</v>
      </c>
      <c r="S119" s="2">
        <f>+IFERROR(M119/G119,"")</f>
        <v>0.19154920305173764</v>
      </c>
      <c r="T119" s="2" t="str">
        <f>+IFERROR(#REF!/#REF!,"")</f>
        <v/>
      </c>
      <c r="U119" s="2" t="str">
        <f>+IFERROR(#REF!/#REF!,"")</f>
        <v/>
      </c>
      <c r="V119" s="2" t="str">
        <f>+IFERROR(#REF!/#REF!,"")</f>
        <v/>
      </c>
      <c r="W119" s="2" t="str">
        <f>+IFERROR(#REF!/#REF!,"")</f>
        <v/>
      </c>
      <c r="X119" s="2" t="str">
        <f>+IFERROR(#REF!/#REF!,"")</f>
        <v/>
      </c>
      <c r="Y119" s="2" t="str">
        <f>+IFERROR(#REF!/#REF!,"")</f>
        <v/>
      </c>
      <c r="Z119" s="2" t="str">
        <f>+IFERROR(#REF!/#REF!,"")</f>
        <v/>
      </c>
      <c r="AA119" s="2" t="str">
        <f>+IFERROR(#REF!/#REF!,"")</f>
        <v/>
      </c>
      <c r="AB119" s="2">
        <f>+IFERROR(N119/H119,"")</f>
        <v>0.15601875000306678</v>
      </c>
      <c r="AD119" s="143">
        <f t="shared" si="13"/>
        <v>-1.5371104321954321E-2</v>
      </c>
      <c r="AE119" s="143">
        <f t="shared" si="14"/>
        <v>2.1707199121124177E-2</v>
      </c>
      <c r="AF119" s="143">
        <f t="shared" si="16"/>
        <v>4.0054541600536314E-2</v>
      </c>
      <c r="AG119" s="143" t="str">
        <f t="shared" si="16"/>
        <v/>
      </c>
      <c r="AH119" s="143" t="str">
        <f t="shared" si="16"/>
        <v/>
      </c>
      <c r="AI119" s="143" t="str">
        <f t="shared" si="15"/>
        <v/>
      </c>
      <c r="AJ119" s="143" t="str">
        <f t="shared" si="15"/>
        <v/>
      </c>
      <c r="AK119" s="143" t="str">
        <f t="shared" si="15"/>
        <v/>
      </c>
      <c r="AL119" s="143" t="str">
        <f t="shared" si="15"/>
        <v/>
      </c>
      <c r="AM119" s="143" t="str">
        <f t="shared" si="15"/>
        <v/>
      </c>
      <c r="AN119" s="143" t="str">
        <f t="shared" si="15"/>
        <v/>
      </c>
      <c r="AP119" s="9">
        <f t="shared" si="10"/>
        <v>1.831842703562423E-4</v>
      </c>
      <c r="AQ119" s="9">
        <f t="shared" si="11"/>
        <v>0.96337342621419531</v>
      </c>
    </row>
    <row r="120" spans="2:43" x14ac:dyDescent="0.35">
      <c r="B120" s="3" t="s">
        <v>213</v>
      </c>
      <c r="D120" s="141">
        <v>189535</v>
      </c>
      <c r="E120" s="141">
        <v>173066</v>
      </c>
      <c r="F120" s="141">
        <v>187504</v>
      </c>
      <c r="G120" s="141">
        <v>177921</v>
      </c>
      <c r="H120" s="141">
        <f>+SUM(D120:G120)</f>
        <v>728026</v>
      </c>
      <c r="J120" s="141">
        <v>24611</v>
      </c>
      <c r="K120" s="141">
        <v>20784</v>
      </c>
      <c r="L120" s="141">
        <v>18923</v>
      </c>
      <c r="M120" s="141">
        <v>18641</v>
      </c>
      <c r="N120" s="141">
        <f>+SUM(J120:M120)</f>
        <v>82959</v>
      </c>
      <c r="P120" s="2">
        <f>+IFERROR(J120/D120,"")</f>
        <v>0.12984936819057166</v>
      </c>
      <c r="Q120" s="2">
        <f>+IFERROR(K120/E120,"")</f>
        <v>0.1200929125304797</v>
      </c>
      <c r="R120" s="2">
        <f>+IFERROR(L120/F120,"")</f>
        <v>0.10092051369570783</v>
      </c>
      <c r="S120" s="2">
        <f>+IFERROR(M120/G120,"")</f>
        <v>0.10477121868694533</v>
      </c>
      <c r="T120" s="2" t="str">
        <f>+IFERROR(#REF!/#REF!,"")</f>
        <v/>
      </c>
      <c r="U120" s="2" t="str">
        <f>+IFERROR(#REF!/#REF!,"")</f>
        <v/>
      </c>
      <c r="V120" s="2" t="str">
        <f>+IFERROR(#REF!/#REF!,"")</f>
        <v/>
      </c>
      <c r="W120" s="2" t="str">
        <f>+IFERROR(#REF!/#REF!,"")</f>
        <v/>
      </c>
      <c r="X120" s="2" t="str">
        <f>+IFERROR(#REF!/#REF!,"")</f>
        <v/>
      </c>
      <c r="Y120" s="2" t="str">
        <f>+IFERROR(#REF!/#REF!,"")</f>
        <v/>
      </c>
      <c r="Z120" s="2" t="str">
        <f>+IFERROR(#REF!/#REF!,"")</f>
        <v/>
      </c>
      <c r="AA120" s="2" t="str">
        <f>+IFERROR(#REF!/#REF!,"")</f>
        <v/>
      </c>
      <c r="AB120" s="2">
        <f>+IFERROR(N120/H120,"")</f>
        <v>0.11395060066536085</v>
      </c>
      <c r="AD120" s="143">
        <f t="shared" si="13"/>
        <v>-9.7564556600919644E-3</v>
      </c>
      <c r="AE120" s="143">
        <f t="shared" si="14"/>
        <v>-1.917239883477187E-2</v>
      </c>
      <c r="AF120" s="143">
        <f t="shared" si="16"/>
        <v>3.8507049912375052E-3</v>
      </c>
      <c r="AG120" s="143" t="str">
        <f t="shared" si="16"/>
        <v/>
      </c>
      <c r="AH120" s="143" t="str">
        <f t="shared" si="16"/>
        <v/>
      </c>
      <c r="AI120" s="143" t="str">
        <f t="shared" si="15"/>
        <v/>
      </c>
      <c r="AJ120" s="143" t="str">
        <f t="shared" si="15"/>
        <v/>
      </c>
      <c r="AK120" s="143" t="str">
        <f t="shared" si="15"/>
        <v/>
      </c>
      <c r="AL120" s="143" t="str">
        <f t="shared" si="15"/>
        <v/>
      </c>
      <c r="AM120" s="143" t="str">
        <f t="shared" si="15"/>
        <v/>
      </c>
      <c r="AN120" s="143" t="str">
        <f t="shared" si="15"/>
        <v/>
      </c>
      <c r="AP120" s="9">
        <f t="shared" si="10"/>
        <v>4.7794339840872508E-5</v>
      </c>
      <c r="AQ120" s="9">
        <f t="shared" si="11"/>
        <v>0.96342122055403623</v>
      </c>
    </row>
    <row r="121" spans="2:43" x14ac:dyDescent="0.35">
      <c r="B121" s="3" t="s">
        <v>184</v>
      </c>
      <c r="D121" s="141">
        <v>207876</v>
      </c>
      <c r="E121" s="141">
        <v>188416</v>
      </c>
      <c r="F121" s="141">
        <v>264796</v>
      </c>
      <c r="G121" s="141">
        <v>180316</v>
      </c>
      <c r="H121" s="141">
        <f>+SUM(D121:G121)</f>
        <v>841404</v>
      </c>
      <c r="J121" s="141">
        <v>24572</v>
      </c>
      <c r="K121" s="141">
        <v>26072</v>
      </c>
      <c r="L121" s="141">
        <v>31678</v>
      </c>
      <c r="M121" s="141">
        <v>17166</v>
      </c>
      <c r="N121" s="141">
        <f>+SUM(J121:M121)</f>
        <v>99488</v>
      </c>
      <c r="P121" s="2">
        <f>+IFERROR(J121/D121,"")</f>
        <v>0.11820508379995767</v>
      </c>
      <c r="Q121" s="2">
        <f>+IFERROR(K121/E121,"")</f>
        <v>0.13837466032608695</v>
      </c>
      <c r="R121" s="2">
        <f>+IFERROR(L121/F121,"")</f>
        <v>0.11963171649118566</v>
      </c>
      <c r="S121" s="2">
        <f>+IFERROR(M121/G121,"")</f>
        <v>9.5199538587812507E-2</v>
      </c>
      <c r="T121" s="2" t="str">
        <f>+IFERROR(#REF!/#REF!,"")</f>
        <v/>
      </c>
      <c r="U121" s="2" t="str">
        <f>+IFERROR(#REF!/#REF!,"")</f>
        <v/>
      </c>
      <c r="V121" s="2" t="str">
        <f>+IFERROR(#REF!/#REF!,"")</f>
        <v/>
      </c>
      <c r="W121" s="2" t="str">
        <f>+IFERROR(#REF!/#REF!,"")</f>
        <v/>
      </c>
      <c r="X121" s="2" t="str">
        <f>+IFERROR(#REF!/#REF!,"")</f>
        <v/>
      </c>
      <c r="Y121" s="2" t="str">
        <f>+IFERROR(#REF!/#REF!,"")</f>
        <v/>
      </c>
      <c r="Z121" s="2" t="str">
        <f>+IFERROR(#REF!/#REF!,"")</f>
        <v/>
      </c>
      <c r="AA121" s="2" t="str">
        <f>+IFERROR(#REF!/#REF!,"")</f>
        <v/>
      </c>
      <c r="AB121" s="2">
        <f>+IFERROR(N121/H121,"")</f>
        <v>0.11824046474701808</v>
      </c>
      <c r="AD121" s="143">
        <f t="shared" si="13"/>
        <v>2.0169576526129274E-2</v>
      </c>
      <c r="AE121" s="143">
        <f t="shared" si="14"/>
        <v>-1.8742943834901285E-2</v>
      </c>
      <c r="AF121" s="143">
        <f t="shared" si="16"/>
        <v>-2.4432177903373153E-2</v>
      </c>
      <c r="AG121" s="143" t="str">
        <f t="shared" si="16"/>
        <v/>
      </c>
      <c r="AH121" s="143" t="str">
        <f t="shared" si="16"/>
        <v/>
      </c>
      <c r="AI121" s="143" t="str">
        <f t="shared" si="15"/>
        <v/>
      </c>
      <c r="AJ121" s="143" t="str">
        <f t="shared" si="15"/>
        <v/>
      </c>
      <c r="AK121" s="143" t="str">
        <f t="shared" si="15"/>
        <v/>
      </c>
      <c r="AL121" s="143" t="str">
        <f t="shared" si="15"/>
        <v/>
      </c>
      <c r="AM121" s="143" t="str">
        <f t="shared" si="15"/>
        <v/>
      </c>
      <c r="AN121" s="143" t="str">
        <f t="shared" si="15"/>
        <v/>
      </c>
      <c r="AP121" s="9">
        <f t="shared" si="10"/>
        <v>5.7317027472471028E-5</v>
      </c>
      <c r="AQ121" s="9">
        <f t="shared" si="11"/>
        <v>0.9634785375815087</v>
      </c>
    </row>
    <row r="122" spans="2:43" x14ac:dyDescent="0.35">
      <c r="B122" s="3" t="s">
        <v>186</v>
      </c>
      <c r="D122" s="141">
        <v>306058</v>
      </c>
      <c r="E122" s="141">
        <v>277810</v>
      </c>
      <c r="F122" s="141">
        <v>273524</v>
      </c>
      <c r="G122" s="141">
        <v>246911</v>
      </c>
      <c r="H122" s="141">
        <f>+SUM(D122:G122)</f>
        <v>1104303</v>
      </c>
      <c r="J122" s="141">
        <v>44714</v>
      </c>
      <c r="K122" s="141">
        <v>34868</v>
      </c>
      <c r="L122" s="141">
        <v>32352</v>
      </c>
      <c r="M122" s="141">
        <v>29146</v>
      </c>
      <c r="N122" s="141">
        <f>+SUM(J122:M122)</f>
        <v>141080</v>
      </c>
      <c r="P122" s="2">
        <f>+IFERROR(J122/D122,"")</f>
        <v>0.14609649151468024</v>
      </c>
      <c r="Q122" s="2">
        <f>+IFERROR(K122/E122,"")</f>
        <v>0.1255102408120658</v>
      </c>
      <c r="R122" s="2">
        <f>+IFERROR(L122/F122,"")</f>
        <v>0.11827846916541145</v>
      </c>
      <c r="S122" s="2">
        <f>+IFERROR(M122/G122,"")</f>
        <v>0.11804253354447554</v>
      </c>
      <c r="T122" s="2" t="str">
        <f>+IFERROR(#REF!/#REF!,"")</f>
        <v/>
      </c>
      <c r="U122" s="2" t="str">
        <f>+IFERROR(#REF!/#REF!,"")</f>
        <v/>
      </c>
      <c r="V122" s="2" t="str">
        <f>+IFERROR(#REF!/#REF!,"")</f>
        <v/>
      </c>
      <c r="W122" s="2" t="str">
        <f>+IFERROR(#REF!/#REF!,"")</f>
        <v/>
      </c>
      <c r="X122" s="2" t="str">
        <f>+IFERROR(#REF!/#REF!,"")</f>
        <v/>
      </c>
      <c r="Y122" s="2" t="str">
        <f>+IFERROR(#REF!/#REF!,"")</f>
        <v/>
      </c>
      <c r="Z122" s="2" t="str">
        <f>+IFERROR(#REF!/#REF!,"")</f>
        <v/>
      </c>
      <c r="AA122" s="2" t="str">
        <f>+IFERROR(#REF!/#REF!,"")</f>
        <v/>
      </c>
      <c r="AB122" s="2">
        <f>+IFERROR(N122/H122,"")</f>
        <v>0.12775479193663333</v>
      </c>
      <c r="AD122" s="143">
        <f t="shared" si="13"/>
        <v>-2.0586250702614439E-2</v>
      </c>
      <c r="AE122" s="143">
        <f t="shared" si="14"/>
        <v>-7.231771646654353E-3</v>
      </c>
      <c r="AF122" s="143">
        <f t="shared" si="16"/>
        <v>-2.3593562093590648E-4</v>
      </c>
      <c r="AG122" s="143" t="str">
        <f t="shared" si="16"/>
        <v/>
      </c>
      <c r="AH122" s="143" t="str">
        <f t="shared" si="16"/>
        <v/>
      </c>
      <c r="AI122" s="143" t="str">
        <f t="shared" si="15"/>
        <v/>
      </c>
      <c r="AJ122" s="143" t="str">
        <f t="shared" si="15"/>
        <v/>
      </c>
      <c r="AK122" s="143" t="str">
        <f t="shared" si="15"/>
        <v/>
      </c>
      <c r="AL122" s="143" t="str">
        <f t="shared" si="15"/>
        <v/>
      </c>
      <c r="AM122" s="143" t="str">
        <f t="shared" si="15"/>
        <v/>
      </c>
      <c r="AN122" s="143" t="str">
        <f t="shared" si="15"/>
        <v/>
      </c>
      <c r="AP122" s="9">
        <f t="shared" si="10"/>
        <v>8.127901089393909E-5</v>
      </c>
      <c r="AQ122" s="9">
        <f t="shared" si="11"/>
        <v>0.96355981659240264</v>
      </c>
    </row>
    <row r="123" spans="2:43" x14ac:dyDescent="0.35">
      <c r="B123" s="3" t="s">
        <v>199</v>
      </c>
      <c r="D123" s="141">
        <v>70609</v>
      </c>
      <c r="E123" s="141">
        <v>64173</v>
      </c>
      <c r="F123" s="141">
        <v>55751</v>
      </c>
      <c r="G123" s="141">
        <v>53563</v>
      </c>
      <c r="H123" s="141">
        <f>+SUM(D123:G123)</f>
        <v>244096</v>
      </c>
      <c r="J123" s="141">
        <v>4872</v>
      </c>
      <c r="K123" s="141">
        <v>3354</v>
      </c>
      <c r="L123" s="141">
        <v>3170</v>
      </c>
      <c r="M123" s="141">
        <v>5388</v>
      </c>
      <c r="N123" s="141">
        <f>+SUM(J123:M123)</f>
        <v>16784</v>
      </c>
      <c r="P123" s="2">
        <f>+IFERROR(J123/D123,"")</f>
        <v>6.8999702587488845E-2</v>
      </c>
      <c r="Q123" s="2">
        <f>+IFERROR(K123/E123,"")</f>
        <v>5.2264971249590952E-2</v>
      </c>
      <c r="R123" s="2">
        <f>+IFERROR(L123/F123,"")</f>
        <v>5.6859966637369731E-2</v>
      </c>
      <c r="S123" s="2">
        <f>+IFERROR(M123/G123,"")</f>
        <v>0.10059182644736105</v>
      </c>
      <c r="T123" s="2" t="str">
        <f>+IFERROR(#REF!/#REF!,"")</f>
        <v/>
      </c>
      <c r="U123" s="2" t="str">
        <f>+IFERROR(#REF!/#REF!,"")</f>
        <v/>
      </c>
      <c r="V123" s="2" t="str">
        <f>+IFERROR(#REF!/#REF!,"")</f>
        <v/>
      </c>
      <c r="W123" s="2" t="str">
        <f>+IFERROR(#REF!/#REF!,"")</f>
        <v/>
      </c>
      <c r="X123" s="2" t="str">
        <f>+IFERROR(#REF!/#REF!,"")</f>
        <v/>
      </c>
      <c r="Y123" s="2" t="str">
        <f>+IFERROR(#REF!/#REF!,"")</f>
        <v/>
      </c>
      <c r="Z123" s="2" t="str">
        <f>+IFERROR(#REF!/#REF!,"")</f>
        <v/>
      </c>
      <c r="AA123" s="2" t="str">
        <f>+IFERROR(#REF!/#REF!,"")</f>
        <v/>
      </c>
      <c r="AB123" s="2">
        <f>+IFERROR(N123/H123,"")</f>
        <v>6.875983219716833E-2</v>
      </c>
      <c r="AD123" s="143">
        <f t="shared" si="13"/>
        <v>-1.6734731337897893E-2</v>
      </c>
      <c r="AE123" s="143">
        <f t="shared" si="14"/>
        <v>4.5949953877787789E-3</v>
      </c>
      <c r="AF123" s="143">
        <f t="shared" si="16"/>
        <v>4.3731859809991315E-2</v>
      </c>
      <c r="AG123" s="143" t="str">
        <f t="shared" si="16"/>
        <v/>
      </c>
      <c r="AH123" s="143" t="str">
        <f t="shared" si="16"/>
        <v/>
      </c>
      <c r="AI123" s="143" t="str">
        <f t="shared" si="15"/>
        <v/>
      </c>
      <c r="AJ123" s="143" t="str">
        <f t="shared" si="15"/>
        <v/>
      </c>
      <c r="AK123" s="143" t="str">
        <f t="shared" si="15"/>
        <v/>
      </c>
      <c r="AL123" s="143" t="str">
        <f t="shared" si="15"/>
        <v/>
      </c>
      <c r="AM123" s="143" t="str">
        <f t="shared" si="15"/>
        <v/>
      </c>
      <c r="AN123" s="143" t="str">
        <f t="shared" si="15"/>
        <v/>
      </c>
      <c r="AP123" s="9">
        <f t="shared" si="10"/>
        <v>9.6695982339372957E-6</v>
      </c>
      <c r="AQ123" s="9">
        <f t="shared" si="11"/>
        <v>0.96356948619063654</v>
      </c>
    </row>
    <row r="124" spans="2:43" x14ac:dyDescent="0.35">
      <c r="B124" s="3" t="s">
        <v>202</v>
      </c>
      <c r="D124" s="141">
        <v>142180</v>
      </c>
      <c r="E124" s="141">
        <v>142735</v>
      </c>
      <c r="F124" s="141">
        <v>163983</v>
      </c>
      <c r="G124" s="141">
        <v>136527</v>
      </c>
      <c r="H124" s="141">
        <f>+SUM(D124:G124)</f>
        <v>585425</v>
      </c>
      <c r="J124" s="141">
        <v>23506</v>
      </c>
      <c r="K124" s="141">
        <v>17921</v>
      </c>
      <c r="L124" s="141">
        <v>19332</v>
      </c>
      <c r="M124" s="141">
        <v>18173</v>
      </c>
      <c r="N124" s="141">
        <f>+SUM(J124:M124)</f>
        <v>78932</v>
      </c>
      <c r="P124" s="2">
        <f>+IFERROR(J124/D124,"")</f>
        <v>0.16532564355042903</v>
      </c>
      <c r="Q124" s="2">
        <f>+IFERROR(K124/E124,"")</f>
        <v>0.12555434896836795</v>
      </c>
      <c r="R124" s="2">
        <f>+IFERROR(L124/F124,"")</f>
        <v>0.11789026911326174</v>
      </c>
      <c r="S124" s="2">
        <f>+IFERROR(M124/G124,"")</f>
        <v>0.13310920184285893</v>
      </c>
      <c r="T124" s="2" t="str">
        <f>+IFERROR(#REF!/#REF!,"")</f>
        <v/>
      </c>
      <c r="U124" s="2" t="str">
        <f>+IFERROR(#REF!/#REF!,"")</f>
        <v/>
      </c>
      <c r="V124" s="2" t="str">
        <f>+IFERROR(#REF!/#REF!,"")</f>
        <v/>
      </c>
      <c r="W124" s="2" t="str">
        <f>+IFERROR(#REF!/#REF!,"")</f>
        <v/>
      </c>
      <c r="X124" s="2" t="str">
        <f>+IFERROR(#REF!/#REF!,"")</f>
        <v/>
      </c>
      <c r="Y124" s="2" t="str">
        <f>+IFERROR(#REF!/#REF!,"")</f>
        <v/>
      </c>
      <c r="Z124" s="2" t="str">
        <f>+IFERROR(#REF!/#REF!,"")</f>
        <v/>
      </c>
      <c r="AA124" s="2" t="str">
        <f>+IFERROR(#REF!/#REF!,"")</f>
        <v/>
      </c>
      <c r="AB124" s="2">
        <f>+IFERROR(N124/H124,"")</f>
        <v>0.13482854336593073</v>
      </c>
      <c r="AD124" s="143">
        <f t="shared" si="13"/>
        <v>-3.9771294582061079E-2</v>
      </c>
      <c r="AE124" s="143">
        <f t="shared" si="14"/>
        <v>-7.6640798551062123E-3</v>
      </c>
      <c r="AF124" s="143">
        <f t="shared" si="16"/>
        <v>1.5218932729597193E-2</v>
      </c>
      <c r="AG124" s="143" t="str">
        <f t="shared" si="16"/>
        <v/>
      </c>
      <c r="AH124" s="143" t="str">
        <f t="shared" si="16"/>
        <v/>
      </c>
      <c r="AI124" s="143" t="str">
        <f t="shared" si="15"/>
        <v/>
      </c>
      <c r="AJ124" s="143" t="str">
        <f t="shared" si="15"/>
        <v/>
      </c>
      <c r="AK124" s="143" t="str">
        <f t="shared" si="15"/>
        <v/>
      </c>
      <c r="AL124" s="143" t="str">
        <f t="shared" si="15"/>
        <v/>
      </c>
      <c r="AM124" s="143" t="str">
        <f t="shared" si="15"/>
        <v/>
      </c>
      <c r="AN124" s="143" t="str">
        <f t="shared" si="15"/>
        <v/>
      </c>
      <c r="AP124" s="9">
        <f t="shared" si="10"/>
        <v>4.5474304563938196E-5</v>
      </c>
      <c r="AQ124" s="9">
        <f t="shared" si="11"/>
        <v>0.96361496049520046</v>
      </c>
    </row>
    <row r="125" spans="2:43" x14ac:dyDescent="0.35">
      <c r="B125" s="3" t="s">
        <v>212</v>
      </c>
      <c r="D125" s="141">
        <v>2632636</v>
      </c>
      <c r="E125" s="141">
        <v>7927632</v>
      </c>
      <c r="F125" s="141">
        <v>7590542</v>
      </c>
      <c r="G125" s="141">
        <v>7633699</v>
      </c>
      <c r="H125" s="141">
        <f>+SUM(D125:G125)</f>
        <v>25784509</v>
      </c>
      <c r="J125" s="141">
        <v>948103</v>
      </c>
      <c r="K125" s="141">
        <v>4468480</v>
      </c>
      <c r="L125" s="141">
        <v>4461542</v>
      </c>
      <c r="M125" s="141">
        <v>2472418</v>
      </c>
      <c r="N125" s="141">
        <f>+SUM(J125:M125)</f>
        <v>12350543</v>
      </c>
      <c r="P125" s="2">
        <f>+IFERROR(J125/D125,"")</f>
        <v>0.36013448118159896</v>
      </c>
      <c r="Q125" s="2">
        <f>+IFERROR(K125/E125,"")</f>
        <v>0.56365885802973703</v>
      </c>
      <c r="R125" s="2">
        <f>+IFERROR(L125/F125,"")</f>
        <v>0.58777647235204022</v>
      </c>
      <c r="S125" s="2">
        <f>+IFERROR(M125/G125,"")</f>
        <v>0.32388203936256854</v>
      </c>
      <c r="T125" s="2" t="str">
        <f>+IFERROR(#REF!/#REF!,"")</f>
        <v/>
      </c>
      <c r="U125" s="2" t="str">
        <f>+IFERROR(#REF!/#REF!,"")</f>
        <v/>
      </c>
      <c r="V125" s="2" t="str">
        <f>+IFERROR(#REF!/#REF!,"")</f>
        <v/>
      </c>
      <c r="W125" s="2" t="str">
        <f>+IFERROR(#REF!/#REF!,"")</f>
        <v/>
      </c>
      <c r="X125" s="2" t="str">
        <f>+IFERROR(#REF!/#REF!,"")</f>
        <v/>
      </c>
      <c r="Y125" s="2" t="str">
        <f>+IFERROR(#REF!/#REF!,"")</f>
        <v/>
      </c>
      <c r="Z125" s="2" t="str">
        <f>+IFERROR(#REF!/#REF!,"")</f>
        <v/>
      </c>
      <c r="AA125" s="2" t="str">
        <f>+IFERROR(#REF!/#REF!,"")</f>
        <v/>
      </c>
      <c r="AB125" s="2">
        <f>+IFERROR(N125/H125,"")</f>
        <v>0.47899081576461278</v>
      </c>
      <c r="AD125" s="143">
        <f t="shared" si="13"/>
        <v>0.20352437684813807</v>
      </c>
      <c r="AE125" s="143">
        <f t="shared" si="14"/>
        <v>2.4117614322303194E-2</v>
      </c>
      <c r="AF125" s="143">
        <f t="shared" si="16"/>
        <v>-0.26389443298947168</v>
      </c>
      <c r="AG125" s="143" t="str">
        <f t="shared" si="16"/>
        <v/>
      </c>
      <c r="AH125" s="143" t="str">
        <f t="shared" si="16"/>
        <v/>
      </c>
      <c r="AI125" s="143" t="str">
        <f t="shared" si="15"/>
        <v/>
      </c>
      <c r="AJ125" s="143" t="str">
        <f t="shared" si="15"/>
        <v/>
      </c>
      <c r="AK125" s="143" t="str">
        <f t="shared" si="15"/>
        <v/>
      </c>
      <c r="AL125" s="143" t="str">
        <f t="shared" si="15"/>
        <v/>
      </c>
      <c r="AM125" s="143" t="str">
        <f t="shared" si="15"/>
        <v/>
      </c>
      <c r="AN125" s="143" t="str">
        <f t="shared" si="15"/>
        <v/>
      </c>
      <c r="AP125" s="9">
        <f t="shared" si="10"/>
        <v>7.1153949464350949E-3</v>
      </c>
      <c r="AQ125" s="9">
        <f t="shared" si="11"/>
        <v>0.97073035544163555</v>
      </c>
    </row>
    <row r="126" spans="2:43" x14ac:dyDescent="0.35">
      <c r="B126" s="3" t="s">
        <v>214</v>
      </c>
      <c r="D126" s="141">
        <v>64497</v>
      </c>
      <c r="E126" s="141">
        <v>50882</v>
      </c>
      <c r="F126" s="141">
        <v>66928</v>
      </c>
      <c r="G126" s="141">
        <v>57277</v>
      </c>
      <c r="H126" s="141">
        <f>+SUM(D126:G126)</f>
        <v>239584</v>
      </c>
      <c r="J126" s="141">
        <v>13170</v>
      </c>
      <c r="K126" s="141">
        <v>2591</v>
      </c>
      <c r="L126" s="141">
        <v>2120</v>
      </c>
      <c r="M126" s="141">
        <v>1525</v>
      </c>
      <c r="N126" s="141">
        <f>+SUM(J126:M126)</f>
        <v>19406</v>
      </c>
      <c r="P126" s="2">
        <f>+IFERROR(J126/D126,"")</f>
        <v>0.20419554397878972</v>
      </c>
      <c r="Q126" s="2">
        <f>+IFERROR(K126/E126,"")</f>
        <v>5.0921740497621951E-2</v>
      </c>
      <c r="R126" s="2">
        <f>+IFERROR(L126/F126,"")</f>
        <v>3.1675830743485539E-2</v>
      </c>
      <c r="S126" s="2">
        <f>+IFERROR(M126/G126,"")</f>
        <v>2.662499781762313E-2</v>
      </c>
      <c r="T126" s="2" t="str">
        <f>+IFERROR(#REF!/#REF!,"")</f>
        <v/>
      </c>
      <c r="U126" s="2" t="str">
        <f>+IFERROR(#REF!/#REF!,"")</f>
        <v/>
      </c>
      <c r="V126" s="2" t="str">
        <f>+IFERROR(#REF!/#REF!,"")</f>
        <v/>
      </c>
      <c r="W126" s="2" t="str">
        <f>+IFERROR(#REF!/#REF!,"")</f>
        <v/>
      </c>
      <c r="X126" s="2" t="str">
        <f>+IFERROR(#REF!/#REF!,"")</f>
        <v/>
      </c>
      <c r="Y126" s="2" t="str">
        <f>+IFERROR(#REF!/#REF!,"")</f>
        <v/>
      </c>
      <c r="Z126" s="2" t="str">
        <f>+IFERROR(#REF!/#REF!,"")</f>
        <v/>
      </c>
      <c r="AA126" s="2" t="str">
        <f>+IFERROR(#REF!/#REF!,"")</f>
        <v/>
      </c>
      <c r="AB126" s="2">
        <f>+IFERROR(N126/H126,"")</f>
        <v>8.0998731133965537E-2</v>
      </c>
      <c r="AD126" s="143">
        <f t="shared" si="13"/>
        <v>-0.15327380348116776</v>
      </c>
      <c r="AE126" s="143">
        <f t="shared" si="14"/>
        <v>-1.9245909754136412E-2</v>
      </c>
      <c r="AF126" s="143">
        <f t="shared" si="16"/>
        <v>-5.0508329258624092E-3</v>
      </c>
      <c r="AG126" s="143" t="str">
        <f t="shared" si="16"/>
        <v/>
      </c>
      <c r="AH126" s="143" t="str">
        <f t="shared" si="16"/>
        <v/>
      </c>
      <c r="AI126" s="143" t="str">
        <f t="shared" si="15"/>
        <v/>
      </c>
      <c r="AJ126" s="143" t="str">
        <f t="shared" si="15"/>
        <v/>
      </c>
      <c r="AK126" s="143" t="str">
        <f t="shared" si="15"/>
        <v/>
      </c>
      <c r="AL126" s="143" t="str">
        <f t="shared" si="15"/>
        <v/>
      </c>
      <c r="AM126" s="143" t="str">
        <f t="shared" si="15"/>
        <v/>
      </c>
      <c r="AN126" s="143" t="str">
        <f t="shared" si="15"/>
        <v/>
      </c>
      <c r="AP126" s="9">
        <f t="shared" si="10"/>
        <v>1.1180184897985413E-5</v>
      </c>
      <c r="AQ126" s="9">
        <f t="shared" si="11"/>
        <v>0.97074153562653354</v>
      </c>
    </row>
    <row r="127" spans="2:43" x14ac:dyDescent="0.35">
      <c r="B127" s="3" t="s">
        <v>215</v>
      </c>
      <c r="D127" s="141">
        <v>112531</v>
      </c>
      <c r="E127" s="141">
        <v>104152</v>
      </c>
      <c r="F127" s="141">
        <v>114791</v>
      </c>
      <c r="G127" s="141">
        <v>108855</v>
      </c>
      <c r="H127" s="141">
        <f>+SUM(D127:G127)</f>
        <v>440329</v>
      </c>
      <c r="J127" s="141">
        <v>9806</v>
      </c>
      <c r="K127" s="141">
        <v>9369</v>
      </c>
      <c r="L127" s="141">
        <v>7434</v>
      </c>
      <c r="M127" s="141">
        <v>7070</v>
      </c>
      <c r="N127" s="141">
        <f>+SUM(J127:M127)</f>
        <v>33679</v>
      </c>
      <c r="P127" s="2">
        <f>+IFERROR(J127/D127,"")</f>
        <v>8.7140432414179209E-2</v>
      </c>
      <c r="Q127" s="2">
        <f>+IFERROR(K127/E127,"")</f>
        <v>8.9955065673246792E-2</v>
      </c>
      <c r="R127" s="2">
        <f>+IFERROR(L127/F127,"")</f>
        <v>6.4761174656549736E-2</v>
      </c>
      <c r="S127" s="2">
        <f>+IFERROR(M127/G127,"")</f>
        <v>6.4948785081071145E-2</v>
      </c>
      <c r="T127" s="2" t="str">
        <f>+IFERROR(#REF!/#REF!,"")</f>
        <v/>
      </c>
      <c r="U127" s="2" t="str">
        <f>+IFERROR(#REF!/#REF!,"")</f>
        <v/>
      </c>
      <c r="V127" s="2" t="str">
        <f>+IFERROR(#REF!/#REF!,"")</f>
        <v/>
      </c>
      <c r="W127" s="2" t="str">
        <f>+IFERROR(#REF!/#REF!,"")</f>
        <v/>
      </c>
      <c r="X127" s="2" t="str">
        <f>+IFERROR(#REF!/#REF!,"")</f>
        <v/>
      </c>
      <c r="Y127" s="2" t="str">
        <f>+IFERROR(#REF!/#REF!,"")</f>
        <v/>
      </c>
      <c r="Z127" s="2" t="str">
        <f>+IFERROR(#REF!/#REF!,"")</f>
        <v/>
      </c>
      <c r="AA127" s="2" t="str">
        <f>+IFERROR(#REF!/#REF!,"")</f>
        <v/>
      </c>
      <c r="AB127" s="2">
        <f>+IFERROR(N127/H127,"")</f>
        <v>7.6485991156612448E-2</v>
      </c>
      <c r="AD127" s="143">
        <f t="shared" si="13"/>
        <v>2.8146332590675838E-3</v>
      </c>
      <c r="AE127" s="143">
        <f t="shared" si="14"/>
        <v>-2.5193891016697056E-2</v>
      </c>
      <c r="AF127" s="143">
        <f t="shared" si="16"/>
        <v>1.8761042452140886E-4</v>
      </c>
      <c r="AG127" s="143" t="str">
        <f t="shared" si="16"/>
        <v/>
      </c>
      <c r="AH127" s="143" t="str">
        <f t="shared" si="16"/>
        <v/>
      </c>
      <c r="AI127" s="143" t="str">
        <f t="shared" si="15"/>
        <v/>
      </c>
      <c r="AJ127" s="143" t="str">
        <f t="shared" si="15"/>
        <v/>
      </c>
      <c r="AK127" s="143" t="str">
        <f t="shared" si="15"/>
        <v/>
      </c>
      <c r="AL127" s="143" t="str">
        <f t="shared" si="15"/>
        <v/>
      </c>
      <c r="AM127" s="143" t="str">
        <f t="shared" si="15"/>
        <v/>
      </c>
      <c r="AN127" s="143" t="str">
        <f t="shared" si="15"/>
        <v/>
      </c>
      <c r="AP127" s="9">
        <f t="shared" si="10"/>
        <v>1.9403145788892647E-5</v>
      </c>
      <c r="AQ127" s="9">
        <f t="shared" si="11"/>
        <v>0.97076093877232239</v>
      </c>
    </row>
    <row r="128" spans="2:43" x14ac:dyDescent="0.35">
      <c r="B128" s="3" t="s">
        <v>221</v>
      </c>
      <c r="D128" s="141">
        <v>205523</v>
      </c>
      <c r="E128" s="141">
        <v>215324</v>
      </c>
      <c r="F128" s="141">
        <v>283275</v>
      </c>
      <c r="G128" s="141">
        <v>103595</v>
      </c>
      <c r="H128" s="141">
        <f>+SUM(D128:G128)</f>
        <v>807717</v>
      </c>
      <c r="J128" s="141">
        <v>18222</v>
      </c>
      <c r="K128" s="141">
        <v>21613</v>
      </c>
      <c r="L128" s="141">
        <v>23350</v>
      </c>
      <c r="M128" s="141">
        <v>9114</v>
      </c>
      <c r="N128" s="141">
        <f>+SUM(J128:M128)</f>
        <v>72299</v>
      </c>
      <c r="P128" s="2">
        <f>+IFERROR(J128/D128,"")</f>
        <v>8.8661609649528281E-2</v>
      </c>
      <c r="Q128" s="2">
        <f>+IFERROR(K128/E128,"")</f>
        <v>0.100374319629953</v>
      </c>
      <c r="R128" s="2">
        <f>+IFERROR(L128/F128,"")</f>
        <v>8.2428735327861616E-2</v>
      </c>
      <c r="S128" s="2">
        <f>+IFERROR(M128/G128,"")</f>
        <v>8.7977218977749891E-2</v>
      </c>
      <c r="T128" s="2" t="str">
        <f>+IFERROR(#REF!/#REF!,"")</f>
        <v/>
      </c>
      <c r="U128" s="2" t="str">
        <f>+IFERROR(#REF!/#REF!,"")</f>
        <v/>
      </c>
      <c r="V128" s="2" t="str">
        <f>+IFERROR(#REF!/#REF!,"")</f>
        <v/>
      </c>
      <c r="W128" s="2" t="str">
        <f>+IFERROR(#REF!/#REF!,"")</f>
        <v/>
      </c>
      <c r="X128" s="2" t="str">
        <f>+IFERROR(#REF!/#REF!,"")</f>
        <v/>
      </c>
      <c r="Y128" s="2" t="str">
        <f>+IFERROR(#REF!/#REF!,"")</f>
        <v/>
      </c>
      <c r="Z128" s="2" t="str">
        <f>+IFERROR(#REF!/#REF!,"")</f>
        <v/>
      </c>
      <c r="AA128" s="2" t="str">
        <f>+IFERROR(#REF!/#REF!,"")</f>
        <v/>
      </c>
      <c r="AB128" s="2">
        <f>+IFERROR(N128/H128,"")</f>
        <v>8.9510311160963557E-2</v>
      </c>
      <c r="AD128" s="143">
        <f t="shared" si="13"/>
        <v>1.1712709980424715E-2</v>
      </c>
      <c r="AE128" s="143">
        <f t="shared" si="14"/>
        <v>-1.794558430209138E-2</v>
      </c>
      <c r="AF128" s="143">
        <f t="shared" si="16"/>
        <v>5.548483649888275E-3</v>
      </c>
      <c r="AG128" s="143" t="str">
        <f t="shared" si="16"/>
        <v/>
      </c>
      <c r="AH128" s="143" t="str">
        <f t="shared" si="16"/>
        <v/>
      </c>
      <c r="AI128" s="143" t="str">
        <f t="shared" si="15"/>
        <v/>
      </c>
      <c r="AJ128" s="143" t="str">
        <f t="shared" si="15"/>
        <v/>
      </c>
      <c r="AK128" s="143" t="str">
        <f t="shared" si="15"/>
        <v/>
      </c>
      <c r="AL128" s="143" t="str">
        <f t="shared" si="15"/>
        <v/>
      </c>
      <c r="AM128" s="143" t="str">
        <f t="shared" si="15"/>
        <v/>
      </c>
      <c r="AN128" s="143" t="str">
        <f t="shared" si="15"/>
        <v/>
      </c>
      <c r="AP128" s="9">
        <f t="shared" si="10"/>
        <v>4.1652900543102512E-5</v>
      </c>
      <c r="AQ128" s="9">
        <f t="shared" si="11"/>
        <v>0.97080259167286553</v>
      </c>
    </row>
    <row r="129" spans="2:43" x14ac:dyDescent="0.35">
      <c r="B129" s="3" t="s">
        <v>216</v>
      </c>
      <c r="D129" s="141">
        <v>171170</v>
      </c>
      <c r="E129" s="141">
        <v>126937</v>
      </c>
      <c r="F129" s="141">
        <v>90593</v>
      </c>
      <c r="G129" s="141">
        <v>139244</v>
      </c>
      <c r="H129" s="141">
        <f>+SUM(D129:G129)</f>
        <v>527944</v>
      </c>
      <c r="J129" s="141">
        <v>18973</v>
      </c>
      <c r="K129" s="141">
        <v>12665</v>
      </c>
      <c r="L129" s="141">
        <v>10334</v>
      </c>
      <c r="M129" s="141">
        <v>10857</v>
      </c>
      <c r="N129" s="141">
        <f>+SUM(J129:M129)</f>
        <v>52829</v>
      </c>
      <c r="P129" s="2">
        <f>+IFERROR(J129/D129,"")</f>
        <v>0.11084302155751592</v>
      </c>
      <c r="Q129" s="2">
        <f>+IFERROR(K129/E129,"")</f>
        <v>9.9773903589969834E-2</v>
      </c>
      <c r="R129" s="2">
        <f>+IFERROR(L129/F129,"")</f>
        <v>0.11407062355811155</v>
      </c>
      <c r="S129" s="2">
        <f>+IFERROR(M129/G129,"")</f>
        <v>7.7971043635632412E-2</v>
      </c>
      <c r="T129" s="2" t="str">
        <f>+IFERROR(#REF!/#REF!,"")</f>
        <v/>
      </c>
      <c r="U129" s="2" t="str">
        <f>+IFERROR(#REF!/#REF!,"")</f>
        <v/>
      </c>
      <c r="V129" s="2" t="str">
        <f>+IFERROR(#REF!/#REF!,"")</f>
        <v/>
      </c>
      <c r="W129" s="2" t="str">
        <f>+IFERROR(#REF!/#REF!,"")</f>
        <v/>
      </c>
      <c r="X129" s="2" t="str">
        <f>+IFERROR(#REF!/#REF!,"")</f>
        <v/>
      </c>
      <c r="Y129" s="2" t="str">
        <f>+IFERROR(#REF!/#REF!,"")</f>
        <v/>
      </c>
      <c r="Z129" s="2" t="str">
        <f>+IFERROR(#REF!/#REF!,"")</f>
        <v/>
      </c>
      <c r="AA129" s="2" t="str">
        <f>+IFERROR(#REF!/#REF!,"")</f>
        <v/>
      </c>
      <c r="AB129" s="2">
        <f>+IFERROR(N129/H129,"")</f>
        <v>0.10006553725395118</v>
      </c>
      <c r="AD129" s="143">
        <f t="shared" si="13"/>
        <v>-1.1069117967546088E-2</v>
      </c>
      <c r="AE129" s="143">
        <f t="shared" si="14"/>
        <v>1.4296719968141719E-2</v>
      </c>
      <c r="AF129" s="143">
        <f t="shared" si="16"/>
        <v>-3.6099579922479141E-2</v>
      </c>
      <c r="AG129" s="143" t="str">
        <f t="shared" si="16"/>
        <v/>
      </c>
      <c r="AH129" s="143" t="str">
        <f t="shared" si="16"/>
        <v/>
      </c>
      <c r="AI129" s="143" t="str">
        <f t="shared" si="15"/>
        <v/>
      </c>
      <c r="AJ129" s="143" t="str">
        <f t="shared" si="15"/>
        <v/>
      </c>
      <c r="AK129" s="143" t="str">
        <f t="shared" si="15"/>
        <v/>
      </c>
      <c r="AL129" s="143" t="str">
        <f t="shared" si="15"/>
        <v/>
      </c>
      <c r="AM129" s="143" t="str">
        <f t="shared" si="15"/>
        <v/>
      </c>
      <c r="AN129" s="143" t="str">
        <f t="shared" si="15"/>
        <v/>
      </c>
      <c r="AP129" s="9">
        <f t="shared" si="10"/>
        <v>3.0435843964530114E-5</v>
      </c>
      <c r="AQ129" s="9">
        <f t="shared" si="11"/>
        <v>0.97083302751683009</v>
      </c>
    </row>
    <row r="130" spans="2:43" x14ac:dyDescent="0.35">
      <c r="B130" s="3" t="s">
        <v>210</v>
      </c>
      <c r="D130" s="141">
        <v>32716</v>
      </c>
      <c r="E130" s="141">
        <v>33746</v>
      </c>
      <c r="F130" s="141">
        <v>22639</v>
      </c>
      <c r="G130" s="141">
        <v>15053</v>
      </c>
      <c r="H130" s="141">
        <f>+SUM(D130:G130)</f>
        <v>104154</v>
      </c>
      <c r="J130" s="141">
        <v>2880</v>
      </c>
      <c r="K130" s="141">
        <v>6096</v>
      </c>
      <c r="L130" s="141">
        <v>3444</v>
      </c>
      <c r="M130" s="141">
        <v>1206</v>
      </c>
      <c r="N130" s="141">
        <f>+SUM(J130:M130)</f>
        <v>13626</v>
      </c>
      <c r="P130" s="2">
        <f>+IFERROR(J130/D130,"")</f>
        <v>8.8030321555202351E-2</v>
      </c>
      <c r="Q130" s="2">
        <f>+IFERROR(K130/E130,"")</f>
        <v>0.18064363183784746</v>
      </c>
      <c r="R130" s="2">
        <f>+IFERROR(L130/F130,"")</f>
        <v>0.15212686072706391</v>
      </c>
      <c r="S130" s="2">
        <f>+IFERROR(M130/G130,"")</f>
        <v>8.0116920215239487E-2</v>
      </c>
      <c r="T130" s="2" t="str">
        <f>+IFERROR(#REF!/#REF!,"")</f>
        <v/>
      </c>
      <c r="U130" s="2" t="str">
        <f>+IFERROR(#REF!/#REF!,"")</f>
        <v/>
      </c>
      <c r="V130" s="2" t="str">
        <f>+IFERROR(#REF!/#REF!,"")</f>
        <v/>
      </c>
      <c r="W130" s="2" t="str">
        <f>+IFERROR(#REF!/#REF!,"")</f>
        <v/>
      </c>
      <c r="X130" s="2" t="str">
        <f>+IFERROR(#REF!/#REF!,"")</f>
        <v/>
      </c>
      <c r="Y130" s="2" t="str">
        <f>+IFERROR(#REF!/#REF!,"")</f>
        <v/>
      </c>
      <c r="Z130" s="2" t="str">
        <f>+IFERROR(#REF!/#REF!,"")</f>
        <v/>
      </c>
      <c r="AA130" s="2" t="str">
        <f>+IFERROR(#REF!/#REF!,"")</f>
        <v/>
      </c>
      <c r="AB130" s="2">
        <f>+IFERROR(N130/H130,"")</f>
        <v>0.13082550838181922</v>
      </c>
      <c r="AD130" s="143">
        <f t="shared" si="13"/>
        <v>9.2613310282645106E-2</v>
      </c>
      <c r="AE130" s="143">
        <f t="shared" si="14"/>
        <v>-2.8516771110783545E-2</v>
      </c>
      <c r="AF130" s="143">
        <f t="shared" si="16"/>
        <v>-7.2009940511824425E-2</v>
      </c>
      <c r="AG130" s="143" t="str">
        <f t="shared" si="16"/>
        <v/>
      </c>
      <c r="AH130" s="143" t="str">
        <f t="shared" si="16"/>
        <v/>
      </c>
      <c r="AI130" s="143" t="str">
        <f t="shared" si="15"/>
        <v/>
      </c>
      <c r="AJ130" s="143" t="str">
        <f t="shared" si="15"/>
        <v/>
      </c>
      <c r="AK130" s="143" t="str">
        <f t="shared" si="15"/>
        <v/>
      </c>
      <c r="AL130" s="143" t="str">
        <f t="shared" si="15"/>
        <v/>
      </c>
      <c r="AM130" s="143" t="str">
        <f t="shared" si="15"/>
        <v/>
      </c>
      <c r="AN130" s="143" t="str">
        <f t="shared" si="15"/>
        <v/>
      </c>
      <c r="AP130" s="9">
        <f t="shared" si="10"/>
        <v>7.850211244973165E-6</v>
      </c>
      <c r="AQ130" s="9">
        <f t="shared" si="11"/>
        <v>0.97084087772807504</v>
      </c>
    </row>
    <row r="131" spans="2:43" x14ac:dyDescent="0.35">
      <c r="B131" s="3" t="s">
        <v>211</v>
      </c>
      <c r="D131" s="141">
        <v>32143</v>
      </c>
      <c r="E131" s="141">
        <v>53113</v>
      </c>
      <c r="F131" s="141">
        <v>267675</v>
      </c>
      <c r="G131" s="141">
        <v>346125</v>
      </c>
      <c r="H131" s="141">
        <f>+SUM(D131:G131)</f>
        <v>699056</v>
      </c>
      <c r="J131" s="141">
        <v>6044</v>
      </c>
      <c r="K131" s="141">
        <v>6997</v>
      </c>
      <c r="L131" s="141">
        <v>22976</v>
      </c>
      <c r="M131" s="141">
        <v>26612</v>
      </c>
      <c r="N131" s="141">
        <f>+SUM(J131:M131)</f>
        <v>62629</v>
      </c>
      <c r="P131" s="2">
        <f>+IFERROR(J131/D131,"")</f>
        <v>0.18803471984568956</v>
      </c>
      <c r="Q131" s="2">
        <f>+IFERROR(K131/E131,"")</f>
        <v>0.13173799258185379</v>
      </c>
      <c r="R131" s="2">
        <f>+IFERROR(L131/F131,"")</f>
        <v>8.5835434762305041E-2</v>
      </c>
      <c r="S131" s="2">
        <f>+IFERROR(M131/G131,"")</f>
        <v>7.6885518237630915E-2</v>
      </c>
      <c r="T131" s="2" t="str">
        <f>+IFERROR(#REF!/#REF!,"")</f>
        <v/>
      </c>
      <c r="U131" s="2" t="str">
        <f>+IFERROR(#REF!/#REF!,"")</f>
        <v/>
      </c>
      <c r="V131" s="2" t="str">
        <f>+IFERROR(#REF!/#REF!,"")</f>
        <v/>
      </c>
      <c r="W131" s="2" t="str">
        <f>+IFERROR(#REF!/#REF!,"")</f>
        <v/>
      </c>
      <c r="X131" s="2" t="str">
        <f>+IFERROR(#REF!/#REF!,"")</f>
        <v/>
      </c>
      <c r="Y131" s="2" t="str">
        <f>+IFERROR(#REF!/#REF!,"")</f>
        <v/>
      </c>
      <c r="Z131" s="2" t="str">
        <f>+IFERROR(#REF!/#REF!,"")</f>
        <v/>
      </c>
      <c r="AA131" s="2" t="str">
        <f>+IFERROR(#REF!/#REF!,"")</f>
        <v/>
      </c>
      <c r="AB131" s="2">
        <f>+IFERROR(N131/H131,"")</f>
        <v>8.9590819619601289E-2</v>
      </c>
      <c r="AD131" s="143">
        <f t="shared" si="13"/>
        <v>-5.6296727263835777E-2</v>
      </c>
      <c r="AE131" s="143">
        <f t="shared" si="14"/>
        <v>-4.5902557819548745E-2</v>
      </c>
      <c r="AF131" s="143">
        <f t="shared" si="16"/>
        <v>-8.9499165246741258E-3</v>
      </c>
      <c r="AG131" s="143" t="str">
        <f t="shared" si="16"/>
        <v/>
      </c>
      <c r="AH131" s="143" t="str">
        <f t="shared" si="16"/>
        <v/>
      </c>
      <c r="AI131" s="143" t="str">
        <f t="shared" si="15"/>
        <v/>
      </c>
      <c r="AJ131" s="143" t="str">
        <f t="shared" si="15"/>
        <v/>
      </c>
      <c r="AK131" s="143" t="str">
        <f t="shared" si="15"/>
        <v/>
      </c>
      <c r="AL131" s="143" t="str">
        <f t="shared" si="15"/>
        <v/>
      </c>
      <c r="AM131" s="143" t="str">
        <f t="shared" si="15"/>
        <v/>
      </c>
      <c r="AN131" s="143" t="str">
        <f t="shared" si="15"/>
        <v/>
      </c>
      <c r="AP131" s="9">
        <f t="shared" si="10"/>
        <v>3.6081820054412474E-5</v>
      </c>
      <c r="AQ131" s="9">
        <f t="shared" si="11"/>
        <v>0.97087695954812947</v>
      </c>
    </row>
    <row r="132" spans="2:43" x14ac:dyDescent="0.35">
      <c r="B132" s="3" t="s">
        <v>208</v>
      </c>
      <c r="D132" s="141">
        <v>293672</v>
      </c>
      <c r="E132" s="141">
        <v>229441</v>
      </c>
      <c r="F132" s="141">
        <v>232419</v>
      </c>
      <c r="G132" s="141">
        <v>217787</v>
      </c>
      <c r="H132" s="141">
        <f>+SUM(D132:G132)</f>
        <v>973319</v>
      </c>
      <c r="J132" s="141">
        <v>24949</v>
      </c>
      <c r="K132" s="141">
        <v>27478</v>
      </c>
      <c r="L132" s="141">
        <v>23013</v>
      </c>
      <c r="M132" s="141">
        <v>19003</v>
      </c>
      <c r="N132" s="141">
        <f>+SUM(J132:M132)</f>
        <v>94443</v>
      </c>
      <c r="P132" s="2">
        <f>+IFERROR(J132/D132,"")</f>
        <v>8.4955324307390556E-2</v>
      </c>
      <c r="Q132" s="2">
        <f>+IFERROR(K132/E132,"")</f>
        <v>0.1197606356318182</v>
      </c>
      <c r="R132" s="2">
        <f>+IFERROR(L132/F132,"")</f>
        <v>9.9015140758715939E-2</v>
      </c>
      <c r="S132" s="2">
        <f>+IFERROR(M132/G132,"")</f>
        <v>8.725497848815586E-2</v>
      </c>
      <c r="T132" s="2" t="str">
        <f>+IFERROR(#REF!/#REF!,"")</f>
        <v/>
      </c>
      <c r="U132" s="2" t="str">
        <f>+IFERROR(#REF!/#REF!,"")</f>
        <v/>
      </c>
      <c r="V132" s="2" t="str">
        <f>+IFERROR(#REF!/#REF!,"")</f>
        <v/>
      </c>
      <c r="W132" s="2" t="str">
        <f>+IFERROR(#REF!/#REF!,"")</f>
        <v/>
      </c>
      <c r="X132" s="2" t="str">
        <f>+IFERROR(#REF!/#REF!,"")</f>
        <v/>
      </c>
      <c r="Y132" s="2" t="str">
        <f>+IFERROR(#REF!/#REF!,"")</f>
        <v/>
      </c>
      <c r="Z132" s="2" t="str">
        <f>+IFERROR(#REF!/#REF!,"")</f>
        <v/>
      </c>
      <c r="AA132" s="2" t="str">
        <f>+IFERROR(#REF!/#REF!,"")</f>
        <v/>
      </c>
      <c r="AB132" s="2">
        <f>+IFERROR(N132/H132,"")</f>
        <v>9.7031908346595516E-2</v>
      </c>
      <c r="AD132" s="143">
        <f t="shared" si="13"/>
        <v>3.4805311324427643E-2</v>
      </c>
      <c r="AE132" s="143">
        <f t="shared" si="14"/>
        <v>-2.074549487310226E-2</v>
      </c>
      <c r="AF132" s="143">
        <f t="shared" si="16"/>
        <v>-1.1760162270560079E-2</v>
      </c>
      <c r="AG132" s="143" t="str">
        <f t="shared" si="16"/>
        <v/>
      </c>
      <c r="AH132" s="143" t="str">
        <f t="shared" si="16"/>
        <v/>
      </c>
      <c r="AI132" s="143" t="str">
        <f t="shared" si="15"/>
        <v/>
      </c>
      <c r="AJ132" s="143" t="str">
        <f t="shared" si="15"/>
        <v/>
      </c>
      <c r="AK132" s="143" t="str">
        <f t="shared" si="15"/>
        <v/>
      </c>
      <c r="AL132" s="143" t="str">
        <f t="shared" si="15"/>
        <v/>
      </c>
      <c r="AM132" s="143" t="str">
        <f t="shared" si="15"/>
        <v/>
      </c>
      <c r="AN132" s="143" t="str">
        <f t="shared" si="15"/>
        <v/>
      </c>
      <c r="AP132" s="9">
        <f t="shared" ref="AP132:AP195" si="17">+N132/$N$236</f>
        <v>5.4410502026199958E-5</v>
      </c>
      <c r="AQ132" s="9">
        <f t="shared" si="11"/>
        <v>0.97093137005015562</v>
      </c>
    </row>
    <row r="133" spans="2:43" x14ac:dyDescent="0.35">
      <c r="B133" s="3" t="s">
        <v>224</v>
      </c>
      <c r="D133" s="141">
        <v>169760</v>
      </c>
      <c r="E133" s="141">
        <v>140063</v>
      </c>
      <c r="F133" s="141">
        <v>124206</v>
      </c>
      <c r="G133" s="141">
        <v>154602</v>
      </c>
      <c r="H133" s="141">
        <f>+SUM(D133:G133)</f>
        <v>588631</v>
      </c>
      <c r="J133" s="141">
        <v>9884</v>
      </c>
      <c r="K133" s="141">
        <v>11133</v>
      </c>
      <c r="L133" s="141">
        <v>4328</v>
      </c>
      <c r="M133" s="141">
        <v>14629</v>
      </c>
      <c r="N133" s="141">
        <f>+SUM(J133:M133)</f>
        <v>39974</v>
      </c>
      <c r="P133" s="2">
        <f>+IFERROR(J133/D133,"")</f>
        <v>5.8223374175306312E-2</v>
      </c>
      <c r="Q133" s="2">
        <f>+IFERROR(K133/E133,"")</f>
        <v>7.9485660024417579E-2</v>
      </c>
      <c r="R133" s="2">
        <f>+IFERROR(L133/F133,"")</f>
        <v>3.4845337584335702E-2</v>
      </c>
      <c r="S133" s="2">
        <f>+IFERROR(M133/G133,"")</f>
        <v>9.4623614183516377E-2</v>
      </c>
      <c r="T133" s="2" t="str">
        <f>+IFERROR(#REF!/#REF!,"")</f>
        <v/>
      </c>
      <c r="U133" s="2" t="str">
        <f>+IFERROR(#REF!/#REF!,"")</f>
        <v/>
      </c>
      <c r="V133" s="2" t="str">
        <f>+IFERROR(#REF!/#REF!,"")</f>
        <v/>
      </c>
      <c r="W133" s="2" t="str">
        <f>+IFERROR(#REF!/#REF!,"")</f>
        <v/>
      </c>
      <c r="X133" s="2" t="str">
        <f>+IFERROR(#REF!/#REF!,"")</f>
        <v/>
      </c>
      <c r="Y133" s="2" t="str">
        <f>+IFERROR(#REF!/#REF!,"")</f>
        <v/>
      </c>
      <c r="Z133" s="2" t="str">
        <f>+IFERROR(#REF!/#REF!,"")</f>
        <v/>
      </c>
      <c r="AA133" s="2" t="str">
        <f>+IFERROR(#REF!/#REF!,"")</f>
        <v/>
      </c>
      <c r="AB133" s="2">
        <f>+IFERROR(N133/H133,"")</f>
        <v>6.7910116864385334E-2</v>
      </c>
      <c r="AD133" s="143">
        <f t="shared" si="13"/>
        <v>2.1262285849111266E-2</v>
      </c>
      <c r="AE133" s="143">
        <f t="shared" si="14"/>
        <v>-4.4640322440081877E-2</v>
      </c>
      <c r="AF133" s="143">
        <f t="shared" si="16"/>
        <v>5.9778276599180676E-2</v>
      </c>
      <c r="AG133" s="143" t="str">
        <f t="shared" si="16"/>
        <v/>
      </c>
      <c r="AH133" s="143" t="str">
        <f t="shared" si="16"/>
        <v/>
      </c>
      <c r="AI133" s="143" t="str">
        <f t="shared" si="15"/>
        <v/>
      </c>
      <c r="AJ133" s="143" t="str">
        <f t="shared" si="15"/>
        <v/>
      </c>
      <c r="AK133" s="143" t="str">
        <f t="shared" si="15"/>
        <v/>
      </c>
      <c r="AL133" s="143" t="str">
        <f t="shared" si="15"/>
        <v/>
      </c>
      <c r="AM133" s="143" t="str">
        <f t="shared" si="15"/>
        <v/>
      </c>
      <c r="AN133" s="143" t="str">
        <f t="shared" si="15"/>
        <v/>
      </c>
      <c r="AP133" s="9">
        <f t="shared" si="17"/>
        <v>2.3029821246628305E-5</v>
      </c>
      <c r="AQ133" s="9">
        <f t="shared" si="11"/>
        <v>0.9709543998714022</v>
      </c>
    </row>
    <row r="134" spans="2:43" x14ac:dyDescent="0.35">
      <c r="B134" s="3" t="s">
        <v>193</v>
      </c>
      <c r="D134" s="141">
        <v>250417</v>
      </c>
      <c r="E134" s="141">
        <v>231571</v>
      </c>
      <c r="F134" s="141">
        <v>354581</v>
      </c>
      <c r="G134" s="141">
        <v>264083</v>
      </c>
      <c r="H134" s="141">
        <f>+SUM(D134:G134)</f>
        <v>1100652</v>
      </c>
      <c r="J134" s="141">
        <v>15910</v>
      </c>
      <c r="K134" s="141">
        <v>13061</v>
      </c>
      <c r="L134" s="141">
        <v>18938</v>
      </c>
      <c r="M134" s="141">
        <v>17472</v>
      </c>
      <c r="N134" s="141">
        <f>+SUM(J134:M134)</f>
        <v>65381</v>
      </c>
      <c r="P134" s="2">
        <f>+IFERROR(J134/D134,"")</f>
        <v>6.3534025245889858E-2</v>
      </c>
      <c r="Q134" s="2">
        <f>+IFERROR(K134/E134,"")</f>
        <v>5.6401708331354099E-2</v>
      </c>
      <c r="R134" s="2">
        <f>+IFERROR(L134/F134,"")</f>
        <v>5.3409517148408969E-2</v>
      </c>
      <c r="S134" s="2">
        <f>+IFERROR(M134/G134,"")</f>
        <v>6.6161017558873533E-2</v>
      </c>
      <c r="T134" s="2" t="str">
        <f>+IFERROR(#REF!/#REF!,"")</f>
        <v/>
      </c>
      <c r="U134" s="2" t="str">
        <f>+IFERROR(#REF!/#REF!,"")</f>
        <v/>
      </c>
      <c r="V134" s="2" t="str">
        <f>+IFERROR(#REF!/#REF!,"")</f>
        <v/>
      </c>
      <c r="W134" s="2" t="str">
        <f>+IFERROR(#REF!/#REF!,"")</f>
        <v/>
      </c>
      <c r="X134" s="2" t="str">
        <f>+IFERROR(#REF!/#REF!,"")</f>
        <v/>
      </c>
      <c r="Y134" s="2" t="str">
        <f>+IFERROR(#REF!/#REF!,"")</f>
        <v/>
      </c>
      <c r="Z134" s="2" t="str">
        <f>+IFERROR(#REF!/#REF!,"")</f>
        <v/>
      </c>
      <c r="AA134" s="2" t="str">
        <f>+IFERROR(#REF!/#REF!,"")</f>
        <v/>
      </c>
      <c r="AB134" s="2">
        <f>+IFERROR(N134/H134,"")</f>
        <v>5.9402063504177524E-2</v>
      </c>
      <c r="AD134" s="143">
        <f t="shared" si="13"/>
        <v>-7.1323169145357593E-3</v>
      </c>
      <c r="AE134" s="143">
        <f t="shared" si="14"/>
        <v>-2.9921911829451295E-3</v>
      </c>
      <c r="AF134" s="143">
        <f t="shared" si="16"/>
        <v>1.2751500410464564E-2</v>
      </c>
      <c r="AG134" s="143" t="str">
        <f t="shared" si="16"/>
        <v/>
      </c>
      <c r="AH134" s="143" t="str">
        <f t="shared" si="16"/>
        <v/>
      </c>
      <c r="AI134" s="143" t="str">
        <f t="shared" si="15"/>
        <v/>
      </c>
      <c r="AJ134" s="143" t="str">
        <f t="shared" si="15"/>
        <v/>
      </c>
      <c r="AK134" s="143" t="str">
        <f t="shared" si="15"/>
        <v/>
      </c>
      <c r="AL134" s="143" t="str">
        <f t="shared" si="15"/>
        <v/>
      </c>
      <c r="AM134" s="143" t="str">
        <f t="shared" si="15"/>
        <v/>
      </c>
      <c r="AN134" s="143" t="str">
        <f t="shared" si="15"/>
        <v/>
      </c>
      <c r="AP134" s="9">
        <f t="shared" si="17"/>
        <v>3.7667302319652904E-5</v>
      </c>
      <c r="AQ134" s="9">
        <f t="shared" ref="AQ134:AQ197" si="18">+AP134+AQ133</f>
        <v>0.97099206717372188</v>
      </c>
    </row>
    <row r="135" spans="2:43" x14ac:dyDescent="0.35">
      <c r="B135" s="3" t="s">
        <v>233</v>
      </c>
      <c r="D135" s="141">
        <v>13138014</v>
      </c>
      <c r="E135" s="141">
        <v>5076233</v>
      </c>
      <c r="F135" s="141">
        <v>4572322</v>
      </c>
      <c r="G135" s="141">
        <v>4227701</v>
      </c>
      <c r="H135" s="141">
        <f>+SUM(D135:G135)</f>
        <v>27014270</v>
      </c>
      <c r="J135" s="141">
        <v>1210598</v>
      </c>
      <c r="K135" s="141">
        <v>554117</v>
      </c>
      <c r="L135" s="141">
        <v>468512</v>
      </c>
      <c r="M135" s="141">
        <v>456530</v>
      </c>
      <c r="N135" s="141">
        <f>+SUM(J135:M135)</f>
        <v>2689757</v>
      </c>
      <c r="P135" s="2">
        <f>+IFERROR(J135/D135,"")</f>
        <v>9.2144672703195471E-2</v>
      </c>
      <c r="Q135" s="2">
        <f>+IFERROR(K135/E135,"")</f>
        <v>0.10915909494304142</v>
      </c>
      <c r="R135" s="2">
        <f>+IFERROR(L135/F135,"")</f>
        <v>0.10246697411074723</v>
      </c>
      <c r="S135" s="2">
        <f>+IFERROR(M135/G135,"")</f>
        <v>0.107985403887361</v>
      </c>
      <c r="T135" s="2" t="str">
        <f>+IFERROR(#REF!/#REF!,"")</f>
        <v/>
      </c>
      <c r="U135" s="2" t="str">
        <f>+IFERROR(#REF!/#REF!,"")</f>
        <v/>
      </c>
      <c r="V135" s="2" t="str">
        <f>+IFERROR(#REF!/#REF!,"")</f>
        <v/>
      </c>
      <c r="W135" s="2" t="str">
        <f>+IFERROR(#REF!/#REF!,"")</f>
        <v/>
      </c>
      <c r="X135" s="2" t="str">
        <f>+IFERROR(#REF!/#REF!,"")</f>
        <v/>
      </c>
      <c r="Y135" s="2" t="str">
        <f>+IFERROR(#REF!/#REF!,"")</f>
        <v/>
      </c>
      <c r="Z135" s="2" t="str">
        <f>+IFERROR(#REF!/#REF!,"")</f>
        <v/>
      </c>
      <c r="AA135" s="2" t="str">
        <f>+IFERROR(#REF!/#REF!,"")</f>
        <v/>
      </c>
      <c r="AB135" s="2">
        <f>+IFERROR(N135/H135,"")</f>
        <v>9.9568006094556696E-2</v>
      </c>
      <c r="AD135" s="143">
        <f t="shared" si="13"/>
        <v>1.701442223984595E-2</v>
      </c>
      <c r="AE135" s="143">
        <f t="shared" si="14"/>
        <v>-6.6921208322941877E-3</v>
      </c>
      <c r="AF135" s="143">
        <f t="shared" si="16"/>
        <v>5.5184297766137647E-3</v>
      </c>
      <c r="AG135" s="143" t="str">
        <f t="shared" si="16"/>
        <v/>
      </c>
      <c r="AH135" s="143" t="str">
        <f t="shared" si="16"/>
        <v/>
      </c>
      <c r="AI135" s="143" t="str">
        <f t="shared" si="15"/>
        <v/>
      </c>
      <c r="AJ135" s="143" t="str">
        <f t="shared" si="15"/>
        <v/>
      </c>
      <c r="AK135" s="143" t="str">
        <f t="shared" si="15"/>
        <v/>
      </c>
      <c r="AL135" s="143" t="str">
        <f t="shared" si="15"/>
        <v/>
      </c>
      <c r="AM135" s="143" t="str">
        <f t="shared" si="15"/>
        <v/>
      </c>
      <c r="AN135" s="143" t="str">
        <f t="shared" si="15"/>
        <v/>
      </c>
      <c r="AP135" s="9">
        <f t="shared" si="17"/>
        <v>1.5496228275095616E-3</v>
      </c>
      <c r="AQ135" s="9">
        <f t="shared" si="18"/>
        <v>0.97254169000123147</v>
      </c>
    </row>
    <row r="136" spans="2:43" x14ac:dyDescent="0.35">
      <c r="B136" s="3" t="s">
        <v>201</v>
      </c>
      <c r="D136" s="141">
        <v>125897</v>
      </c>
      <c r="E136" s="141">
        <v>158407</v>
      </c>
      <c r="F136" s="141">
        <v>176150</v>
      </c>
      <c r="G136" s="141">
        <v>148431</v>
      </c>
      <c r="H136" s="141">
        <f>+SUM(D136:G136)</f>
        <v>608885</v>
      </c>
      <c r="J136" s="141">
        <v>10611</v>
      </c>
      <c r="K136" s="141">
        <v>15551</v>
      </c>
      <c r="L136" s="141">
        <v>17228</v>
      </c>
      <c r="M136" s="141">
        <v>10115</v>
      </c>
      <c r="N136" s="141">
        <f>+SUM(J136:M136)</f>
        <v>53505</v>
      </c>
      <c r="P136" s="2">
        <f>+IFERROR(J136/D136,"")</f>
        <v>8.4283183872530726E-2</v>
      </c>
      <c r="Q136" s="2">
        <f>+IFERROR(K136/E136,"")</f>
        <v>9.8171166678240232E-2</v>
      </c>
      <c r="R136" s="2">
        <f>+IFERROR(L136/F136,"")</f>
        <v>9.7803008799318761E-2</v>
      </c>
      <c r="S136" s="2">
        <f>+IFERROR(M136/G136,"")</f>
        <v>6.8146141978427693E-2</v>
      </c>
      <c r="T136" s="2" t="str">
        <f>+IFERROR(#REF!/#REF!,"")</f>
        <v/>
      </c>
      <c r="U136" s="2" t="str">
        <f>+IFERROR(#REF!/#REF!,"")</f>
        <v/>
      </c>
      <c r="V136" s="2" t="str">
        <f>+IFERROR(#REF!/#REF!,"")</f>
        <v/>
      </c>
      <c r="W136" s="2" t="str">
        <f>+IFERROR(#REF!/#REF!,"")</f>
        <v/>
      </c>
      <c r="X136" s="2" t="str">
        <f>+IFERROR(#REF!/#REF!,"")</f>
        <v/>
      </c>
      <c r="Y136" s="2" t="str">
        <f>+IFERROR(#REF!/#REF!,"")</f>
        <v/>
      </c>
      <c r="Z136" s="2" t="str">
        <f>+IFERROR(#REF!/#REF!,"")</f>
        <v/>
      </c>
      <c r="AA136" s="2" t="str">
        <f>+IFERROR(#REF!/#REF!,"")</f>
        <v/>
      </c>
      <c r="AB136" s="2">
        <f>+IFERROR(N136/H136,"")</f>
        <v>8.7873736419849399E-2</v>
      </c>
      <c r="AD136" s="143">
        <f t="shared" si="13"/>
        <v>1.3887982805709506E-2</v>
      </c>
      <c r="AE136" s="143">
        <f t="shared" si="14"/>
        <v>-3.6815787892147123E-4</v>
      </c>
      <c r="AF136" s="143">
        <f t="shared" si="16"/>
        <v>-2.9656866820891067E-2</v>
      </c>
      <c r="AG136" s="143" t="str">
        <f t="shared" si="16"/>
        <v/>
      </c>
      <c r="AH136" s="143" t="str">
        <f t="shared" si="16"/>
        <v/>
      </c>
      <c r="AI136" s="143" t="str">
        <f t="shared" si="15"/>
        <v/>
      </c>
      <c r="AJ136" s="143" t="str">
        <f t="shared" si="15"/>
        <v/>
      </c>
      <c r="AK136" s="143" t="str">
        <f t="shared" si="15"/>
        <v/>
      </c>
      <c r="AL136" s="143" t="str">
        <f t="shared" si="15"/>
        <v/>
      </c>
      <c r="AM136" s="143" t="str">
        <f t="shared" si="15"/>
        <v/>
      </c>
      <c r="AN136" s="143" t="str">
        <f t="shared" si="15"/>
        <v/>
      </c>
      <c r="AP136" s="9">
        <f t="shared" si="17"/>
        <v>3.0825301090730165E-5</v>
      </c>
      <c r="AQ136" s="9">
        <f t="shared" si="18"/>
        <v>0.97257251530232225</v>
      </c>
    </row>
    <row r="137" spans="2:43" x14ac:dyDescent="0.35">
      <c r="B137" s="3" t="s">
        <v>220</v>
      </c>
      <c r="D137" s="141">
        <v>216772</v>
      </c>
      <c r="E137" s="141">
        <v>253168</v>
      </c>
      <c r="F137" s="141">
        <v>172898</v>
      </c>
      <c r="G137" s="141">
        <v>166224</v>
      </c>
      <c r="H137" s="141">
        <f>+SUM(D137:G137)</f>
        <v>809062</v>
      </c>
      <c r="J137" s="141">
        <v>30175</v>
      </c>
      <c r="K137" s="141">
        <v>32666</v>
      </c>
      <c r="L137" s="141">
        <v>19812</v>
      </c>
      <c r="M137" s="141">
        <v>19557</v>
      </c>
      <c r="N137" s="141">
        <f>+SUM(J137:M137)</f>
        <v>102210</v>
      </c>
      <c r="P137" s="2">
        <f>+IFERROR(J137/D137,"")</f>
        <v>0.13920155739671175</v>
      </c>
      <c r="Q137" s="2">
        <f>+IFERROR(K137/E137,"")</f>
        <v>0.1290289452063452</v>
      </c>
      <c r="R137" s="2">
        <f>+IFERROR(L137/F137,"")</f>
        <v>0.11458779164594154</v>
      </c>
      <c r="S137" s="2">
        <f>+IFERROR(M137/G137,"")</f>
        <v>0.11765449032630668</v>
      </c>
      <c r="T137" s="2" t="str">
        <f>+IFERROR(#REF!/#REF!,"")</f>
        <v/>
      </c>
      <c r="U137" s="2" t="str">
        <f>+IFERROR(#REF!/#REF!,"")</f>
        <v/>
      </c>
      <c r="V137" s="2" t="str">
        <f>+IFERROR(#REF!/#REF!,"")</f>
        <v/>
      </c>
      <c r="W137" s="2" t="str">
        <f>+IFERROR(#REF!/#REF!,"")</f>
        <v/>
      </c>
      <c r="X137" s="2" t="str">
        <f>+IFERROR(#REF!/#REF!,"")</f>
        <v/>
      </c>
      <c r="Y137" s="2" t="str">
        <f>+IFERROR(#REF!/#REF!,"")</f>
        <v/>
      </c>
      <c r="Z137" s="2" t="str">
        <f>+IFERROR(#REF!/#REF!,"")</f>
        <v/>
      </c>
      <c r="AA137" s="2" t="str">
        <f>+IFERROR(#REF!/#REF!,"")</f>
        <v/>
      </c>
      <c r="AB137" s="2">
        <f>+IFERROR(N137/H137,"")</f>
        <v>0.12633148015850454</v>
      </c>
      <c r="AD137" s="143">
        <f t="shared" si="13"/>
        <v>-1.0172612190366553E-2</v>
      </c>
      <c r="AE137" s="143">
        <f t="shared" si="14"/>
        <v>-1.4441153560403652E-2</v>
      </c>
      <c r="AF137" s="143">
        <f t="shared" si="16"/>
        <v>3.0666986803651319E-3</v>
      </c>
      <c r="AG137" s="143" t="str">
        <f t="shared" si="16"/>
        <v/>
      </c>
      <c r="AH137" s="143" t="str">
        <f t="shared" si="16"/>
        <v/>
      </c>
      <c r="AI137" s="143" t="str">
        <f t="shared" si="15"/>
        <v/>
      </c>
      <c r="AJ137" s="143" t="str">
        <f t="shared" si="15"/>
        <v/>
      </c>
      <c r="AK137" s="143" t="str">
        <f t="shared" si="15"/>
        <v/>
      </c>
      <c r="AL137" s="143" t="str">
        <f t="shared" si="15"/>
        <v/>
      </c>
      <c r="AM137" s="143" t="str">
        <f t="shared" si="15"/>
        <v/>
      </c>
      <c r="AN137" s="143" t="str">
        <f t="shared" si="15"/>
        <v/>
      </c>
      <c r="AP137" s="9">
        <f t="shared" si="17"/>
        <v>5.8885226137436314E-5</v>
      </c>
      <c r="AQ137" s="9">
        <f t="shared" si="18"/>
        <v>0.97263140052845964</v>
      </c>
    </row>
    <row r="138" spans="2:43" x14ac:dyDescent="0.35">
      <c r="B138" s="3" t="s">
        <v>217</v>
      </c>
      <c r="D138" s="141">
        <v>18360</v>
      </c>
      <c r="E138" s="141">
        <v>25503</v>
      </c>
      <c r="F138" s="141">
        <v>30180</v>
      </c>
      <c r="G138" s="141">
        <v>12819</v>
      </c>
      <c r="H138" s="141">
        <f>+SUM(D138:G138)</f>
        <v>86862</v>
      </c>
      <c r="J138" s="141">
        <v>3125</v>
      </c>
      <c r="K138" s="141">
        <v>1794</v>
      </c>
      <c r="L138" s="141">
        <v>3000</v>
      </c>
      <c r="M138" s="141">
        <v>2153</v>
      </c>
      <c r="N138" s="141">
        <f>+SUM(J138:M138)</f>
        <v>10072</v>
      </c>
      <c r="P138" s="2">
        <f>+IFERROR(J138/D138,"")</f>
        <v>0.17020697167755991</v>
      </c>
      <c r="Q138" s="2">
        <f>+IFERROR(K138/E138,"")</f>
        <v>7.0344665333490181E-2</v>
      </c>
      <c r="R138" s="2">
        <f>+IFERROR(L138/F138,"")</f>
        <v>9.9403578528827044E-2</v>
      </c>
      <c r="S138" s="2">
        <f>+IFERROR(M138/G138,"")</f>
        <v>0.16795381855058897</v>
      </c>
      <c r="T138" s="2" t="str">
        <f>+IFERROR(#REF!/#REF!,"")</f>
        <v/>
      </c>
      <c r="U138" s="2" t="str">
        <f>+IFERROR(#REF!/#REF!,"")</f>
        <v/>
      </c>
      <c r="V138" s="2" t="str">
        <f>+IFERROR(#REF!/#REF!,"")</f>
        <v/>
      </c>
      <c r="W138" s="2" t="str">
        <f>+IFERROR(#REF!/#REF!,"")</f>
        <v/>
      </c>
      <c r="X138" s="2" t="str">
        <f>+IFERROR(#REF!/#REF!,"")</f>
        <v/>
      </c>
      <c r="Y138" s="2" t="str">
        <f>+IFERROR(#REF!/#REF!,"")</f>
        <v/>
      </c>
      <c r="Z138" s="2" t="str">
        <f>+IFERROR(#REF!/#REF!,"")</f>
        <v/>
      </c>
      <c r="AA138" s="2" t="str">
        <f>+IFERROR(#REF!/#REF!,"")</f>
        <v/>
      </c>
      <c r="AB138" s="2">
        <f>+IFERROR(N138/H138,"")</f>
        <v>0.11595404204370151</v>
      </c>
      <c r="AD138" s="143">
        <f t="shared" si="13"/>
        <v>-9.9862306344069729E-2</v>
      </c>
      <c r="AE138" s="143">
        <f t="shared" si="14"/>
        <v>2.9058913195336863E-2</v>
      </c>
      <c r="AF138" s="143">
        <f t="shared" si="16"/>
        <v>6.8550240021761924E-2</v>
      </c>
      <c r="AG138" s="143" t="str">
        <f t="shared" si="16"/>
        <v/>
      </c>
      <c r="AH138" s="143" t="str">
        <f t="shared" si="16"/>
        <v/>
      </c>
      <c r="AI138" s="143" t="str">
        <f t="shared" si="15"/>
        <v/>
      </c>
      <c r="AJ138" s="143" t="str">
        <f t="shared" si="15"/>
        <v/>
      </c>
      <c r="AK138" s="143" t="str">
        <f t="shared" si="15"/>
        <v/>
      </c>
      <c r="AL138" s="143" t="str">
        <f t="shared" si="15"/>
        <v/>
      </c>
      <c r="AM138" s="143" t="str">
        <f t="shared" si="15"/>
        <v/>
      </c>
      <c r="AN138" s="143" t="str">
        <f t="shared" si="15"/>
        <v/>
      </c>
      <c r="AP138" s="9">
        <f t="shared" si="17"/>
        <v>5.8026807323770528E-6</v>
      </c>
      <c r="AQ138" s="9">
        <f t="shared" si="18"/>
        <v>0.972637203209192</v>
      </c>
    </row>
    <row r="139" spans="2:43" x14ac:dyDescent="0.35">
      <c r="B139" s="3" t="s">
        <v>229</v>
      </c>
      <c r="D139" s="141">
        <v>9908</v>
      </c>
      <c r="E139" s="141">
        <v>10256</v>
      </c>
      <c r="F139" s="141">
        <v>17415</v>
      </c>
      <c r="G139" s="141">
        <v>11333</v>
      </c>
      <c r="H139" s="141">
        <f>+SUM(D139:G139)</f>
        <v>48912</v>
      </c>
      <c r="J139" s="141">
        <v>825</v>
      </c>
      <c r="K139" s="141">
        <v>922</v>
      </c>
      <c r="L139" s="141">
        <v>1366</v>
      </c>
      <c r="M139" s="141">
        <v>1113</v>
      </c>
      <c r="N139" s="141">
        <f>+SUM(J139:M139)</f>
        <v>4226</v>
      </c>
      <c r="P139" s="2">
        <f>+IFERROR(J139/D139,"")</f>
        <v>8.3266047638272098E-2</v>
      </c>
      <c r="Q139" s="2">
        <f>+IFERROR(K139/E139,"")</f>
        <v>8.9898595943837756E-2</v>
      </c>
      <c r="R139" s="2">
        <f>+IFERROR(L139/F139,"")</f>
        <v>7.8438128050531145E-2</v>
      </c>
      <c r="S139" s="2">
        <f>+IFERROR(M139/G139,"")</f>
        <v>9.820877084620136E-2</v>
      </c>
      <c r="T139" s="2" t="str">
        <f>+IFERROR(#REF!/#REF!,"")</f>
        <v/>
      </c>
      <c r="U139" s="2" t="str">
        <f>+IFERROR(#REF!/#REF!,"")</f>
        <v/>
      </c>
      <c r="V139" s="2" t="str">
        <f>+IFERROR(#REF!/#REF!,"")</f>
        <v/>
      </c>
      <c r="W139" s="2" t="str">
        <f>+IFERROR(#REF!/#REF!,"")</f>
        <v/>
      </c>
      <c r="X139" s="2" t="str">
        <f>+IFERROR(#REF!/#REF!,"")</f>
        <v/>
      </c>
      <c r="Y139" s="2" t="str">
        <f>+IFERROR(#REF!/#REF!,"")</f>
        <v/>
      </c>
      <c r="Z139" s="2" t="str">
        <f>+IFERROR(#REF!/#REF!,"")</f>
        <v/>
      </c>
      <c r="AA139" s="2" t="str">
        <f>+IFERROR(#REF!/#REF!,"")</f>
        <v/>
      </c>
      <c r="AB139" s="2">
        <f>+IFERROR(N139/H139,"")</f>
        <v>8.6400065423617931E-2</v>
      </c>
      <c r="AD139" s="143">
        <f t="shared" si="13"/>
        <v>6.6325483055656581E-3</v>
      </c>
      <c r="AE139" s="143">
        <f t="shared" si="14"/>
        <v>-1.1460467893306611E-2</v>
      </c>
      <c r="AF139" s="143">
        <f t="shared" si="16"/>
        <v>1.9770642795670215E-2</v>
      </c>
      <c r="AG139" s="143" t="str">
        <f t="shared" si="16"/>
        <v/>
      </c>
      <c r="AH139" s="143" t="str">
        <f t="shared" si="16"/>
        <v/>
      </c>
      <c r="AI139" s="143" t="str">
        <f t="shared" si="15"/>
        <v/>
      </c>
      <c r="AJ139" s="143" t="str">
        <f t="shared" si="15"/>
        <v/>
      </c>
      <c r="AK139" s="143" t="str">
        <f t="shared" si="15"/>
        <v/>
      </c>
      <c r="AL139" s="143" t="str">
        <f t="shared" si="15"/>
        <v/>
      </c>
      <c r="AM139" s="143" t="str">
        <f t="shared" si="15"/>
        <v/>
      </c>
      <c r="AN139" s="143" t="str">
        <f t="shared" si="15"/>
        <v/>
      </c>
      <c r="AP139" s="9">
        <f t="shared" si="17"/>
        <v>2.4346831587594742E-6</v>
      </c>
      <c r="AQ139" s="9">
        <f t="shared" si="18"/>
        <v>0.97263963789235075</v>
      </c>
    </row>
    <row r="140" spans="2:43" x14ac:dyDescent="0.35">
      <c r="B140" s="3" t="s">
        <v>231</v>
      </c>
      <c r="D140" s="141">
        <v>789583</v>
      </c>
      <c r="E140" s="141">
        <v>6050326</v>
      </c>
      <c r="F140" s="141">
        <v>5424653</v>
      </c>
      <c r="G140" s="141">
        <v>959823</v>
      </c>
      <c r="H140" s="141">
        <f>+SUM(D140:G140)</f>
        <v>13224385</v>
      </c>
      <c r="J140" s="141">
        <v>86886</v>
      </c>
      <c r="K140" s="141">
        <v>681301</v>
      </c>
      <c r="L140" s="141">
        <v>560785</v>
      </c>
      <c r="M140" s="141">
        <v>103372</v>
      </c>
      <c r="N140" s="141">
        <f>+SUM(J140:M140)</f>
        <v>1432344</v>
      </c>
      <c r="P140" s="2">
        <f>+IFERROR(J140/D140,"")</f>
        <v>0.11004036307772584</v>
      </c>
      <c r="Q140" s="2">
        <f>+IFERROR(K140/E140,"")</f>
        <v>0.1126056678598806</v>
      </c>
      <c r="R140" s="2">
        <f>+IFERROR(L140/F140,"")</f>
        <v>0.10337711923693553</v>
      </c>
      <c r="S140" s="2">
        <f>+IFERROR(M140/G140,"")</f>
        <v>0.10769902367415658</v>
      </c>
      <c r="T140" s="2" t="str">
        <f>+IFERROR(#REF!/#REF!,"")</f>
        <v/>
      </c>
      <c r="U140" s="2" t="str">
        <f>+IFERROR(#REF!/#REF!,"")</f>
        <v/>
      </c>
      <c r="V140" s="2" t="str">
        <f>+IFERROR(#REF!/#REF!,"")</f>
        <v/>
      </c>
      <c r="W140" s="2" t="str">
        <f>+IFERROR(#REF!/#REF!,"")</f>
        <v/>
      </c>
      <c r="X140" s="2" t="str">
        <f>+IFERROR(#REF!/#REF!,"")</f>
        <v/>
      </c>
      <c r="Y140" s="2" t="str">
        <f>+IFERROR(#REF!/#REF!,"")</f>
        <v/>
      </c>
      <c r="Z140" s="2" t="str">
        <f>+IFERROR(#REF!/#REF!,"")</f>
        <v/>
      </c>
      <c r="AA140" s="2" t="str">
        <f>+IFERROR(#REF!/#REF!,"")</f>
        <v/>
      </c>
      <c r="AB140" s="2">
        <f>+IFERROR(N140/H140,"")</f>
        <v>0.10831082125936291</v>
      </c>
      <c r="AD140" s="143">
        <f t="shared" si="13"/>
        <v>2.565304782154762E-3</v>
      </c>
      <c r="AE140" s="143">
        <f t="shared" si="14"/>
        <v>-9.2285486229450736E-3</v>
      </c>
      <c r="AF140" s="143">
        <f t="shared" si="16"/>
        <v>4.3219044372210524E-3</v>
      </c>
      <c r="AG140" s="143" t="str">
        <f t="shared" si="16"/>
        <v/>
      </c>
      <c r="AH140" s="143" t="str">
        <f t="shared" si="16"/>
        <v/>
      </c>
      <c r="AI140" s="143" t="str">
        <f t="shared" si="15"/>
        <v/>
      </c>
      <c r="AJ140" s="143" t="str">
        <f t="shared" si="15"/>
        <v/>
      </c>
      <c r="AK140" s="143" t="str">
        <f t="shared" si="15"/>
        <v/>
      </c>
      <c r="AL140" s="143" t="str">
        <f t="shared" si="15"/>
        <v/>
      </c>
      <c r="AM140" s="143" t="str">
        <f t="shared" si="15"/>
        <v/>
      </c>
      <c r="AN140" s="143" t="str">
        <f t="shared" si="15"/>
        <v/>
      </c>
      <c r="AP140" s="9">
        <f t="shared" si="17"/>
        <v>8.2520203841698545E-4</v>
      </c>
      <c r="AQ140" s="9">
        <f t="shared" si="18"/>
        <v>0.97346483993076771</v>
      </c>
    </row>
    <row r="141" spans="2:43" x14ac:dyDescent="0.35">
      <c r="B141" s="3" t="s">
        <v>207</v>
      </c>
      <c r="D141" s="141">
        <v>79570</v>
      </c>
      <c r="E141" s="141">
        <v>71965</v>
      </c>
      <c r="F141" s="141">
        <v>84003</v>
      </c>
      <c r="G141" s="141">
        <v>54212</v>
      </c>
      <c r="H141" s="141">
        <f>+SUM(D141:G141)</f>
        <v>289750</v>
      </c>
      <c r="J141" s="141">
        <v>20435</v>
      </c>
      <c r="K141" s="141">
        <v>10361</v>
      </c>
      <c r="L141" s="141">
        <v>15489</v>
      </c>
      <c r="M141" s="141">
        <v>3621</v>
      </c>
      <c r="N141" s="141">
        <f>+SUM(J141:M141)</f>
        <v>49906</v>
      </c>
      <c r="P141" s="2">
        <f>+IFERROR(J141/D141,"")</f>
        <v>0.25681789619203216</v>
      </c>
      <c r="Q141" s="2">
        <f>+IFERROR(K141/E141,"")</f>
        <v>0.14397276453831723</v>
      </c>
      <c r="R141" s="2">
        <f>+IFERROR(L141/F141,"")</f>
        <v>0.18438627191886003</v>
      </c>
      <c r="S141" s="2">
        <f>+IFERROR(M141/G141,"")</f>
        <v>6.6793329890061245E-2</v>
      </c>
      <c r="T141" s="2" t="str">
        <f>+IFERROR(#REF!/#REF!,"")</f>
        <v/>
      </c>
      <c r="U141" s="2" t="str">
        <f>+IFERROR(#REF!/#REF!,"")</f>
        <v/>
      </c>
      <c r="V141" s="2" t="str">
        <f>+IFERROR(#REF!/#REF!,"")</f>
        <v/>
      </c>
      <c r="W141" s="2" t="str">
        <f>+IFERROR(#REF!/#REF!,"")</f>
        <v/>
      </c>
      <c r="X141" s="2" t="str">
        <f>+IFERROR(#REF!/#REF!,"")</f>
        <v/>
      </c>
      <c r="Y141" s="2" t="str">
        <f>+IFERROR(#REF!/#REF!,"")</f>
        <v/>
      </c>
      <c r="Z141" s="2" t="str">
        <f>+IFERROR(#REF!/#REF!,"")</f>
        <v/>
      </c>
      <c r="AA141" s="2" t="str">
        <f>+IFERROR(#REF!/#REF!,"")</f>
        <v/>
      </c>
      <c r="AB141" s="2">
        <f>+IFERROR(N141/H141,"")</f>
        <v>0.17223813632441759</v>
      </c>
      <c r="AD141" s="143">
        <f t="shared" si="13"/>
        <v>-0.11284513165371493</v>
      </c>
      <c r="AE141" s="143">
        <f t="shared" si="14"/>
        <v>4.0413507380542807E-2</v>
      </c>
      <c r="AF141" s="143">
        <f t="shared" si="16"/>
        <v>-0.11759294202879879</v>
      </c>
      <c r="AG141" s="143" t="str">
        <f t="shared" si="16"/>
        <v/>
      </c>
      <c r="AH141" s="143" t="str">
        <f t="shared" si="16"/>
        <v/>
      </c>
      <c r="AI141" s="143" t="str">
        <f t="shared" si="15"/>
        <v/>
      </c>
      <c r="AJ141" s="143" t="str">
        <f t="shared" si="15"/>
        <v/>
      </c>
      <c r="AK141" s="143" t="str">
        <f t="shared" si="15"/>
        <v/>
      </c>
      <c r="AL141" s="143" t="str">
        <f t="shared" si="15"/>
        <v/>
      </c>
      <c r="AM141" s="143" t="str">
        <f t="shared" si="15"/>
        <v/>
      </c>
      <c r="AN141" s="143" t="str">
        <f t="shared" si="15"/>
        <v/>
      </c>
      <c r="AP141" s="9">
        <f t="shared" si="17"/>
        <v>2.8751845177721324E-5</v>
      </c>
      <c r="AQ141" s="9">
        <f t="shared" si="18"/>
        <v>0.97349359177594541</v>
      </c>
    </row>
    <row r="142" spans="2:43" x14ac:dyDescent="0.35">
      <c r="B142" s="3" t="s">
        <v>228</v>
      </c>
      <c r="D142" s="141">
        <v>114143</v>
      </c>
      <c r="E142" s="141">
        <v>127983</v>
      </c>
      <c r="F142" s="141">
        <v>174153</v>
      </c>
      <c r="G142" s="141">
        <v>138745</v>
      </c>
      <c r="H142" s="141">
        <f>+SUM(D142:G142)</f>
        <v>555024</v>
      </c>
      <c r="J142" s="141">
        <v>12311</v>
      </c>
      <c r="K142" s="141">
        <v>12093</v>
      </c>
      <c r="L142" s="141">
        <v>15537</v>
      </c>
      <c r="M142" s="141">
        <v>11278</v>
      </c>
      <c r="N142" s="141">
        <f>+SUM(J142:M142)</f>
        <v>51219</v>
      </c>
      <c r="P142" s="2">
        <f>+IFERROR(J142/D142,"")</f>
        <v>0.10785593509895482</v>
      </c>
      <c r="Q142" s="2">
        <f>+IFERROR(K142/E142,"")</f>
        <v>9.4489111835165604E-2</v>
      </c>
      <c r="R142" s="2">
        <f>+IFERROR(L142/F142,"")</f>
        <v>8.9214656078276E-2</v>
      </c>
      <c r="S142" s="2">
        <f>+IFERROR(M142/G142,"")</f>
        <v>8.1285812101336979E-2</v>
      </c>
      <c r="T142" s="2" t="str">
        <f>+IFERROR(#REF!/#REF!,"")</f>
        <v/>
      </c>
      <c r="U142" s="2" t="str">
        <f>+IFERROR(#REF!/#REF!,"")</f>
        <v/>
      </c>
      <c r="V142" s="2" t="str">
        <f>+IFERROR(#REF!/#REF!,"")</f>
        <v/>
      </c>
      <c r="W142" s="2" t="str">
        <f>+IFERROR(#REF!/#REF!,"")</f>
        <v/>
      </c>
      <c r="X142" s="2" t="str">
        <f>+IFERROR(#REF!/#REF!,"")</f>
        <v/>
      </c>
      <c r="Y142" s="2" t="str">
        <f>+IFERROR(#REF!/#REF!,"")</f>
        <v/>
      </c>
      <c r="Z142" s="2" t="str">
        <f>+IFERROR(#REF!/#REF!,"")</f>
        <v/>
      </c>
      <c r="AA142" s="2" t="str">
        <f>+IFERROR(#REF!/#REF!,"")</f>
        <v/>
      </c>
      <c r="AB142" s="2">
        <f>+IFERROR(N142/H142,"")</f>
        <v>9.2282495892069535E-2</v>
      </c>
      <c r="AD142" s="143">
        <f t="shared" si="13"/>
        <v>-1.3366823263789213E-2</v>
      </c>
      <c r="AE142" s="143">
        <f t="shared" si="14"/>
        <v>-5.2744557568896039E-3</v>
      </c>
      <c r="AF142" s="143">
        <f t="shared" si="16"/>
        <v>-7.9288439769390207E-3</v>
      </c>
      <c r="AG142" s="143" t="str">
        <f t="shared" si="16"/>
        <v/>
      </c>
      <c r="AH142" s="143" t="str">
        <f t="shared" si="16"/>
        <v/>
      </c>
      <c r="AI142" s="143" t="str">
        <f t="shared" si="15"/>
        <v/>
      </c>
      <c r="AJ142" s="143" t="str">
        <f t="shared" si="15"/>
        <v/>
      </c>
      <c r="AK142" s="143" t="str">
        <f t="shared" si="15"/>
        <v/>
      </c>
      <c r="AL142" s="143" t="str">
        <f t="shared" si="15"/>
        <v/>
      </c>
      <c r="AM142" s="143" t="str">
        <f t="shared" si="15"/>
        <v/>
      </c>
      <c r="AN142" s="143" t="str">
        <f t="shared" si="15"/>
        <v/>
      </c>
      <c r="AP142" s="9">
        <f t="shared" si="17"/>
        <v>2.9508290749763725E-5</v>
      </c>
      <c r="AQ142" s="9">
        <f t="shared" si="18"/>
        <v>0.97352310006669518</v>
      </c>
    </row>
    <row r="143" spans="2:43" x14ac:dyDescent="0.35">
      <c r="B143" s="3" t="s">
        <v>225</v>
      </c>
      <c r="D143" s="141">
        <v>93522</v>
      </c>
      <c r="E143" s="141">
        <v>83991</v>
      </c>
      <c r="F143" s="141">
        <v>85355</v>
      </c>
      <c r="G143" s="141">
        <v>64783</v>
      </c>
      <c r="H143" s="141">
        <f>+SUM(D143:G143)</f>
        <v>327651</v>
      </c>
      <c r="J143" s="141">
        <v>10456</v>
      </c>
      <c r="K143" s="141">
        <v>7558</v>
      </c>
      <c r="L143" s="141">
        <v>10923</v>
      </c>
      <c r="M143" s="141">
        <v>10318</v>
      </c>
      <c r="N143" s="141">
        <f>+SUM(J143:M143)</f>
        <v>39255</v>
      </c>
      <c r="P143" s="2">
        <f>+IFERROR(J143/D143,"")</f>
        <v>0.11180257051816685</v>
      </c>
      <c r="Q143" s="2">
        <f>+IFERROR(K143/E143,"")</f>
        <v>8.9985831815313541E-2</v>
      </c>
      <c r="R143" s="2">
        <f>+IFERROR(L143/F143,"")</f>
        <v>0.12797141350828892</v>
      </c>
      <c r="S143" s="2">
        <f>+IFERROR(M143/G143,"")</f>
        <v>0.15927017890495965</v>
      </c>
      <c r="T143" s="2" t="str">
        <f>+IFERROR(#REF!/#REF!,"")</f>
        <v/>
      </c>
      <c r="U143" s="2" t="str">
        <f>+IFERROR(#REF!/#REF!,"")</f>
        <v/>
      </c>
      <c r="V143" s="2" t="str">
        <f>+IFERROR(#REF!/#REF!,"")</f>
        <v/>
      </c>
      <c r="W143" s="2" t="str">
        <f>+IFERROR(#REF!/#REF!,"")</f>
        <v/>
      </c>
      <c r="X143" s="2" t="str">
        <f>+IFERROR(#REF!/#REF!,"")</f>
        <v/>
      </c>
      <c r="Y143" s="2" t="str">
        <f>+IFERROR(#REF!/#REF!,"")</f>
        <v/>
      </c>
      <c r="Z143" s="2" t="str">
        <f>+IFERROR(#REF!/#REF!,"")</f>
        <v/>
      </c>
      <c r="AA143" s="2" t="str">
        <f>+IFERROR(#REF!/#REF!,"")</f>
        <v/>
      </c>
      <c r="AB143" s="2">
        <f>+IFERROR(N143/H143,"")</f>
        <v>0.11980735599769267</v>
      </c>
      <c r="AD143" s="143">
        <f t="shared" si="13"/>
        <v>-2.1816738702853306E-2</v>
      </c>
      <c r="AE143" s="143">
        <f t="shared" si="14"/>
        <v>3.7985581692975376E-2</v>
      </c>
      <c r="AF143" s="143">
        <f t="shared" si="16"/>
        <v>3.129876539667073E-2</v>
      </c>
      <c r="AG143" s="143" t="str">
        <f t="shared" si="16"/>
        <v/>
      </c>
      <c r="AH143" s="143" t="str">
        <f t="shared" si="16"/>
        <v/>
      </c>
      <c r="AI143" s="143" t="str">
        <f t="shared" si="15"/>
        <v/>
      </c>
      <c r="AJ143" s="143" t="str">
        <f t="shared" si="15"/>
        <v/>
      </c>
      <c r="AK143" s="143" t="str">
        <f t="shared" si="15"/>
        <v/>
      </c>
      <c r="AL143" s="143" t="str">
        <f t="shared" si="15"/>
        <v/>
      </c>
      <c r="AM143" s="143" t="str">
        <f t="shared" si="15"/>
        <v/>
      </c>
      <c r="AN143" s="143" t="str">
        <f t="shared" si="15"/>
        <v/>
      </c>
      <c r="AP143" s="9">
        <f t="shared" si="17"/>
        <v>2.2615590960033875E-5</v>
      </c>
      <c r="AQ143" s="9">
        <f t="shared" si="18"/>
        <v>0.97354571565765524</v>
      </c>
    </row>
    <row r="144" spans="2:43" x14ac:dyDescent="0.35">
      <c r="B144" s="3" t="s">
        <v>209</v>
      </c>
      <c r="D144" s="141">
        <v>354308</v>
      </c>
      <c r="E144" s="141">
        <v>279118</v>
      </c>
      <c r="F144" s="141">
        <v>196384</v>
      </c>
      <c r="G144" s="141">
        <v>198614</v>
      </c>
      <c r="H144" s="141">
        <f>+SUM(D144:G144)</f>
        <v>1028424</v>
      </c>
      <c r="J144" s="141">
        <v>36824</v>
      </c>
      <c r="K144" s="141">
        <v>38029</v>
      </c>
      <c r="L144" s="141">
        <v>36628</v>
      </c>
      <c r="M144" s="141">
        <v>32070</v>
      </c>
      <c r="N144" s="141">
        <f>+SUM(J144:M144)</f>
        <v>143551</v>
      </c>
      <c r="P144" s="2">
        <f>+IFERROR(J144/D144,"")</f>
        <v>0.10393217200853495</v>
      </c>
      <c r="Q144" s="2">
        <f>+IFERROR(K144/E144,"")</f>
        <v>0.13624703530406496</v>
      </c>
      <c r="R144" s="2">
        <f>+IFERROR(L144/F144,"")</f>
        <v>0.18651213948183151</v>
      </c>
      <c r="S144" s="2">
        <f>+IFERROR(M144/G144,"")</f>
        <v>0.16146898003161911</v>
      </c>
      <c r="T144" s="2" t="str">
        <f>+IFERROR(#REF!/#REF!,"")</f>
        <v/>
      </c>
      <c r="U144" s="2" t="str">
        <f>+IFERROR(#REF!/#REF!,"")</f>
        <v/>
      </c>
      <c r="V144" s="2" t="str">
        <f>+IFERROR(#REF!/#REF!,"")</f>
        <v/>
      </c>
      <c r="W144" s="2" t="str">
        <f>+IFERROR(#REF!/#REF!,"")</f>
        <v/>
      </c>
      <c r="X144" s="2" t="str">
        <f>+IFERROR(#REF!/#REF!,"")</f>
        <v/>
      </c>
      <c r="Y144" s="2" t="str">
        <f>+IFERROR(#REF!/#REF!,"")</f>
        <v/>
      </c>
      <c r="Z144" s="2" t="str">
        <f>+IFERROR(#REF!/#REF!,"")</f>
        <v/>
      </c>
      <c r="AA144" s="2" t="str">
        <f>+IFERROR(#REF!/#REF!,"")</f>
        <v/>
      </c>
      <c r="AB144" s="2">
        <f>+IFERROR(N144/H144,"")</f>
        <v>0.13958347918757244</v>
      </c>
      <c r="AD144" s="143">
        <f t="shared" si="13"/>
        <v>3.2314863295530002E-2</v>
      </c>
      <c r="AE144" s="143">
        <f t="shared" si="14"/>
        <v>5.0265104177766556E-2</v>
      </c>
      <c r="AF144" s="143">
        <f t="shared" si="16"/>
        <v>-2.5043159450212404E-2</v>
      </c>
      <c r="AG144" s="143" t="str">
        <f t="shared" si="16"/>
        <v/>
      </c>
      <c r="AH144" s="143" t="str">
        <f t="shared" si="16"/>
        <v/>
      </c>
      <c r="AI144" s="143" t="str">
        <f t="shared" si="15"/>
        <v/>
      </c>
      <c r="AJ144" s="143" t="str">
        <f t="shared" si="15"/>
        <v/>
      </c>
      <c r="AK144" s="143" t="str">
        <f t="shared" si="15"/>
        <v/>
      </c>
      <c r="AL144" s="143" t="str">
        <f t="shared" si="15"/>
        <v/>
      </c>
      <c r="AM144" s="143" t="str">
        <f t="shared" si="15"/>
        <v/>
      </c>
      <c r="AN144" s="143" t="str">
        <f t="shared" si="15"/>
        <v/>
      </c>
      <c r="AP144" s="9">
        <f t="shared" si="17"/>
        <v>8.2702603436602291E-5</v>
      </c>
      <c r="AQ144" s="9">
        <f t="shared" si="18"/>
        <v>0.97362841826109181</v>
      </c>
    </row>
    <row r="145" spans="2:43" x14ac:dyDescent="0.35">
      <c r="B145" s="3" t="s">
        <v>240</v>
      </c>
      <c r="D145" s="141">
        <v>642095</v>
      </c>
      <c r="E145" s="141">
        <v>541694</v>
      </c>
      <c r="F145" s="141">
        <v>565820</v>
      </c>
      <c r="G145" s="141">
        <v>666894</v>
      </c>
      <c r="H145" s="141">
        <f>+SUM(D145:G145)</f>
        <v>2416503</v>
      </c>
      <c r="J145" s="141">
        <v>114783</v>
      </c>
      <c r="K145" s="141">
        <v>93983</v>
      </c>
      <c r="L145" s="141">
        <v>102603</v>
      </c>
      <c r="M145" s="141">
        <v>112258</v>
      </c>
      <c r="N145" s="141">
        <f>+SUM(J145:M145)</f>
        <v>423627</v>
      </c>
      <c r="P145" s="2">
        <f>+IFERROR(J145/D145,"")</f>
        <v>0.17876326711779408</v>
      </c>
      <c r="Q145" s="2">
        <f>+IFERROR(K145/E145,"")</f>
        <v>0.17349832193083181</v>
      </c>
      <c r="R145" s="2">
        <f>+IFERROR(L145/F145,"")</f>
        <v>0.18133505355059912</v>
      </c>
      <c r="S145" s="2">
        <f>+IFERROR(M145/G145,"")</f>
        <v>0.16832959960653418</v>
      </c>
      <c r="T145" s="2" t="str">
        <f>+IFERROR(#REF!/#REF!,"")</f>
        <v/>
      </c>
      <c r="U145" s="2" t="str">
        <f>+IFERROR(#REF!/#REF!,"")</f>
        <v/>
      </c>
      <c r="V145" s="2" t="str">
        <f>+IFERROR(#REF!/#REF!,"")</f>
        <v/>
      </c>
      <c r="W145" s="2" t="str">
        <f>+IFERROR(#REF!/#REF!,"")</f>
        <v/>
      </c>
      <c r="X145" s="2" t="str">
        <f>+IFERROR(#REF!/#REF!,"")</f>
        <v/>
      </c>
      <c r="Y145" s="2" t="str">
        <f>+IFERROR(#REF!/#REF!,"")</f>
        <v/>
      </c>
      <c r="Z145" s="2" t="str">
        <f>+IFERROR(#REF!/#REF!,"")</f>
        <v/>
      </c>
      <c r="AA145" s="2" t="str">
        <f>+IFERROR(#REF!/#REF!,"")</f>
        <v/>
      </c>
      <c r="AB145" s="2">
        <f>+IFERROR(N145/H145,"")</f>
        <v>0.17530580346889699</v>
      </c>
      <c r="AD145" s="143">
        <f t="shared" si="13"/>
        <v>-5.2649451869622721E-3</v>
      </c>
      <c r="AE145" s="143">
        <f t="shared" si="14"/>
        <v>7.8367316197673065E-3</v>
      </c>
      <c r="AF145" s="143">
        <f t="shared" si="16"/>
        <v>-1.3005453944064937E-2</v>
      </c>
      <c r="AG145" s="143" t="str">
        <f t="shared" si="16"/>
        <v/>
      </c>
      <c r="AH145" s="143" t="str">
        <f t="shared" si="16"/>
        <v/>
      </c>
      <c r="AI145" s="143" t="str">
        <f t="shared" si="15"/>
        <v/>
      </c>
      <c r="AJ145" s="143" t="str">
        <f t="shared" si="15"/>
        <v/>
      </c>
      <c r="AK145" s="143" t="str">
        <f t="shared" si="15"/>
        <v/>
      </c>
      <c r="AL145" s="143" t="str">
        <f t="shared" si="15"/>
        <v/>
      </c>
      <c r="AM145" s="143" t="str">
        <f t="shared" si="15"/>
        <v/>
      </c>
      <c r="AN145" s="143" t="str">
        <f t="shared" si="15"/>
        <v/>
      </c>
      <c r="AP145" s="9">
        <f t="shared" si="17"/>
        <v>2.4405999112536673E-4</v>
      </c>
      <c r="AQ145" s="9">
        <f t="shared" si="18"/>
        <v>0.97387247825221712</v>
      </c>
    </row>
    <row r="146" spans="2:43" x14ac:dyDescent="0.35">
      <c r="B146" s="3" t="s">
        <v>218</v>
      </c>
      <c r="D146" s="141">
        <v>45340</v>
      </c>
      <c r="E146" s="141">
        <v>26215</v>
      </c>
      <c r="F146" s="141">
        <v>24920</v>
      </c>
      <c r="G146" s="141">
        <v>50427</v>
      </c>
      <c r="H146" s="141">
        <f>+SUM(D146:G146)</f>
        <v>146902</v>
      </c>
      <c r="J146" s="141">
        <v>8304</v>
      </c>
      <c r="K146" s="141">
        <v>2798</v>
      </c>
      <c r="L146" s="141">
        <v>2315</v>
      </c>
      <c r="M146" s="141">
        <v>6188</v>
      </c>
      <c r="N146" s="141">
        <f>+SUM(J146:M146)</f>
        <v>19605</v>
      </c>
      <c r="P146" s="2">
        <f>+IFERROR(J146/D146,"")</f>
        <v>0.1831495368328187</v>
      </c>
      <c r="Q146" s="2">
        <f>+IFERROR(K146/E146,"")</f>
        <v>0.10673278657257296</v>
      </c>
      <c r="R146" s="2">
        <f>+IFERROR(L146/F146,"")</f>
        <v>9.2897271268057788E-2</v>
      </c>
      <c r="S146" s="2">
        <f>+IFERROR(M146/G146,"")</f>
        <v>0.12271203918535704</v>
      </c>
      <c r="T146" s="2" t="str">
        <f>+IFERROR(#REF!/#REF!,"")</f>
        <v/>
      </c>
      <c r="U146" s="2" t="str">
        <f>+IFERROR(#REF!/#REF!,"")</f>
        <v/>
      </c>
      <c r="V146" s="2" t="str">
        <f>+IFERROR(#REF!/#REF!,"")</f>
        <v/>
      </c>
      <c r="W146" s="2" t="str">
        <f>+IFERROR(#REF!/#REF!,"")</f>
        <v/>
      </c>
      <c r="X146" s="2" t="str">
        <f>+IFERROR(#REF!/#REF!,"")</f>
        <v/>
      </c>
      <c r="Y146" s="2" t="str">
        <f>+IFERROR(#REF!/#REF!,"")</f>
        <v/>
      </c>
      <c r="Z146" s="2" t="str">
        <f>+IFERROR(#REF!/#REF!,"")</f>
        <v/>
      </c>
      <c r="AA146" s="2" t="str">
        <f>+IFERROR(#REF!/#REF!,"")</f>
        <v/>
      </c>
      <c r="AB146" s="2">
        <f>+IFERROR(N146/H146,"")</f>
        <v>0.1334563178173204</v>
      </c>
      <c r="AD146" s="143">
        <f t="shared" si="13"/>
        <v>-7.6416750260245747E-2</v>
      </c>
      <c r="AE146" s="143">
        <f t="shared" si="14"/>
        <v>-1.383551530451517E-2</v>
      </c>
      <c r="AF146" s="143">
        <f t="shared" si="16"/>
        <v>2.9814767917299256E-2</v>
      </c>
      <c r="AG146" s="143" t="str">
        <f t="shared" si="16"/>
        <v/>
      </c>
      <c r="AH146" s="143" t="str">
        <f t="shared" si="16"/>
        <v/>
      </c>
      <c r="AI146" s="143" t="str">
        <f t="shared" si="15"/>
        <v/>
      </c>
      <c r="AJ146" s="143" t="str">
        <f t="shared" si="15"/>
        <v/>
      </c>
      <c r="AK146" s="143" t="str">
        <f t="shared" si="15"/>
        <v/>
      </c>
      <c r="AL146" s="143" t="str">
        <f t="shared" si="15"/>
        <v/>
      </c>
      <c r="AM146" s="143" t="str">
        <f t="shared" si="15"/>
        <v/>
      </c>
      <c r="AN146" s="143" t="str">
        <f t="shared" si="15"/>
        <v/>
      </c>
      <c r="AP146" s="9">
        <f t="shared" si="17"/>
        <v>1.1294832779810576E-5</v>
      </c>
      <c r="AQ146" s="9">
        <f t="shared" si="18"/>
        <v>0.97388377308499696</v>
      </c>
    </row>
    <row r="147" spans="2:43" x14ac:dyDescent="0.35">
      <c r="B147" s="3" t="s">
        <v>219</v>
      </c>
      <c r="D147" s="141">
        <v>870504</v>
      </c>
      <c r="E147" s="141">
        <v>889278</v>
      </c>
      <c r="F147" s="141">
        <v>683641</v>
      </c>
      <c r="G147" s="141">
        <v>332660</v>
      </c>
      <c r="H147" s="141">
        <f>+SUM(D147:G147)</f>
        <v>2776083</v>
      </c>
      <c r="J147" s="141">
        <v>103961</v>
      </c>
      <c r="K147" s="141">
        <v>108731</v>
      </c>
      <c r="L147" s="141">
        <v>72649</v>
      </c>
      <c r="M147" s="141">
        <v>37563</v>
      </c>
      <c r="N147" s="141">
        <f>+SUM(J147:M147)</f>
        <v>322904</v>
      </c>
      <c r="P147" s="2">
        <f>+IFERROR(J147/D147,"")</f>
        <v>0.11942621745563489</v>
      </c>
      <c r="Q147" s="2">
        <f>+IFERROR(K147/E147,"")</f>
        <v>0.12226885181012012</v>
      </c>
      <c r="R147" s="2">
        <f>+IFERROR(L147/F147,"")</f>
        <v>0.10626776334362625</v>
      </c>
      <c r="S147" s="2">
        <f>+IFERROR(M147/G147,"")</f>
        <v>0.11291709252690435</v>
      </c>
      <c r="T147" s="2" t="str">
        <f>+IFERROR(#REF!/#REF!,"")</f>
        <v/>
      </c>
      <c r="U147" s="2" t="str">
        <f>+IFERROR(#REF!/#REF!,"")</f>
        <v/>
      </c>
      <c r="V147" s="2" t="str">
        <f>+IFERROR(#REF!/#REF!,"")</f>
        <v/>
      </c>
      <c r="W147" s="2" t="str">
        <f>+IFERROR(#REF!/#REF!,"")</f>
        <v/>
      </c>
      <c r="X147" s="2" t="str">
        <f>+IFERROR(#REF!/#REF!,"")</f>
        <v/>
      </c>
      <c r="Y147" s="2" t="str">
        <f>+IFERROR(#REF!/#REF!,"")</f>
        <v/>
      </c>
      <c r="Z147" s="2" t="str">
        <f>+IFERROR(#REF!/#REF!,"")</f>
        <v/>
      </c>
      <c r="AA147" s="2" t="str">
        <f>+IFERROR(#REF!/#REF!,"")</f>
        <v/>
      </c>
      <c r="AB147" s="2">
        <f>+IFERROR(N147/H147,"")</f>
        <v>0.11631640696621823</v>
      </c>
      <c r="AD147" s="143">
        <f t="shared" si="13"/>
        <v>2.8426343544852295E-3</v>
      </c>
      <c r="AE147" s="143">
        <f t="shared" si="14"/>
        <v>-1.6001088466493868E-2</v>
      </c>
      <c r="AF147" s="143">
        <f t="shared" si="16"/>
        <v>6.6493291832780965E-3</v>
      </c>
      <c r="AG147" s="143" t="str">
        <f t="shared" si="16"/>
        <v/>
      </c>
      <c r="AH147" s="143" t="str">
        <f t="shared" si="16"/>
        <v/>
      </c>
      <c r="AI147" s="143" t="str">
        <f t="shared" si="15"/>
        <v/>
      </c>
      <c r="AJ147" s="143" t="str">
        <f t="shared" si="15"/>
        <v/>
      </c>
      <c r="AK147" s="143" t="str">
        <f t="shared" si="15"/>
        <v/>
      </c>
      <c r="AL147" s="143" t="str">
        <f t="shared" si="15"/>
        <v/>
      </c>
      <c r="AM147" s="143" t="str">
        <f t="shared" si="15"/>
        <v/>
      </c>
      <c r="AN147" s="143" t="str">
        <f t="shared" si="15"/>
        <v/>
      </c>
      <c r="AP147" s="9">
        <f t="shared" si="17"/>
        <v>1.8603145544156868E-4</v>
      </c>
      <c r="AQ147" s="9">
        <f t="shared" si="18"/>
        <v>0.97406980454043857</v>
      </c>
    </row>
    <row r="148" spans="2:43" x14ac:dyDescent="0.35">
      <c r="B148" s="3" t="s">
        <v>235</v>
      </c>
      <c r="D148" s="141">
        <v>735</v>
      </c>
      <c r="E148" s="141"/>
      <c r="F148" s="141">
        <v>19078</v>
      </c>
      <c r="G148" s="141">
        <v>2989</v>
      </c>
      <c r="H148" s="141">
        <f>+SUM(D148:G148)</f>
        <v>22802</v>
      </c>
      <c r="J148" s="141">
        <v>27</v>
      </c>
      <c r="K148" s="141"/>
      <c r="L148" s="141">
        <v>1883</v>
      </c>
      <c r="M148" s="141">
        <v>135</v>
      </c>
      <c r="N148" s="141">
        <f>+SUM(J148:M148)</f>
        <v>2045</v>
      </c>
      <c r="P148" s="2">
        <f>+IFERROR(J148/D148,"")</f>
        <v>3.6734693877551024E-2</v>
      </c>
      <c r="Q148" s="2" t="str">
        <f>+IFERROR(K148/E148,"")</f>
        <v/>
      </c>
      <c r="R148" s="2">
        <f>+IFERROR(L148/F148,"")</f>
        <v>9.8700073382954182E-2</v>
      </c>
      <c r="S148" s="2">
        <f>+IFERROR(M148/G148,"")</f>
        <v>4.5165607226497158E-2</v>
      </c>
      <c r="T148" s="2" t="str">
        <f>+IFERROR(#REF!/#REF!,"")</f>
        <v/>
      </c>
      <c r="U148" s="2" t="str">
        <f>+IFERROR(#REF!/#REF!,"")</f>
        <v/>
      </c>
      <c r="V148" s="2" t="str">
        <f>+IFERROR(#REF!/#REF!,"")</f>
        <v/>
      </c>
      <c r="W148" s="2" t="str">
        <f>+IFERROR(#REF!/#REF!,"")</f>
        <v/>
      </c>
      <c r="X148" s="2" t="str">
        <f>+IFERROR(#REF!/#REF!,"")</f>
        <v/>
      </c>
      <c r="Y148" s="2" t="str">
        <f>+IFERROR(#REF!/#REF!,"")</f>
        <v/>
      </c>
      <c r="Z148" s="2" t="str">
        <f>+IFERROR(#REF!/#REF!,"")</f>
        <v/>
      </c>
      <c r="AA148" s="2" t="str">
        <f>+IFERROR(#REF!/#REF!,"")</f>
        <v/>
      </c>
      <c r="AB148" s="2">
        <f>+IFERROR(N148/H148,"")</f>
        <v>8.9685115340759583E-2</v>
      </c>
      <c r="AD148" s="143" t="str">
        <f t="shared" si="13"/>
        <v/>
      </c>
      <c r="AE148" s="143" t="str">
        <f t="shared" si="14"/>
        <v/>
      </c>
      <c r="AF148" s="143">
        <f t="shared" si="16"/>
        <v>-5.3534466156457024E-2</v>
      </c>
      <c r="AG148" s="143" t="str">
        <f t="shared" si="16"/>
        <v/>
      </c>
      <c r="AH148" s="143" t="str">
        <f t="shared" si="16"/>
        <v/>
      </c>
      <c r="AI148" s="143" t="str">
        <f t="shared" si="16"/>
        <v/>
      </c>
      <c r="AJ148" s="143" t="str">
        <f t="shared" si="16"/>
        <v/>
      </c>
      <c r="AK148" s="143" t="str">
        <f t="shared" si="16"/>
        <v/>
      </c>
      <c r="AL148" s="143" t="str">
        <f t="shared" si="16"/>
        <v/>
      </c>
      <c r="AM148" s="143" t="str">
        <f t="shared" si="16"/>
        <v/>
      </c>
      <c r="AN148" s="143" t="str">
        <f t="shared" si="16"/>
        <v/>
      </c>
      <c r="AP148" s="9">
        <f t="shared" si="17"/>
        <v>1.1781654187560636E-6</v>
      </c>
      <c r="AQ148" s="9">
        <f t="shared" si="18"/>
        <v>0.97407098270585735</v>
      </c>
    </row>
    <row r="149" spans="2:43" x14ac:dyDescent="0.35">
      <c r="B149" s="3" t="s">
        <v>230</v>
      </c>
      <c r="D149" s="141">
        <v>63586</v>
      </c>
      <c r="E149" s="141">
        <v>54992</v>
      </c>
      <c r="F149" s="141">
        <v>55294</v>
      </c>
      <c r="G149" s="141">
        <v>59966</v>
      </c>
      <c r="H149" s="141">
        <f>+SUM(D149:G149)</f>
        <v>233838</v>
      </c>
      <c r="J149" s="141">
        <v>8424</v>
      </c>
      <c r="K149" s="141">
        <v>5957</v>
      </c>
      <c r="L149" s="141">
        <v>3095</v>
      </c>
      <c r="M149" s="141">
        <v>4702</v>
      </c>
      <c r="N149" s="141">
        <f>+SUM(J149:M149)</f>
        <v>22178</v>
      </c>
      <c r="P149" s="2">
        <f>+IFERROR(J149/D149,"")</f>
        <v>0.13248199289151699</v>
      </c>
      <c r="Q149" s="2">
        <f>+IFERROR(K149/E149,"")</f>
        <v>0.10832484725050917</v>
      </c>
      <c r="R149" s="2">
        <f>+IFERROR(L149/F149,"")</f>
        <v>5.5973523347922015E-2</v>
      </c>
      <c r="S149" s="2">
        <f>+IFERROR(M149/G149,"")</f>
        <v>7.8411099623119762E-2</v>
      </c>
      <c r="T149" s="2" t="str">
        <f>+IFERROR(#REF!/#REF!,"")</f>
        <v/>
      </c>
      <c r="U149" s="2" t="str">
        <f>+IFERROR(#REF!/#REF!,"")</f>
        <v/>
      </c>
      <c r="V149" s="2" t="str">
        <f>+IFERROR(#REF!/#REF!,"")</f>
        <v/>
      </c>
      <c r="W149" s="2" t="str">
        <f>+IFERROR(#REF!/#REF!,"")</f>
        <v/>
      </c>
      <c r="X149" s="2" t="str">
        <f>+IFERROR(#REF!/#REF!,"")</f>
        <v/>
      </c>
      <c r="Y149" s="2" t="str">
        <f>+IFERROR(#REF!/#REF!,"")</f>
        <v/>
      </c>
      <c r="Z149" s="2" t="str">
        <f>+IFERROR(#REF!/#REF!,"")</f>
        <v/>
      </c>
      <c r="AA149" s="2" t="str">
        <f>+IFERROR(#REF!/#REF!,"")</f>
        <v/>
      </c>
      <c r="AB149" s="2">
        <f>+IFERROR(N149/H149,"")</f>
        <v>9.4843438619899245E-2</v>
      </c>
      <c r="AD149" s="143">
        <f t="shared" si="13"/>
        <v>-2.4157145641007821E-2</v>
      </c>
      <c r="AE149" s="143">
        <f t="shared" si="14"/>
        <v>-5.2351323902587156E-2</v>
      </c>
      <c r="AF149" s="143">
        <f t="shared" ref="AF149:AN177" si="19">+IFERROR(S149-R149,"")</f>
        <v>2.2437576275197747E-2</v>
      </c>
      <c r="AG149" s="143" t="str">
        <f t="shared" si="19"/>
        <v/>
      </c>
      <c r="AH149" s="143" t="str">
        <f t="shared" si="19"/>
        <v/>
      </c>
      <c r="AI149" s="143" t="str">
        <f t="shared" si="19"/>
        <v/>
      </c>
      <c r="AJ149" s="143" t="str">
        <f t="shared" si="19"/>
        <v/>
      </c>
      <c r="AK149" s="143" t="str">
        <f t="shared" si="19"/>
        <v/>
      </c>
      <c r="AL149" s="143" t="str">
        <f t="shared" si="19"/>
        <v/>
      </c>
      <c r="AM149" s="143" t="str">
        <f t="shared" si="19"/>
        <v/>
      </c>
      <c r="AN149" s="143" t="str">
        <f t="shared" si="19"/>
        <v/>
      </c>
      <c r="AP149" s="9">
        <f t="shared" si="17"/>
        <v>1.2777189563409281E-5</v>
      </c>
      <c r="AQ149" s="9">
        <f t="shared" si="18"/>
        <v>0.97408375989542073</v>
      </c>
    </row>
    <row r="150" spans="2:43" x14ac:dyDescent="0.35">
      <c r="B150" s="3" t="s">
        <v>227</v>
      </c>
      <c r="D150" s="141">
        <v>32522</v>
      </c>
      <c r="E150" s="141">
        <v>22138</v>
      </c>
      <c r="F150" s="141">
        <v>23936</v>
      </c>
      <c r="G150" s="141">
        <v>19221</v>
      </c>
      <c r="H150" s="141">
        <f>+SUM(D150:G150)</f>
        <v>97817</v>
      </c>
      <c r="J150" s="141">
        <v>3287</v>
      </c>
      <c r="K150" s="141">
        <v>3451</v>
      </c>
      <c r="L150" s="141">
        <v>3940</v>
      </c>
      <c r="M150" s="141">
        <v>3670</v>
      </c>
      <c r="N150" s="141">
        <f>+SUM(J150:M150)</f>
        <v>14348</v>
      </c>
      <c r="P150" s="2">
        <f>+IFERROR(J150/D150,"")</f>
        <v>0.10107004489268803</v>
      </c>
      <c r="Q150" s="2">
        <f>+IFERROR(K150/E150,"")</f>
        <v>0.15588580720932332</v>
      </c>
      <c r="R150" s="2">
        <f>+IFERROR(L150/F150,"")</f>
        <v>0.16460561497326204</v>
      </c>
      <c r="S150" s="2">
        <f>+IFERROR(M150/G150,"")</f>
        <v>0.19093699599396494</v>
      </c>
      <c r="T150" s="2" t="str">
        <f>+IFERROR(#REF!/#REF!,"")</f>
        <v/>
      </c>
      <c r="U150" s="2" t="str">
        <f>+IFERROR(#REF!/#REF!,"")</f>
        <v/>
      </c>
      <c r="V150" s="2" t="str">
        <f>+IFERROR(#REF!/#REF!,"")</f>
        <v/>
      </c>
      <c r="W150" s="2" t="str">
        <f>+IFERROR(#REF!/#REF!,"")</f>
        <v/>
      </c>
      <c r="X150" s="2" t="str">
        <f>+IFERROR(#REF!/#REF!,"")</f>
        <v/>
      </c>
      <c r="Y150" s="2" t="str">
        <f>+IFERROR(#REF!/#REF!,"")</f>
        <v/>
      </c>
      <c r="Z150" s="2" t="str">
        <f>+IFERROR(#REF!/#REF!,"")</f>
        <v/>
      </c>
      <c r="AA150" s="2" t="str">
        <f>+IFERROR(#REF!/#REF!,"")</f>
        <v/>
      </c>
      <c r="AB150" s="2">
        <f>+IFERROR(N150/H150,"")</f>
        <v>0.14668206957890756</v>
      </c>
      <c r="AD150" s="143">
        <f t="shared" si="13"/>
        <v>5.4815762316635291E-2</v>
      </c>
      <c r="AE150" s="143">
        <f t="shared" si="14"/>
        <v>8.7198077639387139E-3</v>
      </c>
      <c r="AF150" s="143">
        <f t="shared" si="19"/>
        <v>2.6331381020702899E-2</v>
      </c>
      <c r="AG150" s="143" t="str">
        <f t="shared" si="19"/>
        <v/>
      </c>
      <c r="AH150" s="143" t="str">
        <f t="shared" si="19"/>
        <v/>
      </c>
      <c r="AI150" s="143" t="str">
        <f t="shared" si="19"/>
        <v/>
      </c>
      <c r="AJ150" s="143" t="str">
        <f t="shared" si="19"/>
        <v/>
      </c>
      <c r="AK150" s="143" t="str">
        <f t="shared" si="19"/>
        <v/>
      </c>
      <c r="AL150" s="143" t="str">
        <f t="shared" si="19"/>
        <v/>
      </c>
      <c r="AM150" s="143" t="str">
        <f t="shared" si="19"/>
        <v/>
      </c>
      <c r="AN150" s="143" t="str">
        <f t="shared" si="19"/>
        <v/>
      </c>
      <c r="AP150" s="9">
        <f t="shared" si="17"/>
        <v>8.2661698915951108E-6</v>
      </c>
      <c r="AQ150" s="9">
        <f t="shared" si="18"/>
        <v>0.97409202606531231</v>
      </c>
    </row>
    <row r="151" spans="2:43" x14ac:dyDescent="0.35">
      <c r="B151" s="3" t="s">
        <v>232</v>
      </c>
      <c r="D151" s="141">
        <v>165432</v>
      </c>
      <c r="E151" s="141">
        <v>110337</v>
      </c>
      <c r="F151" s="141">
        <v>102991</v>
      </c>
      <c r="G151" s="141">
        <v>103980</v>
      </c>
      <c r="H151" s="141">
        <f>+SUM(D151:G151)</f>
        <v>482740</v>
      </c>
      <c r="J151" s="141">
        <v>16766</v>
      </c>
      <c r="K151" s="141">
        <v>13324</v>
      </c>
      <c r="L151" s="141">
        <v>9025</v>
      </c>
      <c r="M151" s="141">
        <v>11605</v>
      </c>
      <c r="N151" s="141">
        <f>+SUM(J151:M151)</f>
        <v>50720</v>
      </c>
      <c r="P151" s="2">
        <f>+IFERROR(J151/D151,"")</f>
        <v>0.10134677692344891</v>
      </c>
      <c r="Q151" s="2">
        <f>+IFERROR(K151/E151,"")</f>
        <v>0.12075731622211951</v>
      </c>
      <c r="R151" s="2">
        <f>+IFERROR(L151/F151,"")</f>
        <v>8.7629016127622805E-2</v>
      </c>
      <c r="S151" s="2">
        <f>+IFERROR(M151/G151,"")</f>
        <v>0.11160800153875745</v>
      </c>
      <c r="T151" s="2" t="str">
        <f>+IFERROR(#REF!/#REF!,"")</f>
        <v/>
      </c>
      <c r="U151" s="2" t="str">
        <f>+IFERROR(#REF!/#REF!,"")</f>
        <v/>
      </c>
      <c r="V151" s="2" t="str">
        <f>+IFERROR(#REF!/#REF!,"")</f>
        <v/>
      </c>
      <c r="W151" s="2" t="str">
        <f>+IFERROR(#REF!/#REF!,"")</f>
        <v/>
      </c>
      <c r="X151" s="2" t="str">
        <f>+IFERROR(#REF!/#REF!,"")</f>
        <v/>
      </c>
      <c r="Y151" s="2" t="str">
        <f>+IFERROR(#REF!/#REF!,"")</f>
        <v/>
      </c>
      <c r="Z151" s="2" t="str">
        <f>+IFERROR(#REF!/#REF!,"")</f>
        <v/>
      </c>
      <c r="AA151" s="2" t="str">
        <f>+IFERROR(#REF!/#REF!,"")</f>
        <v/>
      </c>
      <c r="AB151" s="2">
        <f>+IFERROR(N151/H151,"")</f>
        <v>0.10506690972366077</v>
      </c>
      <c r="AD151" s="143">
        <f t="shared" si="13"/>
        <v>1.9410539298670593E-2</v>
      </c>
      <c r="AE151" s="143">
        <f t="shared" si="14"/>
        <v>-3.3128300094496702E-2</v>
      </c>
      <c r="AF151" s="143">
        <f t="shared" si="19"/>
        <v>2.3978985411134648E-2</v>
      </c>
      <c r="AG151" s="143" t="str">
        <f t="shared" si="19"/>
        <v/>
      </c>
      <c r="AH151" s="143" t="str">
        <f t="shared" si="19"/>
        <v/>
      </c>
      <c r="AI151" s="143" t="str">
        <f t="shared" si="19"/>
        <v/>
      </c>
      <c r="AJ151" s="143" t="str">
        <f t="shared" si="19"/>
        <v/>
      </c>
      <c r="AK151" s="143" t="str">
        <f t="shared" si="19"/>
        <v/>
      </c>
      <c r="AL151" s="143" t="str">
        <f t="shared" si="19"/>
        <v/>
      </c>
      <c r="AM151" s="143" t="str">
        <f t="shared" si="19"/>
        <v/>
      </c>
      <c r="AN151" s="143" t="str">
        <f t="shared" si="19"/>
        <v/>
      </c>
      <c r="AP151" s="9">
        <f t="shared" si="17"/>
        <v>2.9220806865187065E-5</v>
      </c>
      <c r="AQ151" s="9">
        <f t="shared" si="18"/>
        <v>0.97412124687217749</v>
      </c>
    </row>
    <row r="152" spans="2:43" x14ac:dyDescent="0.35">
      <c r="B152" s="3" t="s">
        <v>242</v>
      </c>
      <c r="D152" s="141">
        <v>16797</v>
      </c>
      <c r="E152" s="141">
        <v>17402</v>
      </c>
      <c r="F152" s="141">
        <v>34125</v>
      </c>
      <c r="G152" s="141">
        <v>25944</v>
      </c>
      <c r="H152" s="141">
        <f>+SUM(D152:G152)</f>
        <v>94268</v>
      </c>
      <c r="J152" s="141">
        <v>1291</v>
      </c>
      <c r="K152" s="141">
        <v>1180</v>
      </c>
      <c r="L152" s="141">
        <v>3439</v>
      </c>
      <c r="M152" s="141">
        <v>1483</v>
      </c>
      <c r="N152" s="141">
        <f>+SUM(J152:M152)</f>
        <v>7393</v>
      </c>
      <c r="P152" s="2">
        <f>+IFERROR(J152/D152,"")</f>
        <v>7.685896291004346E-2</v>
      </c>
      <c r="Q152" s="2">
        <f>+IFERROR(K152/E152,"")</f>
        <v>6.7808297896793476E-2</v>
      </c>
      <c r="R152" s="2">
        <f>+IFERROR(L152/F152,"")</f>
        <v>0.10077655677655678</v>
      </c>
      <c r="S152" s="2">
        <f>+IFERROR(M152/G152,"")</f>
        <v>5.7161578785075551E-2</v>
      </c>
      <c r="T152" s="2" t="str">
        <f>+IFERROR(#REF!/#REF!,"")</f>
        <v/>
      </c>
      <c r="U152" s="2" t="str">
        <f>+IFERROR(#REF!/#REF!,"")</f>
        <v/>
      </c>
      <c r="V152" s="2" t="str">
        <f>+IFERROR(#REF!/#REF!,"")</f>
        <v/>
      </c>
      <c r="W152" s="2" t="str">
        <f>+IFERROR(#REF!/#REF!,"")</f>
        <v/>
      </c>
      <c r="X152" s="2" t="str">
        <f>+IFERROR(#REF!/#REF!,"")</f>
        <v/>
      </c>
      <c r="Y152" s="2" t="str">
        <f>+IFERROR(#REF!/#REF!,"")</f>
        <v/>
      </c>
      <c r="Z152" s="2" t="str">
        <f>+IFERROR(#REF!/#REF!,"")</f>
        <v/>
      </c>
      <c r="AA152" s="2" t="str">
        <f>+IFERROR(#REF!/#REF!,"")</f>
        <v/>
      </c>
      <c r="AB152" s="2">
        <f>+IFERROR(N152/H152,"")</f>
        <v>7.8425340518521666E-2</v>
      </c>
      <c r="AD152" s="143">
        <f t="shared" si="13"/>
        <v>-9.0506650132499838E-3</v>
      </c>
      <c r="AE152" s="143">
        <f t="shared" si="14"/>
        <v>3.2968258879763304E-2</v>
      </c>
      <c r="AF152" s="143">
        <f t="shared" si="19"/>
        <v>-4.361497799148123E-2</v>
      </c>
      <c r="AG152" s="143" t="str">
        <f t="shared" si="19"/>
        <v/>
      </c>
      <c r="AH152" s="143" t="str">
        <f t="shared" si="19"/>
        <v/>
      </c>
      <c r="AI152" s="143" t="str">
        <f t="shared" si="19"/>
        <v/>
      </c>
      <c r="AJ152" s="143" t="str">
        <f t="shared" si="19"/>
        <v/>
      </c>
      <c r="AK152" s="143" t="str">
        <f t="shared" si="19"/>
        <v/>
      </c>
      <c r="AL152" s="143" t="str">
        <f t="shared" si="19"/>
        <v/>
      </c>
      <c r="AM152" s="143" t="str">
        <f t="shared" si="19"/>
        <v/>
      </c>
      <c r="AN152" s="143" t="str">
        <f t="shared" si="19"/>
        <v/>
      </c>
      <c r="AP152" s="9">
        <f t="shared" si="17"/>
        <v>4.2592552278061504E-6</v>
      </c>
      <c r="AQ152" s="9">
        <f t="shared" si="18"/>
        <v>0.97412550612740534</v>
      </c>
    </row>
    <row r="153" spans="2:43" x14ac:dyDescent="0.35">
      <c r="B153" s="3" t="s">
        <v>226</v>
      </c>
      <c r="D153" s="141">
        <v>97079</v>
      </c>
      <c r="E153" s="141">
        <v>144024</v>
      </c>
      <c r="F153" s="141">
        <v>199728</v>
      </c>
      <c r="G153" s="141">
        <v>168897</v>
      </c>
      <c r="H153" s="141">
        <f>+SUM(D153:G153)</f>
        <v>609728</v>
      </c>
      <c r="J153" s="141">
        <v>9068</v>
      </c>
      <c r="K153" s="141">
        <v>13982</v>
      </c>
      <c r="L153" s="141">
        <v>13024</v>
      </c>
      <c r="M153" s="141">
        <v>16695</v>
      </c>
      <c r="N153" s="141">
        <f>+SUM(J153:M153)</f>
        <v>52769</v>
      </c>
      <c r="P153" s="2">
        <f>+IFERROR(J153/D153,"")</f>
        <v>9.3408461150197256E-2</v>
      </c>
      <c r="Q153" s="2">
        <f>+IFERROR(K153/E153,"")</f>
        <v>9.7081042048547464E-2</v>
      </c>
      <c r="R153" s="2">
        <f>+IFERROR(L153/F153,"")</f>
        <v>6.5208683809981571E-2</v>
      </c>
      <c r="S153" s="2">
        <f>+IFERROR(M153/G153,"")</f>
        <v>9.8847226416099748E-2</v>
      </c>
      <c r="T153" s="2" t="str">
        <f>+IFERROR(#REF!/#REF!,"")</f>
        <v/>
      </c>
      <c r="U153" s="2" t="str">
        <f>+IFERROR(#REF!/#REF!,"")</f>
        <v/>
      </c>
      <c r="V153" s="2" t="str">
        <f>+IFERROR(#REF!/#REF!,"")</f>
        <v/>
      </c>
      <c r="W153" s="2" t="str">
        <f>+IFERROR(#REF!/#REF!,"")</f>
        <v/>
      </c>
      <c r="X153" s="2" t="str">
        <f>+IFERROR(#REF!/#REF!,"")</f>
        <v/>
      </c>
      <c r="Y153" s="2" t="str">
        <f>+IFERROR(#REF!/#REF!,"")</f>
        <v/>
      </c>
      <c r="Z153" s="2" t="str">
        <f>+IFERROR(#REF!/#REF!,"")</f>
        <v/>
      </c>
      <c r="AA153" s="2" t="str">
        <f>+IFERROR(#REF!/#REF!,"")</f>
        <v/>
      </c>
      <c r="AB153" s="2">
        <f>+IFERROR(N153/H153,"")</f>
        <v>8.6545148000419861E-2</v>
      </c>
      <c r="AD153" s="143">
        <f t="shared" si="13"/>
        <v>3.6725808983502084E-3</v>
      </c>
      <c r="AE153" s="143">
        <f t="shared" si="14"/>
        <v>-3.1872358238565893E-2</v>
      </c>
      <c r="AF153" s="143">
        <f t="shared" si="19"/>
        <v>3.3638542606118177E-2</v>
      </c>
      <c r="AG153" s="143" t="str">
        <f t="shared" si="19"/>
        <v/>
      </c>
      <c r="AH153" s="143" t="str">
        <f t="shared" si="19"/>
        <v/>
      </c>
      <c r="AI153" s="143" t="str">
        <f t="shared" si="19"/>
        <v/>
      </c>
      <c r="AJ153" s="143" t="str">
        <f t="shared" si="19"/>
        <v/>
      </c>
      <c r="AK153" s="143" t="str">
        <f t="shared" si="19"/>
        <v/>
      </c>
      <c r="AL153" s="143" t="str">
        <f t="shared" si="19"/>
        <v/>
      </c>
      <c r="AM153" s="143" t="str">
        <f t="shared" si="19"/>
        <v/>
      </c>
      <c r="AN153" s="143" t="str">
        <f t="shared" si="19"/>
        <v/>
      </c>
      <c r="AP153" s="9">
        <f t="shared" si="17"/>
        <v>3.0401276763979812E-5</v>
      </c>
      <c r="AQ153" s="9">
        <f t="shared" si="18"/>
        <v>0.97415590740416935</v>
      </c>
    </row>
    <row r="154" spans="2:43" x14ac:dyDescent="0.35">
      <c r="B154" s="3" t="s">
        <v>247</v>
      </c>
      <c r="D154" s="141">
        <v>657159</v>
      </c>
      <c r="E154" s="141">
        <v>635487</v>
      </c>
      <c r="F154" s="141">
        <v>371653</v>
      </c>
      <c r="G154" s="141">
        <v>330018</v>
      </c>
      <c r="H154" s="141">
        <f>+SUM(D154:G154)</f>
        <v>1994317</v>
      </c>
      <c r="J154" s="141">
        <v>206454</v>
      </c>
      <c r="K154" s="141">
        <v>97685</v>
      </c>
      <c r="L154" s="141">
        <v>77617</v>
      </c>
      <c r="M154" s="141">
        <v>58495</v>
      </c>
      <c r="N154" s="141">
        <f>+SUM(J154:M154)</f>
        <v>440251</v>
      </c>
      <c r="P154" s="2">
        <f>+IFERROR(J154/D154,"")</f>
        <v>0.31416141299137651</v>
      </c>
      <c r="Q154" s="2">
        <f>+IFERROR(K154/E154,"")</f>
        <v>0.15371675581089778</v>
      </c>
      <c r="R154" s="2">
        <f>+IFERROR(L154/F154,"")</f>
        <v>0.20884265699456214</v>
      </c>
      <c r="S154" s="2">
        <f>+IFERROR(M154/G154,"")</f>
        <v>0.17724790768988358</v>
      </c>
      <c r="T154" s="2" t="str">
        <f>+IFERROR(#REF!/#REF!,"")</f>
        <v/>
      </c>
      <c r="U154" s="2" t="str">
        <f>+IFERROR(#REF!/#REF!,"")</f>
        <v/>
      </c>
      <c r="V154" s="2" t="str">
        <f>+IFERROR(#REF!/#REF!,"")</f>
        <v/>
      </c>
      <c r="W154" s="2" t="str">
        <f>+IFERROR(#REF!/#REF!,"")</f>
        <v/>
      </c>
      <c r="X154" s="2" t="str">
        <f>+IFERROR(#REF!/#REF!,"")</f>
        <v/>
      </c>
      <c r="Y154" s="2" t="str">
        <f>+IFERROR(#REF!/#REF!,"")</f>
        <v/>
      </c>
      <c r="Z154" s="2" t="str">
        <f>+IFERROR(#REF!/#REF!,"")</f>
        <v/>
      </c>
      <c r="AA154" s="2" t="str">
        <f>+IFERROR(#REF!/#REF!,"")</f>
        <v/>
      </c>
      <c r="AB154" s="2">
        <f>+IFERROR(N154/H154,"")</f>
        <v>0.22075276899309387</v>
      </c>
      <c r="AD154" s="143">
        <f t="shared" si="13"/>
        <v>-0.16044465718047873</v>
      </c>
      <c r="AE154" s="143">
        <f t="shared" si="14"/>
        <v>5.5125901183664366E-2</v>
      </c>
      <c r="AF154" s="143">
        <f t="shared" si="19"/>
        <v>-3.1594749304678565E-2</v>
      </c>
      <c r="AG154" s="143" t="str">
        <f t="shared" si="19"/>
        <v/>
      </c>
      <c r="AH154" s="143" t="str">
        <f t="shared" si="19"/>
        <v/>
      </c>
      <c r="AI154" s="143" t="str">
        <f t="shared" si="19"/>
        <v/>
      </c>
      <c r="AJ154" s="143" t="str">
        <f t="shared" si="19"/>
        <v/>
      </c>
      <c r="AK154" s="143" t="str">
        <f t="shared" si="19"/>
        <v/>
      </c>
      <c r="AL154" s="143" t="str">
        <f t="shared" si="19"/>
        <v/>
      </c>
      <c r="AM154" s="143" t="str">
        <f t="shared" si="19"/>
        <v/>
      </c>
      <c r="AN154" s="143" t="str">
        <f t="shared" si="19"/>
        <v/>
      </c>
      <c r="AP154" s="9">
        <f t="shared" si="17"/>
        <v>2.5363741015783654E-4</v>
      </c>
      <c r="AQ154" s="9">
        <f t="shared" si="18"/>
        <v>0.97440954481432718</v>
      </c>
    </row>
    <row r="155" spans="2:43" x14ac:dyDescent="0.35">
      <c r="B155" s="3" t="s">
        <v>244</v>
      </c>
      <c r="D155" s="141">
        <v>20237</v>
      </c>
      <c r="E155" s="141">
        <v>23023</v>
      </c>
      <c r="F155" s="141">
        <v>13734</v>
      </c>
      <c r="G155" s="141">
        <v>1781</v>
      </c>
      <c r="H155" s="141">
        <f>+SUM(D155:G155)</f>
        <v>58775</v>
      </c>
      <c r="J155" s="141">
        <v>953</v>
      </c>
      <c r="K155" s="141">
        <v>673</v>
      </c>
      <c r="L155" s="141">
        <v>212</v>
      </c>
      <c r="M155" s="141">
        <v>5</v>
      </c>
      <c r="N155" s="141">
        <f>+SUM(J155:M155)</f>
        <v>1843</v>
      </c>
      <c r="P155" s="2">
        <f>+IFERROR(J155/D155,"")</f>
        <v>4.7091960270791128E-2</v>
      </c>
      <c r="Q155" s="2">
        <f>+IFERROR(K155/E155,"")</f>
        <v>2.92316379272901E-2</v>
      </c>
      <c r="R155" s="2">
        <f>+IFERROR(L155/F155,"")</f>
        <v>1.5436143876510849E-2</v>
      </c>
      <c r="S155" s="2">
        <f>+IFERROR(M155/G155,"")</f>
        <v>2.807411566535654E-3</v>
      </c>
      <c r="T155" s="2" t="str">
        <f>+IFERROR(#REF!/#REF!,"")</f>
        <v/>
      </c>
      <c r="U155" s="2" t="str">
        <f>+IFERROR(#REF!/#REF!,"")</f>
        <v/>
      </c>
      <c r="V155" s="2" t="str">
        <f>+IFERROR(#REF!/#REF!,"")</f>
        <v/>
      </c>
      <c r="W155" s="2" t="str">
        <f>+IFERROR(#REF!/#REF!,"")</f>
        <v/>
      </c>
      <c r="X155" s="2" t="str">
        <f>+IFERROR(#REF!/#REF!,"")</f>
        <v/>
      </c>
      <c r="Y155" s="2" t="str">
        <f>+IFERROR(#REF!/#REF!,"")</f>
        <v/>
      </c>
      <c r="Z155" s="2" t="str">
        <f>+IFERROR(#REF!/#REF!,"")</f>
        <v/>
      </c>
      <c r="AA155" s="2" t="str">
        <f>+IFERROR(#REF!/#REF!,"")</f>
        <v/>
      </c>
      <c r="AB155" s="2">
        <f>+IFERROR(N155/H155,"")</f>
        <v>3.1356869417269249E-2</v>
      </c>
      <c r="AD155" s="143">
        <f t="shared" si="13"/>
        <v>-1.7860322343501028E-2</v>
      </c>
      <c r="AE155" s="143">
        <f t="shared" si="14"/>
        <v>-1.3795494050779251E-2</v>
      </c>
      <c r="AF155" s="143">
        <f t="shared" si="19"/>
        <v>-1.2628732309975195E-2</v>
      </c>
      <c r="AG155" s="143" t="str">
        <f t="shared" si="19"/>
        <v/>
      </c>
      <c r="AH155" s="143" t="str">
        <f t="shared" si="19"/>
        <v/>
      </c>
      <c r="AI155" s="143" t="str">
        <f t="shared" si="19"/>
        <v/>
      </c>
      <c r="AJ155" s="143" t="str">
        <f t="shared" si="19"/>
        <v/>
      </c>
      <c r="AK155" s="143" t="str">
        <f t="shared" si="19"/>
        <v/>
      </c>
      <c r="AL155" s="143" t="str">
        <f t="shared" si="19"/>
        <v/>
      </c>
      <c r="AM155" s="143" t="str">
        <f t="shared" si="19"/>
        <v/>
      </c>
      <c r="AN155" s="143" t="str">
        <f t="shared" si="19"/>
        <v/>
      </c>
      <c r="AP155" s="9">
        <f t="shared" si="17"/>
        <v>1.0617891769033863E-6</v>
      </c>
      <c r="AQ155" s="9">
        <f t="shared" si="18"/>
        <v>0.97441060660350409</v>
      </c>
    </row>
    <row r="156" spans="2:43" x14ac:dyDescent="0.35">
      <c r="B156" s="3" t="s">
        <v>234</v>
      </c>
      <c r="D156" s="141">
        <v>88050</v>
      </c>
      <c r="E156" s="141">
        <v>51960</v>
      </c>
      <c r="F156" s="141">
        <v>40260</v>
      </c>
      <c r="G156" s="141">
        <v>19452</v>
      </c>
      <c r="H156" s="141">
        <f>+SUM(D156:G156)</f>
        <v>199722</v>
      </c>
      <c r="J156" s="141">
        <v>7908</v>
      </c>
      <c r="K156" s="141">
        <v>4598</v>
      </c>
      <c r="L156" s="141">
        <v>3358</v>
      </c>
      <c r="M156" s="141">
        <v>3690</v>
      </c>
      <c r="N156" s="141">
        <f>+SUM(J156:M156)</f>
        <v>19554</v>
      </c>
      <c r="P156" s="2">
        <f>+IFERROR(J156/D156,"")</f>
        <v>8.9812606473594542E-2</v>
      </c>
      <c r="Q156" s="2">
        <f>+IFERROR(K156/E156,"")</f>
        <v>8.8491147036181675E-2</v>
      </c>
      <c r="R156" s="2">
        <f>+IFERROR(L156/F156,"")</f>
        <v>8.3407848981619473E-2</v>
      </c>
      <c r="S156" s="2">
        <f>+IFERROR(M156/G156,"")</f>
        <v>0.18969771745835903</v>
      </c>
      <c r="T156" s="2" t="str">
        <f>+IFERROR(#REF!/#REF!,"")</f>
        <v/>
      </c>
      <c r="U156" s="2" t="str">
        <f>+IFERROR(#REF!/#REF!,"")</f>
        <v/>
      </c>
      <c r="V156" s="2" t="str">
        <f>+IFERROR(#REF!/#REF!,"")</f>
        <v/>
      </c>
      <c r="W156" s="2" t="str">
        <f>+IFERROR(#REF!/#REF!,"")</f>
        <v/>
      </c>
      <c r="X156" s="2" t="str">
        <f>+IFERROR(#REF!/#REF!,"")</f>
        <v/>
      </c>
      <c r="Y156" s="2" t="str">
        <f>+IFERROR(#REF!/#REF!,"")</f>
        <v/>
      </c>
      <c r="Z156" s="2" t="str">
        <f>+IFERROR(#REF!/#REF!,"")</f>
        <v/>
      </c>
      <c r="AA156" s="2" t="str">
        <f>+IFERROR(#REF!/#REF!,"")</f>
        <v/>
      </c>
      <c r="AB156" s="2">
        <f>+IFERROR(N156/H156,"")</f>
        <v>9.7906089464355459E-2</v>
      </c>
      <c r="AD156" s="143">
        <f t="shared" si="13"/>
        <v>-1.3214594374128669E-3</v>
      </c>
      <c r="AE156" s="143">
        <f t="shared" si="14"/>
        <v>-5.083298054562202E-3</v>
      </c>
      <c r="AF156" s="143">
        <f t="shared" si="19"/>
        <v>0.10628986847673956</v>
      </c>
      <c r="AG156" s="143" t="str">
        <f t="shared" si="19"/>
        <v/>
      </c>
      <c r="AH156" s="143" t="str">
        <f t="shared" si="19"/>
        <v/>
      </c>
      <c r="AI156" s="143" t="str">
        <f t="shared" si="19"/>
        <v/>
      </c>
      <c r="AJ156" s="143" t="str">
        <f t="shared" si="19"/>
        <v/>
      </c>
      <c r="AK156" s="143" t="str">
        <f t="shared" si="19"/>
        <v/>
      </c>
      <c r="AL156" s="143" t="str">
        <f t="shared" si="19"/>
        <v/>
      </c>
      <c r="AM156" s="143" t="str">
        <f t="shared" si="19"/>
        <v/>
      </c>
      <c r="AN156" s="143" t="str">
        <f t="shared" si="19"/>
        <v/>
      </c>
      <c r="AP156" s="9">
        <f t="shared" si="17"/>
        <v>1.126545065934282E-5</v>
      </c>
      <c r="AQ156" s="9">
        <f t="shared" si="18"/>
        <v>0.97442187205416342</v>
      </c>
    </row>
    <row r="157" spans="2:43" x14ac:dyDescent="0.35">
      <c r="B157" s="3" t="s">
        <v>222</v>
      </c>
      <c r="D157" s="141">
        <v>27028</v>
      </c>
      <c r="E157" s="141">
        <v>21018</v>
      </c>
      <c r="F157" s="141">
        <v>36147</v>
      </c>
      <c r="G157" s="141">
        <v>39466</v>
      </c>
      <c r="H157" s="141">
        <f>+SUM(D157:G157)</f>
        <v>123659</v>
      </c>
      <c r="J157" s="141">
        <v>1752</v>
      </c>
      <c r="K157" s="141">
        <v>3417</v>
      </c>
      <c r="L157" s="141">
        <v>4822</v>
      </c>
      <c r="M157" s="141">
        <v>2553</v>
      </c>
      <c r="N157" s="141">
        <f>+SUM(J157:M157)</f>
        <v>12544</v>
      </c>
      <c r="P157" s="2">
        <f>+IFERROR(J157/D157,"")</f>
        <v>6.4821666420008875E-2</v>
      </c>
      <c r="Q157" s="2">
        <f>+IFERROR(K157/E157,"")</f>
        <v>0.16257493576934057</v>
      </c>
      <c r="R157" s="2">
        <f>+IFERROR(L157/F157,"")</f>
        <v>0.13339972888483137</v>
      </c>
      <c r="S157" s="2">
        <f>+IFERROR(M157/G157,"")</f>
        <v>6.4688592712714738E-2</v>
      </c>
      <c r="T157" s="2" t="str">
        <f>+IFERROR(#REF!/#REF!,"")</f>
        <v/>
      </c>
      <c r="U157" s="2" t="str">
        <f>+IFERROR(#REF!/#REF!,"")</f>
        <v/>
      </c>
      <c r="V157" s="2" t="str">
        <f>+IFERROR(#REF!/#REF!,"")</f>
        <v/>
      </c>
      <c r="W157" s="2" t="str">
        <f>+IFERROR(#REF!/#REF!,"")</f>
        <v/>
      </c>
      <c r="X157" s="2" t="str">
        <f>+IFERROR(#REF!/#REF!,"")</f>
        <v/>
      </c>
      <c r="Y157" s="2" t="str">
        <f>+IFERROR(#REF!/#REF!,"")</f>
        <v/>
      </c>
      <c r="Z157" s="2" t="str">
        <f>+IFERROR(#REF!/#REF!,"")</f>
        <v/>
      </c>
      <c r="AA157" s="2" t="str">
        <f>+IFERROR(#REF!/#REF!,"")</f>
        <v/>
      </c>
      <c r="AB157" s="2">
        <f>+IFERROR(N157/H157,"")</f>
        <v>0.10144025101286602</v>
      </c>
      <c r="AD157" s="143">
        <f t="shared" si="13"/>
        <v>9.7753269349331692E-2</v>
      </c>
      <c r="AE157" s="143">
        <f t="shared" si="14"/>
        <v>-2.9175206884509197E-2</v>
      </c>
      <c r="AF157" s="143">
        <f t="shared" si="19"/>
        <v>-6.8711136172116632E-2</v>
      </c>
      <c r="AG157" s="143" t="str">
        <f t="shared" si="19"/>
        <v/>
      </c>
      <c r="AH157" s="143" t="str">
        <f t="shared" si="19"/>
        <v/>
      </c>
      <c r="AI157" s="143" t="str">
        <f t="shared" si="19"/>
        <v/>
      </c>
      <c r="AJ157" s="143" t="str">
        <f t="shared" si="19"/>
        <v/>
      </c>
      <c r="AK157" s="143" t="str">
        <f t="shared" si="19"/>
        <v/>
      </c>
      <c r="AL157" s="143" t="str">
        <f t="shared" si="19"/>
        <v/>
      </c>
      <c r="AM157" s="143" t="str">
        <f t="shared" si="19"/>
        <v/>
      </c>
      <c r="AN157" s="143" t="str">
        <f t="shared" si="19"/>
        <v/>
      </c>
      <c r="AP157" s="9">
        <f t="shared" si="17"/>
        <v>7.226849395049419E-6</v>
      </c>
      <c r="AQ157" s="9">
        <f t="shared" si="18"/>
        <v>0.97442909890355844</v>
      </c>
    </row>
    <row r="158" spans="2:43" x14ac:dyDescent="0.35">
      <c r="B158" s="3" t="s">
        <v>239</v>
      </c>
      <c r="D158" s="141">
        <v>279525</v>
      </c>
      <c r="E158" s="141">
        <v>275814</v>
      </c>
      <c r="F158" s="141">
        <v>166413</v>
      </c>
      <c r="G158" s="141">
        <v>74526</v>
      </c>
      <c r="H158" s="141">
        <f>+SUM(D158:G158)</f>
        <v>796278</v>
      </c>
      <c r="J158" s="141">
        <v>21093</v>
      </c>
      <c r="K158" s="141">
        <v>32674</v>
      </c>
      <c r="L158" s="141">
        <v>14935</v>
      </c>
      <c r="M158" s="141">
        <v>3200</v>
      </c>
      <c r="N158" s="141">
        <f>+SUM(J158:M158)</f>
        <v>71902</v>
      </c>
      <c r="P158" s="2">
        <f>+IFERROR(J158/D158,"")</f>
        <v>7.5460155621143013E-2</v>
      </c>
      <c r="Q158" s="2">
        <f>+IFERROR(K158/E158,"")</f>
        <v>0.11846389233323906</v>
      </c>
      <c r="R158" s="2">
        <f>+IFERROR(L158/F158,"")</f>
        <v>8.9746594316549785E-2</v>
      </c>
      <c r="S158" s="2">
        <f>+IFERROR(M158/G158,"")</f>
        <v>4.2938035048171105E-2</v>
      </c>
      <c r="T158" s="2" t="str">
        <f>+IFERROR(#REF!/#REF!,"")</f>
        <v/>
      </c>
      <c r="U158" s="2" t="str">
        <f>+IFERROR(#REF!/#REF!,"")</f>
        <v/>
      </c>
      <c r="V158" s="2" t="str">
        <f>+IFERROR(#REF!/#REF!,"")</f>
        <v/>
      </c>
      <c r="W158" s="2" t="str">
        <f>+IFERROR(#REF!/#REF!,"")</f>
        <v/>
      </c>
      <c r="X158" s="2" t="str">
        <f>+IFERROR(#REF!/#REF!,"")</f>
        <v/>
      </c>
      <c r="Y158" s="2" t="str">
        <f>+IFERROR(#REF!/#REF!,"")</f>
        <v/>
      </c>
      <c r="Z158" s="2" t="str">
        <f>+IFERROR(#REF!/#REF!,"")</f>
        <v/>
      </c>
      <c r="AA158" s="2" t="str">
        <f>+IFERROR(#REF!/#REF!,"")</f>
        <v/>
      </c>
      <c r="AB158" s="2">
        <f>+IFERROR(N158/H158,"")</f>
        <v>9.0297609628797987E-2</v>
      </c>
      <c r="AD158" s="143">
        <f t="shared" si="13"/>
        <v>4.300373671209605E-2</v>
      </c>
      <c r="AE158" s="143">
        <f t="shared" si="14"/>
        <v>-2.8717298016689277E-2</v>
      </c>
      <c r="AF158" s="143">
        <f t="shared" si="19"/>
        <v>-4.680855926837868E-2</v>
      </c>
      <c r="AG158" s="143" t="str">
        <f t="shared" si="19"/>
        <v/>
      </c>
      <c r="AH158" s="143" t="str">
        <f t="shared" si="19"/>
        <v/>
      </c>
      <c r="AI158" s="143" t="str">
        <f t="shared" si="19"/>
        <v/>
      </c>
      <c r="AJ158" s="143" t="str">
        <f t="shared" si="19"/>
        <v/>
      </c>
      <c r="AK158" s="143" t="str">
        <f t="shared" si="19"/>
        <v/>
      </c>
      <c r="AL158" s="143" t="str">
        <f t="shared" si="19"/>
        <v/>
      </c>
      <c r="AM158" s="143" t="str">
        <f t="shared" si="19"/>
        <v/>
      </c>
      <c r="AN158" s="143" t="str">
        <f t="shared" si="19"/>
        <v/>
      </c>
      <c r="AP158" s="9">
        <f t="shared" si="17"/>
        <v>4.142418089946136E-5</v>
      </c>
      <c r="AQ158" s="9">
        <f t="shared" si="18"/>
        <v>0.97447052308445792</v>
      </c>
    </row>
    <row r="159" spans="2:43" x14ac:dyDescent="0.35">
      <c r="B159" s="3" t="s">
        <v>249</v>
      </c>
      <c r="D159" s="141">
        <v>1782</v>
      </c>
      <c r="E159" s="141">
        <v>1310</v>
      </c>
      <c r="F159" s="141">
        <v>286</v>
      </c>
      <c r="G159" s="141"/>
      <c r="H159" s="141">
        <f>+SUM(D159:G159)</f>
        <v>3378</v>
      </c>
      <c r="J159" s="141">
        <v>770</v>
      </c>
      <c r="K159" s="141">
        <v>117</v>
      </c>
      <c r="L159" s="141">
        <v>60</v>
      </c>
      <c r="M159" s="141"/>
      <c r="N159" s="141">
        <f>+SUM(J159:M159)</f>
        <v>947</v>
      </c>
      <c r="P159" s="2">
        <f>+IFERROR(J159/D159,"")</f>
        <v>0.43209876543209874</v>
      </c>
      <c r="Q159" s="2">
        <f>+IFERROR(K159/E159,"")</f>
        <v>8.9312977099236635E-2</v>
      </c>
      <c r="R159" s="2">
        <f>+IFERROR(L159/F159,"")</f>
        <v>0.20979020979020979</v>
      </c>
      <c r="S159" s="2" t="str">
        <f>+IFERROR(M159/G159,"")</f>
        <v/>
      </c>
      <c r="T159" s="2" t="str">
        <f>+IFERROR(#REF!/#REF!,"")</f>
        <v/>
      </c>
      <c r="U159" s="2" t="str">
        <f>+IFERROR(#REF!/#REF!,"")</f>
        <v/>
      </c>
      <c r="V159" s="2" t="str">
        <f>+IFERROR(#REF!/#REF!,"")</f>
        <v/>
      </c>
      <c r="W159" s="2" t="str">
        <f>+IFERROR(#REF!/#REF!,"")</f>
        <v/>
      </c>
      <c r="X159" s="2" t="str">
        <f>+IFERROR(#REF!/#REF!,"")</f>
        <v/>
      </c>
      <c r="Y159" s="2" t="str">
        <f>+IFERROR(#REF!/#REF!,"")</f>
        <v/>
      </c>
      <c r="Z159" s="2" t="str">
        <f>+IFERROR(#REF!/#REF!,"")</f>
        <v/>
      </c>
      <c r="AA159" s="2" t="str">
        <f>+IFERROR(#REF!/#REF!,"")</f>
        <v/>
      </c>
      <c r="AB159" s="2">
        <f>+IFERROR(N159/H159,"")</f>
        <v>0.28034339846062761</v>
      </c>
      <c r="AD159" s="143">
        <f t="shared" si="13"/>
        <v>-0.34278578833286211</v>
      </c>
      <c r="AE159" s="143">
        <f t="shared" si="14"/>
        <v>0.12047723269097316</v>
      </c>
      <c r="AF159" s="143" t="str">
        <f t="shared" si="19"/>
        <v/>
      </c>
      <c r="AG159" s="143" t="str">
        <f t="shared" si="19"/>
        <v/>
      </c>
      <c r="AH159" s="143" t="str">
        <f t="shared" si="19"/>
        <v/>
      </c>
      <c r="AI159" s="143" t="str">
        <f t="shared" si="19"/>
        <v/>
      </c>
      <c r="AJ159" s="143" t="str">
        <f t="shared" si="19"/>
        <v/>
      </c>
      <c r="AK159" s="143" t="str">
        <f t="shared" si="19"/>
        <v/>
      </c>
      <c r="AL159" s="143" t="str">
        <f t="shared" si="19"/>
        <v/>
      </c>
      <c r="AM159" s="143" t="str">
        <f t="shared" si="19"/>
        <v/>
      </c>
      <c r="AN159" s="143" t="str">
        <f t="shared" si="19"/>
        <v/>
      </c>
      <c r="AP159" s="9">
        <f t="shared" si="17"/>
        <v>5.4558564868557073E-7</v>
      </c>
      <c r="AQ159" s="9">
        <f t="shared" si="18"/>
        <v>0.97447106867010658</v>
      </c>
    </row>
    <row r="160" spans="2:43" x14ac:dyDescent="0.35">
      <c r="B160" s="3" t="s">
        <v>237</v>
      </c>
      <c r="D160" s="141">
        <v>1357358</v>
      </c>
      <c r="E160" s="141">
        <v>1356979</v>
      </c>
      <c r="F160" s="141">
        <v>1662280</v>
      </c>
      <c r="G160" s="141">
        <v>1883152</v>
      </c>
      <c r="H160" s="141">
        <f>+SUM(D160:G160)</f>
        <v>6259769</v>
      </c>
      <c r="J160" s="141">
        <v>88437</v>
      </c>
      <c r="K160" s="141">
        <v>75325</v>
      </c>
      <c r="L160" s="141">
        <v>98369</v>
      </c>
      <c r="M160" s="141">
        <v>83698</v>
      </c>
      <c r="N160" s="141">
        <f>+SUM(J160:M160)</f>
        <v>345829</v>
      </c>
      <c r="P160" s="2">
        <f>+IFERROR(J160/D160,"")</f>
        <v>6.5153776674981845E-2</v>
      </c>
      <c r="Q160" s="2">
        <f>+IFERROR(K160/E160,"")</f>
        <v>5.5509333600593673E-2</v>
      </c>
      <c r="R160" s="2">
        <f>+IFERROR(L160/F160,"")</f>
        <v>5.9177154270038744E-2</v>
      </c>
      <c r="S160" s="2">
        <f>+IFERROR(M160/G160,"")</f>
        <v>4.4445695302344157E-2</v>
      </c>
      <c r="T160" s="2" t="str">
        <f>+IFERROR(#REF!/#REF!,"")</f>
        <v/>
      </c>
      <c r="U160" s="2" t="str">
        <f>+IFERROR(#REF!/#REF!,"")</f>
        <v/>
      </c>
      <c r="V160" s="2" t="str">
        <f>+IFERROR(#REF!/#REF!,"")</f>
        <v/>
      </c>
      <c r="W160" s="2" t="str">
        <f>+IFERROR(#REF!/#REF!,"")</f>
        <v/>
      </c>
      <c r="X160" s="2" t="str">
        <f>+IFERROR(#REF!/#REF!,"")</f>
        <v/>
      </c>
      <c r="Y160" s="2" t="str">
        <f>+IFERROR(#REF!/#REF!,"")</f>
        <v/>
      </c>
      <c r="Z160" s="2" t="str">
        <f>+IFERROR(#REF!/#REF!,"")</f>
        <v/>
      </c>
      <c r="AA160" s="2" t="str">
        <f>+IFERROR(#REF!/#REF!,"")</f>
        <v/>
      </c>
      <c r="AB160" s="2">
        <f>+IFERROR(N160/H160,"")</f>
        <v>5.5246287842251045E-2</v>
      </c>
      <c r="AD160" s="143">
        <f t="shared" si="13"/>
        <v>-9.6444430743881718E-3</v>
      </c>
      <c r="AE160" s="143">
        <f t="shared" si="14"/>
        <v>3.667820669445071E-3</v>
      </c>
      <c r="AF160" s="143">
        <f t="shared" si="19"/>
        <v>-1.4731458967694587E-2</v>
      </c>
      <c r="AG160" s="143" t="str">
        <f t="shared" si="19"/>
        <v/>
      </c>
      <c r="AH160" s="143" t="str">
        <f t="shared" si="19"/>
        <v/>
      </c>
      <c r="AI160" s="143" t="str">
        <f t="shared" si="19"/>
        <v/>
      </c>
      <c r="AJ160" s="143" t="str">
        <f t="shared" si="19"/>
        <v/>
      </c>
      <c r="AK160" s="143" t="str">
        <f t="shared" si="19"/>
        <v/>
      </c>
      <c r="AL160" s="143" t="str">
        <f t="shared" si="19"/>
        <v/>
      </c>
      <c r="AM160" s="143" t="str">
        <f t="shared" si="19"/>
        <v/>
      </c>
      <c r="AN160" s="143" t="str">
        <f t="shared" si="19"/>
        <v/>
      </c>
      <c r="AP160" s="9">
        <f t="shared" si="17"/>
        <v>1.9923900665182919E-4</v>
      </c>
      <c r="AQ160" s="9">
        <f t="shared" si="18"/>
        <v>0.97467030767675844</v>
      </c>
    </row>
    <row r="161" spans="2:43" x14ac:dyDescent="0.35">
      <c r="B161" s="3" t="s">
        <v>245</v>
      </c>
      <c r="D161" s="141">
        <v>14901</v>
      </c>
      <c r="E161" s="141">
        <v>13596</v>
      </c>
      <c r="F161" s="141">
        <v>7331</v>
      </c>
      <c r="G161" s="141"/>
      <c r="H161" s="141">
        <f>+SUM(D161:G161)</f>
        <v>35828</v>
      </c>
      <c r="J161" s="141">
        <v>1315</v>
      </c>
      <c r="K161" s="141">
        <v>1189</v>
      </c>
      <c r="L161" s="141">
        <v>2782</v>
      </c>
      <c r="M161" s="141"/>
      <c r="N161" s="141">
        <f>+SUM(J161:M161)</f>
        <v>5286</v>
      </c>
      <c r="P161" s="2">
        <f>+IFERROR(J161/D161,"")</f>
        <v>8.8249110797933031E-2</v>
      </c>
      <c r="Q161" s="2">
        <f>+IFERROR(K161/E161,"")</f>
        <v>8.7452191821123862E-2</v>
      </c>
      <c r="R161" s="2">
        <f>+IFERROR(L161/F161,"")</f>
        <v>0.37948438139407992</v>
      </c>
      <c r="S161" s="2" t="str">
        <f>+IFERROR(M161/G161,"")</f>
        <v/>
      </c>
      <c r="T161" s="2" t="str">
        <f>+IFERROR(#REF!/#REF!,"")</f>
        <v/>
      </c>
      <c r="U161" s="2" t="str">
        <f>+IFERROR(#REF!/#REF!,"")</f>
        <v/>
      </c>
      <c r="V161" s="2" t="str">
        <f>+IFERROR(#REF!/#REF!,"")</f>
        <v/>
      </c>
      <c r="W161" s="2" t="str">
        <f>+IFERROR(#REF!/#REF!,"")</f>
        <v/>
      </c>
      <c r="X161" s="2" t="str">
        <f>+IFERROR(#REF!/#REF!,"")</f>
        <v/>
      </c>
      <c r="Y161" s="2" t="str">
        <f>+IFERROR(#REF!/#REF!,"")</f>
        <v/>
      </c>
      <c r="Z161" s="2" t="str">
        <f>+IFERROR(#REF!/#REF!,"")</f>
        <v/>
      </c>
      <c r="AA161" s="2" t="str">
        <f>+IFERROR(#REF!/#REF!,"")</f>
        <v/>
      </c>
      <c r="AB161" s="2">
        <f>+IFERROR(N161/H161,"")</f>
        <v>0.14753823824941387</v>
      </c>
      <c r="AD161" s="143">
        <f t="shared" si="13"/>
        <v>-7.969189768091689E-4</v>
      </c>
      <c r="AE161" s="143">
        <f t="shared" si="14"/>
        <v>0.29203218957295607</v>
      </c>
      <c r="AF161" s="143" t="str">
        <f t="shared" si="19"/>
        <v/>
      </c>
      <c r="AG161" s="143" t="str">
        <f t="shared" si="19"/>
        <v/>
      </c>
      <c r="AH161" s="143" t="str">
        <f t="shared" si="19"/>
        <v/>
      </c>
      <c r="AI161" s="143" t="str">
        <f t="shared" si="19"/>
        <v/>
      </c>
      <c r="AJ161" s="143" t="str">
        <f t="shared" si="19"/>
        <v/>
      </c>
      <c r="AK161" s="143" t="str">
        <f t="shared" si="19"/>
        <v/>
      </c>
      <c r="AL161" s="143" t="str">
        <f t="shared" si="19"/>
        <v/>
      </c>
      <c r="AM161" s="143" t="str">
        <f t="shared" si="19"/>
        <v/>
      </c>
      <c r="AN161" s="143" t="str">
        <f t="shared" si="19"/>
        <v/>
      </c>
      <c r="AP161" s="9">
        <f t="shared" si="17"/>
        <v>3.0453703684814435E-6</v>
      </c>
      <c r="AQ161" s="9">
        <f t="shared" si="18"/>
        <v>0.97467335304712688</v>
      </c>
    </row>
    <row r="162" spans="2:43" x14ac:dyDescent="0.35">
      <c r="B162" s="3" t="s">
        <v>243</v>
      </c>
      <c r="D162" s="141"/>
      <c r="E162" s="141">
        <v>159095</v>
      </c>
      <c r="F162" s="141">
        <v>432079</v>
      </c>
      <c r="G162" s="141">
        <v>798103</v>
      </c>
      <c r="H162" s="141">
        <f>+SUM(D162:G162)</f>
        <v>1389277</v>
      </c>
      <c r="J162" s="141"/>
      <c r="K162" s="141">
        <v>10290</v>
      </c>
      <c r="L162" s="141">
        <v>33698</v>
      </c>
      <c r="M162" s="141">
        <v>87769</v>
      </c>
      <c r="N162" s="141">
        <f>+SUM(J162:M162)</f>
        <v>131757</v>
      </c>
      <c r="P162" s="2" t="str">
        <f>+IFERROR(J162/D162,"")</f>
        <v/>
      </c>
      <c r="Q162" s="2">
        <f>+IFERROR(K162/E162,"")</f>
        <v>6.4678336842766901E-2</v>
      </c>
      <c r="R162" s="2">
        <f>+IFERROR(L162/F162,"")</f>
        <v>7.7990367502239172E-2</v>
      </c>
      <c r="S162" s="2">
        <f>+IFERROR(M162/G162,"")</f>
        <v>0.10997202115516418</v>
      </c>
      <c r="T162" s="2" t="str">
        <f>+IFERROR(#REF!/#REF!,"")</f>
        <v/>
      </c>
      <c r="U162" s="2" t="str">
        <f>+IFERROR(#REF!/#REF!,"")</f>
        <v/>
      </c>
      <c r="V162" s="2" t="str">
        <f>+IFERROR(#REF!/#REF!,"")</f>
        <v/>
      </c>
      <c r="W162" s="2" t="str">
        <f>+IFERROR(#REF!/#REF!,"")</f>
        <v/>
      </c>
      <c r="X162" s="2" t="str">
        <f>+IFERROR(#REF!/#REF!,"")</f>
        <v/>
      </c>
      <c r="Y162" s="2" t="str">
        <f>+IFERROR(#REF!/#REF!,"")</f>
        <v/>
      </c>
      <c r="Z162" s="2" t="str">
        <f>+IFERROR(#REF!/#REF!,"")</f>
        <v/>
      </c>
      <c r="AA162" s="2" t="str">
        <f>+IFERROR(#REF!/#REF!,"")</f>
        <v/>
      </c>
      <c r="AB162" s="2">
        <f>+IFERROR(N162/H162,"")</f>
        <v>9.4838538318852181E-2</v>
      </c>
      <c r="AD162" s="143" t="str">
        <f t="shared" si="13"/>
        <v/>
      </c>
      <c r="AE162" s="143">
        <f t="shared" si="14"/>
        <v>1.3312030659472271E-2</v>
      </c>
      <c r="AF162" s="143">
        <f t="shared" si="19"/>
        <v>3.1981653652925005E-2</v>
      </c>
      <c r="AG162" s="143" t="str">
        <f t="shared" si="19"/>
        <v/>
      </c>
      <c r="AH162" s="143" t="str">
        <f t="shared" si="19"/>
        <v/>
      </c>
      <c r="AI162" s="143" t="str">
        <f t="shared" si="19"/>
        <v/>
      </c>
      <c r="AJ162" s="143" t="str">
        <f t="shared" si="19"/>
        <v/>
      </c>
      <c r="AK162" s="143" t="str">
        <f t="shared" si="19"/>
        <v/>
      </c>
      <c r="AL162" s="143" t="str">
        <f t="shared" si="19"/>
        <v/>
      </c>
      <c r="AM162" s="143" t="str">
        <f t="shared" si="19"/>
        <v/>
      </c>
      <c r="AN162" s="143" t="str">
        <f t="shared" si="19"/>
        <v/>
      </c>
      <c r="AP162" s="9">
        <f t="shared" si="17"/>
        <v>7.5907844048431628E-5</v>
      </c>
      <c r="AQ162" s="9">
        <f t="shared" si="18"/>
        <v>0.97474926089117531</v>
      </c>
    </row>
    <row r="163" spans="2:43" x14ac:dyDescent="0.35">
      <c r="B163" s="3" t="s">
        <v>246</v>
      </c>
      <c r="D163" s="141">
        <v>70580</v>
      </c>
      <c r="E163" s="141">
        <v>57543</v>
      </c>
      <c r="F163" s="141">
        <v>26368</v>
      </c>
      <c r="G163" s="141">
        <v>20719</v>
      </c>
      <c r="H163" s="141">
        <f>+SUM(D163:G163)</f>
        <v>175210</v>
      </c>
      <c r="J163" s="141">
        <v>4132</v>
      </c>
      <c r="K163" s="141">
        <v>4573</v>
      </c>
      <c r="L163" s="141">
        <v>2791</v>
      </c>
      <c r="M163" s="141">
        <v>1733</v>
      </c>
      <c r="N163" s="141">
        <f>+SUM(J163:M163)</f>
        <v>13229</v>
      </c>
      <c r="P163" s="2">
        <f>+IFERROR(J163/D163,"")</f>
        <v>5.8543496741286484E-2</v>
      </c>
      <c r="Q163" s="2">
        <f>+IFERROR(K163/E163,"")</f>
        <v>7.9471004292442179E-2</v>
      </c>
      <c r="R163" s="2">
        <f>+IFERROR(L163/F163,"")</f>
        <v>0.10584799757281553</v>
      </c>
      <c r="S163" s="2">
        <f>+IFERROR(M163/G163,"")</f>
        <v>8.3643032964911435E-2</v>
      </c>
      <c r="T163" s="2" t="str">
        <f>+IFERROR(#REF!/#REF!,"")</f>
        <v/>
      </c>
      <c r="U163" s="2" t="str">
        <f>+IFERROR(#REF!/#REF!,"")</f>
        <v/>
      </c>
      <c r="V163" s="2" t="str">
        <f>+IFERROR(#REF!/#REF!,"")</f>
        <v/>
      </c>
      <c r="W163" s="2" t="str">
        <f>+IFERROR(#REF!/#REF!,"")</f>
        <v/>
      </c>
      <c r="X163" s="2" t="str">
        <f>+IFERROR(#REF!/#REF!,"")</f>
        <v/>
      </c>
      <c r="Y163" s="2" t="str">
        <f>+IFERROR(#REF!/#REF!,"")</f>
        <v/>
      </c>
      <c r="Z163" s="2" t="str">
        <f>+IFERROR(#REF!/#REF!,"")</f>
        <v/>
      </c>
      <c r="AA163" s="2" t="str">
        <f>+IFERROR(#REF!/#REF!,"")</f>
        <v/>
      </c>
      <c r="AB163" s="2">
        <f>+IFERROR(N163/H163,"")</f>
        <v>7.5503681296729644E-2</v>
      </c>
      <c r="AD163" s="143">
        <f t="shared" si="13"/>
        <v>2.0927507551155695E-2</v>
      </c>
      <c r="AE163" s="143">
        <f t="shared" si="14"/>
        <v>2.6376993280373351E-2</v>
      </c>
      <c r="AF163" s="143">
        <f t="shared" si="19"/>
        <v>-2.2204964607904096E-2</v>
      </c>
      <c r="AG163" s="143" t="str">
        <f t="shared" si="19"/>
        <v/>
      </c>
      <c r="AH163" s="143" t="str">
        <f t="shared" si="19"/>
        <v/>
      </c>
      <c r="AI163" s="143" t="str">
        <f t="shared" si="19"/>
        <v/>
      </c>
      <c r="AJ163" s="143" t="str">
        <f t="shared" si="19"/>
        <v/>
      </c>
      <c r="AK163" s="143" t="str">
        <f t="shared" si="19"/>
        <v/>
      </c>
      <c r="AL163" s="143" t="str">
        <f t="shared" si="19"/>
        <v/>
      </c>
      <c r="AM163" s="143" t="str">
        <f t="shared" si="19"/>
        <v/>
      </c>
      <c r="AN163" s="143" t="str">
        <f t="shared" si="19"/>
        <v/>
      </c>
      <c r="AP163" s="9">
        <f t="shared" si="17"/>
        <v>7.6214916013320125E-6</v>
      </c>
      <c r="AQ163" s="9">
        <f t="shared" si="18"/>
        <v>0.97475688238277669</v>
      </c>
    </row>
    <row r="164" spans="2:43" x14ac:dyDescent="0.35">
      <c r="B164" s="3" t="s">
        <v>241</v>
      </c>
      <c r="D164" s="141">
        <v>10521</v>
      </c>
      <c r="E164" s="141">
        <v>22830</v>
      </c>
      <c r="F164" s="141">
        <v>15278</v>
      </c>
      <c r="G164" s="141">
        <v>9485</v>
      </c>
      <c r="H164" s="141">
        <f>+SUM(D164:G164)</f>
        <v>58114</v>
      </c>
      <c r="J164" s="141">
        <v>846</v>
      </c>
      <c r="K164" s="141">
        <v>2820</v>
      </c>
      <c r="L164" s="141">
        <v>1554</v>
      </c>
      <c r="M164" s="141">
        <v>1005</v>
      </c>
      <c r="N164" s="141">
        <f>+SUM(J164:M164)</f>
        <v>6225</v>
      </c>
      <c r="P164" s="2">
        <f>+IFERROR(J164/D164,"")</f>
        <v>8.0410607356715139E-2</v>
      </c>
      <c r="Q164" s="2">
        <f>+IFERROR(K164/E164,"")</f>
        <v>0.12352168199737187</v>
      </c>
      <c r="R164" s="2">
        <f>+IFERROR(L164/F164,"")</f>
        <v>0.10171488414713968</v>
      </c>
      <c r="S164" s="2">
        <f>+IFERROR(M164/G164,"")</f>
        <v>0.10595677385345283</v>
      </c>
      <c r="T164" s="2" t="str">
        <f>+IFERROR(#REF!/#REF!,"")</f>
        <v/>
      </c>
      <c r="U164" s="2" t="str">
        <f>+IFERROR(#REF!/#REF!,"")</f>
        <v/>
      </c>
      <c r="V164" s="2" t="str">
        <f>+IFERROR(#REF!/#REF!,"")</f>
        <v/>
      </c>
      <c r="W164" s="2" t="str">
        <f>+IFERROR(#REF!/#REF!,"")</f>
        <v/>
      </c>
      <c r="X164" s="2" t="str">
        <f>+IFERROR(#REF!/#REF!,"")</f>
        <v/>
      </c>
      <c r="Y164" s="2" t="str">
        <f>+IFERROR(#REF!/#REF!,"")</f>
        <v/>
      </c>
      <c r="Z164" s="2" t="str">
        <f>+IFERROR(#REF!/#REF!,"")</f>
        <v/>
      </c>
      <c r="AA164" s="2" t="str">
        <f>+IFERROR(#REF!/#REF!,"")</f>
        <v/>
      </c>
      <c r="AB164" s="2">
        <f>+IFERROR(N164/H164,"")</f>
        <v>0.10711704580651822</v>
      </c>
      <c r="AD164" s="143">
        <f t="shared" si="13"/>
        <v>4.3111074640656735E-2</v>
      </c>
      <c r="AE164" s="143">
        <f t="shared" si="14"/>
        <v>-2.1806797850232193E-2</v>
      </c>
      <c r="AF164" s="143">
        <f t="shared" si="19"/>
        <v>4.2418897063131455E-3</v>
      </c>
      <c r="AG164" s="143" t="str">
        <f t="shared" si="19"/>
        <v/>
      </c>
      <c r="AH164" s="143" t="str">
        <f t="shared" si="19"/>
        <v/>
      </c>
      <c r="AI164" s="143" t="str">
        <f t="shared" si="19"/>
        <v/>
      </c>
      <c r="AJ164" s="143" t="str">
        <f t="shared" si="19"/>
        <v/>
      </c>
      <c r="AK164" s="143" t="str">
        <f t="shared" si="19"/>
        <v/>
      </c>
      <c r="AL164" s="143" t="str">
        <f t="shared" si="19"/>
        <v/>
      </c>
      <c r="AM164" s="143" t="str">
        <f t="shared" si="19"/>
        <v/>
      </c>
      <c r="AN164" s="143" t="str">
        <f t="shared" si="19"/>
        <v/>
      </c>
      <c r="AP164" s="9">
        <f t="shared" si="17"/>
        <v>3.586347057093641E-6</v>
      </c>
      <c r="AQ164" s="9">
        <f t="shared" si="18"/>
        <v>0.9747604687298338</v>
      </c>
    </row>
    <row r="165" spans="2:43" x14ac:dyDescent="0.35">
      <c r="B165" s="3" t="s">
        <v>236</v>
      </c>
      <c r="D165" s="141">
        <v>110875</v>
      </c>
      <c r="E165" s="141">
        <v>117610</v>
      </c>
      <c r="F165" s="141">
        <v>124105</v>
      </c>
      <c r="G165" s="141">
        <v>134009</v>
      </c>
      <c r="H165" s="141">
        <f>+SUM(D165:G165)</f>
        <v>486599</v>
      </c>
      <c r="J165" s="141">
        <v>6446</v>
      </c>
      <c r="K165" s="141">
        <v>10216</v>
      </c>
      <c r="L165" s="141">
        <v>7765</v>
      </c>
      <c r="M165" s="141">
        <v>7705</v>
      </c>
      <c r="N165" s="141">
        <f>+SUM(J165:M165)</f>
        <v>32132</v>
      </c>
      <c r="P165" s="2">
        <f>+IFERROR(J165/D165,"")</f>
        <v>5.8137542277339346E-2</v>
      </c>
      <c r="Q165" s="2">
        <f>+IFERROR(K165/E165,"")</f>
        <v>8.6863361959017088E-2</v>
      </c>
      <c r="R165" s="2">
        <f>+IFERROR(L165/F165,"")</f>
        <v>6.2567986785383348E-2</v>
      </c>
      <c r="S165" s="2">
        <f>+IFERROR(M165/G165,"")</f>
        <v>5.7496138319068121E-2</v>
      </c>
      <c r="T165" s="2" t="str">
        <f>+IFERROR(#REF!/#REF!,"")</f>
        <v/>
      </c>
      <c r="U165" s="2" t="str">
        <f>+IFERROR(#REF!/#REF!,"")</f>
        <v/>
      </c>
      <c r="V165" s="2" t="str">
        <f>+IFERROR(#REF!/#REF!,"")</f>
        <v/>
      </c>
      <c r="W165" s="2" t="str">
        <f>+IFERROR(#REF!/#REF!,"")</f>
        <v/>
      </c>
      <c r="X165" s="2" t="str">
        <f>+IFERROR(#REF!/#REF!,"")</f>
        <v/>
      </c>
      <c r="Y165" s="2" t="str">
        <f>+IFERROR(#REF!/#REF!,"")</f>
        <v/>
      </c>
      <c r="Z165" s="2" t="str">
        <f>+IFERROR(#REF!/#REF!,"")</f>
        <v/>
      </c>
      <c r="AA165" s="2" t="str">
        <f>+IFERROR(#REF!/#REF!,"")</f>
        <v/>
      </c>
      <c r="AB165" s="2">
        <f>+IFERROR(N165/H165,"")</f>
        <v>6.6033838951580257E-2</v>
      </c>
      <c r="AD165" s="143">
        <f t="shared" si="13"/>
        <v>2.8725819681677742E-2</v>
      </c>
      <c r="AE165" s="143">
        <f t="shared" si="14"/>
        <v>-2.429537517363374E-2</v>
      </c>
      <c r="AF165" s="143">
        <f t="shared" si="19"/>
        <v>-5.0718484663152263E-3</v>
      </c>
      <c r="AG165" s="143" t="str">
        <f t="shared" si="19"/>
        <v/>
      </c>
      <c r="AH165" s="143" t="str">
        <f t="shared" si="19"/>
        <v/>
      </c>
      <c r="AI165" s="143" t="str">
        <f t="shared" si="19"/>
        <v/>
      </c>
      <c r="AJ165" s="143" t="str">
        <f t="shared" si="19"/>
        <v/>
      </c>
      <c r="AK165" s="143" t="str">
        <f t="shared" si="19"/>
        <v/>
      </c>
      <c r="AL165" s="143" t="str">
        <f t="shared" si="19"/>
        <v/>
      </c>
      <c r="AM165" s="143" t="str">
        <f t="shared" si="19"/>
        <v/>
      </c>
      <c r="AN165" s="143" t="str">
        <f t="shared" si="19"/>
        <v/>
      </c>
      <c r="AP165" s="9">
        <f t="shared" si="17"/>
        <v>1.8511888134704075E-5</v>
      </c>
      <c r="AQ165" s="9">
        <f t="shared" si="18"/>
        <v>0.97477898061796853</v>
      </c>
    </row>
    <row r="166" spans="2:43" x14ac:dyDescent="0.35">
      <c r="B166" s="3" t="s">
        <v>259</v>
      </c>
      <c r="D166" s="141">
        <v>31437</v>
      </c>
      <c r="E166" s="141"/>
      <c r="F166" s="141">
        <v>874</v>
      </c>
      <c r="G166" s="141"/>
      <c r="H166" s="141">
        <f>+SUM(D166:G166)</f>
        <v>32311</v>
      </c>
      <c r="J166" s="141">
        <v>1472</v>
      </c>
      <c r="K166" s="141"/>
      <c r="L166" s="141">
        <v>200</v>
      </c>
      <c r="M166" s="141"/>
      <c r="N166" s="141">
        <f>+SUM(J166:M166)</f>
        <v>1672</v>
      </c>
      <c r="P166" s="2">
        <f>+IFERROR(J166/D166,"")</f>
        <v>4.6823806342844422E-2</v>
      </c>
      <c r="Q166" s="2" t="str">
        <f>+IFERROR(K166/E166,"")</f>
        <v/>
      </c>
      <c r="R166" s="2">
        <f>+IFERROR(L166/F166,"")</f>
        <v>0.2288329519450801</v>
      </c>
      <c r="S166" s="2" t="str">
        <f>+IFERROR(M166/G166,"")</f>
        <v/>
      </c>
      <c r="T166" s="2" t="str">
        <f>+IFERROR(#REF!/#REF!,"")</f>
        <v/>
      </c>
      <c r="U166" s="2" t="str">
        <f>+IFERROR(#REF!/#REF!,"")</f>
        <v/>
      </c>
      <c r="V166" s="2" t="str">
        <f>+IFERROR(#REF!/#REF!,"")</f>
        <v/>
      </c>
      <c r="W166" s="2" t="str">
        <f>+IFERROR(#REF!/#REF!,"")</f>
        <v/>
      </c>
      <c r="X166" s="2" t="str">
        <f>+IFERROR(#REF!/#REF!,"")</f>
        <v/>
      </c>
      <c r="Y166" s="2" t="str">
        <f>+IFERROR(#REF!/#REF!,"")</f>
        <v/>
      </c>
      <c r="Z166" s="2" t="str">
        <f>+IFERROR(#REF!/#REF!,"")</f>
        <v/>
      </c>
      <c r="AA166" s="2" t="str">
        <f>+IFERROR(#REF!/#REF!,"")</f>
        <v/>
      </c>
      <c r="AB166" s="2">
        <f>+IFERROR(N166/H166,"")</f>
        <v>5.1747083036736717E-2</v>
      </c>
      <c r="AD166" s="143" t="str">
        <f t="shared" si="13"/>
        <v/>
      </c>
      <c r="AE166" s="143" t="str">
        <f t="shared" si="14"/>
        <v/>
      </c>
      <c r="AF166" s="143" t="str">
        <f t="shared" si="19"/>
        <v/>
      </c>
      <c r="AG166" s="143" t="str">
        <f t="shared" si="19"/>
        <v/>
      </c>
      <c r="AH166" s="143" t="str">
        <f t="shared" si="19"/>
        <v/>
      </c>
      <c r="AI166" s="143" t="str">
        <f t="shared" si="19"/>
        <v/>
      </c>
      <c r="AJ166" s="143" t="str">
        <f t="shared" si="19"/>
        <v/>
      </c>
      <c r="AK166" s="143" t="str">
        <f t="shared" si="19"/>
        <v/>
      </c>
      <c r="AL166" s="143" t="str">
        <f t="shared" si="19"/>
        <v/>
      </c>
      <c r="AM166" s="143" t="str">
        <f t="shared" si="19"/>
        <v/>
      </c>
      <c r="AN166" s="143" t="str">
        <f t="shared" si="19"/>
        <v/>
      </c>
      <c r="AP166" s="9">
        <f t="shared" si="17"/>
        <v>9.6327265533503093E-7</v>
      </c>
      <c r="AQ166" s="9">
        <f t="shared" si="18"/>
        <v>0.97477994389062383</v>
      </c>
    </row>
    <row r="167" spans="2:43" x14ac:dyDescent="0.35">
      <c r="B167" s="3" t="s">
        <v>254</v>
      </c>
      <c r="D167" s="141">
        <v>869</v>
      </c>
      <c r="E167" s="141">
        <v>1</v>
      </c>
      <c r="F167" s="141">
        <v>8149</v>
      </c>
      <c r="G167" s="141"/>
      <c r="H167" s="141">
        <f>+SUM(D167:G167)</f>
        <v>9019</v>
      </c>
      <c r="J167" s="141">
        <v>174</v>
      </c>
      <c r="K167" s="141">
        <v>1</v>
      </c>
      <c r="L167" s="141">
        <v>2134</v>
      </c>
      <c r="M167" s="141"/>
      <c r="N167" s="141">
        <f>+SUM(J167:M167)</f>
        <v>2309</v>
      </c>
      <c r="P167" s="2">
        <f>+IFERROR(J167/D167,"")</f>
        <v>0.2002301495972382</v>
      </c>
      <c r="Q167" s="2">
        <f>+IFERROR(K167/E167,"")</f>
        <v>1</v>
      </c>
      <c r="R167" s="2">
        <f>+IFERROR(L167/F167,"")</f>
        <v>0.26187262240765741</v>
      </c>
      <c r="S167" s="2" t="str">
        <f>+IFERROR(M167/G167,"")</f>
        <v/>
      </c>
      <c r="T167" s="2" t="str">
        <f>+IFERROR(#REF!/#REF!,"")</f>
        <v/>
      </c>
      <c r="U167" s="2" t="str">
        <f>+IFERROR(#REF!/#REF!,"")</f>
        <v/>
      </c>
      <c r="V167" s="2" t="str">
        <f>+IFERROR(#REF!/#REF!,"")</f>
        <v/>
      </c>
      <c r="W167" s="2" t="str">
        <f>+IFERROR(#REF!/#REF!,"")</f>
        <v/>
      </c>
      <c r="X167" s="2" t="str">
        <f>+IFERROR(#REF!/#REF!,"")</f>
        <v/>
      </c>
      <c r="Y167" s="2" t="str">
        <f>+IFERROR(#REF!/#REF!,"")</f>
        <v/>
      </c>
      <c r="Z167" s="2" t="str">
        <f>+IFERROR(#REF!/#REF!,"")</f>
        <v/>
      </c>
      <c r="AA167" s="2" t="str">
        <f>+IFERROR(#REF!/#REF!,"")</f>
        <v/>
      </c>
      <c r="AB167" s="2">
        <f>+IFERROR(N167/H167,"")</f>
        <v>0.25601507927708173</v>
      </c>
      <c r="AD167" s="143">
        <f t="shared" si="13"/>
        <v>0.79976985040276183</v>
      </c>
      <c r="AE167" s="143">
        <f t="shared" si="14"/>
        <v>-0.73812737759234259</v>
      </c>
      <c r="AF167" s="143" t="str">
        <f t="shared" si="19"/>
        <v/>
      </c>
      <c r="AG167" s="143" t="str">
        <f t="shared" si="19"/>
        <v/>
      </c>
      <c r="AH167" s="143" t="str">
        <f t="shared" si="19"/>
        <v/>
      </c>
      <c r="AI167" s="143" t="str">
        <f t="shared" si="19"/>
        <v/>
      </c>
      <c r="AJ167" s="143" t="str">
        <f t="shared" si="19"/>
        <v/>
      </c>
      <c r="AK167" s="143" t="str">
        <f t="shared" si="19"/>
        <v/>
      </c>
      <c r="AL167" s="143" t="str">
        <f t="shared" si="19"/>
        <v/>
      </c>
      <c r="AM167" s="143" t="str">
        <f t="shared" si="19"/>
        <v/>
      </c>
      <c r="AN167" s="143" t="str">
        <f t="shared" si="19"/>
        <v/>
      </c>
      <c r="AP167" s="9">
        <f t="shared" si="17"/>
        <v>1.3302611011773842E-6</v>
      </c>
      <c r="AQ167" s="9">
        <f t="shared" si="18"/>
        <v>0.974781274151725</v>
      </c>
    </row>
    <row r="168" spans="2:43" x14ac:dyDescent="0.35">
      <c r="B168" s="3" t="s">
        <v>255</v>
      </c>
      <c r="D168" s="141">
        <v>9505</v>
      </c>
      <c r="E168" s="141">
        <v>28028</v>
      </c>
      <c r="F168" s="141">
        <v>44575</v>
      </c>
      <c r="G168" s="141">
        <v>39474</v>
      </c>
      <c r="H168" s="141">
        <f>+SUM(D168:G168)</f>
        <v>121582</v>
      </c>
      <c r="J168" s="141">
        <v>1925</v>
      </c>
      <c r="K168" s="141">
        <v>1880</v>
      </c>
      <c r="L168" s="141">
        <v>4005</v>
      </c>
      <c r="M168" s="141">
        <v>2437</v>
      </c>
      <c r="N168" s="141">
        <f>+SUM(J168:M168)</f>
        <v>10247</v>
      </c>
      <c r="P168" s="2">
        <f>+IFERROR(J168/D168,"")</f>
        <v>0.20252498684902684</v>
      </c>
      <c r="Q168" s="2">
        <f>+IFERROR(K168/E168,"")</f>
        <v>6.7075781361495654E-2</v>
      </c>
      <c r="R168" s="2">
        <f>+IFERROR(L168/F168,"")</f>
        <v>8.9848569826135732E-2</v>
      </c>
      <c r="S168" s="2">
        <f>+IFERROR(M168/G168,"")</f>
        <v>6.1736839438617824E-2</v>
      </c>
      <c r="T168" s="2" t="str">
        <f>+IFERROR(#REF!/#REF!,"")</f>
        <v/>
      </c>
      <c r="U168" s="2" t="str">
        <f>+IFERROR(#REF!/#REF!,"")</f>
        <v/>
      </c>
      <c r="V168" s="2" t="str">
        <f>+IFERROR(#REF!/#REF!,"")</f>
        <v/>
      </c>
      <c r="W168" s="2" t="str">
        <f>+IFERROR(#REF!/#REF!,"")</f>
        <v/>
      </c>
      <c r="X168" s="2" t="str">
        <f>+IFERROR(#REF!/#REF!,"")</f>
        <v/>
      </c>
      <c r="Y168" s="2" t="str">
        <f>+IFERROR(#REF!/#REF!,"")</f>
        <v/>
      </c>
      <c r="Z168" s="2" t="str">
        <f>+IFERROR(#REF!/#REF!,"")</f>
        <v/>
      </c>
      <c r="AA168" s="2" t="str">
        <f>+IFERROR(#REF!/#REF!,"")</f>
        <v/>
      </c>
      <c r="AB168" s="2">
        <f>+IFERROR(N168/H168,"")</f>
        <v>8.428056784721423E-2</v>
      </c>
      <c r="AD168" s="143">
        <f t="shared" si="13"/>
        <v>-0.1354492054875312</v>
      </c>
      <c r="AE168" s="143">
        <f t="shared" si="14"/>
        <v>2.2772788464640079E-2</v>
      </c>
      <c r="AF168" s="143">
        <f t="shared" si="19"/>
        <v>-2.8111730387517908E-2</v>
      </c>
      <c r="AG168" s="143" t="str">
        <f t="shared" si="19"/>
        <v/>
      </c>
      <c r="AH168" s="143" t="str">
        <f t="shared" si="19"/>
        <v/>
      </c>
      <c r="AI168" s="143" t="str">
        <f t="shared" si="19"/>
        <v/>
      </c>
      <c r="AJ168" s="143" t="str">
        <f t="shared" si="19"/>
        <v/>
      </c>
      <c r="AK168" s="143" t="str">
        <f t="shared" si="19"/>
        <v/>
      </c>
      <c r="AL168" s="143" t="str">
        <f t="shared" si="19"/>
        <v/>
      </c>
      <c r="AM168" s="143" t="str">
        <f t="shared" si="19"/>
        <v/>
      </c>
      <c r="AN168" s="143" t="str">
        <f t="shared" si="19"/>
        <v/>
      </c>
      <c r="AP168" s="9">
        <f t="shared" si="17"/>
        <v>5.9035017339820946E-6</v>
      </c>
      <c r="AQ168" s="9">
        <f t="shared" si="18"/>
        <v>0.97478717765345901</v>
      </c>
    </row>
    <row r="169" spans="2:43" x14ac:dyDescent="0.35">
      <c r="B169" s="3" t="s">
        <v>252</v>
      </c>
      <c r="D169" s="141"/>
      <c r="E169" s="141"/>
      <c r="F169" s="141"/>
      <c r="G169" s="141"/>
      <c r="H169" s="141">
        <f>+SUM(D169:G169)</f>
        <v>0</v>
      </c>
      <c r="J169" s="141"/>
      <c r="K169" s="141"/>
      <c r="L169" s="141"/>
      <c r="M169" s="141"/>
      <c r="N169" s="141">
        <f>+SUM(J169:M169)</f>
        <v>0</v>
      </c>
      <c r="P169" s="2" t="str">
        <f>+IFERROR(J169/D169,"")</f>
        <v/>
      </c>
      <c r="Q169" s="2" t="str">
        <f>+IFERROR(K169/E169,"")</f>
        <v/>
      </c>
      <c r="R169" s="2" t="str">
        <f>+IFERROR(L169/F169,"")</f>
        <v/>
      </c>
      <c r="S169" s="2" t="str">
        <f>+IFERROR(M169/G169,"")</f>
        <v/>
      </c>
      <c r="T169" s="2" t="str">
        <f>+IFERROR(#REF!/#REF!,"")</f>
        <v/>
      </c>
      <c r="U169" s="2" t="str">
        <f>+IFERROR(#REF!/#REF!,"")</f>
        <v/>
      </c>
      <c r="V169" s="2" t="str">
        <f>+IFERROR(#REF!/#REF!,"")</f>
        <v/>
      </c>
      <c r="W169" s="2" t="str">
        <f>+IFERROR(#REF!/#REF!,"")</f>
        <v/>
      </c>
      <c r="X169" s="2" t="str">
        <f>+IFERROR(#REF!/#REF!,"")</f>
        <v/>
      </c>
      <c r="Y169" s="2" t="str">
        <f>+IFERROR(#REF!/#REF!,"")</f>
        <v/>
      </c>
      <c r="Z169" s="2" t="str">
        <f>+IFERROR(#REF!/#REF!,"")</f>
        <v/>
      </c>
      <c r="AA169" s="2" t="str">
        <f>+IFERROR(#REF!/#REF!,"")</f>
        <v/>
      </c>
      <c r="AB169" s="2" t="str">
        <f>+IFERROR(N169/H169,"")</f>
        <v/>
      </c>
      <c r="AD169" s="143" t="str">
        <f t="shared" si="13"/>
        <v/>
      </c>
      <c r="AE169" s="143" t="str">
        <f t="shared" si="14"/>
        <v/>
      </c>
      <c r="AF169" s="143" t="str">
        <f t="shared" si="19"/>
        <v/>
      </c>
      <c r="AG169" s="143" t="str">
        <f t="shared" si="19"/>
        <v/>
      </c>
      <c r="AH169" s="143" t="str">
        <f t="shared" si="19"/>
        <v/>
      </c>
      <c r="AI169" s="143" t="str">
        <f t="shared" si="19"/>
        <v/>
      </c>
      <c r="AJ169" s="143" t="str">
        <f t="shared" si="19"/>
        <v/>
      </c>
      <c r="AK169" s="143" t="str">
        <f t="shared" si="19"/>
        <v/>
      </c>
      <c r="AL169" s="143" t="str">
        <f t="shared" si="19"/>
        <v/>
      </c>
      <c r="AM169" s="143" t="str">
        <f t="shared" si="19"/>
        <v/>
      </c>
      <c r="AN169" s="143" t="str">
        <f t="shared" si="19"/>
        <v/>
      </c>
      <c r="AP169" s="9">
        <f t="shared" si="17"/>
        <v>0</v>
      </c>
      <c r="AQ169" s="9">
        <f t="shared" si="18"/>
        <v>0.97478717765345901</v>
      </c>
    </row>
    <row r="170" spans="2:43" x14ac:dyDescent="0.35">
      <c r="B170" s="3" t="s">
        <v>263</v>
      </c>
      <c r="D170" s="141">
        <v>4624</v>
      </c>
      <c r="E170" s="141">
        <v>1929</v>
      </c>
      <c r="F170" s="141">
        <v>9629</v>
      </c>
      <c r="G170" s="141"/>
      <c r="H170" s="141">
        <f>+SUM(D170:G170)</f>
        <v>16182</v>
      </c>
      <c r="J170" s="141">
        <v>749</v>
      </c>
      <c r="K170" s="141">
        <v>272</v>
      </c>
      <c r="L170" s="141">
        <v>1859</v>
      </c>
      <c r="M170" s="141"/>
      <c r="N170" s="141">
        <f>+SUM(J170:M170)</f>
        <v>2880</v>
      </c>
      <c r="P170" s="2">
        <f>+IFERROR(J170/D170,"")</f>
        <v>0.16198096885813149</v>
      </c>
      <c r="Q170" s="2">
        <f>+IFERROR(K170/E170,"")</f>
        <v>0.1410057024364956</v>
      </c>
      <c r="R170" s="2">
        <f>+IFERROR(L170/F170,"")</f>
        <v>0.19306262332537127</v>
      </c>
      <c r="S170" s="2" t="str">
        <f>+IFERROR(M170/G170,"")</f>
        <v/>
      </c>
      <c r="T170" s="2" t="str">
        <f>+IFERROR(#REF!/#REF!,"")</f>
        <v/>
      </c>
      <c r="U170" s="2" t="str">
        <f>+IFERROR(#REF!/#REF!,"")</f>
        <v/>
      </c>
      <c r="V170" s="2" t="str">
        <f>+IFERROR(#REF!/#REF!,"")</f>
        <v/>
      </c>
      <c r="W170" s="2" t="str">
        <f>+IFERROR(#REF!/#REF!,"")</f>
        <v/>
      </c>
      <c r="X170" s="2" t="str">
        <f>+IFERROR(#REF!/#REF!,"")</f>
        <v/>
      </c>
      <c r="Y170" s="2" t="str">
        <f>+IFERROR(#REF!/#REF!,"")</f>
        <v/>
      </c>
      <c r="Z170" s="2" t="str">
        <f>+IFERROR(#REF!/#REF!,"")</f>
        <v/>
      </c>
      <c r="AA170" s="2" t="str">
        <f>+IFERROR(#REF!/#REF!,"")</f>
        <v/>
      </c>
      <c r="AB170" s="2">
        <f>+IFERROR(N170/H170,"")</f>
        <v>0.17797552836484984</v>
      </c>
      <c r="AD170" s="143">
        <f t="shared" si="13"/>
        <v>-2.0975266421635885E-2</v>
      </c>
      <c r="AE170" s="143">
        <f t="shared" si="14"/>
        <v>5.2056920888875674E-2</v>
      </c>
      <c r="AF170" s="143" t="str">
        <f t="shared" si="19"/>
        <v/>
      </c>
      <c r="AG170" s="143" t="str">
        <f t="shared" si="19"/>
        <v/>
      </c>
      <c r="AH170" s="143" t="str">
        <f t="shared" si="19"/>
        <v/>
      </c>
      <c r="AI170" s="143" t="str">
        <f t="shared" si="19"/>
        <v/>
      </c>
      <c r="AJ170" s="143" t="str">
        <f t="shared" si="19"/>
        <v/>
      </c>
      <c r="AK170" s="143" t="str">
        <f t="shared" si="19"/>
        <v/>
      </c>
      <c r="AL170" s="143" t="str">
        <f t="shared" si="19"/>
        <v/>
      </c>
      <c r="AM170" s="143" t="str">
        <f t="shared" si="19"/>
        <v/>
      </c>
      <c r="AN170" s="143" t="str">
        <f t="shared" si="19"/>
        <v/>
      </c>
      <c r="AP170" s="9">
        <f t="shared" si="17"/>
        <v>1.6592256264144074E-6</v>
      </c>
      <c r="AQ170" s="9">
        <f t="shared" si="18"/>
        <v>0.97478883687908546</v>
      </c>
    </row>
    <row r="171" spans="2:43" x14ac:dyDescent="0.35">
      <c r="B171" s="3" t="s">
        <v>238</v>
      </c>
      <c r="D171" s="141">
        <v>2133672</v>
      </c>
      <c r="E171" s="141">
        <v>2071100</v>
      </c>
      <c r="F171" s="141">
        <v>2363761</v>
      </c>
      <c r="G171" s="141">
        <v>2033188</v>
      </c>
      <c r="H171" s="141">
        <f>+SUM(D171:G171)</f>
        <v>8601721</v>
      </c>
      <c r="J171" s="141">
        <v>213490</v>
      </c>
      <c r="K171" s="141">
        <v>181939</v>
      </c>
      <c r="L171" s="141">
        <v>231919</v>
      </c>
      <c r="M171" s="141">
        <v>161582</v>
      </c>
      <c r="N171" s="141">
        <f>+SUM(J171:M171)</f>
        <v>788930</v>
      </c>
      <c r="P171" s="2">
        <f>+IFERROR(J171/D171,"")</f>
        <v>0.10005755336340356</v>
      </c>
      <c r="Q171" s="2">
        <f>+IFERROR(K171/E171,"")</f>
        <v>8.7846554970788471E-2</v>
      </c>
      <c r="R171" s="2">
        <f>+IFERROR(L171/F171,"")</f>
        <v>9.811440327511961E-2</v>
      </c>
      <c r="S171" s="2">
        <f>+IFERROR(M171/G171,"")</f>
        <v>7.9472237687808506E-2</v>
      </c>
      <c r="T171" s="2" t="str">
        <f>+IFERROR(#REF!/#REF!,"")</f>
        <v/>
      </c>
      <c r="U171" s="2" t="str">
        <f>+IFERROR(#REF!/#REF!,"")</f>
        <v/>
      </c>
      <c r="V171" s="2" t="str">
        <f>+IFERROR(#REF!/#REF!,"")</f>
        <v/>
      </c>
      <c r="W171" s="2" t="str">
        <f>+IFERROR(#REF!/#REF!,"")</f>
        <v/>
      </c>
      <c r="X171" s="2" t="str">
        <f>+IFERROR(#REF!/#REF!,"")</f>
        <v/>
      </c>
      <c r="Y171" s="2" t="str">
        <f>+IFERROR(#REF!/#REF!,"")</f>
        <v/>
      </c>
      <c r="Z171" s="2" t="str">
        <f>+IFERROR(#REF!/#REF!,"")</f>
        <v/>
      </c>
      <c r="AA171" s="2" t="str">
        <f>+IFERROR(#REF!/#REF!,"")</f>
        <v/>
      </c>
      <c r="AB171" s="2">
        <f>+IFERROR(N171/H171,"")</f>
        <v>9.1717692308318305E-2</v>
      </c>
      <c r="AD171" s="143">
        <f t="shared" si="13"/>
        <v>-1.2210998392615094E-2</v>
      </c>
      <c r="AE171" s="143">
        <f t="shared" si="14"/>
        <v>1.026784830433114E-2</v>
      </c>
      <c r="AF171" s="143">
        <f t="shared" si="19"/>
        <v>-1.8642165587311105E-2</v>
      </c>
      <c r="AG171" s="143" t="str">
        <f t="shared" si="19"/>
        <v/>
      </c>
      <c r="AH171" s="143" t="str">
        <f t="shared" si="19"/>
        <v/>
      </c>
      <c r="AI171" s="143" t="str">
        <f t="shared" si="19"/>
        <v/>
      </c>
      <c r="AJ171" s="143" t="str">
        <f t="shared" si="19"/>
        <v/>
      </c>
      <c r="AK171" s="143" t="str">
        <f t="shared" si="19"/>
        <v/>
      </c>
      <c r="AL171" s="143" t="str">
        <f t="shared" si="19"/>
        <v/>
      </c>
      <c r="AM171" s="143" t="str">
        <f t="shared" si="19"/>
        <v/>
      </c>
      <c r="AN171" s="143" t="str">
        <f t="shared" si="19"/>
        <v/>
      </c>
      <c r="AP171" s="9">
        <f t="shared" si="17"/>
        <v>4.5451835883580498E-4</v>
      </c>
      <c r="AQ171" s="9">
        <f t="shared" si="18"/>
        <v>0.97524335523792127</v>
      </c>
    </row>
    <row r="172" spans="2:43" x14ac:dyDescent="0.35">
      <c r="B172" s="3" t="s">
        <v>261</v>
      </c>
      <c r="D172" s="141"/>
      <c r="E172" s="141"/>
      <c r="F172" s="141"/>
      <c r="G172" s="141"/>
      <c r="H172" s="141">
        <f>+SUM(D172:G172)</f>
        <v>0</v>
      </c>
      <c r="J172" s="141"/>
      <c r="K172" s="141"/>
      <c r="L172" s="141"/>
      <c r="M172" s="141"/>
      <c r="N172" s="141">
        <f>+SUM(J172:M172)</f>
        <v>0</v>
      </c>
      <c r="P172" s="2" t="str">
        <f>+IFERROR(J172/D172,"")</f>
        <v/>
      </c>
      <c r="Q172" s="2" t="str">
        <f>+IFERROR(K172/E172,"")</f>
        <v/>
      </c>
      <c r="R172" s="2" t="str">
        <f>+IFERROR(L172/F172,"")</f>
        <v/>
      </c>
      <c r="S172" s="2" t="str">
        <f>+IFERROR(M172/G172,"")</f>
        <v/>
      </c>
      <c r="T172" s="2" t="str">
        <f>+IFERROR(#REF!/#REF!,"")</f>
        <v/>
      </c>
      <c r="U172" s="2" t="str">
        <f>+IFERROR(#REF!/#REF!,"")</f>
        <v/>
      </c>
      <c r="V172" s="2" t="str">
        <f>+IFERROR(#REF!/#REF!,"")</f>
        <v/>
      </c>
      <c r="W172" s="2" t="str">
        <f>+IFERROR(#REF!/#REF!,"")</f>
        <v/>
      </c>
      <c r="X172" s="2" t="str">
        <f>+IFERROR(#REF!/#REF!,"")</f>
        <v/>
      </c>
      <c r="Y172" s="2" t="str">
        <f>+IFERROR(#REF!/#REF!,"")</f>
        <v/>
      </c>
      <c r="Z172" s="2" t="str">
        <f>+IFERROR(#REF!/#REF!,"")</f>
        <v/>
      </c>
      <c r="AA172" s="2" t="str">
        <f>+IFERROR(#REF!/#REF!,"")</f>
        <v/>
      </c>
      <c r="AB172" s="2" t="str">
        <f>+IFERROR(N172/H172,"")</f>
        <v/>
      </c>
      <c r="AD172" s="143" t="str">
        <f t="shared" si="13"/>
        <v/>
      </c>
      <c r="AE172" s="143" t="str">
        <f t="shared" si="14"/>
        <v/>
      </c>
      <c r="AF172" s="143" t="str">
        <f t="shared" si="19"/>
        <v/>
      </c>
      <c r="AG172" s="143" t="str">
        <f t="shared" si="19"/>
        <v/>
      </c>
      <c r="AH172" s="143" t="str">
        <f t="shared" si="19"/>
        <v/>
      </c>
      <c r="AI172" s="143" t="str">
        <f t="shared" si="19"/>
        <v/>
      </c>
      <c r="AJ172" s="143" t="str">
        <f t="shared" si="19"/>
        <v/>
      </c>
      <c r="AK172" s="143" t="str">
        <f t="shared" si="19"/>
        <v/>
      </c>
      <c r="AL172" s="143" t="str">
        <f t="shared" si="19"/>
        <v/>
      </c>
      <c r="AM172" s="143" t="str">
        <f t="shared" si="19"/>
        <v/>
      </c>
      <c r="AN172" s="143" t="str">
        <f t="shared" si="19"/>
        <v/>
      </c>
      <c r="AP172" s="9">
        <f t="shared" si="17"/>
        <v>0</v>
      </c>
      <c r="AQ172" s="9">
        <f t="shared" si="18"/>
        <v>0.97524335523792127</v>
      </c>
    </row>
    <row r="173" spans="2:43" x14ac:dyDescent="0.35">
      <c r="B173" s="3" t="s">
        <v>260</v>
      </c>
      <c r="D173" s="141">
        <v>17309</v>
      </c>
      <c r="E173" s="141">
        <v>8178</v>
      </c>
      <c r="F173" s="141">
        <v>27805</v>
      </c>
      <c r="G173" s="141">
        <v>15455</v>
      </c>
      <c r="H173" s="141">
        <f>+SUM(D173:G173)</f>
        <v>68747</v>
      </c>
      <c r="J173" s="141">
        <v>1305</v>
      </c>
      <c r="K173" s="141">
        <v>540</v>
      </c>
      <c r="L173" s="141">
        <v>1125</v>
      </c>
      <c r="M173" s="141">
        <v>1276</v>
      </c>
      <c r="N173" s="141">
        <f>+SUM(J173:M173)</f>
        <v>4246</v>
      </c>
      <c r="P173" s="2">
        <f>+IFERROR(J173/D173,"")</f>
        <v>7.5394303541510194E-2</v>
      </c>
      <c r="Q173" s="2">
        <f>+IFERROR(K173/E173,"")</f>
        <v>6.6030814380044017E-2</v>
      </c>
      <c r="R173" s="2">
        <f>+IFERROR(L173/F173,"")</f>
        <v>4.0460348858119041E-2</v>
      </c>
      <c r="S173" s="2">
        <f>+IFERROR(M173/G173,"")</f>
        <v>8.2562277580071175E-2</v>
      </c>
      <c r="T173" s="2" t="str">
        <f>+IFERROR(#REF!/#REF!,"")</f>
        <v/>
      </c>
      <c r="U173" s="2" t="str">
        <f>+IFERROR(#REF!/#REF!,"")</f>
        <v/>
      </c>
      <c r="V173" s="2" t="str">
        <f>+IFERROR(#REF!/#REF!,"")</f>
        <v/>
      </c>
      <c r="W173" s="2" t="str">
        <f>+IFERROR(#REF!/#REF!,"")</f>
        <v/>
      </c>
      <c r="X173" s="2" t="str">
        <f>+IFERROR(#REF!/#REF!,"")</f>
        <v/>
      </c>
      <c r="Y173" s="2" t="str">
        <f>+IFERROR(#REF!/#REF!,"")</f>
        <v/>
      </c>
      <c r="Z173" s="2" t="str">
        <f>+IFERROR(#REF!/#REF!,"")</f>
        <v/>
      </c>
      <c r="AA173" s="2" t="str">
        <f>+IFERROR(#REF!/#REF!,"")</f>
        <v/>
      </c>
      <c r="AB173" s="2">
        <f>+IFERROR(N173/H173,"")</f>
        <v>6.1762695099422518E-2</v>
      </c>
      <c r="AD173" s="143">
        <f t="shared" ref="AD173:AD236" si="20">+IFERROR(Q173-P173,"")</f>
        <v>-9.3634891614661764E-3</v>
      </c>
      <c r="AE173" s="143">
        <f t="shared" ref="AE173:AF236" si="21">+IFERROR(R173-Q173,"")</f>
        <v>-2.5570465521924976E-2</v>
      </c>
      <c r="AF173" s="143">
        <f t="shared" si="19"/>
        <v>4.2101928721952134E-2</v>
      </c>
      <c r="AG173" s="143" t="str">
        <f t="shared" si="19"/>
        <v/>
      </c>
      <c r="AH173" s="143" t="str">
        <f t="shared" si="19"/>
        <v/>
      </c>
      <c r="AI173" s="143" t="str">
        <f t="shared" si="19"/>
        <v/>
      </c>
      <c r="AJ173" s="143" t="str">
        <f t="shared" si="19"/>
        <v/>
      </c>
      <c r="AK173" s="143" t="str">
        <f t="shared" si="19"/>
        <v/>
      </c>
      <c r="AL173" s="143" t="str">
        <f t="shared" si="19"/>
        <v/>
      </c>
      <c r="AM173" s="143" t="str">
        <f t="shared" si="19"/>
        <v/>
      </c>
      <c r="AN173" s="143" t="str">
        <f t="shared" si="19"/>
        <v/>
      </c>
      <c r="AP173" s="9">
        <f t="shared" si="17"/>
        <v>2.4462055589429074E-6</v>
      </c>
      <c r="AQ173" s="9">
        <f t="shared" si="18"/>
        <v>0.97524580144348016</v>
      </c>
    </row>
    <row r="174" spans="2:43" x14ac:dyDescent="0.35">
      <c r="B174" s="3" t="s">
        <v>253</v>
      </c>
      <c r="D174" s="141">
        <v>2424</v>
      </c>
      <c r="E174" s="141">
        <v>3969</v>
      </c>
      <c r="F174" s="141">
        <v>5182</v>
      </c>
      <c r="G174" s="141">
        <v>3158</v>
      </c>
      <c r="H174" s="141">
        <f>+SUM(D174:G174)</f>
        <v>14733</v>
      </c>
      <c r="J174" s="141">
        <v>221</v>
      </c>
      <c r="K174" s="141">
        <v>989</v>
      </c>
      <c r="L174" s="141">
        <v>1893</v>
      </c>
      <c r="M174" s="141">
        <v>314</v>
      </c>
      <c r="N174" s="141">
        <f>+SUM(J174:M174)</f>
        <v>3417</v>
      </c>
      <c r="P174" s="2">
        <f>+IFERROR(J174/D174,"")</f>
        <v>9.1171617161716165E-2</v>
      </c>
      <c r="Q174" s="2">
        <f>+IFERROR(K174/E174,"")</f>
        <v>0.2491811539430587</v>
      </c>
      <c r="R174" s="2">
        <f>+IFERROR(L174/F174,"")</f>
        <v>0.36530297182554999</v>
      </c>
      <c r="S174" s="2">
        <f>+IFERROR(M174/G174,"")</f>
        <v>9.9430018999366682E-2</v>
      </c>
      <c r="T174" s="2" t="str">
        <f>+IFERROR(#REF!/#REF!,"")</f>
        <v/>
      </c>
      <c r="U174" s="2" t="str">
        <f>+IFERROR(#REF!/#REF!,"")</f>
        <v/>
      </c>
      <c r="V174" s="2" t="str">
        <f>+IFERROR(#REF!/#REF!,"")</f>
        <v/>
      </c>
      <c r="W174" s="2" t="str">
        <f>+IFERROR(#REF!/#REF!,"")</f>
        <v/>
      </c>
      <c r="X174" s="2" t="str">
        <f>+IFERROR(#REF!/#REF!,"")</f>
        <v/>
      </c>
      <c r="Y174" s="2" t="str">
        <f>+IFERROR(#REF!/#REF!,"")</f>
        <v/>
      </c>
      <c r="Z174" s="2" t="str">
        <f>+IFERROR(#REF!/#REF!,"")</f>
        <v/>
      </c>
      <c r="AA174" s="2" t="str">
        <f>+IFERROR(#REF!/#REF!,"")</f>
        <v/>
      </c>
      <c r="AB174" s="2">
        <f>+IFERROR(N174/H174,"")</f>
        <v>0.2319283241702301</v>
      </c>
      <c r="AD174" s="143">
        <f t="shared" si="20"/>
        <v>0.15800953678134255</v>
      </c>
      <c r="AE174" s="143">
        <f t="shared" si="21"/>
        <v>0.11612181788249129</v>
      </c>
      <c r="AF174" s="143">
        <f t="shared" si="19"/>
        <v>-0.26587295282618328</v>
      </c>
      <c r="AG174" s="143" t="str">
        <f t="shared" si="19"/>
        <v/>
      </c>
      <c r="AH174" s="143" t="str">
        <f t="shared" si="19"/>
        <v/>
      </c>
      <c r="AI174" s="143" t="str">
        <f t="shared" si="19"/>
        <v/>
      </c>
      <c r="AJ174" s="143" t="str">
        <f t="shared" si="19"/>
        <v/>
      </c>
      <c r="AK174" s="143" t="str">
        <f t="shared" si="19"/>
        <v/>
      </c>
      <c r="AL174" s="143" t="str">
        <f t="shared" si="19"/>
        <v/>
      </c>
      <c r="AM174" s="143" t="str">
        <f t="shared" si="19"/>
        <v/>
      </c>
      <c r="AN174" s="143" t="str">
        <f t="shared" si="19"/>
        <v/>
      </c>
      <c r="AP174" s="9">
        <f t="shared" si="17"/>
        <v>1.9686020713395938E-6</v>
      </c>
      <c r="AQ174" s="9">
        <f t="shared" si="18"/>
        <v>0.97524777004555152</v>
      </c>
    </row>
    <row r="175" spans="2:43" x14ac:dyDescent="0.35">
      <c r="B175" s="3" t="s">
        <v>268</v>
      </c>
      <c r="D175" s="141">
        <v>24513</v>
      </c>
      <c r="E175" s="141">
        <v>7910</v>
      </c>
      <c r="F175" s="141">
        <v>2311</v>
      </c>
      <c r="G175" s="141">
        <v>1</v>
      </c>
      <c r="H175" s="141">
        <f>+SUM(D175:G175)</f>
        <v>34735</v>
      </c>
      <c r="J175" s="141">
        <v>491</v>
      </c>
      <c r="K175" s="141">
        <v>383</v>
      </c>
      <c r="L175" s="141">
        <v>291</v>
      </c>
      <c r="M175" s="141">
        <v>1</v>
      </c>
      <c r="N175" s="141">
        <f>+SUM(J175:M175)</f>
        <v>1166</v>
      </c>
      <c r="P175" s="2">
        <f>+IFERROR(J175/D175,"")</f>
        <v>2.0030188063476524E-2</v>
      </c>
      <c r="Q175" s="2">
        <f>+IFERROR(K175/E175,"")</f>
        <v>4.8419721871049308E-2</v>
      </c>
      <c r="R175" s="2">
        <f>+IFERROR(L175/F175,"")</f>
        <v>0.12591951536131546</v>
      </c>
      <c r="S175" s="2">
        <f>+IFERROR(M175/G175,"")</f>
        <v>1</v>
      </c>
      <c r="T175" s="2" t="str">
        <f>+IFERROR(#REF!/#REF!,"")</f>
        <v/>
      </c>
      <c r="U175" s="2" t="str">
        <f>+IFERROR(#REF!/#REF!,"")</f>
        <v/>
      </c>
      <c r="V175" s="2" t="str">
        <f>+IFERROR(#REF!/#REF!,"")</f>
        <v/>
      </c>
      <c r="W175" s="2" t="str">
        <f>+IFERROR(#REF!/#REF!,"")</f>
        <v/>
      </c>
      <c r="X175" s="2" t="str">
        <f>+IFERROR(#REF!/#REF!,"")</f>
        <v/>
      </c>
      <c r="Y175" s="2" t="str">
        <f>+IFERROR(#REF!/#REF!,"")</f>
        <v/>
      </c>
      <c r="Z175" s="2" t="str">
        <f>+IFERROR(#REF!/#REF!,"")</f>
        <v/>
      </c>
      <c r="AA175" s="2" t="str">
        <f>+IFERROR(#REF!/#REF!,"")</f>
        <v/>
      </c>
      <c r="AB175" s="2">
        <f>+IFERROR(N175/H175,"")</f>
        <v>3.3568446811573338E-2</v>
      </c>
      <c r="AD175" s="143">
        <f t="shared" si="20"/>
        <v>2.8389533807572784E-2</v>
      </c>
      <c r="AE175" s="143">
        <f t="shared" si="21"/>
        <v>7.7499793490266145E-2</v>
      </c>
      <c r="AF175" s="143">
        <f t="shared" si="19"/>
        <v>0.87408048463868449</v>
      </c>
      <c r="AG175" s="143" t="str">
        <f t="shared" si="19"/>
        <v/>
      </c>
      <c r="AH175" s="143" t="str">
        <f t="shared" si="19"/>
        <v/>
      </c>
      <c r="AI175" s="143" t="str">
        <f t="shared" si="19"/>
        <v/>
      </c>
      <c r="AJ175" s="143" t="str">
        <f t="shared" si="19"/>
        <v/>
      </c>
      <c r="AK175" s="143" t="str">
        <f t="shared" si="19"/>
        <v/>
      </c>
      <c r="AL175" s="143" t="str">
        <f t="shared" si="19"/>
        <v/>
      </c>
      <c r="AM175" s="143" t="str">
        <f t="shared" si="19"/>
        <v/>
      </c>
      <c r="AN175" s="143" t="str">
        <f t="shared" si="19"/>
        <v/>
      </c>
      <c r="AP175" s="9">
        <f t="shared" si="17"/>
        <v>6.7175593069416635E-7</v>
      </c>
      <c r="AQ175" s="9">
        <f t="shared" si="18"/>
        <v>0.97524844180148218</v>
      </c>
    </row>
    <row r="176" spans="2:43" x14ac:dyDescent="0.35">
      <c r="B176" s="3" t="s">
        <v>264</v>
      </c>
      <c r="D176" s="141">
        <v>67315</v>
      </c>
      <c r="E176" s="141">
        <v>63351</v>
      </c>
      <c r="F176" s="141">
        <v>44369</v>
      </c>
      <c r="G176" s="141">
        <v>67998</v>
      </c>
      <c r="H176" s="141">
        <f>+SUM(D176:G176)</f>
        <v>243033</v>
      </c>
      <c r="J176" s="141">
        <v>8325</v>
      </c>
      <c r="K176" s="141">
        <v>9033</v>
      </c>
      <c r="L176" s="141">
        <v>5785</v>
      </c>
      <c r="M176" s="141">
        <v>9130</v>
      </c>
      <c r="N176" s="141">
        <f>+SUM(J176:M176)</f>
        <v>32273</v>
      </c>
      <c r="P176" s="2">
        <f>+IFERROR(J176/D176,"")</f>
        <v>0.12367228700883905</v>
      </c>
      <c r="Q176" s="2">
        <f>+IFERROR(K176/E176,"")</f>
        <v>0.14258654164890847</v>
      </c>
      <c r="R176" s="2">
        <f>+IFERROR(L176/F176,"")</f>
        <v>0.13038382654556108</v>
      </c>
      <c r="S176" s="2">
        <f>+IFERROR(M176/G176,"")</f>
        <v>0.13426865496044002</v>
      </c>
      <c r="T176" s="2" t="str">
        <f>+IFERROR(#REF!/#REF!,"")</f>
        <v/>
      </c>
      <c r="U176" s="2" t="str">
        <f>+IFERROR(#REF!/#REF!,"")</f>
        <v/>
      </c>
      <c r="V176" s="2" t="str">
        <f>+IFERROR(#REF!/#REF!,"")</f>
        <v/>
      </c>
      <c r="W176" s="2" t="str">
        <f>+IFERROR(#REF!/#REF!,"")</f>
        <v/>
      </c>
      <c r="X176" s="2" t="str">
        <f>+IFERROR(#REF!/#REF!,"")</f>
        <v/>
      </c>
      <c r="Y176" s="2" t="str">
        <f>+IFERROR(#REF!/#REF!,"")</f>
        <v/>
      </c>
      <c r="Z176" s="2" t="str">
        <f>+IFERROR(#REF!/#REF!,"")</f>
        <v/>
      </c>
      <c r="AA176" s="2" t="str">
        <f>+IFERROR(#REF!/#REF!,"")</f>
        <v/>
      </c>
      <c r="AB176" s="2">
        <f>+IFERROR(N176/H176,"")</f>
        <v>0.13279266601654918</v>
      </c>
      <c r="AD176" s="143">
        <f t="shared" si="20"/>
        <v>1.8914254640069419E-2</v>
      </c>
      <c r="AE176" s="143">
        <f t="shared" si="21"/>
        <v>-1.2202715103347389E-2</v>
      </c>
      <c r="AF176" s="143">
        <f t="shared" si="19"/>
        <v>3.8848284148789436E-3</v>
      </c>
      <c r="AG176" s="143" t="str">
        <f t="shared" si="19"/>
        <v/>
      </c>
      <c r="AH176" s="143" t="str">
        <f t="shared" si="19"/>
        <v/>
      </c>
      <c r="AI176" s="143" t="str">
        <f t="shared" si="19"/>
        <v/>
      </c>
      <c r="AJ176" s="143" t="str">
        <f t="shared" si="19"/>
        <v/>
      </c>
      <c r="AK176" s="143" t="str">
        <f t="shared" si="19"/>
        <v/>
      </c>
      <c r="AL176" s="143" t="str">
        <f t="shared" si="19"/>
        <v/>
      </c>
      <c r="AM176" s="143" t="str">
        <f t="shared" si="19"/>
        <v/>
      </c>
      <c r="AN176" s="143" t="str">
        <f t="shared" si="19"/>
        <v/>
      </c>
      <c r="AP176" s="9">
        <f t="shared" si="17"/>
        <v>1.8593121055997281E-5</v>
      </c>
      <c r="AQ176" s="9">
        <f t="shared" si="18"/>
        <v>0.97526703492253819</v>
      </c>
    </row>
    <row r="177" spans="2:43" x14ac:dyDescent="0.35">
      <c r="B177" s="3" t="s">
        <v>250</v>
      </c>
      <c r="D177" s="141">
        <v>88510</v>
      </c>
      <c r="E177" s="141">
        <v>134490</v>
      </c>
      <c r="F177" s="141">
        <v>70691</v>
      </c>
      <c r="G177" s="141">
        <v>115418</v>
      </c>
      <c r="H177" s="141">
        <f>+SUM(D177:G177)</f>
        <v>409109</v>
      </c>
      <c r="J177" s="141">
        <v>4407</v>
      </c>
      <c r="K177" s="141">
        <v>8304</v>
      </c>
      <c r="L177" s="141">
        <v>3432</v>
      </c>
      <c r="M177" s="141">
        <v>6334</v>
      </c>
      <c r="N177" s="141">
        <f>+SUM(J177:M177)</f>
        <v>22477</v>
      </c>
      <c r="P177" s="2">
        <f>+IFERROR(J177/D177,"")</f>
        <v>4.9790984069596658E-2</v>
      </c>
      <c r="Q177" s="2">
        <f>+IFERROR(K177/E177,"")</f>
        <v>6.1744367610974793E-2</v>
      </c>
      <c r="R177" s="2">
        <f>+IFERROR(L177/F177,"")</f>
        <v>4.8549320281223919E-2</v>
      </c>
      <c r="S177" s="2">
        <f>+IFERROR(M177/G177,"")</f>
        <v>5.4878788403888476E-2</v>
      </c>
      <c r="T177" s="2" t="str">
        <f>+IFERROR(#REF!/#REF!,"")</f>
        <v/>
      </c>
      <c r="U177" s="2" t="str">
        <f>+IFERROR(#REF!/#REF!,"")</f>
        <v/>
      </c>
      <c r="V177" s="2" t="str">
        <f>+IFERROR(#REF!/#REF!,"")</f>
        <v/>
      </c>
      <c r="W177" s="2" t="str">
        <f>+IFERROR(#REF!/#REF!,"")</f>
        <v/>
      </c>
      <c r="X177" s="2" t="str">
        <f>+IFERROR(#REF!/#REF!,"")</f>
        <v/>
      </c>
      <c r="Y177" s="2" t="str">
        <f>+IFERROR(#REF!/#REF!,"")</f>
        <v/>
      </c>
      <c r="Z177" s="2" t="str">
        <f>+IFERROR(#REF!/#REF!,"")</f>
        <v/>
      </c>
      <c r="AA177" s="2" t="str">
        <f>+IFERROR(#REF!/#REF!,"")</f>
        <v/>
      </c>
      <c r="AB177" s="2">
        <f>+IFERROR(N177/H177,"")</f>
        <v>5.4941348149270736E-2</v>
      </c>
      <c r="AD177" s="143">
        <f t="shared" si="20"/>
        <v>1.1953383541378135E-2</v>
      </c>
      <c r="AE177" s="143">
        <f t="shared" si="21"/>
        <v>-1.3195047329750874E-2</v>
      </c>
      <c r="AF177" s="143">
        <f t="shared" si="19"/>
        <v>6.3294681226645569E-3</v>
      </c>
      <c r="AG177" s="143" t="str">
        <f t="shared" si="19"/>
        <v/>
      </c>
      <c r="AH177" s="143" t="str">
        <f t="shared" si="19"/>
        <v/>
      </c>
      <c r="AI177" s="143" t="str">
        <f t="shared" ref="AI177:AN203" si="22">+IFERROR(V177-U177,"")</f>
        <v/>
      </c>
      <c r="AJ177" s="143" t="str">
        <f t="shared" si="22"/>
        <v/>
      </c>
      <c r="AK177" s="143" t="str">
        <f t="shared" si="22"/>
        <v/>
      </c>
      <c r="AL177" s="143" t="str">
        <f t="shared" si="22"/>
        <v/>
      </c>
      <c r="AM177" s="143" t="str">
        <f t="shared" si="22"/>
        <v/>
      </c>
      <c r="AN177" s="143" t="str">
        <f t="shared" si="22"/>
        <v/>
      </c>
      <c r="AP177" s="9">
        <f t="shared" si="17"/>
        <v>1.2949449446151609E-5</v>
      </c>
      <c r="AQ177" s="9">
        <f t="shared" si="18"/>
        <v>0.97527998437198438</v>
      </c>
    </row>
    <row r="178" spans="2:43" x14ac:dyDescent="0.35">
      <c r="B178" s="3" t="s">
        <v>256</v>
      </c>
      <c r="D178" s="141"/>
      <c r="E178" s="141"/>
      <c r="F178" s="141">
        <v>8031</v>
      </c>
      <c r="G178" s="141">
        <v>42053</v>
      </c>
      <c r="H178" s="141">
        <f>+SUM(D178:G178)</f>
        <v>50084</v>
      </c>
      <c r="J178" s="141"/>
      <c r="K178" s="141"/>
      <c r="L178" s="141">
        <v>710</v>
      </c>
      <c r="M178" s="141">
        <v>4705</v>
      </c>
      <c r="N178" s="141">
        <f>+SUM(J178:M178)</f>
        <v>5415</v>
      </c>
      <c r="P178" s="2" t="str">
        <f>+IFERROR(J178/D178,"")</f>
        <v/>
      </c>
      <c r="Q178" s="2" t="str">
        <f>+IFERROR(K178/E178,"")</f>
        <v/>
      </c>
      <c r="R178" s="2">
        <f>+IFERROR(L178/F178,"")</f>
        <v>8.8407421242684595E-2</v>
      </c>
      <c r="S178" s="2">
        <f>+IFERROR(M178/G178,"")</f>
        <v>0.11188262430742159</v>
      </c>
      <c r="T178" s="2" t="str">
        <f>+IFERROR(#REF!/#REF!,"")</f>
        <v/>
      </c>
      <c r="U178" s="2" t="str">
        <f>+IFERROR(#REF!/#REF!,"")</f>
        <v/>
      </c>
      <c r="V178" s="2" t="str">
        <f>+IFERROR(#REF!/#REF!,"")</f>
        <v/>
      </c>
      <c r="W178" s="2" t="str">
        <f>+IFERROR(#REF!/#REF!,"")</f>
        <v/>
      </c>
      <c r="X178" s="2" t="str">
        <f>+IFERROR(#REF!/#REF!,"")</f>
        <v/>
      </c>
      <c r="Y178" s="2" t="str">
        <f>+IFERROR(#REF!/#REF!,"")</f>
        <v/>
      </c>
      <c r="Z178" s="2" t="str">
        <f>+IFERROR(#REF!/#REF!,"")</f>
        <v/>
      </c>
      <c r="AA178" s="2" t="str">
        <f>+IFERROR(#REF!/#REF!,"")</f>
        <v/>
      </c>
      <c r="AB178" s="2">
        <f>+IFERROR(N178/H178,"")</f>
        <v>0.10811836115326252</v>
      </c>
      <c r="AD178" s="143" t="str">
        <f t="shared" si="20"/>
        <v/>
      </c>
      <c r="AE178" s="143" t="str">
        <f t="shared" si="21"/>
        <v/>
      </c>
      <c r="AF178" s="143">
        <f t="shared" ref="AF178:AH203" si="23">+IFERROR(S178-R178,"")</f>
        <v>2.3475203064736994E-2</v>
      </c>
      <c r="AG178" s="143" t="str">
        <f t="shared" si="23"/>
        <v/>
      </c>
      <c r="AH178" s="143" t="str">
        <f t="shared" si="23"/>
        <v/>
      </c>
      <c r="AI178" s="143" t="str">
        <f t="shared" si="22"/>
        <v/>
      </c>
      <c r="AJ178" s="143" t="str">
        <f t="shared" si="22"/>
        <v/>
      </c>
      <c r="AK178" s="143" t="str">
        <f t="shared" si="22"/>
        <v/>
      </c>
      <c r="AL178" s="143" t="str">
        <f t="shared" si="22"/>
        <v/>
      </c>
      <c r="AM178" s="143" t="str">
        <f t="shared" si="22"/>
        <v/>
      </c>
      <c r="AN178" s="143" t="str">
        <f t="shared" si="22"/>
        <v/>
      </c>
      <c r="AP178" s="9">
        <f t="shared" si="17"/>
        <v>3.1196898496645887E-6</v>
      </c>
      <c r="AQ178" s="9">
        <f t="shared" si="18"/>
        <v>0.97528310406183405</v>
      </c>
    </row>
    <row r="179" spans="2:43" x14ac:dyDescent="0.35">
      <c r="B179" s="3" t="s">
        <v>273</v>
      </c>
      <c r="D179" s="141">
        <v>12529</v>
      </c>
      <c r="E179" s="141"/>
      <c r="F179" s="141">
        <v>28400</v>
      </c>
      <c r="G179" s="141">
        <v>10532</v>
      </c>
      <c r="H179" s="141">
        <f>+SUM(D179:G179)</f>
        <v>51461</v>
      </c>
      <c r="J179" s="141">
        <v>1345</v>
      </c>
      <c r="K179" s="141"/>
      <c r="L179" s="141">
        <v>14700</v>
      </c>
      <c r="M179" s="141">
        <v>431</v>
      </c>
      <c r="N179" s="141">
        <f>+SUM(J179:M179)</f>
        <v>16476</v>
      </c>
      <c r="P179" s="2">
        <f>+IFERROR(J179/D179,"")</f>
        <v>0.10735094580573071</v>
      </c>
      <c r="Q179" s="2" t="str">
        <f>+IFERROR(K179/E179,"")</f>
        <v/>
      </c>
      <c r="R179" s="2">
        <f>+IFERROR(L179/F179,"")</f>
        <v>0.51760563380281688</v>
      </c>
      <c r="S179" s="2">
        <f>+IFERROR(M179/G179,"")</f>
        <v>4.0922901633118118E-2</v>
      </c>
      <c r="T179" s="2" t="str">
        <f>+IFERROR(#REF!/#REF!,"")</f>
        <v/>
      </c>
      <c r="U179" s="2" t="str">
        <f>+IFERROR(#REF!/#REF!,"")</f>
        <v/>
      </c>
      <c r="V179" s="2" t="str">
        <f>+IFERROR(#REF!/#REF!,"")</f>
        <v/>
      </c>
      <c r="W179" s="2" t="str">
        <f>+IFERROR(#REF!/#REF!,"")</f>
        <v/>
      </c>
      <c r="X179" s="2" t="str">
        <f>+IFERROR(#REF!/#REF!,"")</f>
        <v/>
      </c>
      <c r="Y179" s="2" t="str">
        <f>+IFERROR(#REF!/#REF!,"")</f>
        <v/>
      </c>
      <c r="Z179" s="2" t="str">
        <f>+IFERROR(#REF!/#REF!,"")</f>
        <v/>
      </c>
      <c r="AA179" s="2" t="str">
        <f>+IFERROR(#REF!/#REF!,"")</f>
        <v/>
      </c>
      <c r="AB179" s="2">
        <f>+IFERROR(N179/H179,"")</f>
        <v>0.32016478498280249</v>
      </c>
      <c r="AD179" s="143" t="str">
        <f t="shared" si="20"/>
        <v/>
      </c>
      <c r="AE179" s="143" t="str">
        <f t="shared" si="21"/>
        <v/>
      </c>
      <c r="AF179" s="143">
        <f t="shared" si="23"/>
        <v>-0.47668273216969875</v>
      </c>
      <c r="AG179" s="143" t="str">
        <f t="shared" si="23"/>
        <v/>
      </c>
      <c r="AH179" s="143" t="str">
        <f t="shared" si="23"/>
        <v/>
      </c>
      <c r="AI179" s="143" t="str">
        <f t="shared" si="22"/>
        <v/>
      </c>
      <c r="AJ179" s="143" t="str">
        <f t="shared" si="22"/>
        <v/>
      </c>
      <c r="AK179" s="143" t="str">
        <f t="shared" si="22"/>
        <v/>
      </c>
      <c r="AL179" s="143" t="str">
        <f t="shared" si="22"/>
        <v/>
      </c>
      <c r="AM179" s="143" t="str">
        <f t="shared" si="22"/>
        <v/>
      </c>
      <c r="AN179" s="143" t="str">
        <f t="shared" si="22"/>
        <v/>
      </c>
      <c r="AP179" s="9">
        <f t="shared" si="17"/>
        <v>9.4921532711124224E-6</v>
      </c>
      <c r="AQ179" s="9">
        <f t="shared" si="18"/>
        <v>0.97529259621510511</v>
      </c>
    </row>
    <row r="180" spans="2:43" x14ac:dyDescent="0.35">
      <c r="B180" s="3" t="s">
        <v>276</v>
      </c>
      <c r="D180" s="141">
        <v>521809</v>
      </c>
      <c r="E180" s="141">
        <v>474618</v>
      </c>
      <c r="F180" s="141">
        <v>504698</v>
      </c>
      <c r="G180" s="141">
        <v>495271</v>
      </c>
      <c r="H180" s="141">
        <f>+SUM(D180:G180)</f>
        <v>1996396</v>
      </c>
      <c r="J180" s="141">
        <v>41021</v>
      </c>
      <c r="K180" s="141">
        <v>48455</v>
      </c>
      <c r="L180" s="141">
        <v>39888</v>
      </c>
      <c r="M180" s="141">
        <v>32777</v>
      </c>
      <c r="N180" s="141">
        <f>+SUM(J180:M180)</f>
        <v>162141</v>
      </c>
      <c r="P180" s="2">
        <f>+IFERROR(J180/D180,"")</f>
        <v>7.8613055734952822E-2</v>
      </c>
      <c r="Q180" s="2">
        <f>+IFERROR(K180/E180,"")</f>
        <v>0.10209263028372291</v>
      </c>
      <c r="R180" s="2">
        <f>+IFERROR(L180/F180,"")</f>
        <v>7.9033402153366961E-2</v>
      </c>
      <c r="S180" s="2">
        <f>+IFERROR(M180/G180,"")</f>
        <v>6.6179929775819699E-2</v>
      </c>
      <c r="T180" s="2" t="str">
        <f>+IFERROR(#REF!/#REF!,"")</f>
        <v/>
      </c>
      <c r="U180" s="2" t="str">
        <f>+IFERROR(#REF!/#REF!,"")</f>
        <v/>
      </c>
      <c r="V180" s="2" t="str">
        <f>+IFERROR(#REF!/#REF!,"")</f>
        <v/>
      </c>
      <c r="W180" s="2" t="str">
        <f>+IFERROR(#REF!/#REF!,"")</f>
        <v/>
      </c>
      <c r="X180" s="2" t="str">
        <f>+IFERROR(#REF!/#REF!,"")</f>
        <v/>
      </c>
      <c r="Y180" s="2" t="str">
        <f>+IFERROR(#REF!/#REF!,"")</f>
        <v/>
      </c>
      <c r="Z180" s="2" t="str">
        <f>+IFERROR(#REF!/#REF!,"")</f>
        <v/>
      </c>
      <c r="AA180" s="2" t="str">
        <f>+IFERROR(#REF!/#REF!,"")</f>
        <v/>
      </c>
      <c r="AB180" s="2">
        <f>+IFERROR(N180/H180,"")</f>
        <v>8.1216852768689174E-2</v>
      </c>
      <c r="AD180" s="143">
        <f t="shared" si="20"/>
        <v>2.3479574548770088E-2</v>
      </c>
      <c r="AE180" s="143">
        <f t="shared" si="21"/>
        <v>-2.3059228130355949E-2</v>
      </c>
      <c r="AF180" s="143">
        <f t="shared" si="23"/>
        <v>-1.2853472377547262E-2</v>
      </c>
      <c r="AG180" s="143" t="str">
        <f t="shared" si="23"/>
        <v/>
      </c>
      <c r="AH180" s="143" t="str">
        <f t="shared" si="23"/>
        <v/>
      </c>
      <c r="AI180" s="143" t="str">
        <f t="shared" si="22"/>
        <v/>
      </c>
      <c r="AJ180" s="143" t="str">
        <f t="shared" si="22"/>
        <v/>
      </c>
      <c r="AK180" s="143" t="str">
        <f t="shared" si="22"/>
        <v/>
      </c>
      <c r="AL180" s="143" t="str">
        <f t="shared" si="22"/>
        <v/>
      </c>
      <c r="AM180" s="143" t="str">
        <f t="shared" si="22"/>
        <v/>
      </c>
      <c r="AN180" s="143" t="str">
        <f t="shared" si="22"/>
        <v/>
      </c>
      <c r="AP180" s="9">
        <f t="shared" si="17"/>
        <v>9.3412674407103614E-5</v>
      </c>
      <c r="AQ180" s="9">
        <f t="shared" si="18"/>
        <v>0.97538600888951221</v>
      </c>
    </row>
    <row r="181" spans="2:43" x14ac:dyDescent="0.35">
      <c r="B181" s="3" t="s">
        <v>270</v>
      </c>
      <c r="D181" s="141">
        <v>10</v>
      </c>
      <c r="E181" s="141"/>
      <c r="F181" s="141"/>
      <c r="G181" s="141"/>
      <c r="H181" s="141">
        <f>+SUM(D181:G181)</f>
        <v>10</v>
      </c>
      <c r="J181" s="141">
        <v>10</v>
      </c>
      <c r="K181" s="141"/>
      <c r="L181" s="141"/>
      <c r="M181" s="141"/>
      <c r="N181" s="141">
        <f>+SUM(J181:M181)</f>
        <v>10</v>
      </c>
      <c r="P181" s="2">
        <f>+IFERROR(J181/D181,"")</f>
        <v>1</v>
      </c>
      <c r="Q181" s="2" t="str">
        <f>+IFERROR(K181/E181,"")</f>
        <v/>
      </c>
      <c r="R181" s="2" t="str">
        <f>+IFERROR(L181/F181,"")</f>
        <v/>
      </c>
      <c r="S181" s="2" t="str">
        <f>+IFERROR(M181/G181,"")</f>
        <v/>
      </c>
      <c r="T181" s="2" t="str">
        <f>+IFERROR(#REF!/#REF!,"")</f>
        <v/>
      </c>
      <c r="U181" s="2" t="str">
        <f>+IFERROR(#REF!/#REF!,"")</f>
        <v/>
      </c>
      <c r="V181" s="2" t="str">
        <f>+IFERROR(#REF!/#REF!,"")</f>
        <v/>
      </c>
      <c r="W181" s="2" t="str">
        <f>+IFERROR(#REF!/#REF!,"")</f>
        <v/>
      </c>
      <c r="X181" s="2" t="str">
        <f>+IFERROR(#REF!/#REF!,"")</f>
        <v/>
      </c>
      <c r="Y181" s="2" t="str">
        <f>+IFERROR(#REF!/#REF!,"")</f>
        <v/>
      </c>
      <c r="Z181" s="2" t="str">
        <f>+IFERROR(#REF!/#REF!,"")</f>
        <v/>
      </c>
      <c r="AA181" s="2" t="str">
        <f>+IFERROR(#REF!/#REF!,"")</f>
        <v/>
      </c>
      <c r="AB181" s="2">
        <f>+IFERROR(N181/H181,"")</f>
        <v>1</v>
      </c>
      <c r="AD181" s="143" t="str">
        <f t="shared" si="20"/>
        <v/>
      </c>
      <c r="AE181" s="143" t="str">
        <f t="shared" si="21"/>
        <v/>
      </c>
      <c r="AF181" s="143" t="str">
        <f t="shared" si="23"/>
        <v/>
      </c>
      <c r="AG181" s="143" t="str">
        <f t="shared" si="23"/>
        <v/>
      </c>
      <c r="AH181" s="143" t="str">
        <f t="shared" si="23"/>
        <v/>
      </c>
      <c r="AI181" s="143" t="str">
        <f t="shared" si="22"/>
        <v/>
      </c>
      <c r="AJ181" s="143" t="str">
        <f t="shared" si="22"/>
        <v/>
      </c>
      <c r="AK181" s="143" t="str">
        <f t="shared" si="22"/>
        <v/>
      </c>
      <c r="AL181" s="143" t="str">
        <f t="shared" si="22"/>
        <v/>
      </c>
      <c r="AM181" s="143" t="str">
        <f t="shared" si="22"/>
        <v/>
      </c>
      <c r="AN181" s="143" t="str">
        <f t="shared" si="22"/>
        <v/>
      </c>
      <c r="AP181" s="9">
        <f t="shared" si="17"/>
        <v>5.7612000917166923E-9</v>
      </c>
      <c r="AQ181" s="9">
        <f t="shared" si="18"/>
        <v>0.97538601465071229</v>
      </c>
    </row>
    <row r="182" spans="2:43" x14ac:dyDescent="0.35">
      <c r="B182" s="3" t="s">
        <v>278</v>
      </c>
      <c r="D182" s="141">
        <v>969</v>
      </c>
      <c r="E182" s="141"/>
      <c r="F182" s="141"/>
      <c r="G182" s="141"/>
      <c r="H182" s="141">
        <f>+SUM(D182:G182)</f>
        <v>969</v>
      </c>
      <c r="J182" s="141">
        <v>0</v>
      </c>
      <c r="K182" s="141"/>
      <c r="L182" s="141"/>
      <c r="M182" s="141"/>
      <c r="N182" s="141">
        <f>+SUM(J182:M182)</f>
        <v>0</v>
      </c>
      <c r="P182" s="2">
        <f>+IFERROR(J182/D182,"")</f>
        <v>0</v>
      </c>
      <c r="Q182" s="2" t="str">
        <f>+IFERROR(K182/E182,"")</f>
        <v/>
      </c>
      <c r="R182" s="2" t="str">
        <f>+IFERROR(L182/F182,"")</f>
        <v/>
      </c>
      <c r="S182" s="2" t="str">
        <f>+IFERROR(M182/G182,"")</f>
        <v/>
      </c>
      <c r="T182" s="2" t="str">
        <f>+IFERROR(#REF!/#REF!,"")</f>
        <v/>
      </c>
      <c r="U182" s="2" t="str">
        <f>+IFERROR(#REF!/#REF!,"")</f>
        <v/>
      </c>
      <c r="V182" s="2" t="str">
        <f>+IFERROR(#REF!/#REF!,"")</f>
        <v/>
      </c>
      <c r="W182" s="2" t="str">
        <f>+IFERROR(#REF!/#REF!,"")</f>
        <v/>
      </c>
      <c r="X182" s="2" t="str">
        <f>+IFERROR(#REF!/#REF!,"")</f>
        <v/>
      </c>
      <c r="Y182" s="2" t="str">
        <f>+IFERROR(#REF!/#REF!,"")</f>
        <v/>
      </c>
      <c r="Z182" s="2" t="str">
        <f>+IFERROR(#REF!/#REF!,"")</f>
        <v/>
      </c>
      <c r="AA182" s="2" t="str">
        <f>+IFERROR(#REF!/#REF!,"")</f>
        <v/>
      </c>
      <c r="AB182" s="2">
        <f>+IFERROR(N182/H182,"")</f>
        <v>0</v>
      </c>
      <c r="AD182" s="143" t="str">
        <f t="shared" si="20"/>
        <v/>
      </c>
      <c r="AE182" s="143" t="str">
        <f t="shared" si="21"/>
        <v/>
      </c>
      <c r="AF182" s="143" t="str">
        <f t="shared" si="23"/>
        <v/>
      </c>
      <c r="AG182" s="143" t="str">
        <f t="shared" si="23"/>
        <v/>
      </c>
      <c r="AH182" s="143" t="str">
        <f t="shared" si="23"/>
        <v/>
      </c>
      <c r="AI182" s="143" t="str">
        <f t="shared" si="22"/>
        <v/>
      </c>
      <c r="AJ182" s="143" t="str">
        <f t="shared" si="22"/>
        <v/>
      </c>
      <c r="AK182" s="143" t="str">
        <f t="shared" si="22"/>
        <v/>
      </c>
      <c r="AL182" s="143" t="str">
        <f t="shared" si="22"/>
        <v/>
      </c>
      <c r="AM182" s="143" t="str">
        <f t="shared" si="22"/>
        <v/>
      </c>
      <c r="AN182" s="143" t="str">
        <f t="shared" si="22"/>
        <v/>
      </c>
      <c r="AP182" s="9">
        <f t="shared" si="17"/>
        <v>0</v>
      </c>
      <c r="AQ182" s="9">
        <f t="shared" si="18"/>
        <v>0.97538601465071229</v>
      </c>
    </row>
    <row r="183" spans="2:43" x14ac:dyDescent="0.35">
      <c r="B183" s="3" t="s">
        <v>266</v>
      </c>
      <c r="D183" s="141">
        <v>44895</v>
      </c>
      <c r="E183" s="141">
        <v>59231</v>
      </c>
      <c r="F183" s="141">
        <v>64694</v>
      </c>
      <c r="G183" s="141">
        <v>107060</v>
      </c>
      <c r="H183" s="141">
        <f>+SUM(D183:G183)</f>
        <v>275880</v>
      </c>
      <c r="J183" s="141">
        <v>4303</v>
      </c>
      <c r="K183" s="141">
        <v>3924</v>
      </c>
      <c r="L183" s="141">
        <v>4557</v>
      </c>
      <c r="M183" s="141">
        <v>5326</v>
      </c>
      <c r="N183" s="141">
        <f>+SUM(J183:M183)</f>
        <v>18110</v>
      </c>
      <c r="P183" s="2">
        <f>+IFERROR(J183/D183,"")</f>
        <v>9.5845862568214729E-2</v>
      </c>
      <c r="Q183" s="2">
        <f>+IFERROR(K183/E183,"")</f>
        <v>6.6249092536003112E-2</v>
      </c>
      <c r="R183" s="2">
        <f>+IFERROR(L183/F183,"")</f>
        <v>7.0439298853062104E-2</v>
      </c>
      <c r="S183" s="2">
        <f>+IFERROR(M183/G183,"")</f>
        <v>4.9747804969176163E-2</v>
      </c>
      <c r="T183" s="2" t="str">
        <f>+IFERROR(#REF!/#REF!,"")</f>
        <v/>
      </c>
      <c r="U183" s="2" t="str">
        <f>+IFERROR(#REF!/#REF!,"")</f>
        <v/>
      </c>
      <c r="V183" s="2" t="str">
        <f>+IFERROR(#REF!/#REF!,"")</f>
        <v/>
      </c>
      <c r="W183" s="2" t="str">
        <f>+IFERROR(#REF!/#REF!,"")</f>
        <v/>
      </c>
      <c r="X183" s="2" t="str">
        <f>+IFERROR(#REF!/#REF!,"")</f>
        <v/>
      </c>
      <c r="Y183" s="2" t="str">
        <f>+IFERROR(#REF!/#REF!,"")</f>
        <v/>
      </c>
      <c r="Z183" s="2" t="str">
        <f>+IFERROR(#REF!/#REF!,"")</f>
        <v/>
      </c>
      <c r="AA183" s="2" t="str">
        <f>+IFERROR(#REF!/#REF!,"")</f>
        <v/>
      </c>
      <c r="AB183" s="2">
        <f>+IFERROR(N183/H183,"")</f>
        <v>6.564448310859794E-2</v>
      </c>
      <c r="AD183" s="143">
        <f t="shared" si="20"/>
        <v>-2.9596770032211617E-2</v>
      </c>
      <c r="AE183" s="143">
        <f t="shared" si="21"/>
        <v>4.190206317058992E-3</v>
      </c>
      <c r="AF183" s="143">
        <f t="shared" si="23"/>
        <v>-2.0691493883885942E-2</v>
      </c>
      <c r="AG183" s="143" t="str">
        <f t="shared" si="23"/>
        <v/>
      </c>
      <c r="AH183" s="143" t="str">
        <f t="shared" si="23"/>
        <v/>
      </c>
      <c r="AI183" s="143" t="str">
        <f t="shared" si="22"/>
        <v/>
      </c>
      <c r="AJ183" s="143" t="str">
        <f t="shared" si="22"/>
        <v/>
      </c>
      <c r="AK183" s="143" t="str">
        <f t="shared" si="22"/>
        <v/>
      </c>
      <c r="AL183" s="143" t="str">
        <f t="shared" si="22"/>
        <v/>
      </c>
      <c r="AM183" s="143" t="str">
        <f t="shared" si="22"/>
        <v/>
      </c>
      <c r="AN183" s="143" t="str">
        <f t="shared" si="22"/>
        <v/>
      </c>
      <c r="AP183" s="9">
        <f t="shared" si="17"/>
        <v>1.043353336609893E-5</v>
      </c>
      <c r="AQ183" s="9">
        <f t="shared" si="18"/>
        <v>0.97539644818407834</v>
      </c>
    </row>
    <row r="184" spans="2:43" x14ac:dyDescent="0.35">
      <c r="B184" s="3" t="s">
        <v>265</v>
      </c>
      <c r="D184" s="141">
        <v>933027</v>
      </c>
      <c r="E184" s="141"/>
      <c r="F184" s="141"/>
      <c r="G184" s="141"/>
      <c r="H184" s="141">
        <f>+SUM(D184:G184)</f>
        <v>933027</v>
      </c>
      <c r="J184" s="141">
        <v>264520</v>
      </c>
      <c r="K184" s="141"/>
      <c r="L184" s="141"/>
      <c r="M184" s="141"/>
      <c r="N184" s="141">
        <f>+SUM(J184:M184)</f>
        <v>264520</v>
      </c>
      <c r="P184" s="2">
        <f>+IFERROR(J184/D184,"")</f>
        <v>0.28350733687235202</v>
      </c>
      <c r="Q184" s="2" t="str">
        <f>+IFERROR(K184/E184,"")</f>
        <v/>
      </c>
      <c r="R184" s="2" t="str">
        <f>+IFERROR(L184/F184,"")</f>
        <v/>
      </c>
      <c r="S184" s="2" t="str">
        <f>+IFERROR(M184/G184,"")</f>
        <v/>
      </c>
      <c r="T184" s="2" t="str">
        <f>+IFERROR(#REF!/#REF!,"")</f>
        <v/>
      </c>
      <c r="U184" s="2" t="str">
        <f>+IFERROR(#REF!/#REF!,"")</f>
        <v/>
      </c>
      <c r="V184" s="2" t="str">
        <f>+IFERROR(#REF!/#REF!,"")</f>
        <v/>
      </c>
      <c r="W184" s="2" t="str">
        <f>+IFERROR(#REF!/#REF!,"")</f>
        <v/>
      </c>
      <c r="X184" s="2" t="str">
        <f>+IFERROR(#REF!/#REF!,"")</f>
        <v/>
      </c>
      <c r="Y184" s="2" t="str">
        <f>+IFERROR(#REF!/#REF!,"")</f>
        <v/>
      </c>
      <c r="Z184" s="2" t="str">
        <f>+IFERROR(#REF!/#REF!,"")</f>
        <v/>
      </c>
      <c r="AA184" s="2" t="str">
        <f>+IFERROR(#REF!/#REF!,"")</f>
        <v/>
      </c>
      <c r="AB184" s="2">
        <f>+IFERROR(N184/H184,"")</f>
        <v>0.28350733687235202</v>
      </c>
      <c r="AD184" s="143" t="str">
        <f t="shared" si="20"/>
        <v/>
      </c>
      <c r="AE184" s="143" t="str">
        <f t="shared" si="21"/>
        <v/>
      </c>
      <c r="AF184" s="143" t="str">
        <f t="shared" si="23"/>
        <v/>
      </c>
      <c r="AG184" s="143" t="str">
        <f t="shared" si="23"/>
        <v/>
      </c>
      <c r="AH184" s="143" t="str">
        <f t="shared" si="23"/>
        <v/>
      </c>
      <c r="AI184" s="143" t="str">
        <f t="shared" si="22"/>
        <v/>
      </c>
      <c r="AJ184" s="143" t="str">
        <f t="shared" si="22"/>
        <v/>
      </c>
      <c r="AK184" s="143" t="str">
        <f t="shared" si="22"/>
        <v/>
      </c>
      <c r="AL184" s="143" t="str">
        <f t="shared" si="22"/>
        <v/>
      </c>
      <c r="AM184" s="143" t="str">
        <f t="shared" si="22"/>
        <v/>
      </c>
      <c r="AN184" s="143" t="str">
        <f t="shared" si="22"/>
        <v/>
      </c>
      <c r="AP184" s="9">
        <f t="shared" si="17"/>
        <v>1.5239526482608995E-4</v>
      </c>
      <c r="AQ184" s="9">
        <f t="shared" si="18"/>
        <v>0.97554884344890447</v>
      </c>
    </row>
    <row r="185" spans="2:43" x14ac:dyDescent="0.35">
      <c r="B185" s="3" t="s">
        <v>257</v>
      </c>
      <c r="D185" s="141">
        <v>760343</v>
      </c>
      <c r="E185" s="141">
        <v>1559</v>
      </c>
      <c r="F185" s="141">
        <v>5017</v>
      </c>
      <c r="G185" s="141">
        <v>17384</v>
      </c>
      <c r="H185" s="141">
        <f>+SUM(D185:G185)</f>
        <v>784303</v>
      </c>
      <c r="J185" s="141">
        <v>116614</v>
      </c>
      <c r="K185" s="141">
        <v>45</v>
      </c>
      <c r="L185" s="141">
        <v>546</v>
      </c>
      <c r="M185" s="141">
        <v>890</v>
      </c>
      <c r="N185" s="141">
        <f>+SUM(J185:M185)</f>
        <v>118095</v>
      </c>
      <c r="P185" s="2">
        <f>+IFERROR(J185/D185,"")</f>
        <v>0.15337025526637321</v>
      </c>
      <c r="Q185" s="2">
        <f>+IFERROR(K185/E185,"")</f>
        <v>2.8864656831302116E-2</v>
      </c>
      <c r="R185" s="2">
        <f>+IFERROR(L185/F185,"")</f>
        <v>0.10882997807454654</v>
      </c>
      <c r="S185" s="2">
        <f>+IFERROR(M185/G185,"")</f>
        <v>5.1196502531063046E-2</v>
      </c>
      <c r="T185" s="2" t="str">
        <f>+IFERROR(#REF!/#REF!,"")</f>
        <v/>
      </c>
      <c r="U185" s="2" t="str">
        <f>+IFERROR(#REF!/#REF!,"")</f>
        <v/>
      </c>
      <c r="V185" s="2" t="str">
        <f>+IFERROR(#REF!/#REF!,"")</f>
        <v/>
      </c>
      <c r="W185" s="2" t="str">
        <f>+IFERROR(#REF!/#REF!,"")</f>
        <v/>
      </c>
      <c r="X185" s="2" t="str">
        <f>+IFERROR(#REF!/#REF!,"")</f>
        <v/>
      </c>
      <c r="Y185" s="2" t="str">
        <f>+IFERROR(#REF!/#REF!,"")</f>
        <v/>
      </c>
      <c r="Z185" s="2" t="str">
        <f>+IFERROR(#REF!/#REF!,"")</f>
        <v/>
      </c>
      <c r="AA185" s="2" t="str">
        <f>+IFERROR(#REF!/#REF!,"")</f>
        <v/>
      </c>
      <c r="AB185" s="2">
        <f>+IFERROR(N185/H185,"")</f>
        <v>0.1505731840882924</v>
      </c>
      <c r="AD185" s="143">
        <f t="shared" si="20"/>
        <v>-0.1245055984350711</v>
      </c>
      <c r="AE185" s="143">
        <f t="shared" si="21"/>
        <v>7.996532124324443E-2</v>
      </c>
      <c r="AF185" s="143">
        <f t="shared" si="23"/>
        <v>-5.7633475543483498E-2</v>
      </c>
      <c r="AG185" s="143" t="str">
        <f t="shared" si="23"/>
        <v/>
      </c>
      <c r="AH185" s="143" t="str">
        <f t="shared" si="23"/>
        <v/>
      </c>
      <c r="AI185" s="143" t="str">
        <f t="shared" si="22"/>
        <v/>
      </c>
      <c r="AJ185" s="143" t="str">
        <f t="shared" si="22"/>
        <v/>
      </c>
      <c r="AK185" s="143" t="str">
        <f t="shared" si="22"/>
        <v/>
      </c>
      <c r="AL185" s="143" t="str">
        <f t="shared" si="22"/>
        <v/>
      </c>
      <c r="AM185" s="143" t="str">
        <f t="shared" si="22"/>
        <v/>
      </c>
      <c r="AN185" s="143" t="str">
        <f t="shared" si="22"/>
        <v/>
      </c>
      <c r="AP185" s="9">
        <f t="shared" si="17"/>
        <v>6.8036892483128278E-5</v>
      </c>
      <c r="AQ185" s="9">
        <f t="shared" si="18"/>
        <v>0.9756168803413876</v>
      </c>
    </row>
    <row r="186" spans="2:43" x14ac:dyDescent="0.35">
      <c r="B186" s="3" t="s">
        <v>275</v>
      </c>
      <c r="D186" s="141">
        <v>144667</v>
      </c>
      <c r="E186" s="141">
        <v>131269</v>
      </c>
      <c r="F186" s="141">
        <v>153235</v>
      </c>
      <c r="G186" s="141">
        <v>138579</v>
      </c>
      <c r="H186" s="141">
        <f>+SUM(D186:G186)</f>
        <v>567750</v>
      </c>
      <c r="J186" s="141">
        <v>14992</v>
      </c>
      <c r="K186" s="141">
        <v>15139</v>
      </c>
      <c r="L186" s="141">
        <v>14980</v>
      </c>
      <c r="M186" s="141">
        <v>14502</v>
      </c>
      <c r="N186" s="141">
        <f>+SUM(J186:M186)</f>
        <v>59613</v>
      </c>
      <c r="P186" s="2">
        <f>+IFERROR(J186/D186,"")</f>
        <v>0.10363109762419902</v>
      </c>
      <c r="Q186" s="2">
        <f>+IFERROR(K186/E186,"")</f>
        <v>0.11532806679414027</v>
      </c>
      <c r="R186" s="2">
        <f>+IFERROR(L186/F186,"")</f>
        <v>9.7758345025614257E-2</v>
      </c>
      <c r="S186" s="2">
        <f>+IFERROR(M186/G186,"")</f>
        <v>0.10464789037300024</v>
      </c>
      <c r="T186" s="2" t="str">
        <f>+IFERROR(#REF!/#REF!,"")</f>
        <v/>
      </c>
      <c r="U186" s="2" t="str">
        <f>+IFERROR(#REF!/#REF!,"")</f>
        <v/>
      </c>
      <c r="V186" s="2" t="str">
        <f>+IFERROR(#REF!/#REF!,"")</f>
        <v/>
      </c>
      <c r="W186" s="2" t="str">
        <f>+IFERROR(#REF!/#REF!,"")</f>
        <v/>
      </c>
      <c r="X186" s="2" t="str">
        <f>+IFERROR(#REF!/#REF!,"")</f>
        <v/>
      </c>
      <c r="Y186" s="2" t="str">
        <f>+IFERROR(#REF!/#REF!,"")</f>
        <v/>
      </c>
      <c r="Z186" s="2" t="str">
        <f>+IFERROR(#REF!/#REF!,"")</f>
        <v/>
      </c>
      <c r="AA186" s="2" t="str">
        <f>+IFERROR(#REF!/#REF!,"")</f>
        <v/>
      </c>
      <c r="AB186" s="2">
        <f>+IFERROR(N186/H186,"")</f>
        <v>0.10499867899603699</v>
      </c>
      <c r="AD186" s="143">
        <f t="shared" si="20"/>
        <v>1.1696969169941257E-2</v>
      </c>
      <c r="AE186" s="143">
        <f t="shared" si="21"/>
        <v>-1.7569721768526017E-2</v>
      </c>
      <c r="AF186" s="143">
        <f t="shared" si="23"/>
        <v>6.889545347385978E-3</v>
      </c>
      <c r="AG186" s="143" t="str">
        <f t="shared" si="23"/>
        <v/>
      </c>
      <c r="AH186" s="143" t="str">
        <f t="shared" si="23"/>
        <v/>
      </c>
      <c r="AI186" s="143" t="str">
        <f t="shared" si="22"/>
        <v/>
      </c>
      <c r="AJ186" s="143" t="str">
        <f t="shared" si="22"/>
        <v/>
      </c>
      <c r="AK186" s="143" t="str">
        <f t="shared" si="22"/>
        <v/>
      </c>
      <c r="AL186" s="143" t="str">
        <f t="shared" si="22"/>
        <v/>
      </c>
      <c r="AM186" s="143" t="str">
        <f t="shared" si="22"/>
        <v/>
      </c>
      <c r="AN186" s="143" t="str">
        <f t="shared" si="22"/>
        <v/>
      </c>
      <c r="AP186" s="9">
        <f t="shared" si="17"/>
        <v>3.4344242106750719E-5</v>
      </c>
      <c r="AQ186" s="9">
        <f t="shared" si="18"/>
        <v>0.9756512245834944</v>
      </c>
    </row>
    <row r="187" spans="2:43" x14ac:dyDescent="0.35">
      <c r="B187" s="3" t="s">
        <v>272</v>
      </c>
      <c r="D187" s="141">
        <v>150</v>
      </c>
      <c r="E187" s="141"/>
      <c r="F187" s="141"/>
      <c r="G187" s="141"/>
      <c r="H187" s="141">
        <f>+SUM(D187:G187)</f>
        <v>150</v>
      </c>
      <c r="J187" s="141">
        <v>70</v>
      </c>
      <c r="K187" s="141"/>
      <c r="L187" s="141"/>
      <c r="M187" s="141"/>
      <c r="N187" s="141">
        <f>+SUM(J187:M187)</f>
        <v>70</v>
      </c>
      <c r="P187" s="2">
        <f>+IFERROR(J187/D187,"")</f>
        <v>0.46666666666666667</v>
      </c>
      <c r="Q187" s="2" t="str">
        <f>+IFERROR(K187/E187,"")</f>
        <v/>
      </c>
      <c r="R187" s="2" t="str">
        <f>+IFERROR(L187/F187,"")</f>
        <v/>
      </c>
      <c r="S187" s="2" t="str">
        <f>+IFERROR(M187/G187,"")</f>
        <v/>
      </c>
      <c r="T187" s="2" t="str">
        <f>+IFERROR(#REF!/#REF!,"")</f>
        <v/>
      </c>
      <c r="U187" s="2" t="str">
        <f>+IFERROR(#REF!/#REF!,"")</f>
        <v/>
      </c>
      <c r="V187" s="2" t="str">
        <f>+IFERROR(#REF!/#REF!,"")</f>
        <v/>
      </c>
      <c r="W187" s="2" t="str">
        <f>+IFERROR(#REF!/#REF!,"")</f>
        <v/>
      </c>
      <c r="X187" s="2" t="str">
        <f>+IFERROR(#REF!/#REF!,"")</f>
        <v/>
      </c>
      <c r="Y187" s="2" t="str">
        <f>+IFERROR(#REF!/#REF!,"")</f>
        <v/>
      </c>
      <c r="Z187" s="2" t="str">
        <f>+IFERROR(#REF!/#REF!,"")</f>
        <v/>
      </c>
      <c r="AA187" s="2" t="str">
        <f>+IFERROR(#REF!/#REF!,"")</f>
        <v/>
      </c>
      <c r="AB187" s="2">
        <f>+IFERROR(N187/H187,"")</f>
        <v>0.46666666666666667</v>
      </c>
      <c r="AD187" s="143" t="str">
        <f t="shared" si="20"/>
        <v/>
      </c>
      <c r="AE187" s="143" t="str">
        <f t="shared" si="21"/>
        <v/>
      </c>
      <c r="AF187" s="143" t="str">
        <f t="shared" si="23"/>
        <v/>
      </c>
      <c r="AG187" s="143" t="str">
        <f t="shared" si="23"/>
        <v/>
      </c>
      <c r="AH187" s="143" t="str">
        <f t="shared" si="23"/>
        <v/>
      </c>
      <c r="AI187" s="143" t="str">
        <f t="shared" si="22"/>
        <v/>
      </c>
      <c r="AJ187" s="143" t="str">
        <f t="shared" si="22"/>
        <v/>
      </c>
      <c r="AK187" s="143" t="str">
        <f t="shared" si="22"/>
        <v/>
      </c>
      <c r="AL187" s="143" t="str">
        <f t="shared" si="22"/>
        <v/>
      </c>
      <c r="AM187" s="143" t="str">
        <f t="shared" si="22"/>
        <v/>
      </c>
      <c r="AN187" s="143" t="str">
        <f t="shared" si="22"/>
        <v/>
      </c>
      <c r="AP187" s="9">
        <f t="shared" si="17"/>
        <v>4.0328400642016845E-8</v>
      </c>
      <c r="AQ187" s="9">
        <f t="shared" si="18"/>
        <v>0.97565126491189502</v>
      </c>
    </row>
    <row r="188" spans="2:43" x14ac:dyDescent="0.35">
      <c r="B188" s="3" t="s">
        <v>277</v>
      </c>
      <c r="D188" s="141"/>
      <c r="E188" s="141"/>
      <c r="F188" s="141"/>
      <c r="G188" s="141"/>
      <c r="H188" s="141">
        <f>+SUM(D188:G188)</f>
        <v>0</v>
      </c>
      <c r="J188" s="141"/>
      <c r="K188" s="141"/>
      <c r="L188" s="141"/>
      <c r="M188" s="141"/>
      <c r="N188" s="141">
        <f>+SUM(J188:M188)</f>
        <v>0</v>
      </c>
      <c r="P188" s="2" t="str">
        <f>+IFERROR(J188/D188,"")</f>
        <v/>
      </c>
      <c r="Q188" s="2" t="str">
        <f>+IFERROR(K188/E188,"")</f>
        <v/>
      </c>
      <c r="R188" s="2" t="str">
        <f>+IFERROR(L188/F188,"")</f>
        <v/>
      </c>
      <c r="S188" s="2" t="str">
        <f>+IFERROR(M188/G188,"")</f>
        <v/>
      </c>
      <c r="T188" s="2" t="str">
        <f>+IFERROR(#REF!/#REF!,"")</f>
        <v/>
      </c>
      <c r="U188" s="2" t="str">
        <f>+IFERROR(#REF!/#REF!,"")</f>
        <v/>
      </c>
      <c r="V188" s="2" t="str">
        <f>+IFERROR(#REF!/#REF!,"")</f>
        <v/>
      </c>
      <c r="W188" s="2" t="str">
        <f>+IFERROR(#REF!/#REF!,"")</f>
        <v/>
      </c>
      <c r="X188" s="2" t="str">
        <f>+IFERROR(#REF!/#REF!,"")</f>
        <v/>
      </c>
      <c r="Y188" s="2" t="str">
        <f>+IFERROR(#REF!/#REF!,"")</f>
        <v/>
      </c>
      <c r="Z188" s="2" t="str">
        <f>+IFERROR(#REF!/#REF!,"")</f>
        <v/>
      </c>
      <c r="AA188" s="2" t="str">
        <f>+IFERROR(#REF!/#REF!,"")</f>
        <v/>
      </c>
      <c r="AB188" s="2" t="str">
        <f>+IFERROR(N188/H188,"")</f>
        <v/>
      </c>
      <c r="AD188" s="143" t="str">
        <f t="shared" si="20"/>
        <v/>
      </c>
      <c r="AE188" s="143" t="str">
        <f t="shared" si="21"/>
        <v/>
      </c>
      <c r="AF188" s="143" t="str">
        <f t="shared" si="23"/>
        <v/>
      </c>
      <c r="AG188" s="143" t="str">
        <f t="shared" si="23"/>
        <v/>
      </c>
      <c r="AH188" s="143" t="str">
        <f t="shared" si="23"/>
        <v/>
      </c>
      <c r="AI188" s="143" t="str">
        <f t="shared" si="22"/>
        <v/>
      </c>
      <c r="AJ188" s="143" t="str">
        <f t="shared" si="22"/>
        <v/>
      </c>
      <c r="AK188" s="143" t="str">
        <f t="shared" si="22"/>
        <v/>
      </c>
      <c r="AL188" s="143" t="str">
        <f t="shared" si="22"/>
        <v/>
      </c>
      <c r="AM188" s="143" t="str">
        <f t="shared" si="22"/>
        <v/>
      </c>
      <c r="AN188" s="143" t="str">
        <f t="shared" si="22"/>
        <v/>
      </c>
      <c r="AP188" s="9">
        <f t="shared" si="17"/>
        <v>0</v>
      </c>
      <c r="AQ188" s="9">
        <f t="shared" si="18"/>
        <v>0.97565126491189502</v>
      </c>
    </row>
    <row r="189" spans="2:43" x14ac:dyDescent="0.35">
      <c r="B189" s="3" t="s">
        <v>271</v>
      </c>
      <c r="D189" s="141">
        <v>145518</v>
      </c>
      <c r="E189" s="141">
        <v>132885</v>
      </c>
      <c r="F189" s="141">
        <v>162124</v>
      </c>
      <c r="G189" s="141">
        <v>116496</v>
      </c>
      <c r="H189" s="141">
        <f>+SUM(D189:G189)</f>
        <v>557023</v>
      </c>
      <c r="J189" s="141">
        <v>9982</v>
      </c>
      <c r="K189" s="141">
        <v>11709</v>
      </c>
      <c r="L189" s="141">
        <v>14109</v>
      </c>
      <c r="M189" s="141">
        <v>13723</v>
      </c>
      <c r="N189" s="141">
        <f>+SUM(J189:M189)</f>
        <v>49523</v>
      </c>
      <c r="P189" s="2">
        <f>+IFERROR(J189/D189,"")</f>
        <v>6.859632485328275E-2</v>
      </c>
      <c r="Q189" s="2">
        <f>+IFERROR(K189/E189,"")</f>
        <v>8.8113782593972234E-2</v>
      </c>
      <c r="R189" s="2">
        <f>+IFERROR(L189/F189,"")</f>
        <v>8.7025980113986823E-2</v>
      </c>
      <c r="S189" s="2">
        <f>+IFERROR(M189/G189,"")</f>
        <v>0.11779803598406813</v>
      </c>
      <c r="T189" s="2" t="str">
        <f>+IFERROR(#REF!/#REF!,"")</f>
        <v/>
      </c>
      <c r="U189" s="2" t="str">
        <f>+IFERROR(#REF!/#REF!,"")</f>
        <v/>
      </c>
      <c r="V189" s="2" t="str">
        <f>+IFERROR(#REF!/#REF!,"")</f>
        <v/>
      </c>
      <c r="W189" s="2" t="str">
        <f>+IFERROR(#REF!/#REF!,"")</f>
        <v/>
      </c>
      <c r="X189" s="2" t="str">
        <f>+IFERROR(#REF!/#REF!,"")</f>
        <v/>
      </c>
      <c r="Y189" s="2" t="str">
        <f>+IFERROR(#REF!/#REF!,"")</f>
        <v/>
      </c>
      <c r="Z189" s="2" t="str">
        <f>+IFERROR(#REF!/#REF!,"")</f>
        <v/>
      </c>
      <c r="AA189" s="2" t="str">
        <f>+IFERROR(#REF!/#REF!,"")</f>
        <v/>
      </c>
      <c r="AB189" s="2">
        <f>+IFERROR(N189/H189,"")</f>
        <v>8.8906562206587519E-2</v>
      </c>
      <c r="AD189" s="143">
        <f t="shared" si="20"/>
        <v>1.9517457740689484E-2</v>
      </c>
      <c r="AE189" s="143">
        <f t="shared" si="21"/>
        <v>-1.0878024799854114E-3</v>
      </c>
      <c r="AF189" s="143">
        <f t="shared" si="23"/>
        <v>3.0772055870081305E-2</v>
      </c>
      <c r="AG189" s="143" t="str">
        <f t="shared" si="23"/>
        <v/>
      </c>
      <c r="AH189" s="143" t="str">
        <f t="shared" si="23"/>
        <v/>
      </c>
      <c r="AI189" s="143" t="str">
        <f t="shared" si="22"/>
        <v/>
      </c>
      <c r="AJ189" s="143" t="str">
        <f t="shared" si="22"/>
        <v/>
      </c>
      <c r="AK189" s="143" t="str">
        <f t="shared" si="22"/>
        <v/>
      </c>
      <c r="AL189" s="143" t="str">
        <f t="shared" si="22"/>
        <v/>
      </c>
      <c r="AM189" s="143" t="str">
        <f t="shared" si="22"/>
        <v/>
      </c>
      <c r="AN189" s="143" t="str">
        <f t="shared" si="22"/>
        <v/>
      </c>
      <c r="AP189" s="9">
        <f t="shared" si="17"/>
        <v>2.8531191214208575E-5</v>
      </c>
      <c r="AQ189" s="9">
        <f t="shared" si="18"/>
        <v>0.97567979610310918</v>
      </c>
    </row>
    <row r="190" spans="2:43" x14ac:dyDescent="0.35">
      <c r="B190" s="3" t="s">
        <v>280</v>
      </c>
      <c r="D190" s="141"/>
      <c r="E190" s="141">
        <v>432</v>
      </c>
      <c r="F190" s="141">
        <v>3405</v>
      </c>
      <c r="G190" s="141">
        <v>3643</v>
      </c>
      <c r="H190" s="141">
        <f>+SUM(D190:G190)</f>
        <v>7480</v>
      </c>
      <c r="J190" s="141"/>
      <c r="K190" s="141">
        <v>17</v>
      </c>
      <c r="L190" s="141">
        <v>34</v>
      </c>
      <c r="M190" s="141">
        <v>57</v>
      </c>
      <c r="N190" s="141">
        <f>+SUM(J190:M190)</f>
        <v>108</v>
      </c>
      <c r="P190" s="2" t="str">
        <f>+IFERROR(J190/D190,"")</f>
        <v/>
      </c>
      <c r="Q190" s="2">
        <f>+IFERROR(K190/E190,"")</f>
        <v>3.9351851851851853E-2</v>
      </c>
      <c r="R190" s="2">
        <f>+IFERROR(L190/F190,"")</f>
        <v>9.9853157121879595E-3</v>
      </c>
      <c r="S190" s="2">
        <f>+IFERROR(M190/G190,"")</f>
        <v>1.5646445237441669E-2</v>
      </c>
      <c r="T190" s="2" t="str">
        <f>+IFERROR(#REF!/#REF!,"")</f>
        <v/>
      </c>
      <c r="U190" s="2" t="str">
        <f>+IFERROR(#REF!/#REF!,"")</f>
        <v/>
      </c>
      <c r="V190" s="2" t="str">
        <f>+IFERROR(#REF!/#REF!,"")</f>
        <v/>
      </c>
      <c r="W190" s="2" t="str">
        <f>+IFERROR(#REF!/#REF!,"")</f>
        <v/>
      </c>
      <c r="X190" s="2" t="str">
        <f>+IFERROR(#REF!/#REF!,"")</f>
        <v/>
      </c>
      <c r="Y190" s="2" t="str">
        <f>+IFERROR(#REF!/#REF!,"")</f>
        <v/>
      </c>
      <c r="Z190" s="2" t="str">
        <f>+IFERROR(#REF!/#REF!,"")</f>
        <v/>
      </c>
      <c r="AA190" s="2" t="str">
        <f>+IFERROR(#REF!/#REF!,"")</f>
        <v/>
      </c>
      <c r="AB190" s="2">
        <f>+IFERROR(N190/H190,"")</f>
        <v>1.4438502673796792E-2</v>
      </c>
      <c r="AD190" s="143" t="str">
        <f t="shared" si="20"/>
        <v/>
      </c>
      <c r="AE190" s="143">
        <f t="shared" si="21"/>
        <v>-2.9366536139663894E-2</v>
      </c>
      <c r="AF190" s="143">
        <f t="shared" si="23"/>
        <v>5.6611295252537094E-3</v>
      </c>
      <c r="AG190" s="143" t="str">
        <f t="shared" si="23"/>
        <v/>
      </c>
      <c r="AH190" s="143" t="str">
        <f t="shared" si="23"/>
        <v/>
      </c>
      <c r="AI190" s="143" t="str">
        <f t="shared" si="22"/>
        <v/>
      </c>
      <c r="AJ190" s="143" t="str">
        <f t="shared" si="22"/>
        <v/>
      </c>
      <c r="AK190" s="143" t="str">
        <f t="shared" si="22"/>
        <v/>
      </c>
      <c r="AL190" s="143" t="str">
        <f t="shared" si="22"/>
        <v/>
      </c>
      <c r="AM190" s="143" t="str">
        <f t="shared" si="22"/>
        <v/>
      </c>
      <c r="AN190" s="143" t="str">
        <f t="shared" si="22"/>
        <v/>
      </c>
      <c r="AP190" s="9">
        <f t="shared" si="17"/>
        <v>6.2220960990540272E-8</v>
      </c>
      <c r="AQ190" s="9">
        <f t="shared" si="18"/>
        <v>0.97567985832407012</v>
      </c>
    </row>
    <row r="191" spans="2:43" x14ac:dyDescent="0.35">
      <c r="B191" s="3" t="s">
        <v>274</v>
      </c>
      <c r="D191" s="141"/>
      <c r="E191" s="141"/>
      <c r="F191" s="141"/>
      <c r="G191" s="141"/>
      <c r="H191" s="141">
        <f>+SUM(D191:G191)</f>
        <v>0</v>
      </c>
      <c r="J191" s="141"/>
      <c r="K191" s="141"/>
      <c r="L191" s="141"/>
      <c r="M191" s="141"/>
      <c r="N191" s="141">
        <f>+SUM(J191:M191)</f>
        <v>0</v>
      </c>
      <c r="P191" s="2" t="str">
        <f>+IFERROR(J191/D191,"")</f>
        <v/>
      </c>
      <c r="Q191" s="2" t="str">
        <f>+IFERROR(K191/E191,"")</f>
        <v/>
      </c>
      <c r="R191" s="2" t="str">
        <f>+IFERROR(L191/F191,"")</f>
        <v/>
      </c>
      <c r="S191" s="2" t="str">
        <f>+IFERROR(M191/G191,"")</f>
        <v/>
      </c>
      <c r="T191" s="2" t="str">
        <f>+IFERROR(#REF!/#REF!,"")</f>
        <v/>
      </c>
      <c r="U191" s="2" t="str">
        <f>+IFERROR(#REF!/#REF!,"")</f>
        <v/>
      </c>
      <c r="V191" s="2" t="str">
        <f>+IFERROR(#REF!/#REF!,"")</f>
        <v/>
      </c>
      <c r="W191" s="2" t="str">
        <f>+IFERROR(#REF!/#REF!,"")</f>
        <v/>
      </c>
      <c r="X191" s="2" t="str">
        <f>+IFERROR(#REF!/#REF!,"")</f>
        <v/>
      </c>
      <c r="Y191" s="2" t="str">
        <f>+IFERROR(#REF!/#REF!,"")</f>
        <v/>
      </c>
      <c r="Z191" s="2" t="str">
        <f>+IFERROR(#REF!/#REF!,"")</f>
        <v/>
      </c>
      <c r="AA191" s="2" t="str">
        <f>+IFERROR(#REF!/#REF!,"")</f>
        <v/>
      </c>
      <c r="AB191" s="2" t="str">
        <f>+IFERROR(N191/H191,"")</f>
        <v/>
      </c>
      <c r="AD191" s="143" t="str">
        <f t="shared" si="20"/>
        <v/>
      </c>
      <c r="AE191" s="143" t="str">
        <f t="shared" si="21"/>
        <v/>
      </c>
      <c r="AF191" s="143" t="str">
        <f t="shared" si="23"/>
        <v/>
      </c>
      <c r="AG191" s="143" t="str">
        <f t="shared" si="23"/>
        <v/>
      </c>
      <c r="AH191" s="143" t="str">
        <f t="shared" si="23"/>
        <v/>
      </c>
      <c r="AI191" s="143" t="str">
        <f t="shared" si="22"/>
        <v/>
      </c>
      <c r="AJ191" s="143" t="str">
        <f t="shared" si="22"/>
        <v/>
      </c>
      <c r="AK191" s="143" t="str">
        <f t="shared" si="22"/>
        <v/>
      </c>
      <c r="AL191" s="143" t="str">
        <f t="shared" si="22"/>
        <v/>
      </c>
      <c r="AM191" s="143" t="str">
        <f t="shared" si="22"/>
        <v/>
      </c>
      <c r="AN191" s="143" t="str">
        <f t="shared" si="22"/>
        <v/>
      </c>
      <c r="AP191" s="9">
        <f t="shared" si="17"/>
        <v>0</v>
      </c>
      <c r="AQ191" s="9">
        <f t="shared" si="18"/>
        <v>0.97567985832407012</v>
      </c>
    </row>
    <row r="192" spans="2:43" x14ac:dyDescent="0.35">
      <c r="B192" s="3" t="s">
        <v>251</v>
      </c>
      <c r="D192" s="141">
        <v>417370</v>
      </c>
      <c r="E192" s="141">
        <v>333688</v>
      </c>
      <c r="F192" s="141">
        <v>1447920</v>
      </c>
      <c r="G192" s="141">
        <v>3336619</v>
      </c>
      <c r="H192" s="141">
        <f>+SUM(D192:G192)</f>
        <v>5535597</v>
      </c>
      <c r="J192" s="141">
        <v>26797</v>
      </c>
      <c r="K192" s="141">
        <v>21737</v>
      </c>
      <c r="L192" s="141">
        <v>158864</v>
      </c>
      <c r="M192" s="141">
        <v>375658</v>
      </c>
      <c r="N192" s="141">
        <f>+SUM(J192:M192)</f>
        <v>583056</v>
      </c>
      <c r="P192" s="2">
        <f>+IFERROR(J192/D192,"")</f>
        <v>6.4204422934087263E-2</v>
      </c>
      <c r="Q192" s="2">
        <f>+IFERROR(K192/E192,"")</f>
        <v>6.5141689242645823E-2</v>
      </c>
      <c r="R192" s="2">
        <f>+IFERROR(L192/F192,"")</f>
        <v>0.10971876899276203</v>
      </c>
      <c r="S192" s="2">
        <f>+IFERROR(M192/G192,"")</f>
        <v>0.11258642356229465</v>
      </c>
      <c r="T192" s="2" t="str">
        <f>+IFERROR(#REF!/#REF!,"")</f>
        <v/>
      </c>
      <c r="U192" s="2" t="str">
        <f>+IFERROR(#REF!/#REF!,"")</f>
        <v/>
      </c>
      <c r="V192" s="2" t="str">
        <f>+IFERROR(#REF!/#REF!,"")</f>
        <v/>
      </c>
      <c r="W192" s="2" t="str">
        <f>+IFERROR(#REF!/#REF!,"")</f>
        <v/>
      </c>
      <c r="X192" s="2" t="str">
        <f>+IFERROR(#REF!/#REF!,"")</f>
        <v/>
      </c>
      <c r="Y192" s="2" t="str">
        <f>+IFERROR(#REF!/#REF!,"")</f>
        <v/>
      </c>
      <c r="Z192" s="2" t="str">
        <f>+IFERROR(#REF!/#REF!,"")</f>
        <v/>
      </c>
      <c r="AA192" s="2" t="str">
        <f>+IFERROR(#REF!/#REF!,"")</f>
        <v/>
      </c>
      <c r="AB192" s="2">
        <f>+IFERROR(N192/H192,"")</f>
        <v>0.10532847676592064</v>
      </c>
      <c r="AD192" s="143">
        <f t="shared" si="20"/>
        <v>9.3726630855855975E-4</v>
      </c>
      <c r="AE192" s="143">
        <f t="shared" si="21"/>
        <v>4.4577079750116211E-2</v>
      </c>
      <c r="AF192" s="143">
        <f t="shared" si="23"/>
        <v>2.8676545695326128E-3</v>
      </c>
      <c r="AG192" s="143" t="str">
        <f t="shared" si="23"/>
        <v/>
      </c>
      <c r="AH192" s="143" t="str">
        <f t="shared" si="23"/>
        <v/>
      </c>
      <c r="AI192" s="143" t="str">
        <f t="shared" si="22"/>
        <v/>
      </c>
      <c r="AJ192" s="143" t="str">
        <f t="shared" si="22"/>
        <v/>
      </c>
      <c r="AK192" s="143" t="str">
        <f t="shared" si="22"/>
        <v/>
      </c>
      <c r="AL192" s="143" t="str">
        <f t="shared" si="22"/>
        <v/>
      </c>
      <c r="AM192" s="143" t="str">
        <f t="shared" si="22"/>
        <v/>
      </c>
      <c r="AN192" s="143" t="str">
        <f t="shared" si="22"/>
        <v/>
      </c>
      <c r="AP192" s="9">
        <f t="shared" si="17"/>
        <v>3.3591022806759679E-4</v>
      </c>
      <c r="AQ192" s="9">
        <f t="shared" si="18"/>
        <v>0.97601576855213767</v>
      </c>
    </row>
    <row r="193" spans="2:43" x14ac:dyDescent="0.35">
      <c r="B193" s="3" t="s">
        <v>258</v>
      </c>
      <c r="D193" s="141"/>
      <c r="E193" s="141"/>
      <c r="F193" s="141"/>
      <c r="G193" s="141"/>
      <c r="H193" s="141">
        <f>+SUM(D193:G193)</f>
        <v>0</v>
      </c>
      <c r="J193" s="141"/>
      <c r="K193" s="141"/>
      <c r="L193" s="141"/>
      <c r="M193" s="141"/>
      <c r="N193" s="141">
        <f>+SUM(J193:M193)</f>
        <v>0</v>
      </c>
      <c r="P193" s="2" t="str">
        <f>+IFERROR(J193/D193,"")</f>
        <v/>
      </c>
      <c r="Q193" s="2" t="str">
        <f>+IFERROR(K193/E193,"")</f>
        <v/>
      </c>
      <c r="R193" s="2" t="str">
        <f>+IFERROR(L193/F193,"")</f>
        <v/>
      </c>
      <c r="S193" s="2" t="str">
        <f>+IFERROR(M193/G193,"")</f>
        <v/>
      </c>
      <c r="T193" s="2" t="str">
        <f>+IFERROR(#REF!/#REF!,"")</f>
        <v/>
      </c>
      <c r="U193" s="2" t="str">
        <f>+IFERROR(#REF!/#REF!,"")</f>
        <v/>
      </c>
      <c r="V193" s="2" t="str">
        <f>+IFERROR(#REF!/#REF!,"")</f>
        <v/>
      </c>
      <c r="W193" s="2" t="str">
        <f>+IFERROR(#REF!/#REF!,"")</f>
        <v/>
      </c>
      <c r="X193" s="2" t="str">
        <f>+IFERROR(#REF!/#REF!,"")</f>
        <v/>
      </c>
      <c r="Y193" s="2" t="str">
        <f>+IFERROR(#REF!/#REF!,"")</f>
        <v/>
      </c>
      <c r="Z193" s="2" t="str">
        <f>+IFERROR(#REF!/#REF!,"")</f>
        <v/>
      </c>
      <c r="AA193" s="2" t="str">
        <f>+IFERROR(#REF!/#REF!,"")</f>
        <v/>
      </c>
      <c r="AB193" s="2" t="str">
        <f>+IFERROR(N193/H193,"")</f>
        <v/>
      </c>
      <c r="AD193" s="143" t="str">
        <f t="shared" si="20"/>
        <v/>
      </c>
      <c r="AE193" s="143" t="str">
        <f t="shared" si="21"/>
        <v/>
      </c>
      <c r="AF193" s="143" t="str">
        <f t="shared" si="23"/>
        <v/>
      </c>
      <c r="AG193" s="143" t="str">
        <f t="shared" si="23"/>
        <v/>
      </c>
      <c r="AH193" s="143" t="str">
        <f t="shared" si="23"/>
        <v/>
      </c>
      <c r="AI193" s="143" t="str">
        <f t="shared" si="22"/>
        <v/>
      </c>
      <c r="AJ193" s="143" t="str">
        <f t="shared" si="22"/>
        <v/>
      </c>
      <c r="AK193" s="143" t="str">
        <f t="shared" si="22"/>
        <v/>
      </c>
      <c r="AL193" s="143" t="str">
        <f t="shared" si="22"/>
        <v/>
      </c>
      <c r="AM193" s="143" t="str">
        <f t="shared" si="22"/>
        <v/>
      </c>
      <c r="AN193" s="143" t="str">
        <f t="shared" si="22"/>
        <v/>
      </c>
      <c r="AP193" s="9">
        <f t="shared" si="17"/>
        <v>0</v>
      </c>
      <c r="AQ193" s="9">
        <f t="shared" si="18"/>
        <v>0.97601576855213767</v>
      </c>
    </row>
    <row r="194" spans="2:43" x14ac:dyDescent="0.35">
      <c r="B194" s="3" t="s">
        <v>248</v>
      </c>
      <c r="D194" s="141">
        <v>308106</v>
      </c>
      <c r="E194" s="141">
        <v>345907</v>
      </c>
      <c r="F194" s="141">
        <v>383694</v>
      </c>
      <c r="G194" s="141">
        <v>333447</v>
      </c>
      <c r="H194" s="141">
        <f>+SUM(D194:G194)</f>
        <v>1371154</v>
      </c>
      <c r="J194" s="141">
        <v>35165</v>
      </c>
      <c r="K194" s="141">
        <v>48626</v>
      </c>
      <c r="L194" s="141">
        <v>48057</v>
      </c>
      <c r="M194" s="141">
        <v>43493</v>
      </c>
      <c r="N194" s="141">
        <f>+SUM(J194:M194)</f>
        <v>175341</v>
      </c>
      <c r="P194" s="2">
        <f>+IFERROR(J194/D194,"")</f>
        <v>0.11413279845248064</v>
      </c>
      <c r="Q194" s="2">
        <f>+IFERROR(K194/E194,"")</f>
        <v>0.14057535696010778</v>
      </c>
      <c r="R194" s="2">
        <f>+IFERROR(L194/F194,"")</f>
        <v>0.12524824469499132</v>
      </c>
      <c r="S194" s="2">
        <f>+IFERROR(M194/G194,"")</f>
        <v>0.13043452182805662</v>
      </c>
      <c r="T194" s="2" t="str">
        <f>+IFERROR(#REF!/#REF!,"")</f>
        <v/>
      </c>
      <c r="U194" s="2" t="str">
        <f>+IFERROR(#REF!/#REF!,"")</f>
        <v/>
      </c>
      <c r="V194" s="2" t="str">
        <f>+IFERROR(#REF!/#REF!,"")</f>
        <v/>
      </c>
      <c r="W194" s="2" t="str">
        <f>+IFERROR(#REF!/#REF!,"")</f>
        <v/>
      </c>
      <c r="X194" s="2" t="str">
        <f>+IFERROR(#REF!/#REF!,"")</f>
        <v/>
      </c>
      <c r="Y194" s="2" t="str">
        <f>+IFERROR(#REF!/#REF!,"")</f>
        <v/>
      </c>
      <c r="Z194" s="2" t="str">
        <f>+IFERROR(#REF!/#REF!,"")</f>
        <v/>
      </c>
      <c r="AA194" s="2" t="str">
        <f>+IFERROR(#REF!/#REF!,"")</f>
        <v/>
      </c>
      <c r="AB194" s="2">
        <f>+IFERROR(N194/H194,"")</f>
        <v>0.12787841482430129</v>
      </c>
      <c r="AD194" s="143">
        <f t="shared" si="20"/>
        <v>2.644255850762714E-2</v>
      </c>
      <c r="AE194" s="143">
        <f t="shared" si="21"/>
        <v>-1.532711226511646E-2</v>
      </c>
      <c r="AF194" s="143">
        <f t="shared" si="23"/>
        <v>5.1862771330652979E-3</v>
      </c>
      <c r="AG194" s="143" t="str">
        <f t="shared" si="23"/>
        <v/>
      </c>
      <c r="AH194" s="143" t="str">
        <f t="shared" si="23"/>
        <v/>
      </c>
      <c r="AI194" s="143" t="str">
        <f t="shared" si="22"/>
        <v/>
      </c>
      <c r="AJ194" s="143" t="str">
        <f t="shared" si="22"/>
        <v/>
      </c>
      <c r="AK194" s="143" t="str">
        <f t="shared" si="22"/>
        <v/>
      </c>
      <c r="AL194" s="143" t="str">
        <f t="shared" si="22"/>
        <v/>
      </c>
      <c r="AM194" s="143" t="str">
        <f t="shared" si="22"/>
        <v/>
      </c>
      <c r="AN194" s="143" t="str">
        <f t="shared" si="22"/>
        <v/>
      </c>
      <c r="AP194" s="9">
        <f t="shared" si="17"/>
        <v>1.0101745852816966E-4</v>
      </c>
      <c r="AQ194" s="9">
        <f t="shared" si="18"/>
        <v>0.97611678601066587</v>
      </c>
    </row>
    <row r="195" spans="2:43" x14ac:dyDescent="0.35">
      <c r="B195" s="3" t="s">
        <v>267</v>
      </c>
      <c r="D195" s="141"/>
      <c r="E195" s="141"/>
      <c r="F195" s="141"/>
      <c r="G195" s="141"/>
      <c r="H195" s="141">
        <f>+SUM(D195:G195)</f>
        <v>0</v>
      </c>
      <c r="J195" s="141"/>
      <c r="K195" s="141"/>
      <c r="L195" s="141"/>
      <c r="M195" s="141"/>
      <c r="N195" s="141">
        <f>+SUM(J195:M195)</f>
        <v>0</v>
      </c>
      <c r="P195" s="2" t="str">
        <f>+IFERROR(J195/D195,"")</f>
        <v/>
      </c>
      <c r="Q195" s="2" t="str">
        <f>+IFERROR(K195/E195,"")</f>
        <v/>
      </c>
      <c r="R195" s="2" t="str">
        <f>+IFERROR(L195/F195,"")</f>
        <v/>
      </c>
      <c r="S195" s="2" t="str">
        <f>+IFERROR(M195/G195,"")</f>
        <v/>
      </c>
      <c r="T195" s="2" t="str">
        <f>+IFERROR(#REF!/#REF!,"")</f>
        <v/>
      </c>
      <c r="U195" s="2" t="str">
        <f>+IFERROR(#REF!/#REF!,"")</f>
        <v/>
      </c>
      <c r="V195" s="2" t="str">
        <f>+IFERROR(#REF!/#REF!,"")</f>
        <v/>
      </c>
      <c r="W195" s="2" t="str">
        <f>+IFERROR(#REF!/#REF!,"")</f>
        <v/>
      </c>
      <c r="X195" s="2" t="str">
        <f>+IFERROR(#REF!/#REF!,"")</f>
        <v/>
      </c>
      <c r="Y195" s="2" t="str">
        <f>+IFERROR(#REF!/#REF!,"")</f>
        <v/>
      </c>
      <c r="Z195" s="2" t="str">
        <f>+IFERROR(#REF!/#REF!,"")</f>
        <v/>
      </c>
      <c r="AA195" s="2" t="str">
        <f>+IFERROR(#REF!/#REF!,"")</f>
        <v/>
      </c>
      <c r="AB195" s="2" t="str">
        <f>+IFERROR(N195/H195,"")</f>
        <v/>
      </c>
      <c r="AD195" s="143" t="str">
        <f t="shared" si="20"/>
        <v/>
      </c>
      <c r="AE195" s="143" t="str">
        <f t="shared" si="21"/>
        <v/>
      </c>
      <c r="AF195" s="143" t="str">
        <f t="shared" si="23"/>
        <v/>
      </c>
      <c r="AG195" s="143" t="str">
        <f t="shared" si="23"/>
        <v/>
      </c>
      <c r="AH195" s="143" t="str">
        <f t="shared" si="23"/>
        <v/>
      </c>
      <c r="AI195" s="143" t="str">
        <f t="shared" si="22"/>
        <v/>
      </c>
      <c r="AJ195" s="143" t="str">
        <f t="shared" si="22"/>
        <v/>
      </c>
      <c r="AK195" s="143" t="str">
        <f t="shared" si="22"/>
        <v/>
      </c>
      <c r="AL195" s="143" t="str">
        <f t="shared" si="22"/>
        <v/>
      </c>
      <c r="AM195" s="143" t="str">
        <f t="shared" si="22"/>
        <v/>
      </c>
      <c r="AN195" s="143" t="str">
        <f t="shared" si="22"/>
        <v/>
      </c>
      <c r="AP195" s="9">
        <f t="shared" si="17"/>
        <v>0</v>
      </c>
      <c r="AQ195" s="9">
        <f t="shared" si="18"/>
        <v>0.97611678601066587</v>
      </c>
    </row>
    <row r="196" spans="2:43" x14ac:dyDescent="0.35">
      <c r="B196" s="3" t="s">
        <v>262</v>
      </c>
      <c r="D196" s="141">
        <v>382840</v>
      </c>
      <c r="E196" s="141">
        <v>427795</v>
      </c>
      <c r="F196" s="141">
        <v>459240</v>
      </c>
      <c r="G196" s="141">
        <v>296384</v>
      </c>
      <c r="H196" s="141">
        <f>+SUM(D196:G196)</f>
        <v>1566259</v>
      </c>
      <c r="J196" s="141">
        <v>14866</v>
      </c>
      <c r="K196" s="141">
        <v>43926</v>
      </c>
      <c r="L196" s="141">
        <v>27833</v>
      </c>
      <c r="M196" s="141">
        <v>19410</v>
      </c>
      <c r="N196" s="141">
        <f>+SUM(J196:M196)</f>
        <v>106035</v>
      </c>
      <c r="P196" s="2">
        <f>+IFERROR(J196/D196,"")</f>
        <v>3.8830843172082331E-2</v>
      </c>
      <c r="Q196" s="2">
        <f>+IFERROR(K196/E196,"")</f>
        <v>0.10268002197314134</v>
      </c>
      <c r="R196" s="2">
        <f>+IFERROR(L196/F196,"")</f>
        <v>6.0606654472606915E-2</v>
      </c>
      <c r="S196" s="2">
        <f>+IFERROR(M196/G196,"")</f>
        <v>6.5489365147916215E-2</v>
      </c>
      <c r="T196" s="2" t="str">
        <f>+IFERROR(#REF!/#REF!,"")</f>
        <v/>
      </c>
      <c r="U196" s="2" t="str">
        <f>+IFERROR(#REF!/#REF!,"")</f>
        <v/>
      </c>
      <c r="V196" s="2" t="str">
        <f>+IFERROR(#REF!/#REF!,"")</f>
        <v/>
      </c>
      <c r="W196" s="2" t="str">
        <f>+IFERROR(#REF!/#REF!,"")</f>
        <v/>
      </c>
      <c r="X196" s="2" t="str">
        <f>+IFERROR(#REF!/#REF!,"")</f>
        <v/>
      </c>
      <c r="Y196" s="2" t="str">
        <f>+IFERROR(#REF!/#REF!,"")</f>
        <v/>
      </c>
      <c r="Z196" s="2" t="str">
        <f>+IFERROR(#REF!/#REF!,"")</f>
        <v/>
      </c>
      <c r="AA196" s="2" t="str">
        <f>+IFERROR(#REF!/#REF!,"")</f>
        <v/>
      </c>
      <c r="AB196" s="2">
        <f>+IFERROR(N196/H196,"")</f>
        <v>6.7699531175878319E-2</v>
      </c>
      <c r="AD196" s="143">
        <f t="shared" si="20"/>
        <v>6.3849178801059003E-2</v>
      </c>
      <c r="AE196" s="143">
        <f t="shared" si="21"/>
        <v>-4.2073367500534427E-2</v>
      </c>
      <c r="AF196" s="143">
        <f t="shared" si="23"/>
        <v>4.8827106753093E-3</v>
      </c>
      <c r="AG196" s="143" t="str">
        <f t="shared" si="23"/>
        <v/>
      </c>
      <c r="AH196" s="143" t="str">
        <f t="shared" si="23"/>
        <v/>
      </c>
      <c r="AI196" s="143" t="str">
        <f t="shared" si="22"/>
        <v/>
      </c>
      <c r="AJ196" s="143" t="str">
        <f t="shared" si="22"/>
        <v/>
      </c>
      <c r="AK196" s="143" t="str">
        <f t="shared" si="22"/>
        <v/>
      </c>
      <c r="AL196" s="143" t="str">
        <f t="shared" si="22"/>
        <v/>
      </c>
      <c r="AM196" s="143" t="str">
        <f t="shared" si="22"/>
        <v/>
      </c>
      <c r="AN196" s="143" t="str">
        <f t="shared" si="22"/>
        <v/>
      </c>
      <c r="AP196" s="9">
        <f t="shared" ref="AP196:AP235" si="24">+N196/$N$236</f>
        <v>6.1088885172517948E-5</v>
      </c>
      <c r="AQ196" s="9">
        <f t="shared" si="18"/>
        <v>0.9761778748958384</v>
      </c>
    </row>
    <row r="197" spans="2:43" x14ac:dyDescent="0.35">
      <c r="B197" s="3" t="s">
        <v>279</v>
      </c>
      <c r="D197" s="141">
        <v>171800</v>
      </c>
      <c r="E197" s="141">
        <v>209331</v>
      </c>
      <c r="F197" s="141">
        <v>224359</v>
      </c>
      <c r="G197" s="141">
        <v>199422</v>
      </c>
      <c r="H197" s="141">
        <f>+SUM(D197:G197)</f>
        <v>804912</v>
      </c>
      <c r="J197" s="141">
        <v>10985</v>
      </c>
      <c r="K197" s="141">
        <v>17698</v>
      </c>
      <c r="L197" s="141">
        <v>32332</v>
      </c>
      <c r="M197" s="141">
        <v>11552</v>
      </c>
      <c r="N197" s="141">
        <f>+SUM(J197:M197)</f>
        <v>72567</v>
      </c>
      <c r="P197" s="2">
        <f>+IFERROR(J197/D197,"")</f>
        <v>6.3940628637951108E-2</v>
      </c>
      <c r="Q197" s="2">
        <f>+IFERROR(K197/E197,"")</f>
        <v>8.4545528373723908E-2</v>
      </c>
      <c r="R197" s="2">
        <f>+IFERROR(L197/F197,"")</f>
        <v>0.14410832638761983</v>
      </c>
      <c r="S197" s="2">
        <f>+IFERROR(M197/G197,"")</f>
        <v>5.7927410215522862E-2</v>
      </c>
      <c r="T197" s="2" t="str">
        <f>+IFERROR(#REF!/#REF!,"")</f>
        <v/>
      </c>
      <c r="U197" s="2" t="str">
        <f>+IFERROR(#REF!/#REF!,"")</f>
        <v/>
      </c>
      <c r="V197" s="2" t="str">
        <f>+IFERROR(#REF!/#REF!,"")</f>
        <v/>
      </c>
      <c r="W197" s="2" t="str">
        <f>+IFERROR(#REF!/#REF!,"")</f>
        <v/>
      </c>
      <c r="X197" s="2" t="str">
        <f>+IFERROR(#REF!/#REF!,"")</f>
        <v/>
      </c>
      <c r="Y197" s="2" t="str">
        <f>+IFERROR(#REF!/#REF!,"")</f>
        <v/>
      </c>
      <c r="Z197" s="2" t="str">
        <f>+IFERROR(#REF!/#REF!,"")</f>
        <v/>
      </c>
      <c r="AA197" s="2" t="str">
        <f>+IFERROR(#REF!/#REF!,"")</f>
        <v/>
      </c>
      <c r="AB197" s="2">
        <f>+IFERROR(N197/H197,"")</f>
        <v>9.0155197089868203E-2</v>
      </c>
      <c r="AD197" s="143">
        <f t="shared" si="20"/>
        <v>2.06048997357728E-2</v>
      </c>
      <c r="AE197" s="143">
        <f t="shared" si="21"/>
        <v>5.9562798013895926E-2</v>
      </c>
      <c r="AF197" s="143">
        <f t="shared" si="23"/>
        <v>-8.6180916172096972E-2</v>
      </c>
      <c r="AG197" s="143" t="str">
        <f t="shared" si="23"/>
        <v/>
      </c>
      <c r="AH197" s="143" t="str">
        <f t="shared" si="23"/>
        <v/>
      </c>
      <c r="AI197" s="143" t="str">
        <f t="shared" si="22"/>
        <v/>
      </c>
      <c r="AJ197" s="143" t="str">
        <f t="shared" si="22"/>
        <v/>
      </c>
      <c r="AK197" s="143" t="str">
        <f t="shared" si="22"/>
        <v/>
      </c>
      <c r="AL197" s="143" t="str">
        <f t="shared" si="22"/>
        <v/>
      </c>
      <c r="AM197" s="143" t="str">
        <f t="shared" si="22"/>
        <v/>
      </c>
      <c r="AN197" s="143" t="str">
        <f t="shared" si="22"/>
        <v/>
      </c>
      <c r="AP197" s="9">
        <f t="shared" si="24"/>
        <v>4.1807300705560524E-5</v>
      </c>
      <c r="AQ197" s="9">
        <f t="shared" si="18"/>
        <v>0.97621968219654398</v>
      </c>
    </row>
    <row r="198" spans="2:43" x14ac:dyDescent="0.35">
      <c r="B198" s="3" t="s">
        <v>269</v>
      </c>
      <c r="D198" s="141">
        <v>132</v>
      </c>
      <c r="E198" s="141"/>
      <c r="F198" s="141">
        <v>2788</v>
      </c>
      <c r="G198" s="141">
        <v>9058</v>
      </c>
      <c r="H198" s="141">
        <f>+SUM(D198:G198)</f>
        <v>11978</v>
      </c>
      <c r="J198" s="141">
        <v>1</v>
      </c>
      <c r="K198" s="141"/>
      <c r="L198" s="141">
        <v>1224</v>
      </c>
      <c r="M198" s="141">
        <v>400</v>
      </c>
      <c r="N198" s="141">
        <f>+SUM(J198:M198)</f>
        <v>1625</v>
      </c>
      <c r="P198" s="2">
        <f>+IFERROR(J198/D198,"")</f>
        <v>7.575757575757576E-3</v>
      </c>
      <c r="Q198" s="2" t="str">
        <f>+IFERROR(K198/E198,"")</f>
        <v/>
      </c>
      <c r="R198" s="2">
        <f>+IFERROR(L198/F198,"")</f>
        <v>0.43902439024390244</v>
      </c>
      <c r="S198" s="2">
        <f>+IFERROR(M198/G198,"")</f>
        <v>4.4159858688452194E-2</v>
      </c>
      <c r="T198" s="2" t="str">
        <f>+IFERROR(#REF!/#REF!,"")</f>
        <v/>
      </c>
      <c r="U198" s="2" t="str">
        <f>+IFERROR(#REF!/#REF!,"")</f>
        <v/>
      </c>
      <c r="V198" s="2" t="str">
        <f>+IFERROR(#REF!/#REF!,"")</f>
        <v/>
      </c>
      <c r="W198" s="2" t="str">
        <f>+IFERROR(#REF!/#REF!,"")</f>
        <v/>
      </c>
      <c r="X198" s="2" t="str">
        <f>+IFERROR(#REF!/#REF!,"")</f>
        <v/>
      </c>
      <c r="Y198" s="2" t="str">
        <f>+IFERROR(#REF!/#REF!,"")</f>
        <v/>
      </c>
      <c r="Z198" s="2" t="str">
        <f>+IFERROR(#REF!/#REF!,"")</f>
        <v/>
      </c>
      <c r="AA198" s="2" t="str">
        <f>+IFERROR(#REF!/#REF!,"")</f>
        <v/>
      </c>
      <c r="AB198" s="2">
        <f>+IFERROR(N198/H198,"")</f>
        <v>0.13566538654199364</v>
      </c>
      <c r="AD198" s="143" t="str">
        <f t="shared" si="20"/>
        <v/>
      </c>
      <c r="AE198" s="143" t="str">
        <f t="shared" si="21"/>
        <v/>
      </c>
      <c r="AF198" s="143">
        <f t="shared" si="23"/>
        <v>-0.39486453155545026</v>
      </c>
      <c r="AG198" s="143" t="str">
        <f t="shared" si="23"/>
        <v/>
      </c>
      <c r="AH198" s="143" t="str">
        <f t="shared" si="23"/>
        <v/>
      </c>
      <c r="AI198" s="143" t="str">
        <f t="shared" si="22"/>
        <v/>
      </c>
      <c r="AJ198" s="143" t="str">
        <f t="shared" si="22"/>
        <v/>
      </c>
      <c r="AK198" s="143" t="str">
        <f t="shared" si="22"/>
        <v/>
      </c>
      <c r="AL198" s="143" t="str">
        <f t="shared" si="22"/>
        <v/>
      </c>
      <c r="AM198" s="143" t="str">
        <f t="shared" si="22"/>
        <v/>
      </c>
      <c r="AN198" s="143" t="str">
        <f t="shared" si="22"/>
        <v/>
      </c>
      <c r="AP198" s="9">
        <f t="shared" si="24"/>
        <v>9.3619501490396251E-7</v>
      </c>
      <c r="AQ198" s="9">
        <f t="shared" ref="AQ198:AQ235" si="25">+AP198+AQ197</f>
        <v>0.97622061839155894</v>
      </c>
    </row>
    <row r="199" spans="2:43" x14ac:dyDescent="0.35">
      <c r="B199" s="3" t="s">
        <v>281</v>
      </c>
      <c r="D199" s="141">
        <v>46313</v>
      </c>
      <c r="E199" s="141">
        <v>50166</v>
      </c>
      <c r="F199" s="141">
        <v>46515</v>
      </c>
      <c r="G199" s="141">
        <v>47705</v>
      </c>
      <c r="H199" s="141">
        <f>+SUM(D199:G199)</f>
        <v>190699</v>
      </c>
      <c r="J199" s="141">
        <v>12161</v>
      </c>
      <c r="K199" s="141">
        <v>403</v>
      </c>
      <c r="L199" s="141">
        <v>2681</v>
      </c>
      <c r="M199" s="141">
        <v>2549</v>
      </c>
      <c r="N199" s="141">
        <f>+SUM(J199:M199)</f>
        <v>17794</v>
      </c>
      <c r="P199" s="2">
        <f>+IFERROR(J199/D199,"")</f>
        <v>0.26258286010407444</v>
      </c>
      <c r="Q199" s="2">
        <f>+IFERROR(K199/E199,"")</f>
        <v>8.03332934656939E-3</v>
      </c>
      <c r="R199" s="2">
        <f>+IFERROR(L199/F199,"")</f>
        <v>5.7637321294206172E-2</v>
      </c>
      <c r="S199" s="2">
        <f>+IFERROR(M199/G199,"")</f>
        <v>5.3432554239597529E-2</v>
      </c>
      <c r="T199" s="2" t="str">
        <f>+IFERROR(#REF!/#REF!,"")</f>
        <v/>
      </c>
      <c r="U199" s="2" t="str">
        <f>+IFERROR(#REF!/#REF!,"")</f>
        <v/>
      </c>
      <c r="V199" s="2" t="str">
        <f>+IFERROR(#REF!/#REF!,"")</f>
        <v/>
      </c>
      <c r="W199" s="2" t="str">
        <f>+IFERROR(#REF!/#REF!,"")</f>
        <v/>
      </c>
      <c r="X199" s="2" t="str">
        <f>+IFERROR(#REF!/#REF!,"")</f>
        <v/>
      </c>
      <c r="Y199" s="2" t="str">
        <f>+IFERROR(#REF!/#REF!,"")</f>
        <v/>
      </c>
      <c r="Z199" s="2" t="str">
        <f>+IFERROR(#REF!/#REF!,"")</f>
        <v/>
      </c>
      <c r="AA199" s="2" t="str">
        <f>+IFERROR(#REF!/#REF!,"")</f>
        <v/>
      </c>
      <c r="AB199" s="2">
        <f>+IFERROR(N199/H199,"")</f>
        <v>9.3309351386215975E-2</v>
      </c>
      <c r="AD199" s="143">
        <f t="shared" si="20"/>
        <v>-0.25454953075750508</v>
      </c>
      <c r="AE199" s="143">
        <f t="shared" si="21"/>
        <v>4.9603991947636782E-2</v>
      </c>
      <c r="AF199" s="143">
        <f t="shared" si="23"/>
        <v>-4.2047670546086421E-3</v>
      </c>
      <c r="AG199" s="143" t="str">
        <f t="shared" si="23"/>
        <v/>
      </c>
      <c r="AH199" s="143" t="str">
        <f t="shared" si="23"/>
        <v/>
      </c>
      <c r="AI199" s="143" t="str">
        <f t="shared" si="22"/>
        <v/>
      </c>
      <c r="AJ199" s="143" t="str">
        <f t="shared" si="22"/>
        <v/>
      </c>
      <c r="AK199" s="143" t="str">
        <f t="shared" si="22"/>
        <v/>
      </c>
      <c r="AL199" s="143" t="str">
        <f t="shared" si="22"/>
        <v/>
      </c>
      <c r="AM199" s="143" t="str">
        <f t="shared" si="22"/>
        <v/>
      </c>
      <c r="AN199" s="143" t="str">
        <f t="shared" si="22"/>
        <v/>
      </c>
      <c r="AP199" s="9">
        <f t="shared" si="24"/>
        <v>1.0251479443200682E-5</v>
      </c>
      <c r="AQ199" s="9">
        <f t="shared" si="25"/>
        <v>0.97623086987100216</v>
      </c>
    </row>
    <row r="200" spans="2:43" x14ac:dyDescent="0.35">
      <c r="B200" s="3" t="s">
        <v>282</v>
      </c>
      <c r="D200" s="141">
        <v>8552</v>
      </c>
      <c r="E200" s="141">
        <v>11462</v>
      </c>
      <c r="F200" s="141">
        <v>61736</v>
      </c>
      <c r="G200" s="141">
        <v>7582</v>
      </c>
      <c r="H200" s="141">
        <f>+SUM(D200:G200)</f>
        <v>89332</v>
      </c>
      <c r="J200" s="141">
        <v>1055</v>
      </c>
      <c r="K200" s="141">
        <v>759</v>
      </c>
      <c r="L200" s="141">
        <v>9031</v>
      </c>
      <c r="M200" s="141">
        <v>453</v>
      </c>
      <c r="N200" s="141">
        <f>+SUM(J200:M200)</f>
        <v>11298</v>
      </c>
      <c r="P200" s="2">
        <f>+IFERROR(J200/D200,"")</f>
        <v>0.12336295603367634</v>
      </c>
      <c r="Q200" s="2">
        <f>+IFERROR(K200/E200,"")</f>
        <v>6.6218809980806148E-2</v>
      </c>
      <c r="R200" s="2">
        <f>+IFERROR(L200/F200,"")</f>
        <v>0.14628417778929637</v>
      </c>
      <c r="S200" s="2">
        <f>+IFERROR(M200/G200,"")</f>
        <v>5.9746768662621998E-2</v>
      </c>
      <c r="T200" s="2" t="str">
        <f>+IFERROR(#REF!/#REF!,"")</f>
        <v/>
      </c>
      <c r="U200" s="2" t="str">
        <f>+IFERROR(#REF!/#REF!,"")</f>
        <v/>
      </c>
      <c r="V200" s="2" t="str">
        <f>+IFERROR(#REF!/#REF!,"")</f>
        <v/>
      </c>
      <c r="W200" s="2" t="str">
        <f>+IFERROR(#REF!/#REF!,"")</f>
        <v/>
      </c>
      <c r="X200" s="2" t="str">
        <f>+IFERROR(#REF!/#REF!,"")</f>
        <v/>
      </c>
      <c r="Y200" s="2" t="str">
        <f>+IFERROR(#REF!/#REF!,"")</f>
        <v/>
      </c>
      <c r="Z200" s="2" t="str">
        <f>+IFERROR(#REF!/#REF!,"")</f>
        <v/>
      </c>
      <c r="AA200" s="2" t="str">
        <f>+IFERROR(#REF!/#REF!,"")</f>
        <v/>
      </c>
      <c r="AB200" s="2">
        <f>+IFERROR(N200/H200,"")</f>
        <v>0.12647203689607309</v>
      </c>
      <c r="AD200" s="143">
        <f t="shared" si="20"/>
        <v>-5.7144146052870187E-2</v>
      </c>
      <c r="AE200" s="143">
        <f t="shared" si="21"/>
        <v>8.0065367808490218E-2</v>
      </c>
      <c r="AF200" s="143">
        <f t="shared" si="23"/>
        <v>-8.6537409126674375E-2</v>
      </c>
      <c r="AG200" s="143" t="str">
        <f t="shared" si="23"/>
        <v/>
      </c>
      <c r="AH200" s="143" t="str">
        <f t="shared" si="23"/>
        <v/>
      </c>
      <c r="AI200" s="143" t="str">
        <f t="shared" si="22"/>
        <v/>
      </c>
      <c r="AJ200" s="143" t="str">
        <f t="shared" si="22"/>
        <v/>
      </c>
      <c r="AK200" s="143" t="str">
        <f t="shared" si="22"/>
        <v/>
      </c>
      <c r="AL200" s="143" t="str">
        <f t="shared" si="22"/>
        <v/>
      </c>
      <c r="AM200" s="143" t="str">
        <f t="shared" si="22"/>
        <v/>
      </c>
      <c r="AN200" s="143" t="str">
        <f t="shared" si="22"/>
        <v/>
      </c>
      <c r="AP200" s="9">
        <f t="shared" si="24"/>
        <v>6.5090038636215189E-6</v>
      </c>
      <c r="AQ200" s="9">
        <f t="shared" si="25"/>
        <v>0.97623737887486584</v>
      </c>
    </row>
    <row r="201" spans="2:43" x14ac:dyDescent="0.35">
      <c r="B201" s="3" t="s">
        <v>283</v>
      </c>
      <c r="D201" s="141">
        <v>20907</v>
      </c>
      <c r="E201" s="141">
        <v>20344</v>
      </c>
      <c r="F201" s="141">
        <v>25285</v>
      </c>
      <c r="G201" s="141">
        <v>69909</v>
      </c>
      <c r="H201" s="141">
        <f>+SUM(D201:G201)</f>
        <v>136445</v>
      </c>
      <c r="J201" s="141">
        <v>1846</v>
      </c>
      <c r="K201" s="141">
        <v>1965</v>
      </c>
      <c r="L201" s="141">
        <v>2444</v>
      </c>
      <c r="M201" s="141">
        <v>5156</v>
      </c>
      <c r="N201" s="141">
        <f>+SUM(J201:M201)</f>
        <v>11411</v>
      </c>
      <c r="P201" s="2">
        <f>+IFERROR(J201/D201,"")</f>
        <v>8.8295786100349161E-2</v>
      </c>
      <c r="Q201" s="2">
        <f>+IFERROR(K201/E201,"")</f>
        <v>9.6588674793550919E-2</v>
      </c>
      <c r="R201" s="2">
        <f>+IFERROR(L201/F201,"")</f>
        <v>9.6658097686375316E-2</v>
      </c>
      <c r="S201" s="2">
        <f>+IFERROR(M201/G201,"")</f>
        <v>7.375302178546396E-2</v>
      </c>
      <c r="T201" s="2" t="str">
        <f>+IFERROR(#REF!/#REF!,"")</f>
        <v/>
      </c>
      <c r="U201" s="2" t="str">
        <f>+IFERROR(#REF!/#REF!,"")</f>
        <v/>
      </c>
      <c r="V201" s="2" t="str">
        <f>+IFERROR(#REF!/#REF!,"")</f>
        <v/>
      </c>
      <c r="W201" s="2" t="str">
        <f>+IFERROR(#REF!/#REF!,"")</f>
        <v/>
      </c>
      <c r="X201" s="2" t="str">
        <f>+IFERROR(#REF!/#REF!,"")</f>
        <v/>
      </c>
      <c r="Y201" s="2" t="str">
        <f>+IFERROR(#REF!/#REF!,"")</f>
        <v/>
      </c>
      <c r="Z201" s="2" t="str">
        <f>+IFERROR(#REF!/#REF!,"")</f>
        <v/>
      </c>
      <c r="AA201" s="2" t="str">
        <f>+IFERROR(#REF!/#REF!,"")</f>
        <v/>
      </c>
      <c r="AB201" s="2">
        <f>+IFERROR(N201/H201,"")</f>
        <v>8.3630766975704499E-2</v>
      </c>
      <c r="AD201" s="143">
        <f t="shared" si="20"/>
        <v>8.2928886932017581E-3</v>
      </c>
      <c r="AE201" s="143">
        <f t="shared" si="21"/>
        <v>6.9422892824397286E-5</v>
      </c>
      <c r="AF201" s="143">
        <f t="shared" si="23"/>
        <v>-2.2905075900911356E-2</v>
      </c>
      <c r="AG201" s="143" t="str">
        <f t="shared" si="23"/>
        <v/>
      </c>
      <c r="AH201" s="143" t="str">
        <f t="shared" si="23"/>
        <v/>
      </c>
      <c r="AI201" s="143" t="str">
        <f t="shared" si="22"/>
        <v/>
      </c>
      <c r="AJ201" s="143" t="str">
        <f t="shared" si="22"/>
        <v/>
      </c>
      <c r="AK201" s="143" t="str">
        <f t="shared" si="22"/>
        <v/>
      </c>
      <c r="AL201" s="143" t="str">
        <f t="shared" si="22"/>
        <v/>
      </c>
      <c r="AM201" s="143" t="str">
        <f t="shared" si="22"/>
        <v/>
      </c>
      <c r="AN201" s="143" t="str">
        <f t="shared" si="22"/>
        <v/>
      </c>
      <c r="AP201" s="9">
        <f t="shared" si="24"/>
        <v>6.5741054246579172E-6</v>
      </c>
      <c r="AQ201" s="9">
        <f t="shared" si="25"/>
        <v>0.97624395298029054</v>
      </c>
    </row>
    <row r="202" spans="2:43" x14ac:dyDescent="0.35">
      <c r="B202" s="3" t="s">
        <v>284</v>
      </c>
      <c r="D202" s="141">
        <v>184473</v>
      </c>
      <c r="E202" s="141">
        <v>157042</v>
      </c>
      <c r="F202" s="141">
        <v>200620</v>
      </c>
      <c r="G202" s="141">
        <v>237448</v>
      </c>
      <c r="H202" s="141">
        <f>+SUM(D202:G202)</f>
        <v>779583</v>
      </c>
      <c r="J202" s="141">
        <v>8287</v>
      </c>
      <c r="K202" s="141">
        <v>9678</v>
      </c>
      <c r="L202" s="141">
        <v>15034</v>
      </c>
      <c r="M202" s="141">
        <v>12353</v>
      </c>
      <c r="N202" s="141">
        <f>+SUM(J202:M202)</f>
        <v>45352</v>
      </c>
      <c r="P202" s="2">
        <f>+IFERROR(J202/D202,"")</f>
        <v>4.4922563193529677E-2</v>
      </c>
      <c r="Q202" s="2">
        <f>+IFERROR(K202/E202,"")</f>
        <v>6.1626825944651749E-2</v>
      </c>
      <c r="R202" s="2">
        <f>+IFERROR(L202/F202,"")</f>
        <v>7.493769315123118E-2</v>
      </c>
      <c r="S202" s="2">
        <f>+IFERROR(M202/G202,"")</f>
        <v>5.2024022101681208E-2</v>
      </c>
      <c r="T202" s="2" t="str">
        <f>+IFERROR(#REF!/#REF!,"")</f>
        <v/>
      </c>
      <c r="U202" s="2" t="str">
        <f>+IFERROR(#REF!/#REF!,"")</f>
        <v/>
      </c>
      <c r="V202" s="2" t="str">
        <f>+IFERROR(#REF!/#REF!,"")</f>
        <v/>
      </c>
      <c r="W202" s="2" t="str">
        <f>+IFERROR(#REF!/#REF!,"")</f>
        <v/>
      </c>
      <c r="X202" s="2" t="str">
        <f>+IFERROR(#REF!/#REF!,"")</f>
        <v/>
      </c>
      <c r="Y202" s="2" t="str">
        <f>+IFERROR(#REF!/#REF!,"")</f>
        <v/>
      </c>
      <c r="Z202" s="2" t="str">
        <f>+IFERROR(#REF!/#REF!,"")</f>
        <v/>
      </c>
      <c r="AA202" s="2" t="str">
        <f>+IFERROR(#REF!/#REF!,"")</f>
        <v/>
      </c>
      <c r="AB202" s="2">
        <f>+IFERROR(N202/H202,"")</f>
        <v>5.8174690828301796E-2</v>
      </c>
      <c r="AD202" s="143">
        <f t="shared" si="20"/>
        <v>1.6704262751122072E-2</v>
      </c>
      <c r="AE202" s="143">
        <f t="shared" si="21"/>
        <v>1.3310867206579431E-2</v>
      </c>
      <c r="AF202" s="143">
        <f t="shared" si="23"/>
        <v>-2.2913671049549972E-2</v>
      </c>
      <c r="AG202" s="143" t="str">
        <f t="shared" si="23"/>
        <v/>
      </c>
      <c r="AH202" s="143" t="str">
        <f t="shared" si="23"/>
        <v/>
      </c>
      <c r="AI202" s="143" t="str">
        <f t="shared" si="22"/>
        <v/>
      </c>
      <c r="AJ202" s="143" t="str">
        <f t="shared" si="22"/>
        <v/>
      </c>
      <c r="AK202" s="143" t="str">
        <f t="shared" si="22"/>
        <v/>
      </c>
      <c r="AL202" s="143" t="str">
        <f t="shared" si="22"/>
        <v/>
      </c>
      <c r="AM202" s="143" t="str">
        <f t="shared" si="22"/>
        <v/>
      </c>
      <c r="AN202" s="143" t="str">
        <f t="shared" si="22"/>
        <v/>
      </c>
      <c r="AP202" s="9">
        <f t="shared" si="24"/>
        <v>2.6128194655953545E-5</v>
      </c>
      <c r="AQ202" s="9">
        <f t="shared" si="25"/>
        <v>0.97627008117494651</v>
      </c>
    </row>
    <row r="203" spans="2:43" x14ac:dyDescent="0.35">
      <c r="B203" s="3" t="s">
        <v>285</v>
      </c>
      <c r="D203" s="141"/>
      <c r="E203" s="141"/>
      <c r="F203" s="141"/>
      <c r="G203" s="141"/>
      <c r="H203" s="141">
        <f>+SUM(D203:G203)</f>
        <v>0</v>
      </c>
      <c r="J203" s="141"/>
      <c r="K203" s="141"/>
      <c r="L203" s="141"/>
      <c r="M203" s="141"/>
      <c r="N203" s="141">
        <f>+SUM(J203:M203)</f>
        <v>0</v>
      </c>
      <c r="P203" s="2" t="str">
        <f>+IFERROR(J203/D203,"")</f>
        <v/>
      </c>
      <c r="Q203" s="2" t="str">
        <f>+IFERROR(K203/E203,"")</f>
        <v/>
      </c>
      <c r="R203" s="2" t="str">
        <f>+IFERROR(L203/F203,"")</f>
        <v/>
      </c>
      <c r="S203" s="2" t="str">
        <f>+IFERROR(M203/G203,"")</f>
        <v/>
      </c>
      <c r="T203" s="2" t="str">
        <f>+IFERROR(#REF!/#REF!,"")</f>
        <v/>
      </c>
      <c r="U203" s="2" t="str">
        <f>+IFERROR(#REF!/#REF!,"")</f>
        <v/>
      </c>
      <c r="V203" s="2" t="str">
        <f>+IFERROR(#REF!/#REF!,"")</f>
        <v/>
      </c>
      <c r="W203" s="2" t="str">
        <f>+IFERROR(#REF!/#REF!,"")</f>
        <v/>
      </c>
      <c r="X203" s="2" t="str">
        <f>+IFERROR(#REF!/#REF!,"")</f>
        <v/>
      </c>
      <c r="Y203" s="2" t="str">
        <f>+IFERROR(#REF!/#REF!,"")</f>
        <v/>
      </c>
      <c r="Z203" s="2" t="str">
        <f>+IFERROR(#REF!/#REF!,"")</f>
        <v/>
      </c>
      <c r="AA203" s="2" t="str">
        <f>+IFERROR(#REF!/#REF!,"")</f>
        <v/>
      </c>
      <c r="AB203" s="2" t="str">
        <f>+IFERROR(N203/H203,"")</f>
        <v/>
      </c>
      <c r="AD203" s="143" t="str">
        <f t="shared" si="20"/>
        <v/>
      </c>
      <c r="AE203" s="143" t="str">
        <f t="shared" si="21"/>
        <v/>
      </c>
      <c r="AF203" s="143" t="str">
        <f t="shared" si="23"/>
        <v/>
      </c>
      <c r="AG203" s="143" t="str">
        <f t="shared" si="23"/>
        <v/>
      </c>
      <c r="AH203" s="143" t="str">
        <f t="shared" si="23"/>
        <v/>
      </c>
      <c r="AI203" s="143" t="str">
        <f t="shared" si="22"/>
        <v/>
      </c>
      <c r="AJ203" s="143" t="str">
        <f t="shared" si="22"/>
        <v/>
      </c>
      <c r="AK203" s="143" t="str">
        <f t="shared" si="22"/>
        <v/>
      </c>
      <c r="AL203" s="143" t="str">
        <f t="shared" si="22"/>
        <v/>
      </c>
      <c r="AM203" s="143" t="str">
        <f t="shared" si="22"/>
        <v/>
      </c>
      <c r="AN203" s="143" t="str">
        <f t="shared" si="22"/>
        <v/>
      </c>
      <c r="AP203" s="9">
        <f t="shared" si="24"/>
        <v>0</v>
      </c>
      <c r="AQ203" s="9">
        <f t="shared" si="25"/>
        <v>0.97627008117494651</v>
      </c>
    </row>
    <row r="204" spans="2:43" x14ac:dyDescent="0.35">
      <c r="B204" s="3" t="s">
        <v>296</v>
      </c>
      <c r="D204" s="141">
        <v>1912501</v>
      </c>
      <c r="E204" s="141">
        <v>1767804</v>
      </c>
      <c r="F204" s="141">
        <v>2029746</v>
      </c>
      <c r="G204" s="141">
        <v>2025244</v>
      </c>
      <c r="H204" s="141">
        <f>+SUM(D204:G204)</f>
        <v>7735295</v>
      </c>
      <c r="J204" s="141">
        <v>141504</v>
      </c>
      <c r="K204" s="141">
        <v>140781</v>
      </c>
      <c r="L204" s="141">
        <v>150106</v>
      </c>
      <c r="M204" s="141">
        <v>136775</v>
      </c>
      <c r="N204" s="141">
        <f>+SUM(J204:M204)</f>
        <v>569166</v>
      </c>
      <c r="P204" s="2">
        <f>+IFERROR(J204/D204,"")</f>
        <v>7.3988980920794284E-2</v>
      </c>
      <c r="Q204" s="2">
        <f>+IFERROR(K204/E204,"")</f>
        <v>7.963609087885308E-2</v>
      </c>
      <c r="R204" s="2">
        <f>+IFERROR(L204/F204,"")</f>
        <v>7.395309560900723E-2</v>
      </c>
      <c r="S204" s="2">
        <f>+IFERROR(M204/G204,"")</f>
        <v>6.7535072317212147E-2</v>
      </c>
      <c r="T204" s="2" t="str">
        <f>+IFERROR(#REF!/#REF!,"")</f>
        <v/>
      </c>
      <c r="U204" s="2" t="str">
        <f>+IFERROR(#REF!/#REF!,"")</f>
        <v/>
      </c>
      <c r="V204" s="2" t="str">
        <f>+IFERROR(#REF!/#REF!,"")</f>
        <v/>
      </c>
      <c r="W204" s="2" t="str">
        <f>+IFERROR(#REF!/#REF!,"")</f>
        <v/>
      </c>
      <c r="X204" s="2" t="str">
        <f>+IFERROR(#REF!/#REF!,"")</f>
        <v/>
      </c>
      <c r="Y204" s="2" t="str">
        <f>+IFERROR(#REF!/#REF!,"")</f>
        <v/>
      </c>
      <c r="Z204" s="2" t="str">
        <f>+IFERROR(#REF!/#REF!,"")</f>
        <v/>
      </c>
      <c r="AA204" s="2" t="str">
        <f>+IFERROR(#REF!/#REF!,"")</f>
        <v/>
      </c>
      <c r="AB204" s="2">
        <f>+IFERROR(N204/H204,"")</f>
        <v>7.358038704406232E-2</v>
      </c>
      <c r="AD204" s="143">
        <f t="shared" si="20"/>
        <v>5.6471099580587963E-3</v>
      </c>
      <c r="AE204" s="143">
        <f t="shared" si="21"/>
        <v>-5.6829952698458502E-3</v>
      </c>
      <c r="AF204" s="143">
        <f t="shared" si="21"/>
        <v>-6.418023291795083E-3</v>
      </c>
      <c r="AG204" s="143"/>
      <c r="AH204" s="143"/>
      <c r="AI204" s="143"/>
      <c r="AJ204" s="143"/>
      <c r="AK204" s="143"/>
      <c r="AL204" s="143"/>
      <c r="AM204" s="143"/>
      <c r="AN204" s="143"/>
      <c r="AP204" s="9">
        <f t="shared" si="24"/>
        <v>3.2790792114020231E-4</v>
      </c>
      <c r="AQ204" s="9">
        <f t="shared" si="25"/>
        <v>0.97659798909608675</v>
      </c>
    </row>
    <row r="205" spans="2:43" x14ac:dyDescent="0.35">
      <c r="B205" s="3" t="s">
        <v>298</v>
      </c>
      <c r="D205" s="141"/>
      <c r="E205" s="141"/>
      <c r="F205" s="141"/>
      <c r="G205" s="141"/>
      <c r="H205" s="141">
        <f>+SUM(D205:G205)</f>
        <v>0</v>
      </c>
      <c r="J205" s="141"/>
      <c r="K205" s="141"/>
      <c r="L205" s="141"/>
      <c r="M205" s="141"/>
      <c r="N205" s="141">
        <f>+SUM(J205:M205)</f>
        <v>0</v>
      </c>
      <c r="P205" s="2" t="str">
        <f>+IFERROR(J205/D205,"")</f>
        <v/>
      </c>
      <c r="Q205" s="2" t="str">
        <f>+IFERROR(K205/E205,"")</f>
        <v/>
      </c>
      <c r="R205" s="2" t="str">
        <f>+IFERROR(L205/F205,"")</f>
        <v/>
      </c>
      <c r="S205" s="2" t="str">
        <f>+IFERROR(M205/G205,"")</f>
        <v/>
      </c>
      <c r="T205" s="2" t="str">
        <f>+IFERROR(#REF!/#REF!,"")</f>
        <v/>
      </c>
      <c r="U205" s="2" t="str">
        <f>+IFERROR(#REF!/#REF!,"")</f>
        <v/>
      </c>
      <c r="V205" s="2" t="str">
        <f>+IFERROR(#REF!/#REF!,"")</f>
        <v/>
      </c>
      <c r="W205" s="2" t="str">
        <f>+IFERROR(#REF!/#REF!,"")</f>
        <v/>
      </c>
      <c r="X205" s="2" t="str">
        <f>+IFERROR(#REF!/#REF!,"")</f>
        <v/>
      </c>
      <c r="Y205" s="2" t="str">
        <f>+IFERROR(#REF!/#REF!,"")</f>
        <v/>
      </c>
      <c r="Z205" s="2" t="str">
        <f>+IFERROR(#REF!/#REF!,"")</f>
        <v/>
      </c>
      <c r="AA205" s="2" t="str">
        <f>+IFERROR(#REF!/#REF!,"")</f>
        <v/>
      </c>
      <c r="AB205" s="2" t="str">
        <f>+IFERROR(N205/H205,"")</f>
        <v/>
      </c>
      <c r="AD205" s="143" t="str">
        <f t="shared" si="20"/>
        <v/>
      </c>
      <c r="AE205" s="143" t="str">
        <f t="shared" si="21"/>
        <v/>
      </c>
      <c r="AF205" s="143" t="str">
        <f t="shared" si="21"/>
        <v/>
      </c>
      <c r="AG205" s="143"/>
      <c r="AH205" s="143"/>
      <c r="AI205" s="143"/>
      <c r="AJ205" s="143"/>
      <c r="AK205" s="143"/>
      <c r="AL205" s="143"/>
      <c r="AM205" s="143"/>
      <c r="AN205" s="143"/>
      <c r="AP205" s="9">
        <f t="shared" si="24"/>
        <v>0</v>
      </c>
      <c r="AQ205" s="9">
        <f t="shared" si="25"/>
        <v>0.97659798909608675</v>
      </c>
    </row>
    <row r="206" spans="2:43" x14ac:dyDescent="0.35">
      <c r="B206" s="3" t="s">
        <v>292</v>
      </c>
      <c r="D206" s="141">
        <v>15409</v>
      </c>
      <c r="E206" s="141">
        <v>13017</v>
      </c>
      <c r="F206" s="141">
        <v>12474</v>
      </c>
      <c r="G206" s="141">
        <v>8678</v>
      </c>
      <c r="H206" s="141">
        <f>+SUM(D206:G206)</f>
        <v>49578</v>
      </c>
      <c r="J206" s="141">
        <v>5193</v>
      </c>
      <c r="K206" s="141">
        <v>627</v>
      </c>
      <c r="L206" s="141">
        <v>479</v>
      </c>
      <c r="M206" s="141">
        <v>241</v>
      </c>
      <c r="N206" s="141">
        <f>+SUM(J206:M206)</f>
        <v>6540</v>
      </c>
      <c r="P206" s="2">
        <f>+IFERROR(J206/D206,"")</f>
        <v>0.33701083782205205</v>
      </c>
      <c r="Q206" s="2">
        <f>+IFERROR(K206/E206,"")</f>
        <v>4.8167780594607051E-2</v>
      </c>
      <c r="R206" s="2">
        <f>+IFERROR(L206/F206,"")</f>
        <v>3.8399871733205068E-2</v>
      </c>
      <c r="S206" s="2">
        <f>+IFERROR(M206/G206,"")</f>
        <v>2.7771375893062916E-2</v>
      </c>
      <c r="T206" s="2" t="str">
        <f>+IFERROR(#REF!/#REF!,"")</f>
        <v/>
      </c>
      <c r="U206" s="2" t="str">
        <f>+IFERROR(#REF!/#REF!,"")</f>
        <v/>
      </c>
      <c r="V206" s="2" t="str">
        <f>+IFERROR(#REF!/#REF!,"")</f>
        <v/>
      </c>
      <c r="W206" s="2" t="str">
        <f>+IFERROR(#REF!/#REF!,"")</f>
        <v/>
      </c>
      <c r="X206" s="2" t="str">
        <f>+IFERROR(#REF!/#REF!,"")</f>
        <v/>
      </c>
      <c r="Y206" s="2" t="str">
        <f>+IFERROR(#REF!/#REF!,"")</f>
        <v/>
      </c>
      <c r="Z206" s="2" t="str">
        <f>+IFERROR(#REF!/#REF!,"")</f>
        <v/>
      </c>
      <c r="AA206" s="2" t="str">
        <f>+IFERROR(#REF!/#REF!,"")</f>
        <v/>
      </c>
      <c r="AB206" s="2">
        <f>+IFERROR(N206/H206,"")</f>
        <v>0.13191334866271329</v>
      </c>
      <c r="AD206" s="143">
        <f t="shared" si="20"/>
        <v>-0.28884305722744497</v>
      </c>
      <c r="AE206" s="143">
        <f t="shared" si="21"/>
        <v>-9.7679088614019832E-3</v>
      </c>
      <c r="AF206" s="143">
        <f t="shared" si="21"/>
        <v>-1.0628495840142152E-2</v>
      </c>
      <c r="AG206" s="143"/>
      <c r="AH206" s="143"/>
      <c r="AI206" s="143"/>
      <c r="AJ206" s="143"/>
      <c r="AK206" s="143"/>
      <c r="AL206" s="143"/>
      <c r="AM206" s="143"/>
      <c r="AN206" s="143"/>
      <c r="AP206" s="9">
        <f t="shared" si="24"/>
        <v>3.7678248599827168E-6</v>
      </c>
      <c r="AQ206" s="9">
        <f t="shared" si="25"/>
        <v>0.97660175692094675</v>
      </c>
    </row>
    <row r="207" spans="2:43" x14ac:dyDescent="0.35">
      <c r="B207" s="3" t="s">
        <v>300</v>
      </c>
      <c r="D207" s="141"/>
      <c r="E207" s="141">
        <v>148</v>
      </c>
      <c r="F207" s="141">
        <v>106</v>
      </c>
      <c r="G207" s="141">
        <v>1487</v>
      </c>
      <c r="H207" s="141">
        <f>+SUM(D207:G207)</f>
        <v>1741</v>
      </c>
      <c r="J207" s="141"/>
      <c r="K207" s="141">
        <v>6</v>
      </c>
      <c r="L207" s="141">
        <v>0</v>
      </c>
      <c r="M207" s="141">
        <v>121</v>
      </c>
      <c r="N207" s="141">
        <f>+SUM(J207:M207)</f>
        <v>127</v>
      </c>
      <c r="P207" s="2" t="str">
        <f>+IFERROR(J207/D207,"")</f>
        <v/>
      </c>
      <c r="Q207" s="2">
        <f>+IFERROR(K207/E207,"")</f>
        <v>4.0540540540540543E-2</v>
      </c>
      <c r="R207" s="2">
        <f>+IFERROR(L207/F207,"")</f>
        <v>0</v>
      </c>
      <c r="S207" s="2">
        <f>+IFERROR(M207/G207,"")</f>
        <v>8.1371889710827164E-2</v>
      </c>
      <c r="T207" s="2" t="str">
        <f>+IFERROR(#REF!/#REF!,"")</f>
        <v/>
      </c>
      <c r="U207" s="2" t="str">
        <f>+IFERROR(#REF!/#REF!,"")</f>
        <v/>
      </c>
      <c r="V207" s="2" t="str">
        <f>+IFERROR(#REF!/#REF!,"")</f>
        <v/>
      </c>
      <c r="W207" s="2" t="str">
        <f>+IFERROR(#REF!/#REF!,"")</f>
        <v/>
      </c>
      <c r="X207" s="2" t="str">
        <f>+IFERROR(#REF!/#REF!,"")</f>
        <v/>
      </c>
      <c r="Y207" s="2" t="str">
        <f>+IFERROR(#REF!/#REF!,"")</f>
        <v/>
      </c>
      <c r="Z207" s="2" t="str">
        <f>+IFERROR(#REF!/#REF!,"")</f>
        <v/>
      </c>
      <c r="AA207" s="2" t="str">
        <f>+IFERROR(#REF!/#REF!,"")</f>
        <v/>
      </c>
      <c r="AB207" s="2">
        <f>+IFERROR(N207/H207,"")</f>
        <v>7.2946582423894318E-2</v>
      </c>
      <c r="AD207" s="143" t="str">
        <f t="shared" si="20"/>
        <v/>
      </c>
      <c r="AE207" s="143">
        <f t="shared" si="21"/>
        <v>-4.0540540540540543E-2</v>
      </c>
      <c r="AF207" s="143">
        <f t="shared" si="21"/>
        <v>8.1371889710827164E-2</v>
      </c>
      <c r="AG207" s="143"/>
      <c r="AH207" s="143"/>
      <c r="AI207" s="143"/>
      <c r="AJ207" s="143"/>
      <c r="AK207" s="143"/>
      <c r="AL207" s="143"/>
      <c r="AM207" s="143"/>
      <c r="AN207" s="143"/>
      <c r="AP207" s="9">
        <f t="shared" si="24"/>
        <v>7.3167241164801996E-8</v>
      </c>
      <c r="AQ207" s="9">
        <f t="shared" si="25"/>
        <v>0.97660183008818791</v>
      </c>
    </row>
    <row r="208" spans="2:43" x14ac:dyDescent="0.35">
      <c r="B208" s="3" t="s">
        <v>455</v>
      </c>
      <c r="D208" s="141"/>
      <c r="E208" s="141"/>
      <c r="F208" s="141"/>
      <c r="G208" s="141"/>
      <c r="H208" s="141">
        <f>+SUM(D208:G208)</f>
        <v>0</v>
      </c>
      <c r="J208" s="141"/>
      <c r="K208" s="141"/>
      <c r="L208" s="141"/>
      <c r="M208" s="141"/>
      <c r="N208" s="141">
        <f>+SUM(J208:M208)</f>
        <v>0</v>
      </c>
      <c r="P208" s="2" t="str">
        <f>+IFERROR(J208/D208,"")</f>
        <v/>
      </c>
      <c r="Q208" s="2" t="str">
        <f>+IFERROR(K208/E208,"")</f>
        <v/>
      </c>
      <c r="R208" s="2" t="str">
        <f>+IFERROR(L208/F208,"")</f>
        <v/>
      </c>
      <c r="S208" s="2" t="str">
        <f>+IFERROR(M208/G208,"")</f>
        <v/>
      </c>
      <c r="T208" s="2" t="str">
        <f>+IFERROR(#REF!/#REF!,"")</f>
        <v/>
      </c>
      <c r="U208" s="2" t="str">
        <f>+IFERROR(#REF!/#REF!,"")</f>
        <v/>
      </c>
      <c r="V208" s="2" t="str">
        <f>+IFERROR(#REF!/#REF!,"")</f>
        <v/>
      </c>
      <c r="W208" s="2" t="str">
        <f>+IFERROR(#REF!/#REF!,"")</f>
        <v/>
      </c>
      <c r="X208" s="2" t="str">
        <f>+IFERROR(#REF!/#REF!,"")</f>
        <v/>
      </c>
      <c r="Y208" s="2" t="str">
        <f>+IFERROR(#REF!/#REF!,"")</f>
        <v/>
      </c>
      <c r="Z208" s="2" t="str">
        <f>+IFERROR(#REF!/#REF!,"")</f>
        <v/>
      </c>
      <c r="AA208" s="2" t="str">
        <f>+IFERROR(#REF!/#REF!,"")</f>
        <v/>
      </c>
      <c r="AB208" s="2" t="str">
        <f>+IFERROR(N208/H208,"")</f>
        <v/>
      </c>
      <c r="AD208" s="143" t="str">
        <f t="shared" si="20"/>
        <v/>
      </c>
      <c r="AE208" s="143" t="str">
        <f t="shared" si="21"/>
        <v/>
      </c>
      <c r="AF208" s="143" t="str">
        <f t="shared" si="21"/>
        <v/>
      </c>
      <c r="AG208" s="143"/>
      <c r="AH208" s="143"/>
      <c r="AI208" s="143"/>
      <c r="AJ208" s="143"/>
      <c r="AK208" s="143"/>
      <c r="AL208" s="143"/>
      <c r="AM208" s="143"/>
      <c r="AN208" s="143"/>
      <c r="AP208" s="9">
        <f t="shared" si="24"/>
        <v>0</v>
      </c>
      <c r="AQ208" s="9">
        <f t="shared" si="25"/>
        <v>0.97660183008818791</v>
      </c>
    </row>
    <row r="209" spans="2:43" x14ac:dyDescent="0.35">
      <c r="B209" s="3" t="s">
        <v>302</v>
      </c>
      <c r="D209" s="141"/>
      <c r="E209" s="141"/>
      <c r="F209" s="141"/>
      <c r="G209" s="141"/>
      <c r="H209" s="141">
        <f>+SUM(D209:G209)</f>
        <v>0</v>
      </c>
      <c r="J209" s="141"/>
      <c r="K209" s="141"/>
      <c r="L209" s="141"/>
      <c r="M209" s="141"/>
      <c r="N209" s="141">
        <f>+SUM(J209:M209)</f>
        <v>0</v>
      </c>
      <c r="P209" s="2" t="str">
        <f>+IFERROR(J209/D209,"")</f>
        <v/>
      </c>
      <c r="Q209" s="2" t="str">
        <f>+IFERROR(K209/E209,"")</f>
        <v/>
      </c>
      <c r="R209" s="2" t="str">
        <f>+IFERROR(L209/F209,"")</f>
        <v/>
      </c>
      <c r="S209" s="2" t="str">
        <f>+IFERROR(M209/G209,"")</f>
        <v/>
      </c>
      <c r="T209" s="2" t="str">
        <f>+IFERROR(#REF!/#REF!,"")</f>
        <v/>
      </c>
      <c r="U209" s="2" t="str">
        <f>+IFERROR(#REF!/#REF!,"")</f>
        <v/>
      </c>
      <c r="V209" s="2" t="str">
        <f>+IFERROR(#REF!/#REF!,"")</f>
        <v/>
      </c>
      <c r="W209" s="2" t="str">
        <f>+IFERROR(#REF!/#REF!,"")</f>
        <v/>
      </c>
      <c r="X209" s="2" t="str">
        <f>+IFERROR(#REF!/#REF!,"")</f>
        <v/>
      </c>
      <c r="Y209" s="2" t="str">
        <f>+IFERROR(#REF!/#REF!,"")</f>
        <v/>
      </c>
      <c r="Z209" s="2" t="str">
        <f>+IFERROR(#REF!/#REF!,"")</f>
        <v/>
      </c>
      <c r="AA209" s="2" t="str">
        <f>+IFERROR(#REF!/#REF!,"")</f>
        <v/>
      </c>
      <c r="AB209" s="2" t="str">
        <f>+IFERROR(N209/H209,"")</f>
        <v/>
      </c>
      <c r="AD209" s="143" t="str">
        <f t="shared" si="20"/>
        <v/>
      </c>
      <c r="AE209" s="143" t="str">
        <f t="shared" si="21"/>
        <v/>
      </c>
      <c r="AF209" s="143" t="str">
        <f t="shared" si="21"/>
        <v/>
      </c>
      <c r="AG209" s="143"/>
      <c r="AH209" s="143"/>
      <c r="AI209" s="143"/>
      <c r="AJ209" s="143"/>
      <c r="AK209" s="143"/>
      <c r="AL209" s="143"/>
      <c r="AM209" s="143"/>
      <c r="AN209" s="143"/>
      <c r="AP209" s="9">
        <f t="shared" si="24"/>
        <v>0</v>
      </c>
      <c r="AQ209" s="9">
        <f t="shared" si="25"/>
        <v>0.97660183008818791</v>
      </c>
    </row>
    <row r="210" spans="2:43" x14ac:dyDescent="0.35">
      <c r="B210" s="3" t="s">
        <v>456</v>
      </c>
      <c r="D210" s="141"/>
      <c r="E210" s="141"/>
      <c r="F210" s="141">
        <v>26</v>
      </c>
      <c r="G210" s="141">
        <v>3</v>
      </c>
      <c r="H210" s="141">
        <f>+SUM(D210:G210)</f>
        <v>29</v>
      </c>
      <c r="J210" s="141"/>
      <c r="K210" s="141"/>
      <c r="L210" s="141">
        <v>10</v>
      </c>
      <c r="M210" s="141">
        <v>3</v>
      </c>
      <c r="N210" s="141">
        <f>+SUM(J210:M210)</f>
        <v>13</v>
      </c>
      <c r="P210" s="2" t="str">
        <f>+IFERROR(J210/D210,"")</f>
        <v/>
      </c>
      <c r="Q210" s="2" t="str">
        <f>+IFERROR(K210/E210,"")</f>
        <v/>
      </c>
      <c r="R210" s="2">
        <f>+IFERROR(L210/F210,"")</f>
        <v>0.38461538461538464</v>
      </c>
      <c r="S210" s="2">
        <f>+IFERROR(M210/G210,"")</f>
        <v>1</v>
      </c>
      <c r="T210" s="2" t="str">
        <f>+IFERROR(#REF!/#REF!,"")</f>
        <v/>
      </c>
      <c r="U210" s="2" t="str">
        <f>+IFERROR(#REF!/#REF!,"")</f>
        <v/>
      </c>
      <c r="V210" s="2" t="str">
        <f>+IFERROR(#REF!/#REF!,"")</f>
        <v/>
      </c>
      <c r="W210" s="2" t="str">
        <f>+IFERROR(#REF!/#REF!,"")</f>
        <v/>
      </c>
      <c r="X210" s="2" t="str">
        <f>+IFERROR(#REF!/#REF!,"")</f>
        <v/>
      </c>
      <c r="Y210" s="2" t="str">
        <f>+IFERROR(#REF!/#REF!,"")</f>
        <v/>
      </c>
      <c r="Z210" s="2" t="str">
        <f>+IFERROR(#REF!/#REF!,"")</f>
        <v/>
      </c>
      <c r="AA210" s="2" t="str">
        <f>+IFERROR(#REF!/#REF!,"")</f>
        <v/>
      </c>
      <c r="AB210" s="2">
        <f>+IFERROR(N210/H210,"")</f>
        <v>0.44827586206896552</v>
      </c>
      <c r="AD210" s="143" t="str">
        <f t="shared" si="20"/>
        <v/>
      </c>
      <c r="AE210" s="143" t="str">
        <f t="shared" si="21"/>
        <v/>
      </c>
      <c r="AF210" s="143">
        <f t="shared" si="21"/>
        <v>0.61538461538461542</v>
      </c>
      <c r="AG210" s="143"/>
      <c r="AH210" s="143"/>
      <c r="AI210" s="143"/>
      <c r="AJ210" s="143"/>
      <c r="AK210" s="143"/>
      <c r="AL210" s="143"/>
      <c r="AM210" s="143"/>
      <c r="AN210" s="143"/>
      <c r="AP210" s="9">
        <f t="shared" si="24"/>
        <v>7.4895601192316994E-9</v>
      </c>
      <c r="AQ210" s="9">
        <f t="shared" si="25"/>
        <v>0.97660183757774799</v>
      </c>
    </row>
    <row r="211" spans="2:43" x14ac:dyDescent="0.35">
      <c r="B211" s="3" t="s">
        <v>290</v>
      </c>
      <c r="D211" s="141"/>
      <c r="E211" s="141"/>
      <c r="F211" s="141">
        <v>3604</v>
      </c>
      <c r="G211" s="141"/>
      <c r="H211" s="141">
        <f>+SUM(D211:G211)</f>
        <v>3604</v>
      </c>
      <c r="J211" s="141"/>
      <c r="K211" s="141"/>
      <c r="L211" s="141">
        <v>150</v>
      </c>
      <c r="M211" s="141"/>
      <c r="N211" s="141">
        <f>+SUM(J211:M211)</f>
        <v>150</v>
      </c>
      <c r="P211" s="2" t="str">
        <f>+IFERROR(J211/D211,"")</f>
        <v/>
      </c>
      <c r="Q211" s="2" t="str">
        <f>+IFERROR(K211/E211,"")</f>
        <v/>
      </c>
      <c r="R211" s="2">
        <f>+IFERROR(L211/F211,"")</f>
        <v>4.1620421753607105E-2</v>
      </c>
      <c r="S211" s="2" t="str">
        <f>+IFERROR(M211/G211,"")</f>
        <v/>
      </c>
      <c r="T211" s="2" t="str">
        <f>+IFERROR(#REF!/#REF!,"")</f>
        <v/>
      </c>
      <c r="U211" s="2" t="str">
        <f>+IFERROR(#REF!/#REF!,"")</f>
        <v/>
      </c>
      <c r="V211" s="2" t="str">
        <f>+IFERROR(#REF!/#REF!,"")</f>
        <v/>
      </c>
      <c r="W211" s="2" t="str">
        <f>+IFERROR(#REF!/#REF!,"")</f>
        <v/>
      </c>
      <c r="X211" s="2" t="str">
        <f>+IFERROR(#REF!/#REF!,"")</f>
        <v/>
      </c>
      <c r="Y211" s="2" t="str">
        <f>+IFERROR(#REF!/#REF!,"")</f>
        <v/>
      </c>
      <c r="Z211" s="2" t="str">
        <f>+IFERROR(#REF!/#REF!,"")</f>
        <v/>
      </c>
      <c r="AA211" s="2" t="str">
        <f>+IFERROR(#REF!/#REF!,"")</f>
        <v/>
      </c>
      <c r="AB211" s="2">
        <f>+IFERROR(N211/H211,"")</f>
        <v>4.1620421753607105E-2</v>
      </c>
      <c r="AD211" s="143" t="str">
        <f t="shared" si="20"/>
        <v/>
      </c>
      <c r="AE211" s="143" t="str">
        <f t="shared" si="21"/>
        <v/>
      </c>
      <c r="AF211" s="143" t="str">
        <f t="shared" si="21"/>
        <v/>
      </c>
      <c r="AG211" s="143"/>
      <c r="AH211" s="143"/>
      <c r="AI211" s="143"/>
      <c r="AJ211" s="143"/>
      <c r="AK211" s="143"/>
      <c r="AL211" s="143"/>
      <c r="AM211" s="143"/>
      <c r="AN211" s="143"/>
      <c r="AP211" s="9">
        <f t="shared" si="24"/>
        <v>8.6418001375750384E-8</v>
      </c>
      <c r="AQ211" s="9">
        <f t="shared" si="25"/>
        <v>0.97660192399574941</v>
      </c>
    </row>
    <row r="212" spans="2:43" x14ac:dyDescent="0.35">
      <c r="B212" s="3" t="s">
        <v>457</v>
      </c>
      <c r="D212" s="141"/>
      <c r="E212" s="141"/>
      <c r="F212" s="141"/>
      <c r="G212" s="141"/>
      <c r="H212" s="141">
        <f>+SUM(D212:G212)</f>
        <v>0</v>
      </c>
      <c r="J212" s="141"/>
      <c r="K212" s="141"/>
      <c r="L212" s="141"/>
      <c r="M212" s="141"/>
      <c r="N212" s="141">
        <f>+SUM(J212:M212)</f>
        <v>0</v>
      </c>
      <c r="P212" s="2" t="str">
        <f>+IFERROR(J212/D212,"")</f>
        <v/>
      </c>
      <c r="Q212" s="2" t="str">
        <f>+IFERROR(K212/E212,"")</f>
        <v/>
      </c>
      <c r="R212" s="2" t="str">
        <f>+IFERROR(L212/F212,"")</f>
        <v/>
      </c>
      <c r="S212" s="2" t="str">
        <f>+IFERROR(M212/G212,"")</f>
        <v/>
      </c>
      <c r="T212" s="2" t="str">
        <f>+IFERROR(#REF!/#REF!,"")</f>
        <v/>
      </c>
      <c r="U212" s="2" t="str">
        <f>+IFERROR(#REF!/#REF!,"")</f>
        <v/>
      </c>
      <c r="V212" s="2" t="str">
        <f>+IFERROR(#REF!/#REF!,"")</f>
        <v/>
      </c>
      <c r="W212" s="2" t="str">
        <f>+IFERROR(#REF!/#REF!,"")</f>
        <v/>
      </c>
      <c r="X212" s="2" t="str">
        <f>+IFERROR(#REF!/#REF!,"")</f>
        <v/>
      </c>
      <c r="Y212" s="2" t="str">
        <f>+IFERROR(#REF!/#REF!,"")</f>
        <v/>
      </c>
      <c r="Z212" s="2" t="str">
        <f>+IFERROR(#REF!/#REF!,"")</f>
        <v/>
      </c>
      <c r="AA212" s="2" t="str">
        <f>+IFERROR(#REF!/#REF!,"")</f>
        <v/>
      </c>
      <c r="AB212" s="2" t="str">
        <f>+IFERROR(N212/H212,"")</f>
        <v/>
      </c>
      <c r="AD212" s="143" t="str">
        <f t="shared" si="20"/>
        <v/>
      </c>
      <c r="AE212" s="143" t="str">
        <f t="shared" si="21"/>
        <v/>
      </c>
      <c r="AF212" s="143" t="str">
        <f t="shared" si="21"/>
        <v/>
      </c>
      <c r="AG212" s="143"/>
      <c r="AH212" s="143"/>
      <c r="AI212" s="143"/>
      <c r="AJ212" s="143"/>
      <c r="AK212" s="143"/>
      <c r="AL212" s="143"/>
      <c r="AM212" s="143"/>
      <c r="AN212" s="143"/>
      <c r="AP212" s="9">
        <f t="shared" si="24"/>
        <v>0</v>
      </c>
      <c r="AQ212" s="9">
        <f t="shared" si="25"/>
        <v>0.97660192399574941</v>
      </c>
    </row>
    <row r="213" spans="2:43" x14ac:dyDescent="0.35">
      <c r="B213" s="3" t="s">
        <v>297</v>
      </c>
      <c r="D213" s="141"/>
      <c r="E213" s="141"/>
      <c r="F213" s="141">
        <v>21905</v>
      </c>
      <c r="G213" s="141">
        <v>21250</v>
      </c>
      <c r="H213" s="141">
        <f>+SUM(D213:G213)</f>
        <v>43155</v>
      </c>
      <c r="J213" s="141"/>
      <c r="K213" s="141"/>
      <c r="L213" s="141">
        <v>2395</v>
      </c>
      <c r="M213" s="141">
        <v>3032</v>
      </c>
      <c r="N213" s="141">
        <f>+SUM(J213:M213)</f>
        <v>5427</v>
      </c>
      <c r="P213" s="2" t="str">
        <f>+IFERROR(J213/D213,"")</f>
        <v/>
      </c>
      <c r="Q213" s="2" t="str">
        <f>+IFERROR(K213/E213,"")</f>
        <v/>
      </c>
      <c r="R213" s="2">
        <f>+IFERROR(L213/F213,"")</f>
        <v>0.10933576808947729</v>
      </c>
      <c r="S213" s="2">
        <f>+IFERROR(M213/G213,"")</f>
        <v>0.14268235294117648</v>
      </c>
      <c r="T213" s="2" t="str">
        <f>+IFERROR(#REF!/#REF!,"")</f>
        <v/>
      </c>
      <c r="U213" s="2" t="str">
        <f>+IFERROR(#REF!/#REF!,"")</f>
        <v/>
      </c>
      <c r="V213" s="2" t="str">
        <f>+IFERROR(#REF!/#REF!,"")</f>
        <v/>
      </c>
      <c r="W213" s="2" t="str">
        <f>+IFERROR(#REF!/#REF!,"")</f>
        <v/>
      </c>
      <c r="X213" s="2" t="str">
        <f>+IFERROR(#REF!/#REF!,"")</f>
        <v/>
      </c>
      <c r="Y213" s="2" t="str">
        <f>+IFERROR(#REF!/#REF!,"")</f>
        <v/>
      </c>
      <c r="Z213" s="2" t="str">
        <f>+IFERROR(#REF!/#REF!,"")</f>
        <v/>
      </c>
      <c r="AA213" s="2" t="str">
        <f>+IFERROR(#REF!/#REF!,"")</f>
        <v/>
      </c>
      <c r="AB213" s="2">
        <f>+IFERROR(N213/H213,"")</f>
        <v>0.12575599582898853</v>
      </c>
      <c r="AD213" s="143" t="str">
        <f t="shared" si="20"/>
        <v/>
      </c>
      <c r="AE213" s="143" t="str">
        <f t="shared" si="21"/>
        <v/>
      </c>
      <c r="AF213" s="143">
        <f t="shared" si="21"/>
        <v>3.3346584851699196E-2</v>
      </c>
      <c r="AG213" s="143"/>
      <c r="AH213" s="143"/>
      <c r="AI213" s="143"/>
      <c r="AJ213" s="143"/>
      <c r="AK213" s="143"/>
      <c r="AL213" s="143"/>
      <c r="AM213" s="143"/>
      <c r="AN213" s="143"/>
      <c r="AP213" s="9">
        <f t="shared" si="24"/>
        <v>3.1266032897746487E-6</v>
      </c>
      <c r="AQ213" s="9">
        <f t="shared" si="25"/>
        <v>0.97660505059903924</v>
      </c>
    </row>
    <row r="214" spans="2:43" x14ac:dyDescent="0.35">
      <c r="B214" s="3" t="s">
        <v>303</v>
      </c>
      <c r="D214" s="141"/>
      <c r="E214" s="141"/>
      <c r="F214" s="141"/>
      <c r="G214" s="141">
        <v>500</v>
      </c>
      <c r="H214" s="141">
        <f>+SUM(D214:G214)</f>
        <v>500</v>
      </c>
      <c r="J214" s="141"/>
      <c r="K214" s="141"/>
      <c r="L214" s="141"/>
      <c r="M214" s="141">
        <v>500</v>
      </c>
      <c r="N214" s="141">
        <f>+SUM(J214:M214)</f>
        <v>500</v>
      </c>
      <c r="P214" s="2" t="str">
        <f>+IFERROR(J214/D214,"")</f>
        <v/>
      </c>
      <c r="Q214" s="2" t="str">
        <f>+IFERROR(K214/E214,"")</f>
        <v/>
      </c>
      <c r="R214" s="2" t="str">
        <f>+IFERROR(L214/F214,"")</f>
        <v/>
      </c>
      <c r="S214" s="2">
        <f>+IFERROR(M214/G214,"")</f>
        <v>1</v>
      </c>
      <c r="T214" s="2" t="str">
        <f>+IFERROR(#REF!/#REF!,"")</f>
        <v/>
      </c>
      <c r="U214" s="2" t="str">
        <f>+IFERROR(#REF!/#REF!,"")</f>
        <v/>
      </c>
      <c r="V214" s="2" t="str">
        <f>+IFERROR(#REF!/#REF!,"")</f>
        <v/>
      </c>
      <c r="W214" s="2" t="str">
        <f>+IFERROR(#REF!/#REF!,"")</f>
        <v/>
      </c>
      <c r="X214" s="2" t="str">
        <f>+IFERROR(#REF!/#REF!,"")</f>
        <v/>
      </c>
      <c r="Y214" s="2" t="str">
        <f>+IFERROR(#REF!/#REF!,"")</f>
        <v/>
      </c>
      <c r="Z214" s="2" t="str">
        <f>+IFERROR(#REF!/#REF!,"")</f>
        <v/>
      </c>
      <c r="AA214" s="2" t="str">
        <f>+IFERROR(#REF!/#REF!,"")</f>
        <v/>
      </c>
      <c r="AB214" s="2">
        <f>+IFERROR(N214/H214,"")</f>
        <v>1</v>
      </c>
      <c r="AD214" s="143" t="str">
        <f t="shared" si="20"/>
        <v/>
      </c>
      <c r="AE214" s="143" t="str">
        <f t="shared" si="21"/>
        <v/>
      </c>
      <c r="AF214" s="143" t="str">
        <f t="shared" si="21"/>
        <v/>
      </c>
      <c r="AG214" s="143"/>
      <c r="AH214" s="143"/>
      <c r="AI214" s="143"/>
      <c r="AJ214" s="143"/>
      <c r="AK214" s="143"/>
      <c r="AL214" s="143"/>
      <c r="AM214" s="143"/>
      <c r="AN214" s="143"/>
      <c r="AP214" s="9">
        <f t="shared" si="24"/>
        <v>2.8806000458583463E-7</v>
      </c>
      <c r="AQ214" s="9">
        <f t="shared" si="25"/>
        <v>0.97660533865904386</v>
      </c>
    </row>
    <row r="215" spans="2:43" x14ac:dyDescent="0.35">
      <c r="B215" s="3" t="s">
        <v>293</v>
      </c>
      <c r="D215" s="141"/>
      <c r="E215" s="141"/>
      <c r="F215" s="141">
        <v>132</v>
      </c>
      <c r="G215" s="141"/>
      <c r="H215" s="141">
        <f>+SUM(D215:G215)</f>
        <v>132</v>
      </c>
      <c r="J215" s="141"/>
      <c r="K215" s="141"/>
      <c r="L215" s="141">
        <v>10</v>
      </c>
      <c r="M215" s="141"/>
      <c r="N215" s="141">
        <f>+SUM(J215:M215)</f>
        <v>10</v>
      </c>
      <c r="P215" s="2" t="str">
        <f>+IFERROR(J215/D215,"")</f>
        <v/>
      </c>
      <c r="Q215" s="2" t="str">
        <f>+IFERROR(K215/E215,"")</f>
        <v/>
      </c>
      <c r="R215" s="2">
        <f>+IFERROR(L215/F215,"")</f>
        <v>7.575757575757576E-2</v>
      </c>
      <c r="S215" s="2" t="str">
        <f>+IFERROR(M215/G215,"")</f>
        <v/>
      </c>
      <c r="T215" s="2" t="str">
        <f>+IFERROR(#REF!/#REF!,"")</f>
        <v/>
      </c>
      <c r="U215" s="2" t="str">
        <f>+IFERROR(#REF!/#REF!,"")</f>
        <v/>
      </c>
      <c r="V215" s="2" t="str">
        <f>+IFERROR(#REF!/#REF!,"")</f>
        <v/>
      </c>
      <c r="W215" s="2" t="str">
        <f>+IFERROR(#REF!/#REF!,"")</f>
        <v/>
      </c>
      <c r="X215" s="2" t="str">
        <f>+IFERROR(#REF!/#REF!,"")</f>
        <v/>
      </c>
      <c r="Y215" s="2" t="str">
        <f>+IFERROR(#REF!/#REF!,"")</f>
        <v/>
      </c>
      <c r="Z215" s="2" t="str">
        <f>+IFERROR(#REF!/#REF!,"")</f>
        <v/>
      </c>
      <c r="AA215" s="2" t="str">
        <f>+IFERROR(#REF!/#REF!,"")</f>
        <v/>
      </c>
      <c r="AB215" s="2">
        <f>+IFERROR(N215/H215,"")</f>
        <v>7.575757575757576E-2</v>
      </c>
      <c r="AD215" s="143" t="str">
        <f t="shared" si="20"/>
        <v/>
      </c>
      <c r="AE215" s="143" t="str">
        <f t="shared" si="21"/>
        <v/>
      </c>
      <c r="AF215" s="143" t="str">
        <f t="shared" si="21"/>
        <v/>
      </c>
      <c r="AG215" s="143"/>
      <c r="AH215" s="143"/>
      <c r="AI215" s="143"/>
      <c r="AJ215" s="143"/>
      <c r="AK215" s="143"/>
      <c r="AL215" s="143"/>
      <c r="AM215" s="143"/>
      <c r="AN215" s="143"/>
      <c r="AP215" s="9">
        <f t="shared" si="24"/>
        <v>5.7612000917166923E-9</v>
      </c>
      <c r="AQ215" s="9">
        <f t="shared" si="25"/>
        <v>0.97660534442024394</v>
      </c>
    </row>
    <row r="216" spans="2:43" x14ac:dyDescent="0.35">
      <c r="B216" s="3" t="s">
        <v>458</v>
      </c>
      <c r="D216" s="141">
        <v>1425</v>
      </c>
      <c r="E216" s="141">
        <v>28890</v>
      </c>
      <c r="F216" s="141">
        <v>70052</v>
      </c>
      <c r="G216" s="141">
        <v>83676</v>
      </c>
      <c r="H216" s="141">
        <f>+SUM(D216:G216)</f>
        <v>184043</v>
      </c>
      <c r="J216" s="141">
        <v>362</v>
      </c>
      <c r="K216" s="141">
        <v>2184</v>
      </c>
      <c r="L216" s="141">
        <v>5228</v>
      </c>
      <c r="M216" s="141">
        <v>9167</v>
      </c>
      <c r="N216" s="141">
        <f>+SUM(J216:M216)</f>
        <v>16941</v>
      </c>
      <c r="P216" s="2">
        <f>+IFERROR(J216/D216,"")</f>
        <v>0.25403508771929822</v>
      </c>
      <c r="Q216" s="2">
        <f>+IFERROR(K216/E216,"")</f>
        <v>7.5597092419522324E-2</v>
      </c>
      <c r="R216" s="2">
        <f>+IFERROR(L216/F216,"")</f>
        <v>7.4630274653114823E-2</v>
      </c>
      <c r="S216" s="2">
        <f>+IFERROR(M216/G216,"")</f>
        <v>0.10955351594244467</v>
      </c>
      <c r="T216" s="2" t="str">
        <f>+IFERROR(#REF!/#REF!,"")</f>
        <v/>
      </c>
      <c r="U216" s="2" t="str">
        <f>+IFERROR(#REF!/#REF!,"")</f>
        <v/>
      </c>
      <c r="V216" s="2" t="str">
        <f>+IFERROR(#REF!/#REF!,"")</f>
        <v/>
      </c>
      <c r="W216" s="2" t="str">
        <f>+IFERROR(#REF!/#REF!,"")</f>
        <v/>
      </c>
      <c r="X216" s="2" t="str">
        <f>+IFERROR(#REF!/#REF!,"")</f>
        <v/>
      </c>
      <c r="Y216" s="2" t="str">
        <f>+IFERROR(#REF!/#REF!,"")</f>
        <v/>
      </c>
      <c r="Z216" s="2" t="str">
        <f>+IFERROR(#REF!/#REF!,"")</f>
        <v/>
      </c>
      <c r="AA216" s="2" t="str">
        <f>+IFERROR(#REF!/#REF!,"")</f>
        <v/>
      </c>
      <c r="AB216" s="2">
        <f>+IFERROR(N216/H216,"")</f>
        <v>9.2049140689947462E-2</v>
      </c>
      <c r="AD216" s="143">
        <f t="shared" si="20"/>
        <v>-0.17843799529977589</v>
      </c>
      <c r="AE216" s="143">
        <f t="shared" si="21"/>
        <v>-9.6681776640750172E-4</v>
      </c>
      <c r="AF216" s="143">
        <f t="shared" si="21"/>
        <v>3.4923241289329846E-2</v>
      </c>
      <c r="AG216" s="143"/>
      <c r="AH216" s="143"/>
      <c r="AI216" s="143"/>
      <c r="AJ216" s="143"/>
      <c r="AK216" s="143"/>
      <c r="AL216" s="143"/>
      <c r="AM216" s="143"/>
      <c r="AN216" s="143"/>
      <c r="AP216" s="9">
        <f t="shared" si="24"/>
        <v>9.760049075377249E-6</v>
      </c>
      <c r="AQ216" s="9">
        <f t="shared" si="25"/>
        <v>0.97661510446931932</v>
      </c>
    </row>
    <row r="217" spans="2:43" x14ac:dyDescent="0.35">
      <c r="B217" s="3" t="s">
        <v>301</v>
      </c>
      <c r="D217" s="141"/>
      <c r="E217" s="141"/>
      <c r="F217" s="141"/>
      <c r="G217" s="141"/>
      <c r="H217" s="141">
        <f>+SUM(D217:G217)</f>
        <v>0</v>
      </c>
      <c r="J217" s="141"/>
      <c r="K217" s="141"/>
      <c r="L217" s="141"/>
      <c r="M217" s="141"/>
      <c r="N217" s="141">
        <f>+SUM(J217:M217)</f>
        <v>0</v>
      </c>
      <c r="P217" s="2" t="str">
        <f>+IFERROR(J217/D217,"")</f>
        <v/>
      </c>
      <c r="Q217" s="2" t="str">
        <f>+IFERROR(K217/E217,"")</f>
        <v/>
      </c>
      <c r="R217" s="2" t="str">
        <f>+IFERROR(L217/F217,"")</f>
        <v/>
      </c>
      <c r="S217" s="2" t="str">
        <f>+IFERROR(M217/G217,"")</f>
        <v/>
      </c>
      <c r="T217" s="2" t="str">
        <f>+IFERROR(#REF!/#REF!,"")</f>
        <v/>
      </c>
      <c r="U217" s="2" t="str">
        <f>+IFERROR(#REF!/#REF!,"")</f>
        <v/>
      </c>
      <c r="V217" s="2" t="str">
        <f>+IFERROR(#REF!/#REF!,"")</f>
        <v/>
      </c>
      <c r="W217" s="2" t="str">
        <f>+IFERROR(#REF!/#REF!,"")</f>
        <v/>
      </c>
      <c r="X217" s="2" t="str">
        <f>+IFERROR(#REF!/#REF!,"")</f>
        <v/>
      </c>
      <c r="Y217" s="2" t="str">
        <f>+IFERROR(#REF!/#REF!,"")</f>
        <v/>
      </c>
      <c r="Z217" s="2" t="str">
        <f>+IFERROR(#REF!/#REF!,"")</f>
        <v/>
      </c>
      <c r="AA217" s="2" t="str">
        <f>+IFERROR(#REF!/#REF!,"")</f>
        <v/>
      </c>
      <c r="AB217" s="2" t="str">
        <f>+IFERROR(N217/H217,"")</f>
        <v/>
      </c>
      <c r="AD217" s="143" t="str">
        <f t="shared" si="20"/>
        <v/>
      </c>
      <c r="AE217" s="143" t="str">
        <f t="shared" si="21"/>
        <v/>
      </c>
      <c r="AF217" s="143" t="str">
        <f t="shared" si="21"/>
        <v/>
      </c>
      <c r="AG217" s="143"/>
      <c r="AH217" s="143"/>
      <c r="AI217" s="143"/>
      <c r="AJ217" s="143"/>
      <c r="AK217" s="143"/>
      <c r="AL217" s="143"/>
      <c r="AM217" s="143"/>
      <c r="AN217" s="143"/>
      <c r="AP217" s="9">
        <f t="shared" si="24"/>
        <v>0</v>
      </c>
      <c r="AQ217" s="9">
        <f t="shared" si="25"/>
        <v>0.97661510446931932</v>
      </c>
    </row>
    <row r="218" spans="2:43" x14ac:dyDescent="0.35">
      <c r="B218" s="3" t="s">
        <v>295</v>
      </c>
      <c r="D218" s="141">
        <v>1927</v>
      </c>
      <c r="E218" s="141">
        <v>1962</v>
      </c>
      <c r="F218" s="141">
        <v>1399</v>
      </c>
      <c r="G218" s="141">
        <v>1340</v>
      </c>
      <c r="H218" s="141">
        <f>+SUM(D218:G218)</f>
        <v>6628</v>
      </c>
      <c r="J218" s="141">
        <v>300</v>
      </c>
      <c r="K218" s="141">
        <v>150</v>
      </c>
      <c r="L218" s="141">
        <v>130</v>
      </c>
      <c r="M218" s="141">
        <v>15</v>
      </c>
      <c r="N218" s="141">
        <f>+SUM(J218:M218)</f>
        <v>595</v>
      </c>
      <c r="P218" s="2">
        <f>+IFERROR(J218/D218,"")</f>
        <v>0.15568240788790866</v>
      </c>
      <c r="Q218" s="2">
        <f>+IFERROR(K218/E218,"")</f>
        <v>7.64525993883792E-2</v>
      </c>
      <c r="R218" s="2">
        <f>+IFERROR(L218/F218,"")</f>
        <v>9.2923516797712657E-2</v>
      </c>
      <c r="S218" s="2">
        <f>+IFERROR(M218/G218,"")</f>
        <v>1.1194029850746268E-2</v>
      </c>
      <c r="T218" s="2" t="str">
        <f>+IFERROR(#REF!/#REF!,"")</f>
        <v/>
      </c>
      <c r="U218" s="2" t="str">
        <f>+IFERROR(#REF!/#REF!,"")</f>
        <v/>
      </c>
      <c r="V218" s="2" t="str">
        <f>+IFERROR(#REF!/#REF!,"")</f>
        <v/>
      </c>
      <c r="W218" s="2" t="str">
        <f>+IFERROR(#REF!/#REF!,"")</f>
        <v/>
      </c>
      <c r="X218" s="2" t="str">
        <f>+IFERROR(#REF!/#REF!,"")</f>
        <v/>
      </c>
      <c r="Y218" s="2" t="str">
        <f>+IFERROR(#REF!/#REF!,"")</f>
        <v/>
      </c>
      <c r="Z218" s="2" t="str">
        <f>+IFERROR(#REF!/#REF!,"")</f>
        <v/>
      </c>
      <c r="AA218" s="2" t="str">
        <f>+IFERROR(#REF!/#REF!,"")</f>
        <v/>
      </c>
      <c r="AB218" s="2">
        <f>+IFERROR(N218/H218,"")</f>
        <v>8.9770669885334942E-2</v>
      </c>
      <c r="AD218" s="143">
        <f t="shared" si="20"/>
        <v>-7.9229808499529458E-2</v>
      </c>
      <c r="AE218" s="143">
        <f t="shared" si="21"/>
        <v>1.6470917409333458E-2</v>
      </c>
      <c r="AF218" s="143">
        <f t="shared" si="21"/>
        <v>-8.1729486946966384E-2</v>
      </c>
      <c r="AG218" s="143"/>
      <c r="AH218" s="143"/>
      <c r="AI218" s="143"/>
      <c r="AJ218" s="143"/>
      <c r="AK218" s="143"/>
      <c r="AL218" s="143"/>
      <c r="AM218" s="143"/>
      <c r="AN218" s="143"/>
      <c r="AP218" s="9">
        <f t="shared" si="24"/>
        <v>3.4279140545714318E-7</v>
      </c>
      <c r="AQ218" s="9">
        <f t="shared" si="25"/>
        <v>0.9766154472607248</v>
      </c>
    </row>
    <row r="219" spans="2:43" x14ac:dyDescent="0.35">
      <c r="B219" s="3" t="s">
        <v>459</v>
      </c>
      <c r="D219" s="141">
        <v>232731</v>
      </c>
      <c r="E219" s="141">
        <v>208734</v>
      </c>
      <c r="F219" s="141">
        <v>295735</v>
      </c>
      <c r="G219" s="141">
        <v>339261</v>
      </c>
      <c r="H219" s="141">
        <f>+SUM(D219:G219)</f>
        <v>1076461</v>
      </c>
      <c r="J219" s="141">
        <v>8693</v>
      </c>
      <c r="K219" s="141">
        <v>8283</v>
      </c>
      <c r="L219" s="141">
        <v>8839</v>
      </c>
      <c r="M219" s="141">
        <v>9528</v>
      </c>
      <c r="N219" s="141">
        <f>+SUM(J219:M219)</f>
        <v>35343</v>
      </c>
      <c r="P219" s="2">
        <f>+IFERROR(J219/D219,"")</f>
        <v>3.7352136157194356E-2</v>
      </c>
      <c r="Q219" s="2">
        <f>+IFERROR(K219/E219,"")</f>
        <v>3.9682083417172095E-2</v>
      </c>
      <c r="R219" s="2">
        <f>+IFERROR(L219/F219,"")</f>
        <v>2.9888244543256632E-2</v>
      </c>
      <c r="S219" s="2">
        <f>+IFERROR(M219/G219,"")</f>
        <v>2.8084572055143385E-2</v>
      </c>
      <c r="T219" s="2" t="str">
        <f>+IFERROR(#REF!/#REF!,"")</f>
        <v/>
      </c>
      <c r="U219" s="2" t="str">
        <f>+IFERROR(#REF!/#REF!,"")</f>
        <v/>
      </c>
      <c r="V219" s="2" t="str">
        <f>+IFERROR(#REF!/#REF!,"")</f>
        <v/>
      </c>
      <c r="W219" s="2" t="str">
        <f>+IFERROR(#REF!/#REF!,"")</f>
        <v/>
      </c>
      <c r="X219" s="2" t="str">
        <f>+IFERROR(#REF!/#REF!,"")</f>
        <v/>
      </c>
      <c r="Y219" s="2" t="str">
        <f>+IFERROR(#REF!/#REF!,"")</f>
        <v/>
      </c>
      <c r="Z219" s="2" t="str">
        <f>+IFERROR(#REF!/#REF!,"")</f>
        <v/>
      </c>
      <c r="AA219" s="2" t="str">
        <f>+IFERROR(#REF!/#REF!,"")</f>
        <v/>
      </c>
      <c r="AB219" s="2">
        <f>+IFERROR(N219/H219,"")</f>
        <v>3.2832587525233145E-2</v>
      </c>
      <c r="AD219" s="143">
        <f t="shared" si="20"/>
        <v>2.3299472599777396E-3</v>
      </c>
      <c r="AE219" s="143">
        <f t="shared" si="21"/>
        <v>-9.7938388739154635E-3</v>
      </c>
      <c r="AF219" s="143">
        <f t="shared" si="21"/>
        <v>-1.803672488113247E-3</v>
      </c>
      <c r="AG219" s="143"/>
      <c r="AH219" s="143"/>
      <c r="AI219" s="143"/>
      <c r="AJ219" s="143"/>
      <c r="AK219" s="143"/>
      <c r="AL219" s="143"/>
      <c r="AM219" s="143"/>
      <c r="AN219" s="143"/>
      <c r="AP219" s="9">
        <f t="shared" si="24"/>
        <v>2.0361809484154305E-5</v>
      </c>
      <c r="AQ219" s="9">
        <f t="shared" si="25"/>
        <v>0.97663580907020897</v>
      </c>
    </row>
    <row r="220" spans="2:43" x14ac:dyDescent="0.35">
      <c r="B220" s="3" t="s">
        <v>305</v>
      </c>
      <c r="D220" s="141"/>
      <c r="E220" s="141"/>
      <c r="F220" s="141"/>
      <c r="G220" s="141"/>
      <c r="H220" s="141">
        <f>+SUM(D220:G220)</f>
        <v>0</v>
      </c>
      <c r="J220" s="141"/>
      <c r="K220" s="141"/>
      <c r="L220" s="141"/>
      <c r="M220" s="141"/>
      <c r="N220" s="141">
        <f>+SUM(J220:M220)</f>
        <v>0</v>
      </c>
      <c r="P220" s="2" t="str">
        <f>+IFERROR(J220/D220,"")</f>
        <v/>
      </c>
      <c r="Q220" s="2" t="str">
        <f>+IFERROR(K220/E220,"")</f>
        <v/>
      </c>
      <c r="R220" s="2" t="str">
        <f>+IFERROR(L220/F220,"")</f>
        <v/>
      </c>
      <c r="S220" s="2" t="str">
        <f>+IFERROR(M220/G220,"")</f>
        <v/>
      </c>
      <c r="T220" s="2" t="str">
        <f>+IFERROR(#REF!/#REF!,"")</f>
        <v/>
      </c>
      <c r="U220" s="2" t="str">
        <f>+IFERROR(#REF!/#REF!,"")</f>
        <v/>
      </c>
      <c r="V220" s="2" t="str">
        <f>+IFERROR(#REF!/#REF!,"")</f>
        <v/>
      </c>
      <c r="W220" s="2" t="str">
        <f>+IFERROR(#REF!/#REF!,"")</f>
        <v/>
      </c>
      <c r="X220" s="2" t="str">
        <f>+IFERROR(#REF!/#REF!,"")</f>
        <v/>
      </c>
      <c r="Y220" s="2" t="str">
        <f>+IFERROR(#REF!/#REF!,"")</f>
        <v/>
      </c>
      <c r="Z220" s="2" t="str">
        <f>+IFERROR(#REF!/#REF!,"")</f>
        <v/>
      </c>
      <c r="AA220" s="2" t="str">
        <f>+IFERROR(#REF!/#REF!,"")</f>
        <v/>
      </c>
      <c r="AB220" s="2" t="str">
        <f>+IFERROR(N220/H220,"")</f>
        <v/>
      </c>
      <c r="AD220" s="143" t="str">
        <f t="shared" si="20"/>
        <v/>
      </c>
      <c r="AE220" s="143" t="str">
        <f t="shared" si="21"/>
        <v/>
      </c>
      <c r="AF220" s="143" t="str">
        <f t="shared" si="21"/>
        <v/>
      </c>
      <c r="AG220" s="143"/>
      <c r="AH220" s="143"/>
      <c r="AI220" s="143"/>
      <c r="AJ220" s="143"/>
      <c r="AK220" s="143"/>
      <c r="AL220" s="143"/>
      <c r="AM220" s="143"/>
      <c r="AN220" s="143"/>
      <c r="AP220" s="9">
        <f t="shared" si="24"/>
        <v>0</v>
      </c>
      <c r="AQ220" s="9">
        <f t="shared" si="25"/>
        <v>0.97663580907020897</v>
      </c>
    </row>
    <row r="221" spans="2:43" x14ac:dyDescent="0.35">
      <c r="B221" s="3" t="s">
        <v>299</v>
      </c>
      <c r="D221" s="141">
        <v>14634</v>
      </c>
      <c r="E221" s="141">
        <v>4760</v>
      </c>
      <c r="F221" s="141">
        <v>7708</v>
      </c>
      <c r="G221" s="141">
        <v>6682</v>
      </c>
      <c r="H221" s="141">
        <f>+SUM(D221:G221)</f>
        <v>33784</v>
      </c>
      <c r="J221" s="141">
        <v>781</v>
      </c>
      <c r="K221" s="141">
        <v>359</v>
      </c>
      <c r="L221" s="141">
        <v>428</v>
      </c>
      <c r="M221" s="141">
        <v>250</v>
      </c>
      <c r="N221" s="141">
        <f>+SUM(J221:M221)</f>
        <v>1818</v>
      </c>
      <c r="P221" s="2">
        <f>+IFERROR(J221/D221,"")</f>
        <v>5.3368867022003552E-2</v>
      </c>
      <c r="Q221" s="2">
        <f>+IFERROR(K221/E221,"")</f>
        <v>7.5420168067226886E-2</v>
      </c>
      <c r="R221" s="2">
        <f>+IFERROR(L221/F221,"")</f>
        <v>5.5526725480020758E-2</v>
      </c>
      <c r="S221" s="2">
        <f>+IFERROR(M221/G221,"")</f>
        <v>3.7413947919784495E-2</v>
      </c>
      <c r="T221" s="2" t="str">
        <f>+IFERROR(#REF!/#REF!,"")</f>
        <v/>
      </c>
      <c r="U221" s="2" t="str">
        <f>+IFERROR(#REF!/#REF!,"")</f>
        <v/>
      </c>
      <c r="V221" s="2" t="str">
        <f>+IFERROR(#REF!/#REF!,"")</f>
        <v/>
      </c>
      <c r="W221" s="2" t="str">
        <f>+IFERROR(#REF!/#REF!,"")</f>
        <v/>
      </c>
      <c r="X221" s="2" t="str">
        <f>+IFERROR(#REF!/#REF!,"")</f>
        <v/>
      </c>
      <c r="Y221" s="2" t="str">
        <f>+IFERROR(#REF!/#REF!,"")</f>
        <v/>
      </c>
      <c r="Z221" s="2" t="str">
        <f>+IFERROR(#REF!/#REF!,"")</f>
        <v/>
      </c>
      <c r="AA221" s="2" t="str">
        <f>+IFERROR(#REF!/#REF!,"")</f>
        <v/>
      </c>
      <c r="AB221" s="2">
        <f>+IFERROR(N221/H221,"")</f>
        <v>5.3812455600284158E-2</v>
      </c>
      <c r="AD221" s="143">
        <f t="shared" si="20"/>
        <v>2.2051301045223334E-2</v>
      </c>
      <c r="AE221" s="143">
        <f t="shared" si="21"/>
        <v>-1.9893442587206128E-2</v>
      </c>
      <c r="AF221" s="143">
        <f t="shared" si="21"/>
        <v>-1.8112777560236264E-2</v>
      </c>
      <c r="AG221" s="143"/>
      <c r="AH221" s="143"/>
      <c r="AI221" s="143"/>
      <c r="AJ221" s="143"/>
      <c r="AK221" s="143"/>
      <c r="AL221" s="143"/>
      <c r="AM221" s="143"/>
      <c r="AN221" s="143"/>
      <c r="AP221" s="9">
        <f t="shared" si="24"/>
        <v>1.0473861766740946E-6</v>
      </c>
      <c r="AQ221" s="9">
        <f t="shared" si="25"/>
        <v>0.97663685645638565</v>
      </c>
    </row>
    <row r="222" spans="2:43" x14ac:dyDescent="0.35">
      <c r="B222" s="3" t="s">
        <v>294</v>
      </c>
      <c r="D222" s="141"/>
      <c r="E222" s="141"/>
      <c r="F222" s="141"/>
      <c r="G222" s="141"/>
      <c r="H222" s="141">
        <f>+SUM(D222:G222)</f>
        <v>0</v>
      </c>
      <c r="J222" s="141"/>
      <c r="K222" s="141"/>
      <c r="L222" s="141"/>
      <c r="M222" s="141"/>
      <c r="N222" s="141">
        <f>+SUM(J222:M222)</f>
        <v>0</v>
      </c>
      <c r="P222" s="2" t="str">
        <f>+IFERROR(J222/D222,"")</f>
        <v/>
      </c>
      <c r="Q222" s="2" t="str">
        <f>+IFERROR(K222/E222,"")</f>
        <v/>
      </c>
      <c r="R222" s="2" t="str">
        <f>+IFERROR(L222/F222,"")</f>
        <v/>
      </c>
      <c r="S222" s="2" t="str">
        <f>+IFERROR(M222/G222,"")</f>
        <v/>
      </c>
      <c r="T222" s="2" t="str">
        <f>+IFERROR(#REF!/#REF!,"")</f>
        <v/>
      </c>
      <c r="U222" s="2" t="str">
        <f>+IFERROR(#REF!/#REF!,"")</f>
        <v/>
      </c>
      <c r="V222" s="2" t="str">
        <f>+IFERROR(#REF!/#REF!,"")</f>
        <v/>
      </c>
      <c r="W222" s="2" t="str">
        <f>+IFERROR(#REF!/#REF!,"")</f>
        <v/>
      </c>
      <c r="X222" s="2" t="str">
        <f>+IFERROR(#REF!/#REF!,"")</f>
        <v/>
      </c>
      <c r="Y222" s="2" t="str">
        <f>+IFERROR(#REF!/#REF!,"")</f>
        <v/>
      </c>
      <c r="Z222" s="2" t="str">
        <f>+IFERROR(#REF!/#REF!,"")</f>
        <v/>
      </c>
      <c r="AA222" s="2" t="str">
        <f>+IFERROR(#REF!/#REF!,"")</f>
        <v/>
      </c>
      <c r="AB222" s="2" t="str">
        <f>+IFERROR(N222/H222,"")</f>
        <v/>
      </c>
      <c r="AD222" s="143" t="str">
        <f t="shared" si="20"/>
        <v/>
      </c>
      <c r="AE222" s="143" t="str">
        <f t="shared" si="21"/>
        <v/>
      </c>
      <c r="AF222" s="143" t="str">
        <f t="shared" si="21"/>
        <v/>
      </c>
      <c r="AG222" s="143"/>
      <c r="AH222" s="143"/>
      <c r="AI222" s="143"/>
      <c r="AJ222" s="143"/>
      <c r="AK222" s="143"/>
      <c r="AL222" s="143"/>
      <c r="AM222" s="143"/>
      <c r="AN222" s="143"/>
      <c r="AP222" s="9">
        <f t="shared" si="24"/>
        <v>0</v>
      </c>
      <c r="AQ222" s="9">
        <f t="shared" si="25"/>
        <v>0.97663685645638565</v>
      </c>
    </row>
    <row r="223" spans="2:43" x14ac:dyDescent="0.35">
      <c r="B223" s="3" t="s">
        <v>304</v>
      </c>
      <c r="D223" s="141">
        <v>10326</v>
      </c>
      <c r="E223" s="141">
        <v>6967</v>
      </c>
      <c r="F223" s="141">
        <v>23415</v>
      </c>
      <c r="G223" s="141">
        <v>26425</v>
      </c>
      <c r="H223" s="141">
        <f>+SUM(D223:G223)</f>
        <v>67133</v>
      </c>
      <c r="J223" s="141">
        <v>1014</v>
      </c>
      <c r="K223" s="141">
        <v>99</v>
      </c>
      <c r="L223" s="141">
        <v>5384</v>
      </c>
      <c r="M223" s="141">
        <v>2776</v>
      </c>
      <c r="N223" s="141">
        <f>+SUM(J223:M223)</f>
        <v>9273</v>
      </c>
      <c r="P223" s="2">
        <f>+IFERROR(J223/D223,"")</f>
        <v>9.8198721673445677E-2</v>
      </c>
      <c r="Q223" s="2">
        <f>+IFERROR(K223/E223,"")</f>
        <v>1.4209846418831634E-2</v>
      </c>
      <c r="R223" s="2">
        <f>+IFERROR(L223/F223,"")</f>
        <v>0.22993807388426221</v>
      </c>
      <c r="S223" s="2">
        <f>+IFERROR(M223/G223,"")</f>
        <v>0.10505203405865658</v>
      </c>
      <c r="T223" s="2" t="str">
        <f>+IFERROR(#REF!/#REF!,"")</f>
        <v/>
      </c>
      <c r="U223" s="2" t="str">
        <f>+IFERROR(#REF!/#REF!,"")</f>
        <v/>
      </c>
      <c r="V223" s="2" t="str">
        <f>+IFERROR(#REF!/#REF!,"")</f>
        <v/>
      </c>
      <c r="W223" s="2" t="str">
        <f>+IFERROR(#REF!/#REF!,"")</f>
        <v/>
      </c>
      <c r="X223" s="2" t="str">
        <f>+IFERROR(#REF!/#REF!,"")</f>
        <v/>
      </c>
      <c r="Y223" s="2" t="str">
        <f>+IFERROR(#REF!/#REF!,"")</f>
        <v/>
      </c>
      <c r="Z223" s="2" t="str">
        <f>+IFERROR(#REF!/#REF!,"")</f>
        <v/>
      </c>
      <c r="AA223" s="2" t="str">
        <f>+IFERROR(#REF!/#REF!,"")</f>
        <v/>
      </c>
      <c r="AB223" s="2">
        <f>+IFERROR(N223/H223,"")</f>
        <v>0.13812878912010487</v>
      </c>
      <c r="AD223" s="143">
        <f t="shared" si="20"/>
        <v>-8.3988875254614043E-2</v>
      </c>
      <c r="AE223" s="143">
        <f t="shared" si="21"/>
        <v>0.21572822746543058</v>
      </c>
      <c r="AF223" s="143">
        <f t="shared" si="21"/>
        <v>-0.12488603982560563</v>
      </c>
      <c r="AG223" s="143"/>
      <c r="AH223" s="143"/>
      <c r="AI223" s="143"/>
      <c r="AJ223" s="143"/>
      <c r="AK223" s="143"/>
      <c r="AL223" s="143"/>
      <c r="AM223" s="143"/>
      <c r="AN223" s="143"/>
      <c r="AP223" s="9">
        <f t="shared" si="24"/>
        <v>5.3423608450488891E-6</v>
      </c>
      <c r="AQ223" s="9">
        <f t="shared" si="25"/>
        <v>0.97664219881723069</v>
      </c>
    </row>
    <row r="224" spans="2:43" x14ac:dyDescent="0.35">
      <c r="B224" s="3" t="s">
        <v>291</v>
      </c>
      <c r="D224" s="141"/>
      <c r="E224" s="141"/>
      <c r="F224" s="141"/>
      <c r="G224" s="141"/>
      <c r="H224" s="141">
        <f>+SUM(D224:G224)</f>
        <v>0</v>
      </c>
      <c r="J224" s="141"/>
      <c r="K224" s="141"/>
      <c r="L224" s="141"/>
      <c r="M224" s="141"/>
      <c r="N224" s="141">
        <f>+SUM(J224:M224)</f>
        <v>0</v>
      </c>
      <c r="P224" s="2" t="str">
        <f>+IFERROR(J224/D224,"")</f>
        <v/>
      </c>
      <c r="Q224" s="2" t="str">
        <f>+IFERROR(K224/E224,"")</f>
        <v/>
      </c>
      <c r="R224" s="2" t="str">
        <f>+IFERROR(L224/F224,"")</f>
        <v/>
      </c>
      <c r="S224" s="2" t="str">
        <f>+IFERROR(M224/G224,"")</f>
        <v/>
      </c>
      <c r="T224" s="2" t="str">
        <f>+IFERROR(#REF!/#REF!,"")</f>
        <v/>
      </c>
      <c r="U224" s="2" t="str">
        <f>+IFERROR(#REF!/#REF!,"")</f>
        <v/>
      </c>
      <c r="V224" s="2" t="str">
        <f>+IFERROR(#REF!/#REF!,"")</f>
        <v/>
      </c>
      <c r="W224" s="2" t="str">
        <f>+IFERROR(#REF!/#REF!,"")</f>
        <v/>
      </c>
      <c r="X224" s="2" t="str">
        <f>+IFERROR(#REF!/#REF!,"")</f>
        <v/>
      </c>
      <c r="Y224" s="2" t="str">
        <f>+IFERROR(#REF!/#REF!,"")</f>
        <v/>
      </c>
      <c r="Z224" s="2" t="str">
        <f>+IFERROR(#REF!/#REF!,"")</f>
        <v/>
      </c>
      <c r="AA224" s="2" t="str">
        <f>+IFERROR(#REF!/#REF!,"")</f>
        <v/>
      </c>
      <c r="AB224" s="2" t="str">
        <f>+IFERROR(N224/H224,"")</f>
        <v/>
      </c>
      <c r="AD224" s="143" t="str">
        <f t="shared" si="20"/>
        <v/>
      </c>
      <c r="AE224" s="143" t="str">
        <f t="shared" si="21"/>
        <v/>
      </c>
      <c r="AF224" s="143" t="str">
        <f t="shared" si="21"/>
        <v/>
      </c>
      <c r="AG224" s="143"/>
      <c r="AH224" s="143"/>
      <c r="AI224" s="143"/>
      <c r="AJ224" s="143"/>
      <c r="AK224" s="143"/>
      <c r="AL224" s="143"/>
      <c r="AM224" s="143"/>
      <c r="AN224" s="143"/>
      <c r="AP224" s="9">
        <f t="shared" si="24"/>
        <v>0</v>
      </c>
      <c r="AQ224" s="9">
        <f t="shared" si="25"/>
        <v>0.97664219881723069</v>
      </c>
    </row>
    <row r="225" spans="2:43" x14ac:dyDescent="0.35">
      <c r="B225" s="3" t="s">
        <v>460</v>
      </c>
      <c r="D225" s="141"/>
      <c r="E225" s="141"/>
      <c r="F225" s="141"/>
      <c r="G225" s="141"/>
      <c r="H225" s="141">
        <f>+SUM(D225:G225)</f>
        <v>0</v>
      </c>
      <c r="J225" s="141"/>
      <c r="K225" s="141"/>
      <c r="L225" s="141"/>
      <c r="M225" s="141"/>
      <c r="N225" s="141">
        <f>+SUM(J225:M225)</f>
        <v>0</v>
      </c>
      <c r="P225" s="2" t="str">
        <f>+IFERROR(J225/D225,"")</f>
        <v/>
      </c>
      <c r="Q225" s="2" t="str">
        <f>+IFERROR(K225/E225,"")</f>
        <v/>
      </c>
      <c r="R225" s="2" t="str">
        <f>+IFERROR(L225/F225,"")</f>
        <v/>
      </c>
      <c r="S225" s="2" t="str">
        <f>+IFERROR(M225/G225,"")</f>
        <v/>
      </c>
      <c r="T225" s="2" t="str">
        <f>+IFERROR(#REF!/#REF!,"")</f>
        <v/>
      </c>
      <c r="U225" s="2" t="str">
        <f>+IFERROR(#REF!/#REF!,"")</f>
        <v/>
      </c>
      <c r="V225" s="2" t="str">
        <f>+IFERROR(#REF!/#REF!,"")</f>
        <v/>
      </c>
      <c r="W225" s="2" t="str">
        <f>+IFERROR(#REF!/#REF!,"")</f>
        <v/>
      </c>
      <c r="X225" s="2" t="str">
        <f>+IFERROR(#REF!/#REF!,"")</f>
        <v/>
      </c>
      <c r="Y225" s="2" t="str">
        <f>+IFERROR(#REF!/#REF!,"")</f>
        <v/>
      </c>
      <c r="Z225" s="2" t="str">
        <f>+IFERROR(#REF!/#REF!,"")</f>
        <v/>
      </c>
      <c r="AA225" s="2" t="str">
        <f>+IFERROR(#REF!/#REF!,"")</f>
        <v/>
      </c>
      <c r="AB225" s="2" t="str">
        <f>+IFERROR(N225/H225,"")</f>
        <v/>
      </c>
      <c r="AD225" s="143" t="str">
        <f t="shared" si="20"/>
        <v/>
      </c>
      <c r="AE225" s="143" t="str">
        <f t="shared" si="21"/>
        <v/>
      </c>
      <c r="AF225" s="143" t="str">
        <f t="shared" si="21"/>
        <v/>
      </c>
      <c r="AG225" s="143"/>
      <c r="AH225" s="143"/>
      <c r="AI225" s="143"/>
      <c r="AJ225" s="143"/>
      <c r="AK225" s="143"/>
      <c r="AL225" s="143"/>
      <c r="AM225" s="143"/>
      <c r="AN225" s="143"/>
      <c r="AP225" s="9">
        <f t="shared" si="24"/>
        <v>0</v>
      </c>
      <c r="AQ225" s="9">
        <f t="shared" si="25"/>
        <v>0.97664219881723069</v>
      </c>
    </row>
    <row r="226" spans="2:43" ht="15.5" x14ac:dyDescent="0.45">
      <c r="B226" s="3" t="s">
        <v>461</v>
      </c>
      <c r="D226" s="141">
        <v>59119437</v>
      </c>
      <c r="E226" s="141">
        <v>56338941</v>
      </c>
      <c r="F226" s="141">
        <v>56390165</v>
      </c>
      <c r="G226" s="141">
        <v>56700270</v>
      </c>
      <c r="H226" s="141">
        <f>+SUM(D226:G226)</f>
        <v>228548813</v>
      </c>
      <c r="J226" s="259">
        <v>10444285</v>
      </c>
      <c r="K226" s="141">
        <v>11407377</v>
      </c>
      <c r="L226" s="141">
        <v>9113773</v>
      </c>
      <c r="M226" s="141">
        <v>9558036</v>
      </c>
      <c r="N226" s="141">
        <f>+SUM(J226:M226)</f>
        <v>40523471</v>
      </c>
      <c r="P226" s="2">
        <f>+IFERROR(J226/D226,"")</f>
        <v>0.17666414854390444</v>
      </c>
      <c r="Q226" s="2">
        <f>+IFERROR(K226/E226,"")</f>
        <v>0.20247766105507733</v>
      </c>
      <c r="R226" s="2">
        <f>+IFERROR(L226/F226,"")</f>
        <v>0.16161990304514981</v>
      </c>
      <c r="S226" s="2">
        <f>+IFERROR(M226/G226,"")</f>
        <v>0.16857126077177409</v>
      </c>
      <c r="T226" s="2" t="str">
        <f>+IFERROR(#REF!/#REF!,"")</f>
        <v/>
      </c>
      <c r="U226" s="2" t="str">
        <f>+IFERROR(#REF!/#REF!,"")</f>
        <v/>
      </c>
      <c r="V226" s="2" t="str">
        <f>+IFERROR(#REF!/#REF!,"")</f>
        <v/>
      </c>
      <c r="W226" s="2" t="str">
        <f>+IFERROR(#REF!/#REF!,"")</f>
        <v/>
      </c>
      <c r="X226" s="2" t="str">
        <f>+IFERROR(#REF!/#REF!,"")</f>
        <v/>
      </c>
      <c r="Y226" s="2" t="str">
        <f>+IFERROR(#REF!/#REF!,"")</f>
        <v/>
      </c>
      <c r="Z226" s="2" t="str">
        <f>+IFERROR(#REF!/#REF!,"")</f>
        <v/>
      </c>
      <c r="AA226" s="2" t="str">
        <f>+IFERROR(#REF!/#REF!,"")</f>
        <v/>
      </c>
      <c r="AB226" s="2">
        <f>+IFERROR(N226/H226,"")</f>
        <v>0.17730772900579447</v>
      </c>
      <c r="AD226" s="143">
        <f t="shared" si="20"/>
        <v>2.5813512511172892E-2</v>
      </c>
      <c r="AE226" s="143">
        <f t="shared" si="21"/>
        <v>-4.0857758009927525E-2</v>
      </c>
      <c r="AF226" s="143">
        <f t="shared" si="21"/>
        <v>6.9513577266242799E-3</v>
      </c>
      <c r="AG226" s="143"/>
      <c r="AH226" s="143"/>
      <c r="AI226" s="143"/>
      <c r="AJ226" s="143"/>
      <c r="AK226" s="143"/>
      <c r="AL226" s="143"/>
      <c r="AM226" s="143"/>
      <c r="AN226" s="143"/>
      <c r="AP226" s="9">
        <f t="shared" si="24"/>
        <v>2.3346382484187873E-2</v>
      </c>
      <c r="AQ226" s="9">
        <f t="shared" si="25"/>
        <v>0.99998858130141854</v>
      </c>
    </row>
    <row r="227" spans="2:43" x14ac:dyDescent="0.35">
      <c r="B227" s="3" t="s">
        <v>462</v>
      </c>
      <c r="D227" s="141"/>
      <c r="E227" s="141"/>
      <c r="F227" s="141"/>
      <c r="G227" s="141"/>
      <c r="H227" s="141">
        <f>+SUM(D227:G227)</f>
        <v>0</v>
      </c>
      <c r="J227" s="141"/>
      <c r="K227" s="141"/>
      <c r="L227" s="141"/>
      <c r="M227" s="141"/>
      <c r="N227" s="141">
        <f>+SUM(J227:M227)</f>
        <v>0</v>
      </c>
      <c r="P227" s="2" t="str">
        <f>+IFERROR(J227/D227,"")</f>
        <v/>
      </c>
      <c r="Q227" s="2" t="str">
        <f>+IFERROR(K227/E227,"")</f>
        <v/>
      </c>
      <c r="R227" s="2" t="str">
        <f>+IFERROR(L227/F227,"")</f>
        <v/>
      </c>
      <c r="S227" s="2" t="str">
        <f>+IFERROR(M227/G227,"")</f>
        <v/>
      </c>
      <c r="T227" s="2" t="str">
        <f>+IFERROR(#REF!/#REF!,"")</f>
        <v/>
      </c>
      <c r="U227" s="2" t="str">
        <f>+IFERROR(#REF!/#REF!,"")</f>
        <v/>
      </c>
      <c r="V227" s="2" t="str">
        <f>+IFERROR(#REF!/#REF!,"")</f>
        <v/>
      </c>
      <c r="W227" s="2" t="str">
        <f>+IFERROR(#REF!/#REF!,"")</f>
        <v/>
      </c>
      <c r="X227" s="2" t="str">
        <f>+IFERROR(#REF!/#REF!,"")</f>
        <v/>
      </c>
      <c r="Y227" s="2" t="str">
        <f>+IFERROR(#REF!/#REF!,"")</f>
        <v/>
      </c>
      <c r="Z227" s="2" t="str">
        <f>+IFERROR(#REF!/#REF!,"")</f>
        <v/>
      </c>
      <c r="AA227" s="2" t="str">
        <f>+IFERROR(#REF!/#REF!,"")</f>
        <v/>
      </c>
      <c r="AB227" s="2" t="str">
        <f>+IFERROR(N227/H227,"")</f>
        <v/>
      </c>
      <c r="AD227" s="143" t="str">
        <f t="shared" si="20"/>
        <v/>
      </c>
      <c r="AE227" s="143" t="str">
        <f t="shared" si="21"/>
        <v/>
      </c>
      <c r="AF227" s="143" t="str">
        <f t="shared" si="21"/>
        <v/>
      </c>
      <c r="AG227" s="143"/>
      <c r="AH227" s="143"/>
      <c r="AI227" s="143"/>
      <c r="AJ227" s="143"/>
      <c r="AK227" s="143"/>
      <c r="AL227" s="143"/>
      <c r="AM227" s="143"/>
      <c r="AN227" s="143"/>
      <c r="AP227" s="9">
        <f t="shared" si="24"/>
        <v>0</v>
      </c>
      <c r="AQ227" s="9">
        <f t="shared" si="25"/>
        <v>0.99998858130141854</v>
      </c>
    </row>
    <row r="228" spans="2:43" x14ac:dyDescent="0.35">
      <c r="B228" s="3" t="s">
        <v>463</v>
      </c>
      <c r="D228" s="141"/>
      <c r="E228" s="141"/>
      <c r="F228" s="141"/>
      <c r="G228" s="141"/>
      <c r="H228" s="141">
        <f>+SUM(D228:G228)</f>
        <v>0</v>
      </c>
      <c r="J228" s="141"/>
      <c r="K228" s="141"/>
      <c r="L228" s="141"/>
      <c r="M228" s="141"/>
      <c r="N228" s="141">
        <f>+SUM(J228:M228)</f>
        <v>0</v>
      </c>
      <c r="P228" s="2" t="str">
        <f>+IFERROR(J228/D228,"")</f>
        <v/>
      </c>
      <c r="Q228" s="2" t="str">
        <f>+IFERROR(K228/E228,"")</f>
        <v/>
      </c>
      <c r="R228" s="2" t="str">
        <f>+IFERROR(L228/F228,"")</f>
        <v/>
      </c>
      <c r="S228" s="2" t="str">
        <f>+IFERROR(M228/G228,"")</f>
        <v/>
      </c>
      <c r="T228" s="2" t="str">
        <f>+IFERROR(#REF!/#REF!,"")</f>
        <v/>
      </c>
      <c r="U228" s="2" t="str">
        <f>+IFERROR(#REF!/#REF!,"")</f>
        <v/>
      </c>
      <c r="V228" s="2" t="str">
        <f>+IFERROR(#REF!/#REF!,"")</f>
        <v/>
      </c>
      <c r="W228" s="2" t="str">
        <f>+IFERROR(#REF!/#REF!,"")</f>
        <v/>
      </c>
      <c r="X228" s="2" t="str">
        <f>+IFERROR(#REF!/#REF!,"")</f>
        <v/>
      </c>
      <c r="Y228" s="2" t="str">
        <f>+IFERROR(#REF!/#REF!,"")</f>
        <v/>
      </c>
      <c r="Z228" s="2" t="str">
        <f>+IFERROR(#REF!/#REF!,"")</f>
        <v/>
      </c>
      <c r="AA228" s="2" t="str">
        <f>+IFERROR(#REF!/#REF!,"")</f>
        <v/>
      </c>
      <c r="AB228" s="2" t="str">
        <f>+IFERROR(N228/H228,"")</f>
        <v/>
      </c>
      <c r="AD228" s="143" t="str">
        <f t="shared" si="20"/>
        <v/>
      </c>
      <c r="AE228" s="143" t="str">
        <f t="shared" si="21"/>
        <v/>
      </c>
      <c r="AF228" s="143" t="str">
        <f t="shared" si="21"/>
        <v/>
      </c>
      <c r="AG228" s="143"/>
      <c r="AH228" s="143"/>
      <c r="AI228" s="143"/>
      <c r="AJ228" s="143"/>
      <c r="AK228" s="143"/>
      <c r="AL228" s="143"/>
      <c r="AM228" s="143"/>
      <c r="AN228" s="143"/>
      <c r="AP228" s="9">
        <f t="shared" si="24"/>
        <v>0</v>
      </c>
      <c r="AQ228" s="9">
        <f t="shared" si="25"/>
        <v>0.99998858130141854</v>
      </c>
    </row>
    <row r="229" spans="2:43" x14ac:dyDescent="0.35">
      <c r="B229" s="3" t="s">
        <v>464</v>
      </c>
      <c r="D229" s="141"/>
      <c r="E229" s="141"/>
      <c r="F229" s="141">
        <v>5631</v>
      </c>
      <c r="G229" s="141"/>
      <c r="H229" s="141">
        <f>+SUM(D229:G229)</f>
        <v>5631</v>
      </c>
      <c r="J229" s="141"/>
      <c r="K229" s="141"/>
      <c r="L229" s="141">
        <v>728</v>
      </c>
      <c r="M229" s="141"/>
      <c r="N229" s="141">
        <f>+SUM(J229:M229)</f>
        <v>728</v>
      </c>
      <c r="P229" s="2" t="str">
        <f>+IFERROR(J229/D229,"")</f>
        <v/>
      </c>
      <c r="Q229" s="2" t="str">
        <f>+IFERROR(K229/E229,"")</f>
        <v/>
      </c>
      <c r="R229" s="2">
        <f>+IFERROR(L229/F229,"")</f>
        <v>0.12928431894867698</v>
      </c>
      <c r="S229" s="2" t="str">
        <f>+IFERROR(M229/G229,"")</f>
        <v/>
      </c>
      <c r="T229" s="2" t="str">
        <f>+IFERROR(#REF!/#REF!,"")</f>
        <v/>
      </c>
      <c r="U229" s="2" t="str">
        <f>+IFERROR(#REF!/#REF!,"")</f>
        <v/>
      </c>
      <c r="V229" s="2" t="str">
        <f>+IFERROR(#REF!/#REF!,"")</f>
        <v/>
      </c>
      <c r="W229" s="2" t="str">
        <f>+IFERROR(#REF!/#REF!,"")</f>
        <v/>
      </c>
      <c r="X229" s="2" t="str">
        <f>+IFERROR(#REF!/#REF!,"")</f>
        <v/>
      </c>
      <c r="Y229" s="2" t="str">
        <f>+IFERROR(#REF!/#REF!,"")</f>
        <v/>
      </c>
      <c r="Z229" s="2" t="str">
        <f>+IFERROR(#REF!/#REF!,"")</f>
        <v/>
      </c>
      <c r="AA229" s="2" t="str">
        <f>+IFERROR(#REF!/#REF!,"")</f>
        <v/>
      </c>
      <c r="AB229" s="2">
        <f>+IFERROR(N229/H229,"")</f>
        <v>0.12928431894867698</v>
      </c>
      <c r="AD229" s="143" t="str">
        <f t="shared" si="20"/>
        <v/>
      </c>
      <c r="AE229" s="143" t="str">
        <f t="shared" si="21"/>
        <v/>
      </c>
      <c r="AF229" s="143" t="str">
        <f t="shared" si="21"/>
        <v/>
      </c>
      <c r="AG229" s="143"/>
      <c r="AH229" s="143"/>
      <c r="AI229" s="143"/>
      <c r="AJ229" s="143"/>
      <c r="AK229" s="143"/>
      <c r="AL229" s="143"/>
      <c r="AM229" s="143"/>
      <c r="AN229" s="143"/>
      <c r="AP229" s="9">
        <f t="shared" si="24"/>
        <v>4.1941536667697521E-7</v>
      </c>
      <c r="AQ229" s="9">
        <f t="shared" si="25"/>
        <v>0.9999890007167852</v>
      </c>
    </row>
    <row r="230" spans="2:43" x14ac:dyDescent="0.35">
      <c r="B230" s="3" t="s">
        <v>465</v>
      </c>
      <c r="D230" s="141"/>
      <c r="E230" s="141"/>
      <c r="F230" s="141"/>
      <c r="G230" s="141"/>
      <c r="H230" s="141">
        <f>+SUM(D230:G230)</f>
        <v>0</v>
      </c>
      <c r="J230" s="141"/>
      <c r="K230" s="141"/>
      <c r="L230" s="141"/>
      <c r="M230" s="141"/>
      <c r="N230" s="141">
        <f>+SUM(J230:M230)</f>
        <v>0</v>
      </c>
      <c r="P230" s="2" t="str">
        <f>+IFERROR(J230/D230,"")</f>
        <v/>
      </c>
      <c r="Q230" s="2" t="str">
        <f>+IFERROR(K230/E230,"")</f>
        <v/>
      </c>
      <c r="R230" s="2" t="str">
        <f>+IFERROR(L230/F230,"")</f>
        <v/>
      </c>
      <c r="S230" s="2" t="str">
        <f>+IFERROR(M230/G230,"")</f>
        <v/>
      </c>
      <c r="T230" s="2" t="str">
        <f>+IFERROR(#REF!/#REF!,"")</f>
        <v/>
      </c>
      <c r="U230" s="2" t="str">
        <f>+IFERROR(#REF!/#REF!,"")</f>
        <v/>
      </c>
      <c r="V230" s="2" t="str">
        <f>+IFERROR(#REF!/#REF!,"")</f>
        <v/>
      </c>
      <c r="W230" s="2" t="str">
        <f>+IFERROR(#REF!/#REF!,"")</f>
        <v/>
      </c>
      <c r="X230" s="2" t="str">
        <f>+IFERROR(#REF!/#REF!,"")</f>
        <v/>
      </c>
      <c r="Y230" s="2" t="str">
        <f>+IFERROR(#REF!/#REF!,"")</f>
        <v/>
      </c>
      <c r="Z230" s="2" t="str">
        <f>+IFERROR(#REF!/#REF!,"")</f>
        <v/>
      </c>
      <c r="AA230" s="2" t="str">
        <f>+IFERROR(#REF!/#REF!,"")</f>
        <v/>
      </c>
      <c r="AB230" s="2" t="str">
        <f>+IFERROR(N230/H230,"")</f>
        <v/>
      </c>
      <c r="AD230" s="143" t="str">
        <f t="shared" si="20"/>
        <v/>
      </c>
      <c r="AE230" s="143" t="str">
        <f t="shared" si="21"/>
        <v/>
      </c>
      <c r="AF230" s="143" t="str">
        <f t="shared" si="21"/>
        <v/>
      </c>
      <c r="AG230" s="143"/>
      <c r="AH230" s="143"/>
      <c r="AI230" s="143"/>
      <c r="AJ230" s="143"/>
      <c r="AK230" s="143"/>
      <c r="AL230" s="143"/>
      <c r="AM230" s="143"/>
      <c r="AN230" s="143"/>
      <c r="AP230" s="9">
        <f t="shared" si="24"/>
        <v>0</v>
      </c>
      <c r="AQ230" s="9">
        <f t="shared" si="25"/>
        <v>0.9999890007167852</v>
      </c>
    </row>
    <row r="231" spans="2:43" x14ac:dyDescent="0.35">
      <c r="B231" s="3" t="s">
        <v>466</v>
      </c>
      <c r="D231" s="141">
        <v>6131</v>
      </c>
      <c r="E231" s="141">
        <v>1705</v>
      </c>
      <c r="F231" s="141">
        <v>4310</v>
      </c>
      <c r="G231" s="141">
        <v>2642</v>
      </c>
      <c r="H231" s="141">
        <f>+SUM(D231:G231)</f>
        <v>14788</v>
      </c>
      <c r="J231" s="141">
        <v>257</v>
      </c>
      <c r="K231" s="141">
        <v>340</v>
      </c>
      <c r="L231" s="141">
        <v>396</v>
      </c>
      <c r="M231" s="141">
        <v>103</v>
      </c>
      <c r="N231" s="141">
        <f>+SUM(J231:M231)</f>
        <v>1096</v>
      </c>
      <c r="P231" s="2">
        <f>+IFERROR(J231/D231,"")</f>
        <v>4.1918121024302722E-2</v>
      </c>
      <c r="Q231" s="2">
        <f>+IFERROR(K231/E231,"")</f>
        <v>0.19941348973607037</v>
      </c>
      <c r="R231" s="2">
        <f>+IFERROR(L231/F231,"")</f>
        <v>9.1879350348027841E-2</v>
      </c>
      <c r="S231" s="2">
        <f>+IFERROR(M231/G231,"")</f>
        <v>3.898561695685087E-2</v>
      </c>
      <c r="T231" s="2" t="str">
        <f>+IFERROR(#REF!/#REF!,"")</f>
        <v/>
      </c>
      <c r="U231" s="2" t="str">
        <f>+IFERROR(#REF!/#REF!,"")</f>
        <v/>
      </c>
      <c r="V231" s="2" t="str">
        <f>+IFERROR(#REF!/#REF!,"")</f>
        <v/>
      </c>
      <c r="W231" s="2" t="str">
        <f>+IFERROR(#REF!/#REF!,"")</f>
        <v/>
      </c>
      <c r="X231" s="2" t="str">
        <f>+IFERROR(#REF!/#REF!,"")</f>
        <v/>
      </c>
      <c r="Y231" s="2" t="str">
        <f>+IFERROR(#REF!/#REF!,"")</f>
        <v/>
      </c>
      <c r="Z231" s="2" t="str">
        <f>+IFERROR(#REF!/#REF!,"")</f>
        <v/>
      </c>
      <c r="AA231" s="2" t="str">
        <f>+IFERROR(#REF!/#REF!,"")</f>
        <v/>
      </c>
      <c r="AB231" s="2">
        <f>+IFERROR(N231/H231,"")</f>
        <v>7.4114146605355688E-2</v>
      </c>
      <c r="AD231" s="143">
        <f t="shared" si="20"/>
        <v>0.15749536871176764</v>
      </c>
      <c r="AE231" s="143">
        <f t="shared" si="21"/>
        <v>-0.10753413938804253</v>
      </c>
      <c r="AF231" s="143">
        <f t="shared" si="21"/>
        <v>-5.2893733391176971E-2</v>
      </c>
      <c r="AG231" s="143"/>
      <c r="AH231" s="143"/>
      <c r="AI231" s="143"/>
      <c r="AJ231" s="143"/>
      <c r="AK231" s="143"/>
      <c r="AL231" s="143"/>
      <c r="AM231" s="143"/>
      <c r="AN231" s="143"/>
      <c r="AP231" s="9">
        <f t="shared" si="24"/>
        <v>6.3142753005214951E-7</v>
      </c>
      <c r="AQ231" s="9">
        <f t="shared" si="25"/>
        <v>0.99998963214431524</v>
      </c>
    </row>
    <row r="232" spans="2:43" x14ac:dyDescent="0.35">
      <c r="B232" s="3" t="s">
        <v>467</v>
      </c>
      <c r="D232" s="141"/>
      <c r="E232" s="141"/>
      <c r="F232" s="141"/>
      <c r="G232" s="141"/>
      <c r="H232" s="141">
        <f>+SUM(D232:G232)</f>
        <v>0</v>
      </c>
      <c r="J232" s="141"/>
      <c r="K232" s="141"/>
      <c r="L232" s="141"/>
      <c r="M232" s="141"/>
      <c r="N232" s="141">
        <f>+SUM(J232:M232)</f>
        <v>0</v>
      </c>
      <c r="P232" s="2" t="str">
        <f>+IFERROR(J232/D232,"")</f>
        <v/>
      </c>
      <c r="Q232" s="2" t="str">
        <f>+IFERROR(K232/E232,"")</f>
        <v/>
      </c>
      <c r="R232" s="2" t="str">
        <f>+IFERROR(L232/F232,"")</f>
        <v/>
      </c>
      <c r="S232" s="2" t="str">
        <f>+IFERROR(M232/G232,"")</f>
        <v/>
      </c>
      <c r="T232" s="2" t="str">
        <f>+IFERROR(#REF!/#REF!,"")</f>
        <v/>
      </c>
      <c r="U232" s="2" t="str">
        <f>+IFERROR(#REF!/#REF!,"")</f>
        <v/>
      </c>
      <c r="V232" s="2" t="str">
        <f>+IFERROR(#REF!/#REF!,"")</f>
        <v/>
      </c>
      <c r="W232" s="2" t="str">
        <f>+IFERROR(#REF!/#REF!,"")</f>
        <v/>
      </c>
      <c r="X232" s="2" t="str">
        <f>+IFERROR(#REF!/#REF!,"")</f>
        <v/>
      </c>
      <c r="Y232" s="2" t="str">
        <f>+IFERROR(#REF!/#REF!,"")</f>
        <v/>
      </c>
      <c r="Z232" s="2" t="str">
        <f>+IFERROR(#REF!/#REF!,"")</f>
        <v/>
      </c>
      <c r="AA232" s="2" t="str">
        <f>+IFERROR(#REF!/#REF!,"")</f>
        <v/>
      </c>
      <c r="AB232" s="2" t="str">
        <f>+IFERROR(N232/H232,"")</f>
        <v/>
      </c>
      <c r="AD232" s="143" t="str">
        <f t="shared" si="20"/>
        <v/>
      </c>
      <c r="AE232" s="143" t="str">
        <f t="shared" si="21"/>
        <v/>
      </c>
      <c r="AF232" s="143" t="str">
        <f t="shared" si="21"/>
        <v/>
      </c>
      <c r="AG232" s="143"/>
      <c r="AH232" s="143"/>
      <c r="AI232" s="143"/>
      <c r="AJ232" s="143"/>
      <c r="AK232" s="143"/>
      <c r="AL232" s="143"/>
      <c r="AM232" s="143"/>
      <c r="AN232" s="143"/>
      <c r="AP232" s="9">
        <f t="shared" si="24"/>
        <v>0</v>
      </c>
      <c r="AQ232" s="9">
        <f t="shared" si="25"/>
        <v>0.99998963214431524</v>
      </c>
    </row>
    <row r="233" spans="2:43" x14ac:dyDescent="0.35">
      <c r="B233" s="3" t="s">
        <v>468</v>
      </c>
      <c r="D233" s="141">
        <v>13500</v>
      </c>
      <c r="E233" s="141">
        <v>32657</v>
      </c>
      <c r="F233" s="141">
        <v>38007</v>
      </c>
      <c r="G233" s="141">
        <v>69269</v>
      </c>
      <c r="H233" s="141">
        <f>+SUM(D233:G233)</f>
        <v>153433</v>
      </c>
      <c r="J233" s="141">
        <v>1047</v>
      </c>
      <c r="K233" s="141">
        <v>4195</v>
      </c>
      <c r="L233" s="141">
        <v>2670</v>
      </c>
      <c r="M233" s="141">
        <v>10084</v>
      </c>
      <c r="N233" s="141">
        <f>+SUM(J233:M233)</f>
        <v>17996</v>
      </c>
      <c r="P233" s="2">
        <f>+IFERROR(J233/D233,"")</f>
        <v>7.7555555555555558E-2</v>
      </c>
      <c r="Q233" s="2">
        <f>+IFERROR(K233/E233,"")</f>
        <v>0.12845637994916864</v>
      </c>
      <c r="R233" s="2">
        <f>+IFERROR(L233/F233,"")</f>
        <v>7.0250217065277454E-2</v>
      </c>
      <c r="S233" s="2">
        <f>+IFERROR(M233/G233,"")</f>
        <v>0.1455773867097836</v>
      </c>
      <c r="T233" s="2" t="str">
        <f>+IFERROR(#REF!/#REF!,"")</f>
        <v/>
      </c>
      <c r="U233" s="2" t="str">
        <f>+IFERROR(#REF!/#REF!,"")</f>
        <v/>
      </c>
      <c r="V233" s="2" t="str">
        <f>+IFERROR(#REF!/#REF!,"")</f>
        <v/>
      </c>
      <c r="W233" s="2" t="str">
        <f>+IFERROR(#REF!/#REF!,"")</f>
        <v/>
      </c>
      <c r="X233" s="2" t="str">
        <f>+IFERROR(#REF!/#REF!,"")</f>
        <v/>
      </c>
      <c r="Y233" s="2" t="str">
        <f>+IFERROR(#REF!/#REF!,"")</f>
        <v/>
      </c>
      <c r="Z233" s="2" t="str">
        <f>+IFERROR(#REF!/#REF!,"")</f>
        <v/>
      </c>
      <c r="AA233" s="2" t="str">
        <f>+IFERROR(#REF!/#REF!,"")</f>
        <v/>
      </c>
      <c r="AB233" s="2">
        <f>+IFERROR(N233/H233,"")</f>
        <v>0.11728897955459386</v>
      </c>
      <c r="AD233" s="143">
        <f t="shared" si="20"/>
        <v>5.0900824393613084E-2</v>
      </c>
      <c r="AE233" s="143">
        <f t="shared" si="21"/>
        <v>-5.8206162883891188E-2</v>
      </c>
      <c r="AF233" s="143">
        <f t="shared" si="21"/>
        <v>7.5327169644506142E-2</v>
      </c>
      <c r="AG233" s="143"/>
      <c r="AH233" s="143"/>
      <c r="AI233" s="143"/>
      <c r="AJ233" s="143"/>
      <c r="AK233" s="143"/>
      <c r="AL233" s="143"/>
      <c r="AM233" s="143"/>
      <c r="AN233" s="143"/>
      <c r="AP233" s="9">
        <f t="shared" si="24"/>
        <v>1.0367855685053359E-5</v>
      </c>
      <c r="AQ233" s="9">
        <f t="shared" si="25"/>
        <v>1.0000000000000002</v>
      </c>
    </row>
    <row r="234" spans="2:43" x14ac:dyDescent="0.35">
      <c r="B234" s="3" t="s">
        <v>469</v>
      </c>
      <c r="D234" s="141"/>
      <c r="E234" s="141"/>
      <c r="F234" s="141"/>
      <c r="G234" s="141"/>
      <c r="H234" s="141">
        <f>+SUM(D234:G234)</f>
        <v>0</v>
      </c>
      <c r="J234" s="141"/>
      <c r="K234" s="141"/>
      <c r="L234" s="141"/>
      <c r="M234" s="141"/>
      <c r="N234" s="141">
        <f>+SUM(J234:M234)</f>
        <v>0</v>
      </c>
      <c r="P234" s="2" t="str">
        <f>+IFERROR(J234/D234,"")</f>
        <v/>
      </c>
      <c r="Q234" s="2" t="str">
        <f>+IFERROR(K234/E234,"")</f>
        <v/>
      </c>
      <c r="R234" s="2" t="str">
        <f>+IFERROR(L234/F234,"")</f>
        <v/>
      </c>
      <c r="S234" s="2" t="str">
        <f>+IFERROR(M234/G234,"")</f>
        <v/>
      </c>
      <c r="T234" s="2" t="str">
        <f>+IFERROR(#REF!/#REF!,"")</f>
        <v/>
      </c>
      <c r="U234" s="2" t="str">
        <f>+IFERROR(#REF!/#REF!,"")</f>
        <v/>
      </c>
      <c r="V234" s="2" t="str">
        <f>+IFERROR(#REF!/#REF!,"")</f>
        <v/>
      </c>
      <c r="W234" s="2" t="str">
        <f>+IFERROR(#REF!/#REF!,"")</f>
        <v/>
      </c>
      <c r="X234" s="2" t="str">
        <f>+IFERROR(#REF!/#REF!,"")</f>
        <v/>
      </c>
      <c r="Y234" s="2" t="str">
        <f>+IFERROR(#REF!/#REF!,"")</f>
        <v/>
      </c>
      <c r="Z234" s="2" t="str">
        <f>+IFERROR(#REF!/#REF!,"")</f>
        <v/>
      </c>
      <c r="AA234" s="2" t="str">
        <f>+IFERROR(#REF!/#REF!,"")</f>
        <v/>
      </c>
      <c r="AB234" s="2" t="str">
        <f>+IFERROR(N234/H234,"")</f>
        <v/>
      </c>
      <c r="AD234" s="143" t="str">
        <f t="shared" si="20"/>
        <v/>
      </c>
      <c r="AE234" s="143" t="str">
        <f t="shared" si="21"/>
        <v/>
      </c>
      <c r="AF234" s="143"/>
      <c r="AG234" s="143"/>
      <c r="AH234" s="143"/>
      <c r="AI234" s="143"/>
      <c r="AJ234" s="143"/>
      <c r="AK234" s="143"/>
      <c r="AL234" s="143"/>
      <c r="AM234" s="143"/>
      <c r="AN234" s="143"/>
      <c r="AP234" s="9">
        <f t="shared" si="24"/>
        <v>0</v>
      </c>
      <c r="AQ234" s="9">
        <f t="shared" si="25"/>
        <v>1.0000000000000002</v>
      </c>
    </row>
    <row r="235" spans="2:43" x14ac:dyDescent="0.35">
      <c r="B235" s="3" t="s">
        <v>470</v>
      </c>
      <c r="D235" s="141"/>
      <c r="E235" s="141"/>
      <c r="F235" s="141"/>
      <c r="G235" s="141"/>
      <c r="H235" s="141">
        <f>+SUM(D235:G235)</f>
        <v>0</v>
      </c>
      <c r="J235" s="141"/>
      <c r="K235" s="141"/>
      <c r="L235" s="141"/>
      <c r="M235" s="141"/>
      <c r="N235" s="141">
        <f>+SUM(J235:M235)</f>
        <v>0</v>
      </c>
      <c r="P235" s="2" t="str">
        <f>+IFERROR(J235/D235,"")</f>
        <v/>
      </c>
      <c r="Q235" s="2" t="str">
        <f>+IFERROR(K235/E235,"")</f>
        <v/>
      </c>
      <c r="R235" s="2" t="str">
        <f>+IFERROR(L235/F235,"")</f>
        <v/>
      </c>
      <c r="S235" s="2" t="str">
        <f>+IFERROR(M235/G235,"")</f>
        <v/>
      </c>
      <c r="T235" s="2" t="str">
        <f>+IFERROR(#REF!/#REF!,"")</f>
        <v/>
      </c>
      <c r="U235" s="2" t="str">
        <f>+IFERROR(#REF!/#REF!,"")</f>
        <v/>
      </c>
      <c r="V235" s="2" t="str">
        <f>+IFERROR(#REF!/#REF!,"")</f>
        <v/>
      </c>
      <c r="W235" s="2" t="str">
        <f>+IFERROR(#REF!/#REF!,"")</f>
        <v/>
      </c>
      <c r="X235" s="2" t="str">
        <f>+IFERROR(#REF!/#REF!,"")</f>
        <v/>
      </c>
      <c r="Y235" s="2" t="str">
        <f>+IFERROR(#REF!/#REF!,"")</f>
        <v/>
      </c>
      <c r="Z235" s="2" t="str">
        <f>+IFERROR(#REF!/#REF!,"")</f>
        <v/>
      </c>
      <c r="AA235" s="2" t="str">
        <f>+IFERROR(#REF!/#REF!,"")</f>
        <v/>
      </c>
      <c r="AB235" s="2" t="str">
        <f>+IFERROR(N235/H235,"")</f>
        <v/>
      </c>
      <c r="AD235" s="143" t="str">
        <f t="shared" si="20"/>
        <v/>
      </c>
      <c r="AE235" s="143" t="str">
        <f t="shared" si="21"/>
        <v/>
      </c>
      <c r="AF235" s="143"/>
      <c r="AG235" s="143"/>
      <c r="AH235" s="143"/>
      <c r="AI235" s="143"/>
      <c r="AJ235" s="143"/>
      <c r="AK235" s="143"/>
      <c r="AL235" s="143"/>
      <c r="AM235" s="143"/>
      <c r="AN235" s="143"/>
      <c r="AP235" s="9">
        <f t="shared" si="24"/>
        <v>0</v>
      </c>
      <c r="AQ235" s="9">
        <f t="shared" si="25"/>
        <v>1.0000000000000002</v>
      </c>
    </row>
    <row r="236" spans="2:43" s="17" customFormat="1" x14ac:dyDescent="0.35">
      <c r="B236" s="3" t="s">
        <v>286</v>
      </c>
      <c r="D236" s="144">
        <f>+SUM(D5:D235)</f>
        <v>3398961468</v>
      </c>
      <c r="E236" s="144">
        <f t="shared" ref="E236:H236" si="26">+SUM(E5:E235)</f>
        <v>3246154239</v>
      </c>
      <c r="F236" s="144">
        <f t="shared" si="26"/>
        <v>3736048013</v>
      </c>
      <c r="G236" s="144">
        <f t="shared" si="26"/>
        <v>3517083863</v>
      </c>
      <c r="H236" s="144">
        <f t="shared" si="26"/>
        <v>13898247583</v>
      </c>
      <c r="J236" s="144">
        <f>+SUM(J5:J235)</f>
        <v>427439751</v>
      </c>
      <c r="K236" s="144">
        <f t="shared" ref="K236:N236" si="27">+SUM(K5:K235)</f>
        <v>414005690</v>
      </c>
      <c r="L236" s="144">
        <f t="shared" si="27"/>
        <v>464225277</v>
      </c>
      <c r="M236" s="144">
        <f t="shared" si="27"/>
        <v>430078751</v>
      </c>
      <c r="N236" s="144">
        <f t="shared" si="27"/>
        <v>1735749469</v>
      </c>
      <c r="P236" s="7">
        <f>+IFERROR(J236/D236,"")</f>
        <v>0.1257559860634466</v>
      </c>
      <c r="Q236" s="7">
        <f>+IFERROR(K236/E236,"")</f>
        <v>0.12753728243286963</v>
      </c>
      <c r="R236" s="7">
        <f>+IFERROR(L236/F236,"")</f>
        <v>0.12425570425879856</v>
      </c>
      <c r="S236" s="7">
        <f>+IFERROR(M236/G236,"")</f>
        <v>0.12228276826846878</v>
      </c>
      <c r="T236" s="7" t="str">
        <f>+IFERROR(#REF!/#REF!,"")</f>
        <v/>
      </c>
      <c r="U236" s="7" t="str">
        <f>+IFERROR(#REF!/#REF!,"")</f>
        <v/>
      </c>
      <c r="V236" s="7" t="str">
        <f>+IFERROR(#REF!/#REF!,"")</f>
        <v/>
      </c>
      <c r="W236" s="7" t="str">
        <f>+IFERROR(#REF!/#REF!,"")</f>
        <v/>
      </c>
      <c r="X236" s="7" t="str">
        <f>+IFERROR(#REF!/#REF!,"")</f>
        <v/>
      </c>
      <c r="Y236" s="7" t="str">
        <f>+IFERROR(#REF!/#REF!,"")</f>
        <v/>
      </c>
      <c r="Z236" s="7" t="str">
        <f>+IFERROR(#REF!/#REF!,"")</f>
        <v/>
      </c>
      <c r="AA236" s="7" t="str">
        <f>+IFERROR(#REF!/#REF!,"")</f>
        <v/>
      </c>
      <c r="AB236" s="7">
        <f>+IFERROR(N236/H236,"")</f>
        <v>0.12488980777138599</v>
      </c>
      <c r="AD236" s="7">
        <f t="shared" si="20"/>
        <v>1.7812963694230355E-3</v>
      </c>
      <c r="AE236" s="7">
        <f t="shared" si="21"/>
        <v>-3.2815781740710703E-3</v>
      </c>
      <c r="AF236" s="7">
        <f>+IFERROR(S236-R236,"")</f>
        <v>-1.9729359903297855E-3</v>
      </c>
      <c r="AG236" s="7" t="str">
        <f t="shared" ref="AG236:AN236" si="28">+IFERROR(T236-S236,"")</f>
        <v/>
      </c>
      <c r="AH236" s="7" t="str">
        <f t="shared" si="28"/>
        <v/>
      </c>
      <c r="AI236" s="7" t="str">
        <f t="shared" si="28"/>
        <v/>
      </c>
      <c r="AJ236" s="7" t="str">
        <f t="shared" si="28"/>
        <v/>
      </c>
      <c r="AK236" s="7" t="str">
        <f t="shared" si="28"/>
        <v/>
      </c>
      <c r="AL236" s="7" t="str">
        <f t="shared" si="28"/>
        <v/>
      </c>
      <c r="AM236" s="7" t="str">
        <f t="shared" si="28"/>
        <v/>
      </c>
      <c r="AN236" s="7" t="str">
        <f t="shared" si="28"/>
        <v/>
      </c>
      <c r="AP236" s="10">
        <f>+N236/$N$236</f>
        <v>1</v>
      </c>
      <c r="AQ236" s="10"/>
    </row>
  </sheetData>
  <mergeCells count="4">
    <mergeCell ref="D2:H2"/>
    <mergeCell ref="J2:N2"/>
    <mergeCell ref="P2:AB2"/>
    <mergeCell ref="AD2:AN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8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51.81640625" style="154" customWidth="1"/>
    <col min="3" max="3" width="1.90625" style="154" customWidth="1"/>
    <col min="4" max="5" width="16.36328125" style="154" hidden="1" customWidth="1" outlineLevel="1"/>
    <col min="6" max="6" width="16.36328125" style="154" bestFit="1" customWidth="1" outlineLevel="1"/>
    <col min="7" max="7" width="16.36328125" style="154" customWidth="1" outlineLevel="1"/>
    <col min="8" max="15" width="16.36328125" style="154" hidden="1" customWidth="1" outlineLevel="1"/>
    <col min="16" max="16" width="16.36328125" style="154" bestFit="1" customWidth="1" outlineLevel="1"/>
    <col min="17" max="17" width="1.81640625" style="154" customWidth="1"/>
    <col min="18" max="19" width="16.36328125" style="154" hidden="1" customWidth="1" outlineLevel="1"/>
    <col min="20" max="20" width="16.36328125" style="154" bestFit="1" customWidth="1" outlineLevel="1"/>
    <col min="21" max="21" width="16.36328125" style="154" customWidth="1" outlineLevel="1"/>
    <col min="22" max="29" width="16.36328125" style="154" hidden="1" customWidth="1" outlineLevel="1"/>
    <col min="30" max="30" width="16.36328125" style="154" bestFit="1" customWidth="1" outlineLevel="1"/>
    <col min="31" max="31" width="1.6328125" style="154" customWidth="1"/>
    <col min="32" max="33" width="8.54296875" style="154" hidden="1" customWidth="1"/>
    <col min="34" max="35" width="8.54296875" style="154" customWidth="1"/>
    <col min="36" max="43" width="8.54296875" style="154" hidden="1" customWidth="1"/>
    <col min="44" max="44" width="8.54296875" style="154" bestFit="1" customWidth="1"/>
    <col min="45" max="45" width="2.453125" style="154" customWidth="1"/>
    <col min="46" max="46" width="9.6328125" style="154" hidden="1" customWidth="1"/>
    <col min="47" max="47" width="10.08984375" style="154" customWidth="1"/>
    <col min="48" max="48" width="9.453125" style="154" customWidth="1"/>
    <col min="49" max="49" width="10.453125" style="154" hidden="1" customWidth="1"/>
    <col min="50" max="50" width="9.453125" style="154" hidden="1" customWidth="1"/>
    <col min="51" max="51" width="8.6328125" style="154" hidden="1" customWidth="1"/>
    <col min="52" max="52" width="9.81640625" style="154" hidden="1" customWidth="1"/>
    <col min="53" max="53" width="9.6328125" style="154" hidden="1" customWidth="1"/>
    <col min="54" max="54" width="9.453125" style="154" hidden="1" customWidth="1"/>
    <col min="55" max="55" width="10.08984375" style="154" hidden="1" customWidth="1"/>
    <col min="56" max="56" width="9" style="154" hidden="1" customWidth="1"/>
    <col min="57" max="57" width="2.6328125" style="154" customWidth="1"/>
    <col min="58" max="58" width="6.6328125" style="154" bestFit="1" customWidth="1"/>
    <col min="59" max="59" width="10" style="154" bestFit="1" customWidth="1"/>
    <col min="60" max="79" width="11.54296875" style="154" customWidth="1"/>
    <col min="80" max="16384" width="11.54296875" style="154"/>
  </cols>
  <sheetData>
    <row r="1" spans="2:59" ht="23" customHeight="1" x14ac:dyDescent="0.35"/>
    <row r="2" spans="2:59" x14ac:dyDescent="0.35">
      <c r="D2" s="253" t="s">
        <v>71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R2" s="255" t="s">
        <v>72</v>
      </c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F2" s="253" t="s">
        <v>73</v>
      </c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T2" s="256" t="s">
        <v>454</v>
      </c>
      <c r="AU2" s="254"/>
      <c r="AV2" s="254"/>
      <c r="AW2" s="254"/>
      <c r="AX2" s="254"/>
      <c r="AY2" s="254"/>
      <c r="AZ2" s="254"/>
      <c r="BA2" s="254"/>
      <c r="BB2" s="254"/>
      <c r="BC2" s="254"/>
      <c r="BD2" s="254"/>
    </row>
    <row r="3" spans="2:59" ht="5" customHeight="1" x14ac:dyDescent="0.35"/>
    <row r="4" spans="2:59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44</v>
      </c>
      <c r="AF4" s="4" t="s">
        <v>19</v>
      </c>
      <c r="AG4" s="4" t="s">
        <v>20</v>
      </c>
      <c r="AH4" s="4" t="s">
        <v>21</v>
      </c>
      <c r="AI4" s="4" t="s">
        <v>22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44</v>
      </c>
      <c r="AT4" s="1" t="s">
        <v>75</v>
      </c>
      <c r="AU4" s="1" t="s">
        <v>76</v>
      </c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289</v>
      </c>
      <c r="BF4" s="1" t="s">
        <v>85</v>
      </c>
      <c r="BG4" s="1" t="s">
        <v>86</v>
      </c>
    </row>
    <row r="5" spans="2:59" x14ac:dyDescent="0.35">
      <c r="B5" s="3" t="s">
        <v>88</v>
      </c>
      <c r="D5" s="141">
        <v>22824513</v>
      </c>
      <c r="E5" s="141">
        <v>21450662</v>
      </c>
      <c r="F5" s="141">
        <v>24952352</v>
      </c>
      <c r="G5" s="141">
        <v>23012836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92240363</v>
      </c>
      <c r="R5" s="141">
        <v>16617374</v>
      </c>
      <c r="S5" s="141">
        <v>15526319</v>
      </c>
      <c r="T5" s="141">
        <v>17819978</v>
      </c>
      <c r="U5" s="141">
        <v>16232839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66196510</v>
      </c>
      <c r="AF5" s="2">
        <f t="shared" ref="AF5:AR24" si="2">+IFERROR(R5/D5,"")</f>
        <v>0.72804944403413996</v>
      </c>
      <c r="AG5" s="2">
        <f t="shared" si="2"/>
        <v>0.72381537688673669</v>
      </c>
      <c r="AH5" s="2">
        <f t="shared" si="2"/>
        <v>0.714160252308079</v>
      </c>
      <c r="AI5" s="2">
        <f t="shared" si="2"/>
        <v>0.70538194423320966</v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0.71765231452959477</v>
      </c>
      <c r="AT5" s="142">
        <f t="shared" ref="AT5:BD28" si="3">+IFERROR(AG5-AF5,"")</f>
        <v>-4.2340671474032643E-3</v>
      </c>
      <c r="AU5" s="142">
        <f t="shared" si="3"/>
        <v>-9.6551245786576922E-3</v>
      </c>
      <c r="AV5" s="142">
        <f t="shared" si="3"/>
        <v>-8.7783080748693454E-3</v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36" si="4">+AD5/$AD$256</f>
        <v>8.3717228363067664E-2</v>
      </c>
      <c r="BG5" s="9">
        <f>+BF5</f>
        <v>8.3717228363067664E-2</v>
      </c>
    </row>
    <row r="6" spans="2:59" x14ac:dyDescent="0.35">
      <c r="B6" s="3" t="s">
        <v>87</v>
      </c>
      <c r="D6" s="141">
        <v>11594720</v>
      </c>
      <c r="E6" s="141">
        <v>10824518</v>
      </c>
      <c r="F6" s="141">
        <v>11102648</v>
      </c>
      <c r="G6" s="141">
        <v>10571073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44092959</v>
      </c>
      <c r="R6" s="141">
        <v>8169004</v>
      </c>
      <c r="S6" s="141">
        <v>7744745</v>
      </c>
      <c r="T6" s="141">
        <v>7846609</v>
      </c>
      <c r="U6" s="141">
        <v>7545197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31305555</v>
      </c>
      <c r="AF6" s="2">
        <f t="shared" si="2"/>
        <v>0.7045451722853161</v>
      </c>
      <c r="AG6" s="2">
        <f t="shared" si="2"/>
        <v>0.71548174246650054</v>
      </c>
      <c r="AH6" s="2">
        <f t="shared" si="2"/>
        <v>0.70673311447863607</v>
      </c>
      <c r="AI6" s="2">
        <f t="shared" si="2"/>
        <v>0.7137588587270185</v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0.70998988750108605</v>
      </c>
      <c r="AT6" s="142">
        <f t="shared" si="3"/>
        <v>1.0936570181184435E-2</v>
      </c>
      <c r="AU6" s="142">
        <f t="shared" si="3"/>
        <v>-8.7486279878644657E-3</v>
      </c>
      <c r="AV6" s="142">
        <f t="shared" si="3"/>
        <v>7.0257442483824262E-3</v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3.9591427055105696E-2</v>
      </c>
      <c r="BG6" s="9">
        <f t="shared" ref="BG6:BG69" si="5">+BF6+BG5</f>
        <v>0.12330865541817336</v>
      </c>
    </row>
    <row r="7" spans="2:59" x14ac:dyDescent="0.35">
      <c r="B7" s="3" t="s">
        <v>89</v>
      </c>
      <c r="D7" s="141">
        <v>11293150</v>
      </c>
      <c r="E7" s="141">
        <v>10803912</v>
      </c>
      <c r="F7" s="141">
        <v>14917175</v>
      </c>
      <c r="G7" s="141">
        <v>15166571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52180808</v>
      </c>
      <c r="R7" s="141">
        <v>7189303</v>
      </c>
      <c r="S7" s="141">
        <v>7015893</v>
      </c>
      <c r="T7" s="141">
        <v>9695089</v>
      </c>
      <c r="U7" s="141">
        <v>9770496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33670781</v>
      </c>
      <c r="AF7" s="2">
        <f t="shared" si="2"/>
        <v>0.63660741245799446</v>
      </c>
      <c r="AG7" s="2">
        <f t="shared" si="2"/>
        <v>0.64938450072529286</v>
      </c>
      <c r="AH7" s="2">
        <f t="shared" si="2"/>
        <v>0.64992795217593147</v>
      </c>
      <c r="AI7" s="2">
        <f t="shared" si="2"/>
        <v>0.64421259096733208</v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0.64527136107206318</v>
      </c>
      <c r="AT7" s="142">
        <f t="shared" si="3"/>
        <v>1.2777088267298398E-2</v>
      </c>
      <c r="AU7" s="142">
        <f t="shared" si="3"/>
        <v>5.4345145063861011E-4</v>
      </c>
      <c r="AV7" s="142">
        <f t="shared" si="3"/>
        <v>-5.7153612085993899E-3</v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4.2582674859140454E-2</v>
      </c>
      <c r="BG7" s="9">
        <f t="shared" si="5"/>
        <v>0.16589133027731381</v>
      </c>
    </row>
    <row r="8" spans="2:59" x14ac:dyDescent="0.35">
      <c r="B8" s="3" t="s">
        <v>108</v>
      </c>
      <c r="D8" s="141">
        <v>13667034</v>
      </c>
      <c r="E8" s="141">
        <v>11627261</v>
      </c>
      <c r="F8" s="141">
        <v>12028165</v>
      </c>
      <c r="G8" s="141">
        <v>11509787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48832247</v>
      </c>
      <c r="R8" s="141">
        <v>8386037</v>
      </c>
      <c r="S8" s="141">
        <v>7369242</v>
      </c>
      <c r="T8" s="141">
        <v>7347851</v>
      </c>
      <c r="U8" s="141">
        <v>6853058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29956188</v>
      </c>
      <c r="AF8" s="2">
        <f t="shared" si="2"/>
        <v>0.61359597115219</v>
      </c>
      <c r="AG8" s="2">
        <f t="shared" si="2"/>
        <v>0.6337900215708584</v>
      </c>
      <c r="AH8" s="2">
        <f t="shared" si="2"/>
        <v>0.61088711370354498</v>
      </c>
      <c r="AI8" s="2">
        <f t="shared" si="2"/>
        <v>0.59541136599660793</v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0.61345094359471108</v>
      </c>
      <c r="AT8" s="142">
        <f t="shared" si="3"/>
        <v>2.0194050418668397E-2</v>
      </c>
      <c r="AU8" s="142">
        <f t="shared" si="3"/>
        <v>-2.2902907867313416E-2</v>
      </c>
      <c r="AV8" s="142">
        <f t="shared" si="3"/>
        <v>-1.5475747706937049E-2</v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3.788491314244493E-2</v>
      </c>
      <c r="BG8" s="9">
        <f t="shared" si="5"/>
        <v>0.20377624341975875</v>
      </c>
    </row>
    <row r="9" spans="2:59" x14ac:dyDescent="0.35">
      <c r="B9" s="3" t="s">
        <v>98</v>
      </c>
      <c r="D9" s="141">
        <v>10680600</v>
      </c>
      <c r="E9" s="141">
        <v>10407167</v>
      </c>
      <c r="F9" s="141">
        <v>12056023</v>
      </c>
      <c r="G9" s="141">
        <v>15178131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48321921</v>
      </c>
      <c r="R9" s="141">
        <v>7510774</v>
      </c>
      <c r="S9" s="141">
        <v>7455326</v>
      </c>
      <c r="T9" s="141">
        <v>8261665</v>
      </c>
      <c r="U9" s="141">
        <v>10561324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33789089</v>
      </c>
      <c r="AF9" s="2">
        <f t="shared" si="2"/>
        <v>0.70321648596520792</v>
      </c>
      <c r="AG9" s="2">
        <f t="shared" si="2"/>
        <v>0.71636459758933435</v>
      </c>
      <c r="AH9" s="2">
        <f t="shared" si="2"/>
        <v>0.68527283002031436</v>
      </c>
      <c r="AI9" s="2">
        <f t="shared" si="2"/>
        <v>0.69582506568167057</v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0.69924970491135896</v>
      </c>
      <c r="AT9" s="142">
        <f t="shared" si="3"/>
        <v>1.3148111624126435E-2</v>
      </c>
      <c r="AU9" s="142">
        <f t="shared" si="3"/>
        <v>-3.109176756901999E-2</v>
      </c>
      <c r="AV9" s="142">
        <f t="shared" si="3"/>
        <v>1.0552235661356213E-2</v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4.2732296309775507E-2</v>
      </c>
      <c r="BG9" s="9">
        <f t="shared" si="5"/>
        <v>0.24650853972953427</v>
      </c>
    </row>
    <row r="10" spans="2:59" x14ac:dyDescent="0.35">
      <c r="B10" s="3" t="s">
        <v>106</v>
      </c>
      <c r="D10" s="141">
        <v>2801541</v>
      </c>
      <c r="E10" s="141">
        <v>2558501</v>
      </c>
      <c r="F10" s="141">
        <v>3035097</v>
      </c>
      <c r="G10" s="141">
        <v>2791409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11186548</v>
      </c>
      <c r="R10" s="141">
        <v>1940989</v>
      </c>
      <c r="S10" s="141">
        <v>1730435</v>
      </c>
      <c r="T10" s="141">
        <v>2012124</v>
      </c>
      <c r="U10" s="141">
        <v>1866065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7549613</v>
      </c>
      <c r="AF10" s="2">
        <f t="shared" si="2"/>
        <v>0.69282905372436099</v>
      </c>
      <c r="AG10" s="2">
        <f t="shared" si="2"/>
        <v>0.67634720486722499</v>
      </c>
      <c r="AH10" s="2">
        <f t="shared" si="2"/>
        <v>0.66295212311171603</v>
      </c>
      <c r="AI10" s="2">
        <f t="shared" si="2"/>
        <v>0.66850289584937217</v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0.67488317218144511</v>
      </c>
      <c r="AT10" s="142">
        <f t="shared" si="3"/>
        <v>-1.6481848857135994E-2</v>
      </c>
      <c r="AU10" s="142">
        <f t="shared" si="3"/>
        <v>-1.3395081755508964E-2</v>
      </c>
      <c r="AV10" s="142">
        <f t="shared" si="3"/>
        <v>5.55077273765614E-3</v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9.5478247353793181E-3</v>
      </c>
      <c r="BG10" s="9">
        <f t="shared" si="5"/>
        <v>0.25605636446491359</v>
      </c>
    </row>
    <row r="11" spans="2:59" x14ac:dyDescent="0.35">
      <c r="B11" s="3" t="s">
        <v>152</v>
      </c>
      <c r="D11" s="141">
        <v>11205796</v>
      </c>
      <c r="E11" s="141">
        <v>11131335</v>
      </c>
      <c r="F11" s="141">
        <v>11619229</v>
      </c>
      <c r="G11" s="141">
        <v>12005576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45961936</v>
      </c>
      <c r="R11" s="141">
        <v>8407853</v>
      </c>
      <c r="S11" s="141">
        <v>8389246</v>
      </c>
      <c r="T11" s="141">
        <v>8760854</v>
      </c>
      <c r="U11" s="141">
        <v>8916725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34474678</v>
      </c>
      <c r="AF11" s="2">
        <f t="shared" si="2"/>
        <v>0.75031287380209311</v>
      </c>
      <c r="AG11" s="2">
        <f t="shared" si="2"/>
        <v>0.75366036508648782</v>
      </c>
      <c r="AH11" s="2">
        <f t="shared" si="2"/>
        <v>0.75399615585509161</v>
      </c>
      <c r="AI11" s="2">
        <f t="shared" si="2"/>
        <v>0.74271530162317911</v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0.75007018851425233</v>
      </c>
      <c r="AT11" s="142">
        <f t="shared" si="3"/>
        <v>3.3474912843947102E-3</v>
      </c>
      <c r="AU11" s="142">
        <f t="shared" si="3"/>
        <v>3.357907686037942E-4</v>
      </c>
      <c r="AV11" s="142">
        <f t="shared" si="3"/>
        <v>-1.1280854231912496E-2</v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4.359934520519624E-2</v>
      </c>
      <c r="BG11" s="9">
        <f t="shared" si="5"/>
        <v>0.29965570967010985</v>
      </c>
    </row>
    <row r="12" spans="2:59" x14ac:dyDescent="0.35">
      <c r="B12" s="3" t="s">
        <v>130</v>
      </c>
      <c r="D12" s="141">
        <v>5750366</v>
      </c>
      <c r="E12" s="141">
        <v>5722766</v>
      </c>
      <c r="F12" s="141">
        <v>10869781</v>
      </c>
      <c r="G12" s="141">
        <v>5866326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28209239</v>
      </c>
      <c r="R12" s="141">
        <v>4063947</v>
      </c>
      <c r="S12" s="141">
        <v>4215479</v>
      </c>
      <c r="T12" s="141">
        <v>7539490</v>
      </c>
      <c r="U12" s="141">
        <v>4215347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20034263</v>
      </c>
      <c r="AF12" s="2">
        <f t="shared" si="2"/>
        <v>0.70672840650490765</v>
      </c>
      <c r="AG12" s="2">
        <f t="shared" si="2"/>
        <v>0.73661565054381051</v>
      </c>
      <c r="AH12" s="2">
        <f t="shared" si="2"/>
        <v>0.69361931026945256</v>
      </c>
      <c r="AI12" s="2">
        <f t="shared" si="2"/>
        <v>0.71856678268476726</v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0.71020217879681191</v>
      </c>
      <c r="AT12" s="142">
        <f t="shared" si="3"/>
        <v>2.988724403890286E-2</v>
      </c>
      <c r="AU12" s="142">
        <f t="shared" si="3"/>
        <v>-4.2996340274357947E-2</v>
      </c>
      <c r="AV12" s="142">
        <f t="shared" si="3"/>
        <v>2.4947472415314698E-2</v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2.5336879099166362E-2</v>
      </c>
      <c r="BG12" s="9">
        <f t="shared" si="5"/>
        <v>0.32499258876927622</v>
      </c>
    </row>
    <row r="13" spans="2:59" x14ac:dyDescent="0.35">
      <c r="B13" s="3" t="s">
        <v>90</v>
      </c>
      <c r="D13" s="141">
        <v>9381784</v>
      </c>
      <c r="E13" s="141">
        <v>8582842</v>
      </c>
      <c r="F13" s="141">
        <v>9906444</v>
      </c>
      <c r="G13" s="141">
        <v>9274023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37145093</v>
      </c>
      <c r="R13" s="141">
        <v>6695619</v>
      </c>
      <c r="S13" s="141">
        <v>6049443</v>
      </c>
      <c r="T13" s="141">
        <v>7038018</v>
      </c>
      <c r="U13" s="141">
        <v>6610835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26393915</v>
      </c>
      <c r="AF13" s="2">
        <f t="shared" si="2"/>
        <v>0.71368292000753797</v>
      </c>
      <c r="AG13" s="2">
        <f t="shared" si="2"/>
        <v>0.70482982210321476</v>
      </c>
      <c r="AH13" s="2">
        <f t="shared" si="2"/>
        <v>0.71044847172204273</v>
      </c>
      <c r="AI13" s="2">
        <f t="shared" si="2"/>
        <v>0.71283357826479399</v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0.71056263070871839</v>
      </c>
      <c r="AT13" s="143">
        <f t="shared" si="3"/>
        <v>-8.8530979043232039E-3</v>
      </c>
      <c r="AU13" s="143">
        <f t="shared" si="3"/>
        <v>5.6186496188279644E-3</v>
      </c>
      <c r="AV13" s="143">
        <f t="shared" si="3"/>
        <v>2.3851065427512586E-3</v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3.3379787083192107E-2</v>
      </c>
      <c r="BG13" s="9">
        <f t="shared" si="5"/>
        <v>0.35837237585246834</v>
      </c>
    </row>
    <row r="14" spans="2:59" x14ac:dyDescent="0.35">
      <c r="B14" s="3" t="s">
        <v>194</v>
      </c>
      <c r="D14" s="141">
        <v>14752988</v>
      </c>
      <c r="E14" s="141">
        <v>12500624</v>
      </c>
      <c r="F14" s="141">
        <v>14005339</v>
      </c>
      <c r="G14" s="141">
        <v>15587483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56846434</v>
      </c>
      <c r="R14" s="141">
        <v>8814458</v>
      </c>
      <c r="S14" s="141">
        <v>7416840</v>
      </c>
      <c r="T14" s="141">
        <v>8087447</v>
      </c>
      <c r="U14" s="141">
        <v>9609066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33927811</v>
      </c>
      <c r="AF14" s="2">
        <f t="shared" si="2"/>
        <v>0.59746933977035699</v>
      </c>
      <c r="AG14" s="2">
        <f t="shared" si="2"/>
        <v>0.59331758158632719</v>
      </c>
      <c r="AH14" s="2">
        <f t="shared" si="2"/>
        <v>0.57745456928961159</v>
      </c>
      <c r="AI14" s="2">
        <f t="shared" si="2"/>
        <v>0.61646039966811828</v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0.59683270546046918</v>
      </c>
      <c r="AT14" s="143">
        <f t="shared" si="3"/>
        <v>-4.1517581840297968E-3</v>
      </c>
      <c r="AU14" s="143">
        <f t="shared" si="3"/>
        <v>-1.5863012296715606E-2</v>
      </c>
      <c r="AV14" s="143">
        <f t="shared" si="3"/>
        <v>3.900583037850669E-2</v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4.2907734884301288E-2</v>
      </c>
      <c r="BG14" s="9">
        <f t="shared" si="5"/>
        <v>0.40128011073676961</v>
      </c>
    </row>
    <row r="15" spans="2:59" x14ac:dyDescent="0.35">
      <c r="B15" s="3" t="s">
        <v>138</v>
      </c>
      <c r="D15" s="141">
        <v>20267911</v>
      </c>
      <c r="E15" s="141">
        <v>23703643</v>
      </c>
      <c r="F15" s="141">
        <v>19640393</v>
      </c>
      <c r="G15" s="141">
        <v>20382725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83994672</v>
      </c>
      <c r="R15" s="141">
        <v>16549859</v>
      </c>
      <c r="S15" s="141">
        <v>18517798</v>
      </c>
      <c r="T15" s="141">
        <v>15997509</v>
      </c>
      <c r="U15" s="141">
        <v>16404692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67469858</v>
      </c>
      <c r="AF15" s="2">
        <f t="shared" si="2"/>
        <v>0.81655475001839117</v>
      </c>
      <c r="AG15" s="2">
        <f t="shared" si="2"/>
        <v>0.78122160378470096</v>
      </c>
      <c r="AH15" s="2">
        <f t="shared" si="2"/>
        <v>0.81452081941537524</v>
      </c>
      <c r="AI15" s="2">
        <f t="shared" si="2"/>
        <v>0.80483311235372113</v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0.8032635450972414</v>
      </c>
      <c r="AT15" s="143">
        <f t="shared" si="3"/>
        <v>-3.5333146233690216E-2</v>
      </c>
      <c r="AU15" s="143">
        <f t="shared" si="3"/>
        <v>3.3299215630674284E-2</v>
      </c>
      <c r="AV15" s="143">
        <f t="shared" si="3"/>
        <v>-9.6877070616541161E-3</v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8.5327602766516658E-2</v>
      </c>
      <c r="BG15" s="9">
        <f t="shared" si="5"/>
        <v>0.48660771350328624</v>
      </c>
    </row>
    <row r="16" spans="2:59" x14ac:dyDescent="0.35">
      <c r="B16" s="3" t="s">
        <v>125</v>
      </c>
      <c r="D16" s="141">
        <v>8202705</v>
      </c>
      <c r="E16" s="141">
        <v>7285586</v>
      </c>
      <c r="F16" s="141">
        <v>6912822</v>
      </c>
      <c r="G16" s="141">
        <v>17918334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40319447</v>
      </c>
      <c r="R16" s="141">
        <v>6711119</v>
      </c>
      <c r="S16" s="141">
        <v>5976698</v>
      </c>
      <c r="T16" s="141">
        <v>5653644</v>
      </c>
      <c r="U16" s="141">
        <v>14101593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32443054</v>
      </c>
      <c r="AF16" s="2">
        <f t="shared" si="2"/>
        <v>0.81815925356330621</v>
      </c>
      <c r="AG16" s="2">
        <f t="shared" si="2"/>
        <v>0.82034554255484737</v>
      </c>
      <c r="AH16" s="2">
        <f t="shared" si="2"/>
        <v>0.81784891900876366</v>
      </c>
      <c r="AI16" s="2">
        <f t="shared" si="2"/>
        <v>0.78699241793349761</v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0.80465027211310713</v>
      </c>
      <c r="AT16" s="143">
        <f t="shared" si="3"/>
        <v>2.1862889915411632E-3</v>
      </c>
      <c r="AU16" s="143">
        <f t="shared" si="3"/>
        <v>-2.4966235460837094E-3</v>
      </c>
      <c r="AV16" s="143">
        <f t="shared" si="3"/>
        <v>-3.0856501075266052E-2</v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4.1029996302121299E-2</v>
      </c>
      <c r="BG16" s="9">
        <f t="shared" si="5"/>
        <v>0.52763770980540758</v>
      </c>
    </row>
    <row r="17" spans="2:59" x14ac:dyDescent="0.35">
      <c r="B17" s="3" t="s">
        <v>135</v>
      </c>
      <c r="D17" s="141">
        <v>12897595</v>
      </c>
      <c r="E17" s="141">
        <v>11906501</v>
      </c>
      <c r="F17" s="141">
        <v>15120174</v>
      </c>
      <c r="G17" s="141">
        <v>15747105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55671375</v>
      </c>
      <c r="R17" s="141">
        <v>9522102</v>
      </c>
      <c r="S17" s="141">
        <v>8941174</v>
      </c>
      <c r="T17" s="141">
        <v>11515282</v>
      </c>
      <c r="U17" s="141">
        <v>11958762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41937320</v>
      </c>
      <c r="AF17" s="2">
        <f t="shared" si="2"/>
        <v>0.7382850833818243</v>
      </c>
      <c r="AG17" s="2">
        <f t="shared" si="2"/>
        <v>0.75094891437879185</v>
      </c>
      <c r="AH17" s="2">
        <f t="shared" si="2"/>
        <v>0.76158396060786071</v>
      </c>
      <c r="AI17" s="2">
        <f t="shared" si="2"/>
        <v>0.75942606593402406</v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0.75330131508337994</v>
      </c>
      <c r="AT17" s="143">
        <f t="shared" si="3"/>
        <v>1.2663830996967551E-2</v>
      </c>
      <c r="AU17" s="143">
        <f t="shared" si="3"/>
        <v>1.0635046229068856E-2</v>
      </c>
      <c r="AV17" s="143">
        <f t="shared" si="3"/>
        <v>-2.1578946738366467E-3</v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5.3037179684775601E-2</v>
      </c>
      <c r="BG17" s="9">
        <f t="shared" si="5"/>
        <v>0.5806748894901832</v>
      </c>
    </row>
    <row r="18" spans="2:59" x14ac:dyDescent="0.35">
      <c r="B18" s="3" t="s">
        <v>95</v>
      </c>
      <c r="D18" s="141">
        <v>4370504</v>
      </c>
      <c r="E18" s="141">
        <v>3451182</v>
      </c>
      <c r="F18" s="141">
        <v>4319243</v>
      </c>
      <c r="G18" s="141">
        <v>5008642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17149571</v>
      </c>
      <c r="R18" s="141">
        <v>3254284</v>
      </c>
      <c r="S18" s="141">
        <v>2568868</v>
      </c>
      <c r="T18" s="141">
        <v>3255046</v>
      </c>
      <c r="U18" s="141">
        <v>3708360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12786558</v>
      </c>
      <c r="AF18" s="2">
        <f t="shared" si="2"/>
        <v>0.74460153794619566</v>
      </c>
      <c r="AG18" s="2">
        <f t="shared" si="2"/>
        <v>0.74434440142536673</v>
      </c>
      <c r="AH18" s="2">
        <f t="shared" si="2"/>
        <v>0.75361492743057057</v>
      </c>
      <c r="AI18" s="2">
        <f t="shared" si="2"/>
        <v>0.7403923059384161</v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0.74559054567604055</v>
      </c>
      <c r="AT18" s="143">
        <f t="shared" si="3"/>
        <v>-2.5713652082892668E-4</v>
      </c>
      <c r="AU18" s="143">
        <f t="shared" si="3"/>
        <v>9.2705260052038385E-3</v>
      </c>
      <c r="AV18" s="143">
        <f t="shared" si="3"/>
        <v>-1.3222621492154474E-2</v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1.617087058008964E-2</v>
      </c>
      <c r="BG18" s="9">
        <f t="shared" si="5"/>
        <v>0.59684576007027279</v>
      </c>
    </row>
    <row r="19" spans="2:59" x14ac:dyDescent="0.35">
      <c r="B19" s="3" t="s">
        <v>92</v>
      </c>
      <c r="D19" s="141">
        <v>3469449</v>
      </c>
      <c r="E19" s="141">
        <v>3137842</v>
      </c>
      <c r="F19" s="141">
        <v>3553324</v>
      </c>
      <c r="G19" s="141">
        <v>3148703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13309318</v>
      </c>
      <c r="R19" s="141">
        <v>2293676</v>
      </c>
      <c r="S19" s="141">
        <v>2121065</v>
      </c>
      <c r="T19" s="141">
        <v>2493313</v>
      </c>
      <c r="U19" s="141">
        <v>2225340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9133394</v>
      </c>
      <c r="AF19" s="2">
        <f t="shared" si="2"/>
        <v>0.66110670599279597</v>
      </c>
      <c r="AG19" s="2">
        <f t="shared" si="2"/>
        <v>0.67596297072956513</v>
      </c>
      <c r="AH19" s="2">
        <f t="shared" si="2"/>
        <v>0.70168467609483398</v>
      </c>
      <c r="AI19" s="2">
        <f t="shared" si="2"/>
        <v>0.70674814360071436</v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0.68624057220662993</v>
      </c>
      <c r="AT19" s="143">
        <f t="shared" si="3"/>
        <v>1.4856264736769154E-2</v>
      </c>
      <c r="AU19" s="143">
        <f t="shared" si="3"/>
        <v>2.5721705365268854E-2</v>
      </c>
      <c r="AV19" s="143">
        <f t="shared" si="3"/>
        <v>5.0634675058803813E-3</v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1.1550796729735026E-2</v>
      </c>
      <c r="BG19" s="9">
        <f t="shared" si="5"/>
        <v>0.60839655680000782</v>
      </c>
    </row>
    <row r="20" spans="2:59" x14ac:dyDescent="0.35">
      <c r="B20" s="3" t="s">
        <v>97</v>
      </c>
      <c r="D20" s="141">
        <v>4356962</v>
      </c>
      <c r="E20" s="141">
        <v>3828941</v>
      </c>
      <c r="F20" s="141">
        <v>3072771</v>
      </c>
      <c r="G20" s="141">
        <v>3036649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14295323</v>
      </c>
      <c r="R20" s="141">
        <v>2980589</v>
      </c>
      <c r="S20" s="141">
        <v>2663025</v>
      </c>
      <c r="T20" s="141">
        <v>2223602</v>
      </c>
      <c r="U20" s="141">
        <v>2082894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9950110</v>
      </c>
      <c r="AF20" s="2">
        <f t="shared" si="2"/>
        <v>0.68409800223183037</v>
      </c>
      <c r="AG20" s="2">
        <f t="shared" si="2"/>
        <v>0.69549909491945683</v>
      </c>
      <c r="AH20" s="2">
        <f t="shared" si="2"/>
        <v>0.72364715756559794</v>
      </c>
      <c r="AI20" s="2">
        <f t="shared" si="2"/>
        <v>0.68591858986665899</v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0.69603953684712128</v>
      </c>
      <c r="AT20" s="143">
        <f t="shared" si="3"/>
        <v>1.1401092687626457E-2</v>
      </c>
      <c r="AU20" s="143">
        <f t="shared" si="3"/>
        <v>2.8148062646141114E-2</v>
      </c>
      <c r="AV20" s="143">
        <f t="shared" si="3"/>
        <v>-3.7728567698938953E-2</v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1.258367897503423E-2</v>
      </c>
      <c r="BG20" s="9">
        <f t="shared" si="5"/>
        <v>0.62098023577504202</v>
      </c>
    </row>
    <row r="21" spans="2:59" x14ac:dyDescent="0.35">
      <c r="B21" s="3" t="s">
        <v>91</v>
      </c>
      <c r="D21" s="141">
        <v>20655372</v>
      </c>
      <c r="E21" s="141">
        <v>18547507</v>
      </c>
      <c r="F21" s="141">
        <v>22762500</v>
      </c>
      <c r="G21" s="141">
        <v>19082222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81047601</v>
      </c>
      <c r="R21" s="141">
        <v>14701070</v>
      </c>
      <c r="S21" s="141">
        <v>13242779</v>
      </c>
      <c r="T21" s="141">
        <v>16411646</v>
      </c>
      <c r="U21" s="141">
        <v>13705742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58061237</v>
      </c>
      <c r="AF21" s="2">
        <f t="shared" si="2"/>
        <v>0.71173106928309016</v>
      </c>
      <c r="AG21" s="2">
        <f t="shared" si="2"/>
        <v>0.71399239800799108</v>
      </c>
      <c r="AH21" s="2">
        <f t="shared" si="2"/>
        <v>0.72099488193300387</v>
      </c>
      <c r="AI21" s="2">
        <f t="shared" si="2"/>
        <v>0.71824664863452481</v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0.71638439982942859</v>
      </c>
      <c r="AT21" s="143">
        <f t="shared" si="3"/>
        <v>2.261328724900924E-3</v>
      </c>
      <c r="AU21" s="143">
        <f t="shared" si="3"/>
        <v>7.0024839250127924E-3</v>
      </c>
      <c r="AV21" s="143">
        <f t="shared" si="3"/>
        <v>-2.7482332984790636E-3</v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7.342873267746583E-2</v>
      </c>
      <c r="BG21" s="9">
        <f t="shared" si="5"/>
        <v>0.69440896845250788</v>
      </c>
    </row>
    <row r="22" spans="2:59" x14ac:dyDescent="0.35">
      <c r="B22" s="3" t="s">
        <v>93</v>
      </c>
      <c r="D22" s="141">
        <v>4757910</v>
      </c>
      <c r="E22" s="141">
        <v>4606561</v>
      </c>
      <c r="F22" s="141">
        <v>5145138</v>
      </c>
      <c r="G22" s="141">
        <v>4552346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19061955</v>
      </c>
      <c r="R22" s="141">
        <v>3606582</v>
      </c>
      <c r="S22" s="141">
        <v>3523830</v>
      </c>
      <c r="T22" s="141">
        <v>3901579</v>
      </c>
      <c r="U22" s="141">
        <v>3459450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14491441</v>
      </c>
      <c r="AF22" s="2">
        <f t="shared" si="2"/>
        <v>0.75801812140204416</v>
      </c>
      <c r="AG22" s="2">
        <f t="shared" si="2"/>
        <v>0.76495893574403984</v>
      </c>
      <c r="AH22" s="2">
        <f t="shared" si="2"/>
        <v>0.75830405326348871</v>
      </c>
      <c r="AI22" s="2">
        <f t="shared" si="2"/>
        <v>0.75992685968948759</v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0.76022847604036414</v>
      </c>
      <c r="AT22" s="143">
        <f t="shared" si="3"/>
        <v>6.9408143419956714E-3</v>
      </c>
      <c r="AU22" s="143">
        <f t="shared" si="3"/>
        <v>-6.6548824805511275E-3</v>
      </c>
      <c r="AV22" s="143">
        <f t="shared" si="3"/>
        <v>1.6228064259988795E-3</v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1.8326997533660332E-2</v>
      </c>
      <c r="BG22" s="9">
        <f t="shared" si="5"/>
        <v>0.71273596598616817</v>
      </c>
    </row>
    <row r="23" spans="2:59" x14ac:dyDescent="0.35">
      <c r="B23" s="3" t="s">
        <v>94</v>
      </c>
      <c r="D23" s="141">
        <v>5306663</v>
      </c>
      <c r="E23" s="141">
        <v>4638874</v>
      </c>
      <c r="F23" s="141">
        <v>5258572</v>
      </c>
      <c r="G23" s="141">
        <v>4753086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19957195</v>
      </c>
      <c r="R23" s="141">
        <v>3578043</v>
      </c>
      <c r="S23" s="141">
        <v>3081373</v>
      </c>
      <c r="T23" s="141">
        <v>3435642</v>
      </c>
      <c r="U23" s="141">
        <v>3216310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13311368</v>
      </c>
      <c r="AF23" s="2">
        <f t="shared" si="2"/>
        <v>0.67425480005042715</v>
      </c>
      <c r="AG23" s="2">
        <f t="shared" si="2"/>
        <v>0.66425020382101341</v>
      </c>
      <c r="AH23" s="2">
        <f t="shared" si="2"/>
        <v>0.65334124929733772</v>
      </c>
      <c r="AI23" s="2">
        <f t="shared" si="2"/>
        <v>0.67667826755080807</v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0.66699593805642532</v>
      </c>
      <c r="AT23" s="143">
        <f t="shared" si="3"/>
        <v>-1.0004596229413742E-2</v>
      </c>
      <c r="AU23" s="143">
        <f t="shared" si="3"/>
        <v>-1.0908954523675685E-2</v>
      </c>
      <c r="AV23" s="143">
        <f t="shared" si="3"/>
        <v>2.3337018253470343E-2</v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1.6834585912170161E-2</v>
      </c>
      <c r="BG23" s="9">
        <f t="shared" si="5"/>
        <v>0.7295705518983383</v>
      </c>
    </row>
    <row r="24" spans="2:59" x14ac:dyDescent="0.35">
      <c r="B24" s="3" t="s">
        <v>101</v>
      </c>
      <c r="D24" s="141">
        <v>3771780</v>
      </c>
      <c r="E24" s="141">
        <v>3207294</v>
      </c>
      <c r="F24" s="141">
        <v>3942889</v>
      </c>
      <c r="G24" s="141">
        <v>4013547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14935510</v>
      </c>
      <c r="R24" s="141">
        <v>2742359</v>
      </c>
      <c r="S24" s="141">
        <v>2558261</v>
      </c>
      <c r="T24" s="141">
        <v>3086982</v>
      </c>
      <c r="U24" s="141">
        <v>3233634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11621236</v>
      </c>
      <c r="AF24" s="2">
        <f t="shared" si="2"/>
        <v>0.7270728939651836</v>
      </c>
      <c r="AG24" s="2">
        <f t="shared" si="2"/>
        <v>0.79763844536858797</v>
      </c>
      <c r="AH24" s="2">
        <f t="shared" si="2"/>
        <v>0.78292389159319475</v>
      </c>
      <c r="AI24" s="2">
        <f t="shared" si="2"/>
        <v>0.8056798637215411</v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7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0.7780943536578262</v>
      </c>
      <c r="AT24" s="143">
        <f t="shared" si="3"/>
        <v>7.056555140340437E-2</v>
      </c>
      <c r="AU24" s="143">
        <f t="shared" si="3"/>
        <v>-1.4714553775393213E-2</v>
      </c>
      <c r="AV24" s="143">
        <f t="shared" si="3"/>
        <v>2.2755972128346347E-2</v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1.4697114214527367E-2</v>
      </c>
      <c r="BG24" s="9">
        <f t="shared" si="5"/>
        <v>0.74426766611286566</v>
      </c>
    </row>
    <row r="25" spans="2:59" x14ac:dyDescent="0.35">
      <c r="B25" s="3" t="s">
        <v>104</v>
      </c>
      <c r="D25" s="141">
        <v>2131307</v>
      </c>
      <c r="E25" s="141">
        <v>2138814</v>
      </c>
      <c r="F25" s="141">
        <v>2412285</v>
      </c>
      <c r="G25" s="141">
        <v>2283372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8965778</v>
      </c>
      <c r="R25" s="141">
        <v>1518558</v>
      </c>
      <c r="S25" s="141">
        <v>1537913</v>
      </c>
      <c r="T25" s="141">
        <v>1683741</v>
      </c>
      <c r="U25" s="141">
        <v>1624601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6364813</v>
      </c>
      <c r="AF25" s="2">
        <f t="shared" ref="AF25:AM56" si="7">+IFERROR(R25/D25,"")</f>
        <v>0.71250082695735528</v>
      </c>
      <c r="AG25" s="2">
        <f t="shared" si="7"/>
        <v>0.71904943580881742</v>
      </c>
      <c r="AH25" s="2">
        <f t="shared" si="7"/>
        <v>0.69798593449778945</v>
      </c>
      <c r="AI25" s="2">
        <f t="shared" si="7"/>
        <v>0.71149203896693136</v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0.70990080280818912</v>
      </c>
      <c r="AT25" s="143">
        <f t="shared" si="3"/>
        <v>6.5486088514621343E-3</v>
      </c>
      <c r="AU25" s="143">
        <f t="shared" si="3"/>
        <v>-2.1063501311027966E-2</v>
      </c>
      <c r="AV25" s="143">
        <f t="shared" si="3"/>
        <v>1.3506104469141911E-2</v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8.0494349839473674E-3</v>
      </c>
      <c r="BG25" s="9">
        <f t="shared" si="5"/>
        <v>0.75231710109681305</v>
      </c>
    </row>
    <row r="26" spans="2:59" x14ac:dyDescent="0.35">
      <c r="B26" s="3" t="s">
        <v>121</v>
      </c>
      <c r="D26" s="141">
        <v>1095604</v>
      </c>
      <c r="E26" s="141">
        <v>978754</v>
      </c>
      <c r="F26" s="141">
        <v>1087493</v>
      </c>
      <c r="G26" s="141">
        <v>1038547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4200398</v>
      </c>
      <c r="R26" s="141">
        <v>717657</v>
      </c>
      <c r="S26" s="141">
        <v>703289</v>
      </c>
      <c r="T26" s="141">
        <v>703113</v>
      </c>
      <c r="U26" s="141">
        <v>737129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2861188</v>
      </c>
      <c r="AF26" s="2">
        <f t="shared" si="7"/>
        <v>0.65503320542823862</v>
      </c>
      <c r="AG26" s="2">
        <f t="shared" si="7"/>
        <v>0.71855542863681787</v>
      </c>
      <c r="AH26" s="2">
        <f t="shared" si="7"/>
        <v>0.64654485132318096</v>
      </c>
      <c r="AI26" s="2">
        <f t="shared" si="7"/>
        <v>0.70976951452365666</v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0.68117068906327449</v>
      </c>
      <c r="AT26" s="143">
        <f t="shared" si="3"/>
        <v>6.3522223208579254E-2</v>
      </c>
      <c r="AU26" s="143">
        <f t="shared" si="3"/>
        <v>-7.2010577313636914E-2</v>
      </c>
      <c r="AV26" s="143">
        <f t="shared" si="3"/>
        <v>6.3224663200475706E-2</v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3.6184797232613748E-3</v>
      </c>
      <c r="BG26" s="9">
        <f t="shared" si="5"/>
        <v>0.75593558082007439</v>
      </c>
    </row>
    <row r="27" spans="2:59" x14ac:dyDescent="0.35">
      <c r="B27" s="3" t="s">
        <v>96</v>
      </c>
      <c r="D27" s="141">
        <v>4768141</v>
      </c>
      <c r="E27" s="141">
        <v>4569043</v>
      </c>
      <c r="F27" s="141">
        <v>5088940</v>
      </c>
      <c r="G27" s="141">
        <v>5221518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19647642</v>
      </c>
      <c r="R27" s="141">
        <v>3379612</v>
      </c>
      <c r="S27" s="141">
        <v>3197676</v>
      </c>
      <c r="T27" s="141">
        <v>3538234</v>
      </c>
      <c r="U27" s="141">
        <v>3592330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13707852</v>
      </c>
      <c r="AF27" s="2">
        <f t="shared" si="7"/>
        <v>0.70879028115989018</v>
      </c>
      <c r="AG27" s="2">
        <f t="shared" si="7"/>
        <v>0.699856840918328</v>
      </c>
      <c r="AH27" s="2">
        <f t="shared" si="7"/>
        <v>0.69527917405196371</v>
      </c>
      <c r="AI27" s="2">
        <f t="shared" si="7"/>
        <v>0.687985754334276</v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0.69768433280695974</v>
      </c>
      <c r="AT27" s="143">
        <f t="shared" si="3"/>
        <v>-8.9334402415621739E-3</v>
      </c>
      <c r="AU27" s="143">
        <f t="shared" si="3"/>
        <v>-4.5776668663642939E-3</v>
      </c>
      <c r="AV27" s="143">
        <f t="shared" si="3"/>
        <v>-7.2934197176877102E-3</v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1.733601025569375E-2</v>
      </c>
      <c r="BG27" s="9">
        <f t="shared" si="5"/>
        <v>0.77327159107576815</v>
      </c>
    </row>
    <row r="28" spans="2:59" x14ac:dyDescent="0.35">
      <c r="B28" s="3" t="s">
        <v>102</v>
      </c>
      <c r="D28" s="141">
        <v>719724</v>
      </c>
      <c r="E28" s="141">
        <v>721628</v>
      </c>
      <c r="F28" s="141">
        <v>718757</v>
      </c>
      <c r="G28" s="141">
        <v>937457</v>
      </c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3097566</v>
      </c>
      <c r="R28" s="141">
        <v>568336</v>
      </c>
      <c r="S28" s="141">
        <v>515702</v>
      </c>
      <c r="T28" s="141">
        <v>536907</v>
      </c>
      <c r="U28" s="141">
        <v>713541</v>
      </c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2334486</v>
      </c>
      <c r="AF28" s="2">
        <f t="shared" si="7"/>
        <v>0.78965825788774591</v>
      </c>
      <c r="AG28" s="2">
        <f t="shared" si="7"/>
        <v>0.71463690433298044</v>
      </c>
      <c r="AH28" s="2">
        <f t="shared" si="7"/>
        <v>0.74699376840851639</v>
      </c>
      <c r="AI28" s="2">
        <f t="shared" si="7"/>
        <v>0.76114531119827367</v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0.75365173817119635</v>
      </c>
      <c r="AT28" s="143">
        <f t="shared" si="3"/>
        <v>-7.5021353554765469E-2</v>
      </c>
      <c r="AU28" s="143">
        <f t="shared" si="3"/>
        <v>3.2356864075535952E-2</v>
      </c>
      <c r="AV28" s="143">
        <f t="shared" ref="AV28:BD56" si="8">+IFERROR(AI28-AH28,"")</f>
        <v>1.4151542789757277E-2</v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2.952371621591295E-3</v>
      </c>
      <c r="BG28" s="9">
        <f t="shared" si="5"/>
        <v>0.77622396269735949</v>
      </c>
    </row>
    <row r="29" spans="2:59" x14ac:dyDescent="0.35">
      <c r="B29" s="3" t="s">
        <v>105</v>
      </c>
      <c r="D29" s="141">
        <v>3060451</v>
      </c>
      <c r="E29" s="141">
        <v>2979252</v>
      </c>
      <c r="F29" s="141">
        <v>3468250</v>
      </c>
      <c r="G29" s="141">
        <v>3906742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13414695</v>
      </c>
      <c r="R29" s="141">
        <v>2849056</v>
      </c>
      <c r="S29" s="141">
        <v>2790093</v>
      </c>
      <c r="T29" s="141">
        <v>3258597</v>
      </c>
      <c r="U29" s="141">
        <v>3735946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12633692</v>
      </c>
      <c r="AF29" s="2">
        <f t="shared" si="7"/>
        <v>0.93092684705620188</v>
      </c>
      <c r="AG29" s="2">
        <f t="shared" si="7"/>
        <v>0.93650788855726197</v>
      </c>
      <c r="AH29" s="2">
        <f t="shared" si="7"/>
        <v>0.93955078209471632</v>
      </c>
      <c r="AI29" s="2">
        <f t="shared" si="7"/>
        <v>0.95628173040349218</v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0.94178004047054364</v>
      </c>
      <c r="AT29" s="143">
        <f t="shared" ref="AT29:AU45" si="9">+IFERROR(AG29-AF29,"")</f>
        <v>5.5810415010600911E-3</v>
      </c>
      <c r="AU29" s="143">
        <f t="shared" si="9"/>
        <v>3.0428935374543498E-3</v>
      </c>
      <c r="AV29" s="143">
        <f t="shared" si="8"/>
        <v>1.6730948308775861E-2</v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1.5977544408801326E-2</v>
      </c>
      <c r="BG29" s="9">
        <f t="shared" si="5"/>
        <v>0.79220150710616077</v>
      </c>
    </row>
    <row r="30" spans="2:59" x14ac:dyDescent="0.35">
      <c r="B30" s="3" t="s">
        <v>99</v>
      </c>
      <c r="D30" s="141">
        <v>2455741</v>
      </c>
      <c r="E30" s="141">
        <v>2471768</v>
      </c>
      <c r="F30" s="141">
        <v>2766460</v>
      </c>
      <c r="G30" s="141">
        <v>2351354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10045323</v>
      </c>
      <c r="R30" s="141">
        <v>1669629</v>
      </c>
      <c r="S30" s="141">
        <v>1659085</v>
      </c>
      <c r="T30" s="141">
        <v>1863000</v>
      </c>
      <c r="U30" s="141">
        <v>1560367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6752081</v>
      </c>
      <c r="AF30" s="2">
        <f t="shared" si="7"/>
        <v>0.6798880663718202</v>
      </c>
      <c r="AG30" s="2">
        <f t="shared" si="7"/>
        <v>0.67121388415093974</v>
      </c>
      <c r="AH30" s="2">
        <f t="shared" si="7"/>
        <v>0.67342379792225449</v>
      </c>
      <c r="AI30" s="2">
        <f t="shared" si="7"/>
        <v>0.66360360881432567</v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0.67216166170067404</v>
      </c>
      <c r="AT30" s="143">
        <f t="shared" si="9"/>
        <v>-8.6741822208804553E-3</v>
      </c>
      <c r="AU30" s="143">
        <f t="shared" si="9"/>
        <v>2.2099137713147421E-3</v>
      </c>
      <c r="AV30" s="143">
        <f t="shared" si="8"/>
        <v>-9.8201891079288117E-3</v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8.5392040608021514E-3</v>
      </c>
      <c r="BG30" s="9">
        <f t="shared" si="5"/>
        <v>0.80074071116696288</v>
      </c>
    </row>
    <row r="31" spans="2:59" x14ac:dyDescent="0.35">
      <c r="B31" s="3" t="s">
        <v>117</v>
      </c>
      <c r="D31" s="141">
        <v>605375</v>
      </c>
      <c r="E31" s="141">
        <v>642743</v>
      </c>
      <c r="F31" s="141">
        <v>652539</v>
      </c>
      <c r="G31" s="141">
        <v>613982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2514639</v>
      </c>
      <c r="R31" s="141">
        <v>498213</v>
      </c>
      <c r="S31" s="141">
        <v>515736</v>
      </c>
      <c r="T31" s="141">
        <v>543578</v>
      </c>
      <c r="U31" s="141">
        <v>465215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2022742</v>
      </c>
      <c r="AF31" s="2">
        <f t="shared" si="7"/>
        <v>0.8229824488953128</v>
      </c>
      <c r="AG31" s="2">
        <f t="shared" si="7"/>
        <v>0.80239847030617217</v>
      </c>
      <c r="AH31" s="2">
        <f t="shared" si="7"/>
        <v>0.83301994210307739</v>
      </c>
      <c r="AI31" s="2">
        <f t="shared" si="7"/>
        <v>0.75770136583808645</v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0.80438663362812712</v>
      </c>
      <c r="AT31" s="143">
        <f t="shared" si="9"/>
        <v>-2.0583978589140628E-2</v>
      </c>
      <c r="AU31" s="143">
        <f t="shared" si="9"/>
        <v>3.062147179690522E-2</v>
      </c>
      <c r="AV31" s="143">
        <f t="shared" si="8"/>
        <v>-7.5318576264990944E-2</v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2.5581160386486872E-3</v>
      </c>
      <c r="BG31" s="9">
        <f t="shared" si="5"/>
        <v>0.80329882720561152</v>
      </c>
    </row>
    <row r="32" spans="2:59" x14ac:dyDescent="0.35">
      <c r="B32" s="3" t="s">
        <v>212</v>
      </c>
      <c r="D32" s="141">
        <v>700561</v>
      </c>
      <c r="E32" s="141">
        <v>3123117</v>
      </c>
      <c r="F32" s="141">
        <v>2846366</v>
      </c>
      <c r="G32" s="141">
        <v>2353867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9023911</v>
      </c>
      <c r="R32" s="141">
        <v>567792</v>
      </c>
      <c r="S32" s="141">
        <v>2766179</v>
      </c>
      <c r="T32" s="141">
        <v>2586334</v>
      </c>
      <c r="U32" s="141">
        <v>1940772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7861077</v>
      </c>
      <c r="AF32" s="2">
        <f t="shared" si="7"/>
        <v>0.81048188523197839</v>
      </c>
      <c r="AG32" s="2">
        <f t="shared" si="7"/>
        <v>0.88571097400449617</v>
      </c>
      <c r="AH32" s="2">
        <f t="shared" si="7"/>
        <v>0.90864421511499227</v>
      </c>
      <c r="AI32" s="2">
        <f t="shared" si="7"/>
        <v>0.82450367841513561</v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0.87113857838358555</v>
      </c>
      <c r="AT32" s="143">
        <f t="shared" si="9"/>
        <v>7.5229088772517771E-2</v>
      </c>
      <c r="AU32" s="143">
        <f t="shared" si="9"/>
        <v>2.2933241110496105E-2</v>
      </c>
      <c r="AV32" s="143">
        <f t="shared" si="8"/>
        <v>-8.4140536699856661E-2</v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9.9417262086575094E-3</v>
      </c>
      <c r="BG32" s="9">
        <f t="shared" si="5"/>
        <v>0.81324055341426904</v>
      </c>
    </row>
    <row r="33" spans="2:59" x14ac:dyDescent="0.35">
      <c r="B33" s="3" t="s">
        <v>132</v>
      </c>
      <c r="D33" s="141">
        <v>241270</v>
      </c>
      <c r="E33" s="141">
        <v>430329</v>
      </c>
      <c r="F33" s="141">
        <v>779176</v>
      </c>
      <c r="G33" s="141">
        <v>757690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2208465</v>
      </c>
      <c r="R33" s="141">
        <v>205258</v>
      </c>
      <c r="S33" s="141">
        <v>362292</v>
      </c>
      <c r="T33" s="141">
        <v>536213</v>
      </c>
      <c r="U33" s="141">
        <v>530049</v>
      </c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1633812</v>
      </c>
      <c r="AF33" s="2">
        <f t="shared" si="7"/>
        <v>0.85073983503958217</v>
      </c>
      <c r="AG33" s="2">
        <f t="shared" si="7"/>
        <v>0.84189538701783984</v>
      </c>
      <c r="AH33" s="2">
        <f t="shared" si="7"/>
        <v>0.68817956405228087</v>
      </c>
      <c r="AI33" s="2">
        <f t="shared" si="7"/>
        <v>0.69955918647467963</v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0.7397952876771875</v>
      </c>
      <c r="AT33" s="143">
        <f t="shared" si="9"/>
        <v>-8.8444480217423349E-3</v>
      </c>
      <c r="AU33" s="143">
        <f t="shared" si="9"/>
        <v>-0.15371582296555897</v>
      </c>
      <c r="AV33" s="143">
        <f t="shared" si="8"/>
        <v>1.1379622422398761E-2</v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2.0662450680001151E-3</v>
      </c>
      <c r="BG33" s="9">
        <f t="shared" si="5"/>
        <v>0.81530679848226917</v>
      </c>
    </row>
    <row r="34" spans="2:59" x14ac:dyDescent="0.35">
      <c r="B34" s="3" t="s">
        <v>114</v>
      </c>
      <c r="D34" s="141">
        <v>271409</v>
      </c>
      <c r="E34" s="141">
        <v>154481</v>
      </c>
      <c r="F34" s="141">
        <v>192564</v>
      </c>
      <c r="G34" s="141">
        <v>164265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782719</v>
      </c>
      <c r="R34" s="141">
        <v>235447</v>
      </c>
      <c r="S34" s="141">
        <v>109772</v>
      </c>
      <c r="T34" s="141">
        <v>146842</v>
      </c>
      <c r="U34" s="141">
        <v>122191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614252</v>
      </c>
      <c r="AF34" s="2">
        <f t="shared" si="7"/>
        <v>0.8674988670235696</v>
      </c>
      <c r="AG34" s="2">
        <f t="shared" si="7"/>
        <v>0.71058576782905336</v>
      </c>
      <c r="AH34" s="2">
        <f t="shared" si="7"/>
        <v>0.76256205729004378</v>
      </c>
      <c r="AI34" s="2">
        <f t="shared" si="7"/>
        <v>0.74386509603384776</v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0.78476694701419025</v>
      </c>
      <c r="AT34" s="143">
        <f t="shared" si="9"/>
        <v>-0.15691309919451624</v>
      </c>
      <c r="AU34" s="143">
        <f t="shared" si="9"/>
        <v>5.1976289460990421E-2</v>
      </c>
      <c r="AV34" s="143">
        <f t="shared" si="8"/>
        <v>-1.8696961256196021E-2</v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7.7683060566895504E-4</v>
      </c>
      <c r="BG34" s="9">
        <f t="shared" si="5"/>
        <v>0.81608362908793808</v>
      </c>
    </row>
    <row r="35" spans="2:59" x14ac:dyDescent="0.35">
      <c r="B35" s="3" t="s">
        <v>113</v>
      </c>
      <c r="D35" s="141">
        <v>2386880</v>
      </c>
      <c r="E35" s="141">
        <v>3007601</v>
      </c>
      <c r="F35" s="141">
        <v>3148488</v>
      </c>
      <c r="G35" s="141">
        <v>2925850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11468819</v>
      </c>
      <c r="R35" s="141">
        <v>1464736</v>
      </c>
      <c r="S35" s="141">
        <v>2064421</v>
      </c>
      <c r="T35" s="141">
        <v>2127640</v>
      </c>
      <c r="U35" s="141">
        <v>1997483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7654280</v>
      </c>
      <c r="AF35" s="2">
        <f t="shared" si="7"/>
        <v>0.61366134870626088</v>
      </c>
      <c r="AG35" s="2">
        <f t="shared" si="7"/>
        <v>0.68640122143861504</v>
      </c>
      <c r="AH35" s="2">
        <f t="shared" si="7"/>
        <v>0.67576563734719652</v>
      </c>
      <c r="AI35" s="2">
        <f t="shared" si="7"/>
        <v>0.68270177897021378</v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0.66739914545691237</v>
      </c>
      <c r="AT35" s="143">
        <f t="shared" si="9"/>
        <v>7.2739872732354161E-2</v>
      </c>
      <c r="AU35" s="143">
        <f t="shared" si="9"/>
        <v>-1.0635584091418515E-2</v>
      </c>
      <c r="AV35" s="143">
        <f t="shared" si="8"/>
        <v>6.9361416230172557E-3</v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9.6801947219704119E-3</v>
      </c>
      <c r="BG35" s="9">
        <f t="shared" si="5"/>
        <v>0.82576382380990854</v>
      </c>
    </row>
    <row r="36" spans="2:59" x14ac:dyDescent="0.35">
      <c r="B36" s="3" t="s">
        <v>107</v>
      </c>
      <c r="D36" s="141">
        <v>501324</v>
      </c>
      <c r="E36" s="141">
        <v>495292</v>
      </c>
      <c r="F36" s="141">
        <v>489344</v>
      </c>
      <c r="G36" s="141">
        <v>414153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1900113</v>
      </c>
      <c r="R36" s="141">
        <v>336190</v>
      </c>
      <c r="S36" s="141">
        <v>346770</v>
      </c>
      <c r="T36" s="141">
        <v>358864</v>
      </c>
      <c r="U36" s="141">
        <v>328164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1369988</v>
      </c>
      <c r="AF36" s="2">
        <f t="shared" si="7"/>
        <v>0.6706042399725527</v>
      </c>
      <c r="AG36" s="2">
        <f t="shared" si="7"/>
        <v>0.70013244712210176</v>
      </c>
      <c r="AH36" s="2">
        <f t="shared" si="7"/>
        <v>0.73335731101229396</v>
      </c>
      <c r="AI36" s="2">
        <f t="shared" si="7"/>
        <v>0.79237383285887097</v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0.72100343505886233</v>
      </c>
      <c r="AT36" s="143">
        <f t="shared" si="9"/>
        <v>2.9528207149549068E-2</v>
      </c>
      <c r="AU36" s="143">
        <f t="shared" si="9"/>
        <v>3.3224863890192191E-2</v>
      </c>
      <c r="AV36" s="143">
        <f t="shared" si="8"/>
        <v>5.9016521846577019E-2</v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1.7325928247676856E-3</v>
      </c>
      <c r="BG36" s="9">
        <f t="shared" si="5"/>
        <v>0.82749641663467621</v>
      </c>
    </row>
    <row r="37" spans="2:59" x14ac:dyDescent="0.35">
      <c r="B37" s="3" t="s">
        <v>103</v>
      </c>
      <c r="D37" s="141">
        <v>2108410</v>
      </c>
      <c r="E37" s="141">
        <v>1991914</v>
      </c>
      <c r="F37" s="141">
        <v>2159280</v>
      </c>
      <c r="G37" s="141">
        <v>2076208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8335812</v>
      </c>
      <c r="R37" s="141">
        <v>1557866</v>
      </c>
      <c r="S37" s="141">
        <v>1462826</v>
      </c>
      <c r="T37" s="141">
        <v>1577754</v>
      </c>
      <c r="U37" s="141">
        <v>1525488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6123934</v>
      </c>
      <c r="AF37" s="2">
        <f t="shared" si="7"/>
        <v>0.73888190627060202</v>
      </c>
      <c r="AG37" s="2">
        <f t="shared" si="7"/>
        <v>0.73438210685802696</v>
      </c>
      <c r="AH37" s="2">
        <f t="shared" si="7"/>
        <v>0.73068522840946981</v>
      </c>
      <c r="AI37" s="2">
        <f t="shared" si="7"/>
        <v>0.73474719295947222</v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0.73465356464373233</v>
      </c>
      <c r="AT37" s="143">
        <f t="shared" si="9"/>
        <v>-4.4997994125750562E-3</v>
      </c>
      <c r="AU37" s="143">
        <f t="shared" si="9"/>
        <v>-3.6968784485571504E-3</v>
      </c>
      <c r="AV37" s="143">
        <f t="shared" si="8"/>
        <v>4.061964550002406E-3</v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ref="BF37:BF68" si="10">+AD37/$AD$256</f>
        <v>7.7448007630365164E-3</v>
      </c>
      <c r="BG37" s="9">
        <f t="shared" si="5"/>
        <v>0.83524121739771273</v>
      </c>
    </row>
    <row r="38" spans="2:59" x14ac:dyDescent="0.35">
      <c r="B38" s="3" t="s">
        <v>112</v>
      </c>
      <c r="D38" s="141">
        <v>1031842</v>
      </c>
      <c r="E38" s="141">
        <v>1054094</v>
      </c>
      <c r="F38" s="141">
        <v>1086318</v>
      </c>
      <c r="G38" s="141">
        <v>1058062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4230316</v>
      </c>
      <c r="R38" s="141">
        <v>734007</v>
      </c>
      <c r="S38" s="141">
        <v>690895</v>
      </c>
      <c r="T38" s="141">
        <v>737374</v>
      </c>
      <c r="U38" s="141">
        <v>752835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2915111</v>
      </c>
      <c r="AF38" s="2">
        <f t="shared" si="7"/>
        <v>0.71135600217862816</v>
      </c>
      <c r="AG38" s="2">
        <f t="shared" si="7"/>
        <v>0.65543964769745389</v>
      </c>
      <c r="AH38" s="2">
        <f t="shared" si="7"/>
        <v>0.67878282418223757</v>
      </c>
      <c r="AI38" s="2">
        <f t="shared" si="7"/>
        <v>0.71152257618173609</v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0.68910005777346184</v>
      </c>
      <c r="AT38" s="143">
        <f t="shared" si="9"/>
        <v>-5.5916354481174269E-2</v>
      </c>
      <c r="AU38" s="143">
        <f t="shared" si="9"/>
        <v>2.3343176484783679E-2</v>
      </c>
      <c r="AV38" s="143">
        <f t="shared" si="8"/>
        <v>3.2739751999498523E-2</v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10"/>
        <v>3.6866749212411732E-3</v>
      </c>
      <c r="BG38" s="9">
        <f t="shared" si="5"/>
        <v>0.83892789231895393</v>
      </c>
    </row>
    <row r="39" spans="2:59" x14ac:dyDescent="0.35">
      <c r="B39" s="3" t="s">
        <v>110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7"/>
        <v>0.75955096752940288</v>
      </c>
      <c r="AG39" s="2" t="str">
        <f t="shared" si="7"/>
        <v/>
      </c>
      <c r="AH39" s="2" t="str">
        <f t="shared" si="7"/>
        <v/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0.75955096752940288</v>
      </c>
      <c r="AT39" s="143" t="str">
        <f t="shared" si="9"/>
        <v/>
      </c>
      <c r="AU39" s="143" t="str">
        <f t="shared" si="9"/>
        <v/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10"/>
        <v>1.2130330077164708E-3</v>
      </c>
      <c r="BG39" s="9">
        <f t="shared" si="5"/>
        <v>0.8401409253266704</v>
      </c>
    </row>
    <row r="40" spans="2:59" x14ac:dyDescent="0.35">
      <c r="B40" s="3" t="s">
        <v>100</v>
      </c>
      <c r="D40" s="141">
        <v>446476</v>
      </c>
      <c r="E40" s="141">
        <v>417753</v>
      </c>
      <c r="F40" s="141">
        <v>470848</v>
      </c>
      <c r="G40" s="141">
        <v>152106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1487183</v>
      </c>
      <c r="R40" s="141">
        <v>332334</v>
      </c>
      <c r="S40" s="141">
        <v>246096</v>
      </c>
      <c r="T40" s="141">
        <v>273101</v>
      </c>
      <c r="U40" s="141">
        <v>80345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931876</v>
      </c>
      <c r="AF40" s="2">
        <f t="shared" si="7"/>
        <v>0.74434908035370317</v>
      </c>
      <c r="AG40" s="2">
        <f t="shared" si="7"/>
        <v>0.58909451278626368</v>
      </c>
      <c r="AH40" s="2">
        <f t="shared" si="7"/>
        <v>0.58001945426124779</v>
      </c>
      <c r="AI40" s="2">
        <f t="shared" si="7"/>
        <v>0.5282171643459167</v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0.62660479577832717</v>
      </c>
      <c r="AT40" s="143">
        <f t="shared" si="9"/>
        <v>-0.15525456756743949</v>
      </c>
      <c r="AU40" s="143">
        <f t="shared" si="9"/>
        <v>-9.0750585250158888E-3</v>
      </c>
      <c r="AV40" s="143">
        <f t="shared" si="8"/>
        <v>-5.180228991533109E-2</v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10"/>
        <v>1.1785224915643142E-3</v>
      </c>
      <c r="BG40" s="9">
        <f t="shared" si="5"/>
        <v>0.84131944781823476</v>
      </c>
    </row>
    <row r="41" spans="2:59" x14ac:dyDescent="0.35">
      <c r="B41" s="3" t="s">
        <v>111</v>
      </c>
      <c r="D41" s="141">
        <v>173965</v>
      </c>
      <c r="E41" s="141">
        <v>255208</v>
      </c>
      <c r="F41" s="141">
        <v>292607</v>
      </c>
      <c r="G41" s="141">
        <v>164602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886382</v>
      </c>
      <c r="R41" s="141">
        <v>134702</v>
      </c>
      <c r="S41" s="141">
        <v>207529</v>
      </c>
      <c r="T41" s="141">
        <v>249580</v>
      </c>
      <c r="U41" s="141">
        <v>135477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727288</v>
      </c>
      <c r="AF41" s="2">
        <f t="shared" si="7"/>
        <v>0.77430517632857188</v>
      </c>
      <c r="AG41" s="2">
        <f t="shared" si="7"/>
        <v>0.81317591925018029</v>
      </c>
      <c r="AH41" s="2">
        <f t="shared" si="7"/>
        <v>0.85295293687437412</v>
      </c>
      <c r="AI41" s="2">
        <f t="shared" si="7"/>
        <v>0.82305804303714414</v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0.82051305193471891</v>
      </c>
      <c r="AT41" s="143">
        <f t="shared" si="9"/>
        <v>3.8870742921608414E-2</v>
      </c>
      <c r="AU41" s="143">
        <f t="shared" si="9"/>
        <v>3.9777017624193833E-2</v>
      </c>
      <c r="AV41" s="143">
        <f t="shared" si="8"/>
        <v>-2.9894893837229986E-2</v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10"/>
        <v>9.1978467719399032E-4</v>
      </c>
      <c r="BG41" s="9">
        <f t="shared" si="5"/>
        <v>0.84223923249542876</v>
      </c>
    </row>
    <row r="42" spans="2:59" x14ac:dyDescent="0.35">
      <c r="B42" s="3" t="s">
        <v>109</v>
      </c>
      <c r="D42" s="141">
        <v>1688263</v>
      </c>
      <c r="E42" s="141">
        <v>1385283</v>
      </c>
      <c r="F42" s="141">
        <v>1515622</v>
      </c>
      <c r="G42" s="141">
        <v>1553212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6142380</v>
      </c>
      <c r="R42" s="141">
        <v>1153477</v>
      </c>
      <c r="S42" s="141">
        <v>909929</v>
      </c>
      <c r="T42" s="141">
        <v>1093377</v>
      </c>
      <c r="U42" s="141">
        <v>1166686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4323469</v>
      </c>
      <c r="AF42" s="2">
        <f t="shared" si="7"/>
        <v>0.68323300338869009</v>
      </c>
      <c r="AG42" s="2">
        <f t="shared" si="7"/>
        <v>0.65685423122928677</v>
      </c>
      <c r="AH42" s="2">
        <f t="shared" si="7"/>
        <v>0.72140480937859175</v>
      </c>
      <c r="AI42" s="2">
        <f t="shared" si="7"/>
        <v>0.75114408078227568</v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0.70387520798127112</v>
      </c>
      <c r="AT42" s="143">
        <f t="shared" si="9"/>
        <v>-2.6378772159403319E-2</v>
      </c>
      <c r="AU42" s="143">
        <f t="shared" si="9"/>
        <v>6.4550578149304982E-2</v>
      </c>
      <c r="AV42" s="143">
        <f t="shared" si="8"/>
        <v>2.9739271403683931E-2</v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10"/>
        <v>5.4677934168076807E-3</v>
      </c>
      <c r="BG42" s="9">
        <f t="shared" si="5"/>
        <v>0.84770702591223646</v>
      </c>
    </row>
    <row r="43" spans="2:59" x14ac:dyDescent="0.35">
      <c r="B43" s="3" t="s">
        <v>204</v>
      </c>
      <c r="D43" s="141">
        <v>2225276</v>
      </c>
      <c r="E43" s="141">
        <v>1402165</v>
      </c>
      <c r="F43" s="141">
        <v>1661201</v>
      </c>
      <c r="G43" s="141">
        <v>2682861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7971503</v>
      </c>
      <c r="R43" s="141">
        <v>1634486</v>
      </c>
      <c r="S43" s="141">
        <v>1015622</v>
      </c>
      <c r="T43" s="141">
        <v>1194292</v>
      </c>
      <c r="U43" s="141">
        <v>1937520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5781920</v>
      </c>
      <c r="AF43" s="2">
        <f t="shared" si="7"/>
        <v>0.73450933726872536</v>
      </c>
      <c r="AG43" s="2">
        <f t="shared" si="7"/>
        <v>0.72432417012263184</v>
      </c>
      <c r="AH43" s="2">
        <f t="shared" si="7"/>
        <v>0.71893286844879101</v>
      </c>
      <c r="AI43" s="2">
        <f t="shared" si="7"/>
        <v>0.72218426523028956</v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0.72532369366228677</v>
      </c>
      <c r="AT43" s="143">
        <f t="shared" si="9"/>
        <v>-1.0185167146093521E-2</v>
      </c>
      <c r="AU43" s="143">
        <f t="shared" si="9"/>
        <v>-5.3913016738408315E-3</v>
      </c>
      <c r="AV43" s="143">
        <f t="shared" si="8"/>
        <v>3.25139678149855E-3</v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10"/>
        <v>7.3122633960157144E-3</v>
      </c>
      <c r="BG43" s="9">
        <f t="shared" si="5"/>
        <v>0.85501928930825222</v>
      </c>
    </row>
    <row r="44" spans="2:59" x14ac:dyDescent="0.35">
      <c r="B44" s="3" t="s">
        <v>116</v>
      </c>
      <c r="D44" s="141">
        <v>1128556</v>
      </c>
      <c r="E44" s="141">
        <v>931511</v>
      </c>
      <c r="F44" s="141">
        <v>1087457</v>
      </c>
      <c r="G44" s="141">
        <v>907641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4055165</v>
      </c>
      <c r="R44" s="141">
        <v>848421</v>
      </c>
      <c r="S44" s="141">
        <v>700147</v>
      </c>
      <c r="T44" s="141">
        <v>802567</v>
      </c>
      <c r="U44" s="141">
        <v>656628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3007763</v>
      </c>
      <c r="AF44" s="2">
        <f t="shared" si="7"/>
        <v>0.75177572047820396</v>
      </c>
      <c r="AG44" s="2">
        <f t="shared" si="7"/>
        <v>0.75162504790603657</v>
      </c>
      <c r="AH44" s="2">
        <f t="shared" si="7"/>
        <v>0.73802182523079074</v>
      </c>
      <c r="AI44" s="2">
        <f t="shared" si="7"/>
        <v>0.72344462182735247</v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0.74171161962583521</v>
      </c>
      <c r="AT44" s="143">
        <f t="shared" si="9"/>
        <v>-1.5067257216738739E-4</v>
      </c>
      <c r="AU44" s="143">
        <f t="shared" si="9"/>
        <v>-1.360322267524583E-2</v>
      </c>
      <c r="AV44" s="143">
        <f t="shared" si="8"/>
        <v>-1.4577203403438266E-2</v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10"/>
        <v>3.8038498091966704E-3</v>
      </c>
      <c r="BG44" s="9">
        <f t="shared" si="5"/>
        <v>0.8588231391174489</v>
      </c>
    </row>
    <row r="45" spans="2:59" x14ac:dyDescent="0.35">
      <c r="B45" s="3" t="s">
        <v>115</v>
      </c>
      <c r="D45" s="141">
        <v>592889</v>
      </c>
      <c r="E45" s="141">
        <v>521809</v>
      </c>
      <c r="F45" s="141">
        <v>499626</v>
      </c>
      <c r="G45" s="141">
        <v>442734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2057058</v>
      </c>
      <c r="R45" s="141">
        <v>401501</v>
      </c>
      <c r="S45" s="141">
        <v>382166</v>
      </c>
      <c r="T45" s="141">
        <v>374394</v>
      </c>
      <c r="U45" s="141">
        <v>317091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1475152</v>
      </c>
      <c r="AF45" s="2">
        <f t="shared" si="7"/>
        <v>0.67719421341937525</v>
      </c>
      <c r="AG45" s="2">
        <f t="shared" si="7"/>
        <v>0.73238675454045443</v>
      </c>
      <c r="AH45" s="2">
        <f t="shared" si="7"/>
        <v>0.74934851268749025</v>
      </c>
      <c r="AI45" s="2">
        <f t="shared" si="7"/>
        <v>0.71621108837360581</v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0.7171173588688311</v>
      </c>
      <c r="AT45" s="143">
        <f t="shared" si="9"/>
        <v>5.5192541121079186E-2</v>
      </c>
      <c r="AU45" s="143">
        <f t="shared" si="9"/>
        <v>1.6961758147035821E-2</v>
      </c>
      <c r="AV45" s="143">
        <f t="shared" si="8"/>
        <v>-3.3137424313884445E-2</v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10"/>
        <v>1.8655913560131189E-3</v>
      </c>
      <c r="BG45" s="9">
        <f t="shared" si="5"/>
        <v>0.86068873047346206</v>
      </c>
    </row>
    <row r="46" spans="2:59" x14ac:dyDescent="0.35">
      <c r="B46" s="3" t="s">
        <v>127</v>
      </c>
      <c r="D46" s="141">
        <v>804791</v>
      </c>
      <c r="E46" s="141">
        <v>573592</v>
      </c>
      <c r="F46" s="141">
        <v>609411</v>
      </c>
      <c r="G46" s="141">
        <v>705030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2692824</v>
      </c>
      <c r="R46" s="141">
        <v>633198</v>
      </c>
      <c r="S46" s="141">
        <v>423606</v>
      </c>
      <c r="T46" s="141">
        <v>461858</v>
      </c>
      <c r="U46" s="141">
        <v>548779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2067441</v>
      </c>
      <c r="AF46" s="2">
        <f t="shared" si="7"/>
        <v>0.78678563751334196</v>
      </c>
      <c r="AG46" s="2">
        <f t="shared" si="7"/>
        <v>0.73851448416295906</v>
      </c>
      <c r="AH46" s="2">
        <f t="shared" si="7"/>
        <v>0.75787604752785886</v>
      </c>
      <c r="AI46" s="2">
        <f t="shared" si="7"/>
        <v>0.77837680666070952</v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0.76775942282154352</v>
      </c>
      <c r="AT46" s="143">
        <f t="shared" ref="AT46:AT109" si="11">+IFERROR(AG46-AF46,"")</f>
        <v>-4.82711533503829E-2</v>
      </c>
      <c r="AU46" s="143">
        <f t="shared" ref="AU46:AU109" si="12">+IFERROR(AH46-AG46,"")</f>
        <v>1.9361563364899803E-2</v>
      </c>
      <c r="AV46" s="143">
        <f t="shared" si="8"/>
        <v>2.0500759132850654E-2</v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10"/>
        <v>2.6146458525407E-3</v>
      </c>
      <c r="BG46" s="9">
        <f t="shared" si="5"/>
        <v>0.86330337632600274</v>
      </c>
    </row>
    <row r="47" spans="2:59" x14ac:dyDescent="0.35">
      <c r="B47" s="3" t="s">
        <v>120</v>
      </c>
      <c r="D47" s="141">
        <v>1192866</v>
      </c>
      <c r="E47" s="141">
        <v>1096341</v>
      </c>
      <c r="F47" s="141">
        <v>1224280</v>
      </c>
      <c r="G47" s="141">
        <v>1063418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4576905</v>
      </c>
      <c r="R47" s="141">
        <v>866332</v>
      </c>
      <c r="S47" s="141">
        <v>789536</v>
      </c>
      <c r="T47" s="141">
        <v>838275</v>
      </c>
      <c r="U47" s="141">
        <v>750308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3244451</v>
      </c>
      <c r="AF47" s="2">
        <f t="shared" si="7"/>
        <v>0.72626095470907881</v>
      </c>
      <c r="AG47" s="2">
        <f t="shared" si="7"/>
        <v>0.72015549906461584</v>
      </c>
      <c r="AH47" s="2">
        <f t="shared" si="7"/>
        <v>0.68470856340052932</v>
      </c>
      <c r="AI47" s="2">
        <f t="shared" si="7"/>
        <v>0.70556262918250401</v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0.70887444681504208</v>
      </c>
      <c r="AT47" s="143">
        <f t="shared" si="11"/>
        <v>-6.1054556444629648E-3</v>
      </c>
      <c r="AU47" s="143">
        <f t="shared" si="12"/>
        <v>-3.5446935664086521E-2</v>
      </c>
      <c r="AV47" s="143">
        <f t="shared" si="8"/>
        <v>2.0854065781974684E-2</v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10"/>
        <v>4.1031837672376266E-3</v>
      </c>
      <c r="BG47" s="9">
        <f t="shared" si="5"/>
        <v>0.86740656009324035</v>
      </c>
    </row>
    <row r="48" spans="2:59" x14ac:dyDescent="0.35">
      <c r="B48" s="3" t="s">
        <v>118</v>
      </c>
      <c r="D48" s="141">
        <v>690123</v>
      </c>
      <c r="E48" s="141">
        <v>668382</v>
      </c>
      <c r="F48" s="141">
        <v>709774</v>
      </c>
      <c r="G48" s="141">
        <v>671892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2740171</v>
      </c>
      <c r="R48" s="141">
        <v>495197</v>
      </c>
      <c r="S48" s="141">
        <v>491653</v>
      </c>
      <c r="T48" s="141">
        <v>520994</v>
      </c>
      <c r="U48" s="141">
        <v>490655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1998499</v>
      </c>
      <c r="AF48" s="2">
        <f t="shared" si="7"/>
        <v>0.71754890070320798</v>
      </c>
      <c r="AG48" s="2">
        <f t="shared" si="7"/>
        <v>0.7355868350733562</v>
      </c>
      <c r="AH48" s="2">
        <f t="shared" si="7"/>
        <v>0.73402801455111066</v>
      </c>
      <c r="AI48" s="2">
        <f t="shared" si="7"/>
        <v>0.73025873205812841</v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0.72933368027031886</v>
      </c>
      <c r="AT48" s="143">
        <f t="shared" si="11"/>
        <v>1.8037934370148223E-2</v>
      </c>
      <c r="AU48" s="143">
        <f t="shared" si="12"/>
        <v>-1.5588205222455409E-3</v>
      </c>
      <c r="AV48" s="143">
        <f t="shared" si="8"/>
        <v>-3.769282492982251E-3</v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10"/>
        <v>2.5274564650970628E-3</v>
      </c>
      <c r="BG48" s="9">
        <f t="shared" si="5"/>
        <v>0.86993401655833746</v>
      </c>
    </row>
    <row r="49" spans="2:59" x14ac:dyDescent="0.35">
      <c r="B49" s="3" t="s">
        <v>165</v>
      </c>
      <c r="D49" s="141">
        <v>1220940</v>
      </c>
      <c r="E49" s="141">
        <v>730266</v>
      </c>
      <c r="F49" s="141">
        <v>1556760</v>
      </c>
      <c r="G49" s="141">
        <v>1701733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5209699</v>
      </c>
      <c r="R49" s="141">
        <v>940803</v>
      </c>
      <c r="S49" s="141">
        <v>559119</v>
      </c>
      <c r="T49" s="141">
        <v>1251591</v>
      </c>
      <c r="U49" s="141">
        <v>1331143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4082656</v>
      </c>
      <c r="AF49" s="2">
        <f t="shared" si="7"/>
        <v>0.77055629269251558</v>
      </c>
      <c r="AG49" s="2">
        <f t="shared" si="7"/>
        <v>0.76563745265423833</v>
      </c>
      <c r="AH49" s="2">
        <f t="shared" si="7"/>
        <v>0.80397171047560323</v>
      </c>
      <c r="AI49" s="2">
        <f t="shared" si="7"/>
        <v>0.78222788181224667</v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0.78366446890693686</v>
      </c>
      <c r="AT49" s="143">
        <f t="shared" si="11"/>
        <v>-4.9188400382772501E-3</v>
      </c>
      <c r="AU49" s="143">
        <f t="shared" si="12"/>
        <v>3.8334257821364903E-2</v>
      </c>
      <c r="AV49" s="143">
        <f t="shared" si="8"/>
        <v>-2.1743828663356557E-2</v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10"/>
        <v>5.1632426646034419E-3</v>
      </c>
      <c r="BG49" s="9">
        <f t="shared" si="5"/>
        <v>0.8750972592229409</v>
      </c>
    </row>
    <row r="50" spans="2:59" x14ac:dyDescent="0.35">
      <c r="B50" s="3" t="s">
        <v>119</v>
      </c>
      <c r="D50" s="141">
        <v>2944404</v>
      </c>
      <c r="E50" s="141">
        <v>2852389</v>
      </c>
      <c r="F50" s="141">
        <v>3224225</v>
      </c>
      <c r="G50" s="141">
        <v>3052749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12073767</v>
      </c>
      <c r="R50" s="141">
        <v>2146524</v>
      </c>
      <c r="S50" s="141">
        <v>2060398</v>
      </c>
      <c r="T50" s="141">
        <v>2347784</v>
      </c>
      <c r="U50" s="141">
        <v>2228617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8783323</v>
      </c>
      <c r="AF50" s="2">
        <f t="shared" si="7"/>
        <v>0.72901816462686508</v>
      </c>
      <c r="AG50" s="2">
        <f t="shared" si="7"/>
        <v>0.7223411673512975</v>
      </c>
      <c r="AH50" s="2">
        <f t="shared" si="7"/>
        <v>0.72817002535493025</v>
      </c>
      <c r="AI50" s="2">
        <f t="shared" si="7"/>
        <v>0.73003610843865641</v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0.72747163333531284</v>
      </c>
      <c r="AT50" s="143">
        <f t="shared" si="11"/>
        <v>-6.6769972755675866E-3</v>
      </c>
      <c r="AU50" s="143">
        <f t="shared" si="12"/>
        <v>5.8288580036327531E-3</v>
      </c>
      <c r="AV50" s="143">
        <f t="shared" si="8"/>
        <v>1.8660830837261555E-3</v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10"/>
        <v>1.1108069857120633E-2</v>
      </c>
      <c r="BG50" s="9">
        <f t="shared" si="5"/>
        <v>0.88620532908006155</v>
      </c>
    </row>
    <row r="51" spans="2:59" x14ac:dyDescent="0.35">
      <c r="B51" s="3" t="s">
        <v>126</v>
      </c>
      <c r="D51" s="141">
        <v>1000826</v>
      </c>
      <c r="E51" s="141">
        <v>831622</v>
      </c>
      <c r="F51" s="141">
        <v>970438</v>
      </c>
      <c r="G51" s="141">
        <v>1014107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3816993</v>
      </c>
      <c r="R51" s="141">
        <v>646964</v>
      </c>
      <c r="S51" s="141">
        <v>560656</v>
      </c>
      <c r="T51" s="141">
        <v>669473</v>
      </c>
      <c r="U51" s="141">
        <v>767579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2644672</v>
      </c>
      <c r="AF51" s="2">
        <f t="shared" si="7"/>
        <v>0.646430048779708</v>
      </c>
      <c r="AG51" s="2">
        <f t="shared" si="7"/>
        <v>0.67417167895991204</v>
      </c>
      <c r="AH51" s="2">
        <f t="shared" si="7"/>
        <v>0.68986684363143236</v>
      </c>
      <c r="AI51" s="2">
        <f t="shared" si="7"/>
        <v>0.75690139206217888</v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0.69286791985209295</v>
      </c>
      <c r="AT51" s="143">
        <f t="shared" si="11"/>
        <v>2.7741630180204035E-2</v>
      </c>
      <c r="AU51" s="143">
        <f t="shared" si="12"/>
        <v>1.5695164671520323E-2</v>
      </c>
      <c r="AV51" s="143">
        <f t="shared" si="8"/>
        <v>6.7034548430746521E-2</v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10"/>
        <v>3.344656837186898E-3</v>
      </c>
      <c r="BG51" s="9">
        <f t="shared" si="5"/>
        <v>0.88954998591724843</v>
      </c>
    </row>
    <row r="52" spans="2:59" x14ac:dyDescent="0.35">
      <c r="B52" s="3" t="s">
        <v>128</v>
      </c>
      <c r="D52" s="141">
        <v>367942</v>
      </c>
      <c r="E52" s="141">
        <v>438536</v>
      </c>
      <c r="F52" s="141">
        <v>484662</v>
      </c>
      <c r="G52" s="141">
        <v>471476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1762616</v>
      </c>
      <c r="R52" s="141">
        <v>286454</v>
      </c>
      <c r="S52" s="141">
        <v>317130</v>
      </c>
      <c r="T52" s="141">
        <v>337474</v>
      </c>
      <c r="U52" s="141">
        <v>352821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1293879</v>
      </c>
      <c r="AF52" s="2">
        <f t="shared" si="7"/>
        <v>0.77853031184262733</v>
      </c>
      <c r="AG52" s="2">
        <f t="shared" si="7"/>
        <v>0.72315613769451081</v>
      </c>
      <c r="AH52" s="2">
        <f t="shared" si="7"/>
        <v>0.69630794244236194</v>
      </c>
      <c r="AI52" s="2">
        <f t="shared" si="7"/>
        <v>0.74833289499359457</v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0.73406743159031806</v>
      </c>
      <c r="AT52" s="143">
        <f t="shared" si="11"/>
        <v>-5.5374174148116517E-2</v>
      </c>
      <c r="AU52" s="143">
        <f t="shared" si="12"/>
        <v>-2.6848195252148876E-2</v>
      </c>
      <c r="AV52" s="143">
        <f t="shared" si="8"/>
        <v>5.2024952551232628E-2</v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10"/>
        <v>1.6363394945923526E-3</v>
      </c>
      <c r="BG52" s="9">
        <f t="shared" si="5"/>
        <v>0.89118632541184073</v>
      </c>
    </row>
    <row r="53" spans="2:59" x14ac:dyDescent="0.35">
      <c r="B53" s="3" t="s">
        <v>133</v>
      </c>
      <c r="D53" s="141">
        <v>903428</v>
      </c>
      <c r="E53" s="141">
        <v>836548</v>
      </c>
      <c r="F53" s="141">
        <v>718524</v>
      </c>
      <c r="G53" s="141">
        <v>704149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3162649</v>
      </c>
      <c r="R53" s="141">
        <v>643901</v>
      </c>
      <c r="S53" s="141">
        <v>607566</v>
      </c>
      <c r="T53" s="141">
        <v>495206</v>
      </c>
      <c r="U53" s="141">
        <v>509630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2256303</v>
      </c>
      <c r="AF53" s="2">
        <f t="shared" si="7"/>
        <v>0.71273084296701006</v>
      </c>
      <c r="AG53" s="2">
        <f t="shared" si="7"/>
        <v>0.7262775118702095</v>
      </c>
      <c r="AH53" s="2">
        <f t="shared" si="7"/>
        <v>0.68919896899755606</v>
      </c>
      <c r="AI53" s="2">
        <f t="shared" si="7"/>
        <v>0.72375306930777439</v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0.71342188146708663</v>
      </c>
      <c r="AT53" s="143">
        <f t="shared" si="11"/>
        <v>1.3546668903199444E-2</v>
      </c>
      <c r="AU53" s="143">
        <f t="shared" si="12"/>
        <v>-3.7078542872653442E-2</v>
      </c>
      <c r="AV53" s="143">
        <f t="shared" si="8"/>
        <v>3.4554100310218328E-2</v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10"/>
        <v>2.8534953505445324E-3</v>
      </c>
      <c r="BG53" s="9">
        <f t="shared" si="5"/>
        <v>0.89403982076238531</v>
      </c>
    </row>
    <row r="54" spans="2:59" x14ac:dyDescent="0.35">
      <c r="B54" s="3" t="s">
        <v>123</v>
      </c>
      <c r="D54" s="141">
        <v>461152</v>
      </c>
      <c r="E54" s="141">
        <v>432159</v>
      </c>
      <c r="F54" s="141">
        <v>445196</v>
      </c>
      <c r="G54" s="141">
        <v>403134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1741641</v>
      </c>
      <c r="R54" s="141">
        <v>337443</v>
      </c>
      <c r="S54" s="141">
        <v>311337</v>
      </c>
      <c r="T54" s="141">
        <v>302185</v>
      </c>
      <c r="U54" s="141">
        <v>255343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1206308</v>
      </c>
      <c r="AF54" s="2">
        <f t="shared" si="7"/>
        <v>0.7317392096315315</v>
      </c>
      <c r="AG54" s="2">
        <f t="shared" si="7"/>
        <v>0.72042234455374066</v>
      </c>
      <c r="AH54" s="2">
        <f t="shared" si="7"/>
        <v>0.67876845254674345</v>
      </c>
      <c r="AI54" s="2">
        <f t="shared" si="7"/>
        <v>0.63339485133975304</v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0.69262724063110592</v>
      </c>
      <c r="AT54" s="143">
        <f t="shared" si="11"/>
        <v>-1.1316865077790839E-2</v>
      </c>
      <c r="AU54" s="143">
        <f t="shared" si="12"/>
        <v>-4.1653892006997206E-2</v>
      </c>
      <c r="AV54" s="143">
        <f t="shared" si="8"/>
        <v>-4.537360120699041E-2</v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10"/>
        <v>1.5255904323686464E-3</v>
      </c>
      <c r="BG54" s="9">
        <f t="shared" si="5"/>
        <v>0.89556541119475397</v>
      </c>
    </row>
    <row r="55" spans="2:59" x14ac:dyDescent="0.35">
      <c r="B55" s="3" t="s">
        <v>122</v>
      </c>
      <c r="D55" s="141">
        <v>673418</v>
      </c>
      <c r="E55" s="141">
        <v>637380</v>
      </c>
      <c r="F55" s="141">
        <v>619189</v>
      </c>
      <c r="G55" s="141">
        <v>659664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2589651</v>
      </c>
      <c r="R55" s="141">
        <v>460190</v>
      </c>
      <c r="S55" s="141">
        <v>444017</v>
      </c>
      <c r="T55" s="141">
        <v>439696</v>
      </c>
      <c r="U55" s="141">
        <v>453308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1797211</v>
      </c>
      <c r="AF55" s="2">
        <f t="shared" si="7"/>
        <v>0.68336456702969028</v>
      </c>
      <c r="AG55" s="2">
        <f t="shared" si="7"/>
        <v>0.69662838495089274</v>
      </c>
      <c r="AH55" s="2">
        <f t="shared" si="7"/>
        <v>0.71011597428248885</v>
      </c>
      <c r="AI55" s="2">
        <f t="shared" si="7"/>
        <v>0.68718014019258289</v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0.69399737648046012</v>
      </c>
      <c r="AT55" s="143">
        <f t="shared" si="11"/>
        <v>1.3263817921202459E-2</v>
      </c>
      <c r="AU55" s="143">
        <f t="shared" si="12"/>
        <v>1.3487589331596106E-2</v>
      </c>
      <c r="AV55" s="143">
        <f t="shared" si="8"/>
        <v>-2.293583408990596E-2</v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10"/>
        <v>2.2728920860573647E-3</v>
      </c>
      <c r="BG55" s="9">
        <f t="shared" si="5"/>
        <v>0.89783830328081138</v>
      </c>
    </row>
    <row r="56" spans="2:59" x14ac:dyDescent="0.35">
      <c r="B56" s="3" t="s">
        <v>134</v>
      </c>
      <c r="D56" s="141">
        <v>719113</v>
      </c>
      <c r="E56" s="141">
        <v>640081</v>
      </c>
      <c r="F56" s="141">
        <v>737406</v>
      </c>
      <c r="G56" s="141">
        <v>705146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2801746</v>
      </c>
      <c r="R56" s="141">
        <v>582504</v>
      </c>
      <c r="S56" s="141">
        <v>513379</v>
      </c>
      <c r="T56" s="141">
        <v>607066</v>
      </c>
      <c r="U56" s="141">
        <v>552057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2255006</v>
      </c>
      <c r="AF56" s="2">
        <f t="shared" si="7"/>
        <v>0.81003124682768912</v>
      </c>
      <c r="AG56" s="2">
        <f t="shared" si="7"/>
        <v>0.8020531776447043</v>
      </c>
      <c r="AH56" s="2">
        <f t="shared" si="7"/>
        <v>0.82324526787143038</v>
      </c>
      <c r="AI56" s="2">
        <f t="shared" si="7"/>
        <v>0.78289744251545068</v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114" si="13">+IFERROR(Y56/K56,"")</f>
        <v/>
      </c>
      <c r="AN56" s="2" t="str">
        <f t="shared" si="6"/>
        <v/>
      </c>
      <c r="AO56" s="2" t="str">
        <f t="shared" si="6"/>
        <v/>
      </c>
      <c r="AP56" s="2" t="str">
        <f t="shared" si="6"/>
        <v/>
      </c>
      <c r="AQ56" s="2" t="str">
        <f t="shared" si="6"/>
        <v/>
      </c>
      <c r="AR56" s="2">
        <f t="shared" si="6"/>
        <v>0.8048573996357985</v>
      </c>
      <c r="AT56" s="143">
        <f t="shared" si="11"/>
        <v>-7.978069182984826E-3</v>
      </c>
      <c r="AU56" s="143">
        <f t="shared" si="12"/>
        <v>2.1192090226726079E-2</v>
      </c>
      <c r="AV56" s="143">
        <f t="shared" si="8"/>
        <v>-4.0347825355979694E-2</v>
      </c>
      <c r="AW56" s="143" t="str">
        <f t="shared" si="8"/>
        <v/>
      </c>
      <c r="AX56" s="143" t="str">
        <f t="shared" si="8"/>
        <v/>
      </c>
      <c r="AY56" s="143" t="str">
        <f t="shared" ref="AY56:BD87" si="14">+IFERROR(AL56-AK56,"")</f>
        <v/>
      </c>
      <c r="AZ56" s="143" t="str">
        <f t="shared" si="14"/>
        <v/>
      </c>
      <c r="BA56" s="143" t="str">
        <f t="shared" si="14"/>
        <v/>
      </c>
      <c r="BB56" s="143" t="str">
        <f t="shared" si="14"/>
        <v/>
      </c>
      <c r="BC56" s="143" t="str">
        <f t="shared" si="14"/>
        <v/>
      </c>
      <c r="BD56" s="143" t="str">
        <f t="shared" si="14"/>
        <v/>
      </c>
      <c r="BF56" s="9">
        <f t="shared" si="10"/>
        <v>2.8518550639918595E-3</v>
      </c>
      <c r="BG56" s="9">
        <f t="shared" si="5"/>
        <v>0.90069015834480326</v>
      </c>
    </row>
    <row r="57" spans="2:59" x14ac:dyDescent="0.35">
      <c r="B57" s="3" t="s">
        <v>150</v>
      </c>
      <c r="D57" s="141">
        <v>296021</v>
      </c>
      <c r="E57" s="141">
        <v>236147</v>
      </c>
      <c r="F57" s="141">
        <v>257695</v>
      </c>
      <c r="G57" s="141">
        <v>219021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1008884</v>
      </c>
      <c r="R57" s="141">
        <v>202979</v>
      </c>
      <c r="S57" s="141">
        <v>175572</v>
      </c>
      <c r="T57" s="141">
        <v>172931</v>
      </c>
      <c r="U57" s="141">
        <v>155865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707347</v>
      </c>
      <c r="AF57" s="2">
        <f t="shared" ref="AF57:AL93" si="15">+IFERROR(R57/D57,"")</f>
        <v>0.68569121785278742</v>
      </c>
      <c r="AG57" s="2">
        <f t="shared" si="15"/>
        <v>0.74348604894408987</v>
      </c>
      <c r="AH57" s="2">
        <f t="shared" si="15"/>
        <v>0.67106851122450961</v>
      </c>
      <c r="AI57" s="2">
        <f t="shared" si="15"/>
        <v>0.71164408892298003</v>
      </c>
      <c r="AJ57" s="2" t="str">
        <f t="shared" si="15"/>
        <v/>
      </c>
      <c r="AK57" s="2" t="str">
        <f t="shared" si="15"/>
        <v/>
      </c>
      <c r="AL57" s="2" t="str">
        <f t="shared" si="15"/>
        <v/>
      </c>
      <c r="AM57" s="2" t="str">
        <f t="shared" si="13"/>
        <v/>
      </c>
      <c r="AN57" s="2" t="str">
        <f t="shared" si="6"/>
        <v/>
      </c>
      <c r="AO57" s="2" t="str">
        <f t="shared" si="6"/>
        <v/>
      </c>
      <c r="AP57" s="2" t="str">
        <f t="shared" si="6"/>
        <v/>
      </c>
      <c r="AQ57" s="2" t="str">
        <f t="shared" si="6"/>
        <v/>
      </c>
      <c r="AR57" s="2">
        <f t="shared" si="6"/>
        <v>0.70111826533080113</v>
      </c>
      <c r="AT57" s="143">
        <f t="shared" si="11"/>
        <v>5.7794831091302457E-2</v>
      </c>
      <c r="AU57" s="143">
        <f t="shared" si="12"/>
        <v>-7.2417537719580261E-2</v>
      </c>
      <c r="AV57" s="143">
        <f t="shared" ref="AV57:BD88" si="16">+IFERROR(AI57-AH57,"")</f>
        <v>4.0575577698470422E-2</v>
      </c>
      <c r="AW57" s="143" t="str">
        <f t="shared" si="16"/>
        <v/>
      </c>
      <c r="AX57" s="143" t="str">
        <f t="shared" si="16"/>
        <v/>
      </c>
      <c r="AY57" s="143" t="str">
        <f t="shared" si="14"/>
        <v/>
      </c>
      <c r="AZ57" s="143" t="str">
        <f t="shared" si="14"/>
        <v/>
      </c>
      <c r="BA57" s="143" t="str">
        <f t="shared" si="14"/>
        <v/>
      </c>
      <c r="BB57" s="143" t="str">
        <f t="shared" si="14"/>
        <v/>
      </c>
      <c r="BC57" s="143" t="str">
        <f t="shared" si="14"/>
        <v/>
      </c>
      <c r="BD57" s="143" t="str">
        <f t="shared" si="14"/>
        <v/>
      </c>
      <c r="BF57" s="9">
        <f t="shared" si="10"/>
        <v>8.9456574570065438E-4</v>
      </c>
      <c r="BG57" s="9">
        <f t="shared" si="5"/>
        <v>0.90158472409050394</v>
      </c>
    </row>
    <row r="58" spans="2:59" x14ac:dyDescent="0.35">
      <c r="B58" s="3" t="s">
        <v>137</v>
      </c>
      <c r="D58" s="141">
        <v>376386</v>
      </c>
      <c r="E58" s="141">
        <v>340345</v>
      </c>
      <c r="F58" s="141">
        <v>419529</v>
      </c>
      <c r="G58" s="141">
        <v>329467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1465727</v>
      </c>
      <c r="R58" s="141">
        <v>296882</v>
      </c>
      <c r="S58" s="141">
        <v>254764</v>
      </c>
      <c r="T58" s="141">
        <v>328959</v>
      </c>
      <c r="U58" s="141">
        <v>260210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1140815</v>
      </c>
      <c r="AF58" s="2">
        <f t="shared" si="15"/>
        <v>0.78877003926819811</v>
      </c>
      <c r="AG58" s="2">
        <f t="shared" si="15"/>
        <v>0.7485463279907153</v>
      </c>
      <c r="AH58" s="2">
        <f t="shared" si="15"/>
        <v>0.78411504329855619</v>
      </c>
      <c r="AI58" s="2">
        <f t="shared" si="15"/>
        <v>0.78979078329544383</v>
      </c>
      <c r="AJ58" s="2" t="str">
        <f t="shared" si="15"/>
        <v/>
      </c>
      <c r="AK58" s="2" t="str">
        <f t="shared" si="15"/>
        <v/>
      </c>
      <c r="AL58" s="2" t="str">
        <f t="shared" si="15"/>
        <v/>
      </c>
      <c r="AM58" s="2" t="str">
        <f t="shared" si="13"/>
        <v/>
      </c>
      <c r="AN58" s="2" t="str">
        <f t="shared" si="6"/>
        <v/>
      </c>
      <c r="AO58" s="2" t="str">
        <f t="shared" si="6"/>
        <v/>
      </c>
      <c r="AP58" s="2" t="str">
        <f t="shared" si="6"/>
        <v/>
      </c>
      <c r="AQ58" s="2" t="str">
        <f t="shared" si="6"/>
        <v/>
      </c>
      <c r="AR58" s="2">
        <f t="shared" si="6"/>
        <v>0.77832706909267546</v>
      </c>
      <c r="AT58" s="143">
        <f t="shared" si="11"/>
        <v>-4.022371127748281E-2</v>
      </c>
      <c r="AU58" s="143">
        <f t="shared" si="12"/>
        <v>3.5568715307840892E-2</v>
      </c>
      <c r="AV58" s="143">
        <f t="shared" si="16"/>
        <v>5.675739996887641E-3</v>
      </c>
      <c r="AW58" s="143" t="str">
        <f t="shared" si="16"/>
        <v/>
      </c>
      <c r="AX58" s="143" t="str">
        <f t="shared" si="16"/>
        <v/>
      </c>
      <c r="AY58" s="143" t="str">
        <f t="shared" si="14"/>
        <v/>
      </c>
      <c r="AZ58" s="143" t="str">
        <f t="shared" si="14"/>
        <v/>
      </c>
      <c r="BA58" s="143" t="str">
        <f t="shared" si="14"/>
        <v/>
      </c>
      <c r="BB58" s="143" t="str">
        <f t="shared" si="14"/>
        <v/>
      </c>
      <c r="BC58" s="143" t="str">
        <f t="shared" si="14"/>
        <v/>
      </c>
      <c r="BD58" s="143" t="str">
        <f t="shared" si="14"/>
        <v/>
      </c>
      <c r="BF58" s="9">
        <f t="shared" si="10"/>
        <v>1.4427629171841995E-3</v>
      </c>
      <c r="BG58" s="9">
        <f t="shared" si="5"/>
        <v>0.90302748700768809</v>
      </c>
    </row>
    <row r="59" spans="2:59" x14ac:dyDescent="0.35">
      <c r="B59" s="3" t="s">
        <v>124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15"/>
        <v>0.68797179105317841</v>
      </c>
      <c r="AG59" s="2" t="str">
        <f t="shared" si="15"/>
        <v/>
      </c>
      <c r="AH59" s="2" t="str">
        <f t="shared" si="15"/>
        <v/>
      </c>
      <c r="AI59" s="2" t="str">
        <f t="shared" si="15"/>
        <v/>
      </c>
      <c r="AJ59" s="2" t="str">
        <f t="shared" si="15"/>
        <v/>
      </c>
      <c r="AK59" s="2" t="str">
        <f t="shared" si="15"/>
        <v/>
      </c>
      <c r="AL59" s="2" t="str">
        <f t="shared" si="15"/>
        <v/>
      </c>
      <c r="AM59" s="2" t="str">
        <f t="shared" si="13"/>
        <v/>
      </c>
      <c r="AN59" s="2" t="str">
        <f t="shared" si="6"/>
        <v/>
      </c>
      <c r="AO59" s="2" t="str">
        <f t="shared" si="6"/>
        <v/>
      </c>
      <c r="AP59" s="2" t="str">
        <f t="shared" si="6"/>
        <v/>
      </c>
      <c r="AQ59" s="2" t="str">
        <f t="shared" si="6"/>
        <v/>
      </c>
      <c r="AR59" s="2">
        <f t="shared" si="6"/>
        <v>0.68797179105317841</v>
      </c>
      <c r="AT59" s="143" t="str">
        <f t="shared" si="11"/>
        <v/>
      </c>
      <c r="AU59" s="143" t="str">
        <f t="shared" si="12"/>
        <v/>
      </c>
      <c r="AV59" s="143" t="str">
        <f t="shared" si="16"/>
        <v/>
      </c>
      <c r="AW59" s="143" t="str">
        <f t="shared" si="16"/>
        <v/>
      </c>
      <c r="AX59" s="143" t="str">
        <f t="shared" si="16"/>
        <v/>
      </c>
      <c r="AY59" s="143" t="str">
        <f t="shared" si="14"/>
        <v/>
      </c>
      <c r="AZ59" s="143" t="str">
        <f t="shared" si="14"/>
        <v/>
      </c>
      <c r="BA59" s="143" t="str">
        <f t="shared" si="14"/>
        <v/>
      </c>
      <c r="BB59" s="143" t="str">
        <f t="shared" si="14"/>
        <v/>
      </c>
      <c r="BC59" s="143" t="str">
        <f t="shared" si="14"/>
        <v/>
      </c>
      <c r="BD59" s="143" t="str">
        <f t="shared" si="14"/>
        <v/>
      </c>
      <c r="BF59" s="9">
        <f t="shared" si="10"/>
        <v>1.700093145638467E-4</v>
      </c>
      <c r="BG59" s="9">
        <f t="shared" si="5"/>
        <v>0.90319749632225199</v>
      </c>
    </row>
    <row r="60" spans="2:59" x14ac:dyDescent="0.35">
      <c r="B60" s="3" t="s">
        <v>129</v>
      </c>
      <c r="D60" s="141">
        <v>715830</v>
      </c>
      <c r="E60" s="141">
        <v>688584</v>
      </c>
      <c r="F60" s="141">
        <v>754006</v>
      </c>
      <c r="G60" s="141">
        <v>693072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2851492</v>
      </c>
      <c r="R60" s="141">
        <v>483609</v>
      </c>
      <c r="S60" s="141">
        <v>441506</v>
      </c>
      <c r="T60" s="141">
        <v>509646</v>
      </c>
      <c r="U60" s="141">
        <v>451922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1886683</v>
      </c>
      <c r="AF60" s="2">
        <f t="shared" si="15"/>
        <v>0.67559197016051298</v>
      </c>
      <c r="AG60" s="2">
        <f t="shared" si="15"/>
        <v>0.64117958012384835</v>
      </c>
      <c r="AH60" s="2">
        <f t="shared" si="15"/>
        <v>0.67591769826765302</v>
      </c>
      <c r="AI60" s="2">
        <f t="shared" si="15"/>
        <v>0.65205635200960366</v>
      </c>
      <c r="AJ60" s="2" t="str">
        <f t="shared" si="15"/>
        <v/>
      </c>
      <c r="AK60" s="2" t="str">
        <f t="shared" si="15"/>
        <v/>
      </c>
      <c r="AL60" s="2" t="str">
        <f t="shared" si="15"/>
        <v/>
      </c>
      <c r="AM60" s="2" t="str">
        <f t="shared" si="13"/>
        <v/>
      </c>
      <c r="AN60" s="2" t="str">
        <f t="shared" si="6"/>
        <v/>
      </c>
      <c r="AO60" s="2" t="str">
        <f t="shared" si="6"/>
        <v/>
      </c>
      <c r="AP60" s="2" t="str">
        <f t="shared" si="6"/>
        <v/>
      </c>
      <c r="AQ60" s="2" t="str">
        <f t="shared" si="6"/>
        <v/>
      </c>
      <c r="AR60" s="2">
        <f t="shared" si="6"/>
        <v>0.66164765673549142</v>
      </c>
      <c r="AT60" s="143">
        <f t="shared" si="11"/>
        <v>-3.4412390036664631E-2</v>
      </c>
      <c r="AU60" s="143">
        <f t="shared" si="12"/>
        <v>3.4738118143804675E-2</v>
      </c>
      <c r="AV60" s="143">
        <f t="shared" si="16"/>
        <v>-2.3861346258049365E-2</v>
      </c>
      <c r="AW60" s="143" t="str">
        <f t="shared" si="16"/>
        <v/>
      </c>
      <c r="AX60" s="143" t="str">
        <f t="shared" si="16"/>
        <v/>
      </c>
      <c r="AY60" s="143" t="str">
        <f t="shared" si="14"/>
        <v/>
      </c>
      <c r="AZ60" s="143" t="str">
        <f t="shared" si="14"/>
        <v/>
      </c>
      <c r="BA60" s="143" t="str">
        <f t="shared" si="14"/>
        <v/>
      </c>
      <c r="BB60" s="143" t="str">
        <f t="shared" si="14"/>
        <v/>
      </c>
      <c r="BC60" s="143" t="str">
        <f t="shared" si="14"/>
        <v/>
      </c>
      <c r="BD60" s="143" t="str">
        <f t="shared" si="14"/>
        <v/>
      </c>
      <c r="BF60" s="9">
        <f t="shared" si="10"/>
        <v>2.386045299966986E-3</v>
      </c>
      <c r="BG60" s="9">
        <f t="shared" si="5"/>
        <v>0.90558354162221899</v>
      </c>
    </row>
    <row r="61" spans="2:59" x14ac:dyDescent="0.35">
      <c r="B61" s="3" t="s">
        <v>166</v>
      </c>
      <c r="D61" s="141">
        <v>1972122</v>
      </c>
      <c r="E61" s="141">
        <v>1771700</v>
      </c>
      <c r="F61" s="141">
        <v>1745539</v>
      </c>
      <c r="G61" s="141">
        <v>1781719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7271080</v>
      </c>
      <c r="R61" s="141">
        <v>1421458</v>
      </c>
      <c r="S61" s="141">
        <v>1246693</v>
      </c>
      <c r="T61" s="141">
        <v>1267953</v>
      </c>
      <c r="U61" s="141">
        <v>1248031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5184135</v>
      </c>
      <c r="AF61" s="2">
        <f t="shared" si="15"/>
        <v>0.72077589520323793</v>
      </c>
      <c r="AG61" s="2">
        <f t="shared" si="15"/>
        <v>0.70367048597392334</v>
      </c>
      <c r="AH61" s="2">
        <f t="shared" si="15"/>
        <v>0.72639625926433038</v>
      </c>
      <c r="AI61" s="2">
        <f t="shared" si="15"/>
        <v>0.70046455136865016</v>
      </c>
      <c r="AJ61" s="2" t="str">
        <f t="shared" si="15"/>
        <v/>
      </c>
      <c r="AK61" s="2" t="str">
        <f t="shared" si="15"/>
        <v/>
      </c>
      <c r="AL61" s="2" t="str">
        <f t="shared" si="15"/>
        <v/>
      </c>
      <c r="AM61" s="2" t="str">
        <f t="shared" si="13"/>
        <v/>
      </c>
      <c r="AN61" s="2" t="str">
        <f t="shared" si="6"/>
        <v/>
      </c>
      <c r="AO61" s="2" t="str">
        <f t="shared" si="6"/>
        <v/>
      </c>
      <c r="AP61" s="2" t="str">
        <f t="shared" si="6"/>
        <v/>
      </c>
      <c r="AQ61" s="2" t="str">
        <f t="shared" si="6"/>
        <v/>
      </c>
      <c r="AR61" s="2">
        <f t="shared" si="6"/>
        <v>0.71298005248188712</v>
      </c>
      <c r="AT61" s="143">
        <f t="shared" si="11"/>
        <v>-1.7105409229314583E-2</v>
      </c>
      <c r="AU61" s="143">
        <f t="shared" si="12"/>
        <v>2.2725773290407036E-2</v>
      </c>
      <c r="AV61" s="143">
        <f t="shared" si="16"/>
        <v>-2.5931707895680223E-2</v>
      </c>
      <c r="AW61" s="143" t="str">
        <f t="shared" si="16"/>
        <v/>
      </c>
      <c r="AX61" s="143" t="str">
        <f t="shared" si="16"/>
        <v/>
      </c>
      <c r="AY61" s="143" t="str">
        <f t="shared" si="14"/>
        <v/>
      </c>
      <c r="AZ61" s="143" t="str">
        <f t="shared" si="14"/>
        <v/>
      </c>
      <c r="BA61" s="143" t="str">
        <f t="shared" si="14"/>
        <v/>
      </c>
      <c r="BB61" s="143" t="str">
        <f t="shared" si="14"/>
        <v/>
      </c>
      <c r="BC61" s="143" t="str">
        <f t="shared" si="14"/>
        <v/>
      </c>
      <c r="BD61" s="143" t="str">
        <f t="shared" si="14"/>
        <v/>
      </c>
      <c r="BF61" s="9">
        <f t="shared" si="10"/>
        <v>6.5562582326465814E-3</v>
      </c>
      <c r="BG61" s="9">
        <f t="shared" si="5"/>
        <v>0.9121397998548656</v>
      </c>
    </row>
    <row r="62" spans="2:59" x14ac:dyDescent="0.35">
      <c r="B62" s="3" t="s">
        <v>156</v>
      </c>
      <c r="D62" s="141">
        <v>1213702</v>
      </c>
      <c r="E62" s="141">
        <v>1122054</v>
      </c>
      <c r="F62" s="141">
        <v>1197785</v>
      </c>
      <c r="G62" s="141">
        <v>1036930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4570471</v>
      </c>
      <c r="R62" s="141">
        <v>899312</v>
      </c>
      <c r="S62" s="141">
        <v>813646</v>
      </c>
      <c r="T62" s="141">
        <v>859027</v>
      </c>
      <c r="U62" s="141">
        <v>759938</v>
      </c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3331923</v>
      </c>
      <c r="AF62" s="2">
        <f t="shared" si="15"/>
        <v>0.74096606910098195</v>
      </c>
      <c r="AG62" s="2">
        <f t="shared" si="15"/>
        <v>0.72513978828113446</v>
      </c>
      <c r="AH62" s="2">
        <f t="shared" si="15"/>
        <v>0.71717962739556762</v>
      </c>
      <c r="AI62" s="2">
        <f t="shared" si="15"/>
        <v>0.73287300010608236</v>
      </c>
      <c r="AJ62" s="2" t="str">
        <f t="shared" si="15"/>
        <v/>
      </c>
      <c r="AK62" s="2" t="str">
        <f t="shared" si="15"/>
        <v/>
      </c>
      <c r="AL62" s="2" t="str">
        <f t="shared" si="15"/>
        <v/>
      </c>
      <c r="AM62" s="2" t="str">
        <f t="shared" si="13"/>
        <v/>
      </c>
      <c r="AN62" s="2" t="str">
        <f t="shared" si="6"/>
        <v/>
      </c>
      <c r="AO62" s="2" t="str">
        <f t="shared" si="6"/>
        <v/>
      </c>
      <c r="AP62" s="2" t="str">
        <f t="shared" si="6"/>
        <v/>
      </c>
      <c r="AQ62" s="2" t="str">
        <f t="shared" si="6"/>
        <v/>
      </c>
      <c r="AR62" s="2">
        <f t="shared" si="6"/>
        <v>0.72901086124384118</v>
      </c>
      <c r="AT62" s="143">
        <f t="shared" si="11"/>
        <v>-1.5826280819847494E-2</v>
      </c>
      <c r="AU62" s="143">
        <f t="shared" si="12"/>
        <v>-7.960160885566836E-3</v>
      </c>
      <c r="AV62" s="143">
        <f t="shared" si="16"/>
        <v>1.5693372710514741E-2</v>
      </c>
      <c r="AW62" s="143" t="str">
        <f t="shared" si="16"/>
        <v/>
      </c>
      <c r="AX62" s="143" t="str">
        <f t="shared" si="16"/>
        <v/>
      </c>
      <c r="AY62" s="143" t="str">
        <f t="shared" si="14"/>
        <v/>
      </c>
      <c r="AZ62" s="143" t="str">
        <f t="shared" si="14"/>
        <v/>
      </c>
      <c r="BA62" s="143" t="str">
        <f t="shared" si="14"/>
        <v/>
      </c>
      <c r="BB62" s="143" t="str">
        <f t="shared" si="14"/>
        <v/>
      </c>
      <c r="BC62" s="143" t="str">
        <f t="shared" si="14"/>
        <v/>
      </c>
      <c r="BD62" s="143" t="str">
        <f t="shared" si="14"/>
        <v/>
      </c>
      <c r="BF62" s="9">
        <f t="shared" si="10"/>
        <v>4.2138076264014142E-3</v>
      </c>
      <c r="BG62" s="9">
        <f t="shared" si="5"/>
        <v>0.91635360748126704</v>
      </c>
    </row>
    <row r="63" spans="2:59" x14ac:dyDescent="0.35">
      <c r="B63" s="3" t="s">
        <v>164</v>
      </c>
      <c r="D63" s="141">
        <v>90007</v>
      </c>
      <c r="E63" s="141">
        <v>99280</v>
      </c>
      <c r="F63" s="141">
        <v>42528</v>
      </c>
      <c r="G63" s="141">
        <v>68982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300797</v>
      </c>
      <c r="R63" s="141">
        <v>80784</v>
      </c>
      <c r="S63" s="141">
        <v>78633</v>
      </c>
      <c r="T63" s="141">
        <v>28475</v>
      </c>
      <c r="U63" s="141">
        <v>56146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244038</v>
      </c>
      <c r="AF63" s="2">
        <f t="shared" si="15"/>
        <v>0.89753019209617024</v>
      </c>
      <c r="AG63" s="2">
        <f t="shared" si="15"/>
        <v>0.79203263497179699</v>
      </c>
      <c r="AH63" s="2">
        <f t="shared" si="15"/>
        <v>0.66955887885628296</v>
      </c>
      <c r="AI63" s="2">
        <f t="shared" si="15"/>
        <v>0.81392247252906558</v>
      </c>
      <c r="AJ63" s="2" t="str">
        <f t="shared" si="15"/>
        <v/>
      </c>
      <c r="AK63" s="2" t="str">
        <f t="shared" si="15"/>
        <v/>
      </c>
      <c r="AL63" s="2" t="str">
        <f t="shared" si="15"/>
        <v/>
      </c>
      <c r="AM63" s="2" t="str">
        <f t="shared" si="13"/>
        <v/>
      </c>
      <c r="AN63" s="2" t="str">
        <f t="shared" si="6"/>
        <v/>
      </c>
      <c r="AO63" s="2" t="str">
        <f t="shared" si="6"/>
        <v/>
      </c>
      <c r="AP63" s="2" t="str">
        <f t="shared" si="6"/>
        <v/>
      </c>
      <c r="AQ63" s="2" t="str">
        <f t="shared" si="6"/>
        <v/>
      </c>
      <c r="AR63" s="2">
        <f t="shared" si="6"/>
        <v>0.81130463402228081</v>
      </c>
      <c r="AT63" s="143">
        <f t="shared" si="11"/>
        <v>-0.10549755712437325</v>
      </c>
      <c r="AU63" s="143">
        <f t="shared" si="12"/>
        <v>-0.12247375611551403</v>
      </c>
      <c r="AV63" s="143">
        <f t="shared" si="16"/>
        <v>0.14436359367278262</v>
      </c>
      <c r="AW63" s="143" t="str">
        <f t="shared" si="16"/>
        <v/>
      </c>
      <c r="AX63" s="143" t="str">
        <f t="shared" si="16"/>
        <v/>
      </c>
      <c r="AY63" s="143" t="str">
        <f t="shared" si="14"/>
        <v/>
      </c>
      <c r="AZ63" s="143" t="str">
        <f t="shared" si="14"/>
        <v/>
      </c>
      <c r="BA63" s="143" t="str">
        <f t="shared" si="14"/>
        <v/>
      </c>
      <c r="BB63" s="143" t="str">
        <f t="shared" si="14"/>
        <v/>
      </c>
      <c r="BC63" s="143" t="str">
        <f t="shared" si="14"/>
        <v/>
      </c>
      <c r="BD63" s="143" t="str">
        <f t="shared" si="14"/>
        <v/>
      </c>
      <c r="BF63" s="9">
        <f t="shared" si="10"/>
        <v>3.0862933673189577E-4</v>
      </c>
      <c r="BG63" s="9">
        <f t="shared" si="5"/>
        <v>0.91666223681799897</v>
      </c>
    </row>
    <row r="64" spans="2:59" x14ac:dyDescent="0.35">
      <c r="B64" s="3" t="s">
        <v>147</v>
      </c>
      <c r="D64" s="141">
        <v>551619</v>
      </c>
      <c r="E64" s="141">
        <v>479525</v>
      </c>
      <c r="F64" s="141">
        <v>604466</v>
      </c>
      <c r="G64" s="141">
        <v>455752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2091362</v>
      </c>
      <c r="R64" s="141">
        <v>424303</v>
      </c>
      <c r="S64" s="141">
        <v>328899</v>
      </c>
      <c r="T64" s="141">
        <v>378796</v>
      </c>
      <c r="U64" s="141">
        <v>318089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1450087</v>
      </c>
      <c r="AF64" s="2">
        <f t="shared" si="15"/>
        <v>0.7691957673684191</v>
      </c>
      <c r="AG64" s="2">
        <f t="shared" si="15"/>
        <v>0.6858849903550388</v>
      </c>
      <c r="AH64" s="2">
        <f t="shared" si="15"/>
        <v>0.62666221094321273</v>
      </c>
      <c r="AI64" s="2">
        <f t="shared" si="15"/>
        <v>0.69794317962400609</v>
      </c>
      <c r="AJ64" s="2" t="str">
        <f t="shared" si="15"/>
        <v/>
      </c>
      <c r="AK64" s="2" t="str">
        <f t="shared" si="15"/>
        <v/>
      </c>
      <c r="AL64" s="2" t="str">
        <f t="shared" si="15"/>
        <v/>
      </c>
      <c r="AM64" s="2" t="str">
        <f t="shared" si="13"/>
        <v/>
      </c>
      <c r="AN64" s="2" t="str">
        <f t="shared" si="6"/>
        <v/>
      </c>
      <c r="AO64" s="2" t="str">
        <f t="shared" si="6"/>
        <v/>
      </c>
      <c r="AP64" s="2" t="str">
        <f t="shared" si="6"/>
        <v/>
      </c>
      <c r="AQ64" s="2" t="str">
        <f t="shared" si="6"/>
        <v/>
      </c>
      <c r="AR64" s="2">
        <f t="shared" si="6"/>
        <v>0.69336967966330076</v>
      </c>
      <c r="AT64" s="143">
        <f t="shared" si="11"/>
        <v>-8.3310777013380299E-2</v>
      </c>
      <c r="AU64" s="143">
        <f t="shared" si="12"/>
        <v>-5.9222779411826076E-2</v>
      </c>
      <c r="AV64" s="143">
        <f t="shared" si="16"/>
        <v>7.1280968680793366E-2</v>
      </c>
      <c r="AW64" s="143" t="str">
        <f t="shared" si="16"/>
        <v/>
      </c>
      <c r="AX64" s="143" t="str">
        <f t="shared" si="16"/>
        <v/>
      </c>
      <c r="AY64" s="143" t="str">
        <f t="shared" si="14"/>
        <v/>
      </c>
      <c r="AZ64" s="143" t="str">
        <f t="shared" si="14"/>
        <v/>
      </c>
      <c r="BA64" s="143" t="str">
        <f t="shared" si="14"/>
        <v/>
      </c>
      <c r="BB64" s="143" t="str">
        <f t="shared" si="14"/>
        <v/>
      </c>
      <c r="BC64" s="143" t="str">
        <f t="shared" si="14"/>
        <v/>
      </c>
      <c r="BD64" s="143" t="str">
        <f t="shared" si="14"/>
        <v/>
      </c>
      <c r="BF64" s="9">
        <f t="shared" si="10"/>
        <v>1.8338922176609567E-3</v>
      </c>
      <c r="BG64" s="9">
        <f t="shared" si="5"/>
        <v>0.91849612903565991</v>
      </c>
    </row>
    <row r="65" spans="2:59" x14ac:dyDescent="0.35">
      <c r="B65" s="3" t="s">
        <v>136</v>
      </c>
      <c r="D65" s="141">
        <v>112765</v>
      </c>
      <c r="E65" s="141">
        <v>140580</v>
      </c>
      <c r="F65" s="141">
        <v>179033</v>
      </c>
      <c r="G65" s="141">
        <v>124067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556445</v>
      </c>
      <c r="R65" s="141">
        <v>64137</v>
      </c>
      <c r="S65" s="141">
        <v>104455</v>
      </c>
      <c r="T65" s="141">
        <v>123193</v>
      </c>
      <c r="U65" s="141">
        <v>68905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360690</v>
      </c>
      <c r="AF65" s="2">
        <f t="shared" si="15"/>
        <v>0.56876690462466195</v>
      </c>
      <c r="AG65" s="2">
        <f t="shared" si="15"/>
        <v>0.74302888035282399</v>
      </c>
      <c r="AH65" s="2">
        <f t="shared" si="15"/>
        <v>0.68810219345036949</v>
      </c>
      <c r="AI65" s="2">
        <f t="shared" si="15"/>
        <v>0.55538539660022412</v>
      </c>
      <c r="AJ65" s="2" t="str">
        <f t="shared" si="15"/>
        <v/>
      </c>
      <c r="AK65" s="2" t="str">
        <f t="shared" si="15"/>
        <v/>
      </c>
      <c r="AL65" s="2" t="str">
        <f t="shared" si="15"/>
        <v/>
      </c>
      <c r="AM65" s="2" t="str">
        <f t="shared" si="13"/>
        <v/>
      </c>
      <c r="AN65" s="2" t="str">
        <f t="shared" si="6"/>
        <v/>
      </c>
      <c r="AO65" s="2" t="str">
        <f t="shared" si="6"/>
        <v/>
      </c>
      <c r="AP65" s="2" t="str">
        <f t="shared" si="6"/>
        <v/>
      </c>
      <c r="AQ65" s="2" t="str">
        <f t="shared" si="6"/>
        <v/>
      </c>
      <c r="AR65" s="2">
        <f t="shared" si="6"/>
        <v>0.64820422503571784</v>
      </c>
      <c r="AT65" s="143">
        <f t="shared" si="11"/>
        <v>0.17426197572816204</v>
      </c>
      <c r="AU65" s="143">
        <f t="shared" si="12"/>
        <v>-5.4926686902454502E-2</v>
      </c>
      <c r="AV65" s="143">
        <f t="shared" si="16"/>
        <v>-0.13271679685014537</v>
      </c>
      <c r="AW65" s="143" t="str">
        <f t="shared" si="16"/>
        <v/>
      </c>
      <c r="AX65" s="143" t="str">
        <f t="shared" si="16"/>
        <v/>
      </c>
      <c r="AY65" s="143" t="str">
        <f t="shared" si="14"/>
        <v/>
      </c>
      <c r="AZ65" s="143" t="str">
        <f t="shared" si="14"/>
        <v/>
      </c>
      <c r="BA65" s="143" t="str">
        <f t="shared" si="14"/>
        <v/>
      </c>
      <c r="BB65" s="143" t="str">
        <f t="shared" si="14"/>
        <v/>
      </c>
      <c r="BC65" s="143" t="str">
        <f t="shared" si="14"/>
        <v/>
      </c>
      <c r="BD65" s="143" t="str">
        <f t="shared" si="14"/>
        <v/>
      </c>
      <c r="BF65" s="9">
        <f t="shared" si="10"/>
        <v>4.5615648163739863E-4</v>
      </c>
      <c r="BG65" s="9">
        <f t="shared" si="5"/>
        <v>0.91895228551729735</v>
      </c>
    </row>
    <row r="66" spans="2:59" x14ac:dyDescent="0.35">
      <c r="B66" s="3" t="s">
        <v>141</v>
      </c>
      <c r="D66" s="141">
        <v>284167</v>
      </c>
      <c r="E66" s="141">
        <v>276448</v>
      </c>
      <c r="F66" s="141">
        <v>339397</v>
      </c>
      <c r="G66" s="141">
        <v>203388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1103400</v>
      </c>
      <c r="R66" s="141">
        <v>233586</v>
      </c>
      <c r="S66" s="141">
        <v>239684</v>
      </c>
      <c r="T66" s="141">
        <v>295508</v>
      </c>
      <c r="U66" s="141">
        <v>160929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929707</v>
      </c>
      <c r="AF66" s="2">
        <f t="shared" si="15"/>
        <v>0.82200255483571283</v>
      </c>
      <c r="AG66" s="2">
        <f t="shared" si="15"/>
        <v>0.86701296446347953</v>
      </c>
      <c r="AH66" s="2">
        <f t="shared" si="15"/>
        <v>0.87068536256949824</v>
      </c>
      <c r="AI66" s="2">
        <f t="shared" si="15"/>
        <v>0.7912413711723405</v>
      </c>
      <c r="AJ66" s="2" t="str">
        <f t="shared" si="15"/>
        <v/>
      </c>
      <c r="AK66" s="2" t="str">
        <f t="shared" si="15"/>
        <v/>
      </c>
      <c r="AL66" s="2" t="str">
        <f t="shared" si="15"/>
        <v/>
      </c>
      <c r="AM66" s="2" t="str">
        <f t="shared" si="13"/>
        <v/>
      </c>
      <c r="AN66" s="2" t="str">
        <f t="shared" si="6"/>
        <v/>
      </c>
      <c r="AO66" s="2" t="str">
        <f t="shared" si="6"/>
        <v/>
      </c>
      <c r="AP66" s="2" t="str">
        <f t="shared" si="6"/>
        <v/>
      </c>
      <c r="AQ66" s="2" t="str">
        <f t="shared" si="6"/>
        <v/>
      </c>
      <c r="AR66" s="2">
        <f t="shared" si="6"/>
        <v>0.84258383179264096</v>
      </c>
      <c r="AT66" s="143">
        <f t="shared" si="11"/>
        <v>4.5010409627766701E-2</v>
      </c>
      <c r="AU66" s="143">
        <f t="shared" si="12"/>
        <v>3.672398106018715E-3</v>
      </c>
      <c r="AV66" s="143">
        <f t="shared" si="16"/>
        <v>-7.9443991397157743E-2</v>
      </c>
      <c r="AW66" s="143" t="str">
        <f t="shared" si="16"/>
        <v/>
      </c>
      <c r="AX66" s="143" t="str">
        <f t="shared" si="16"/>
        <v/>
      </c>
      <c r="AY66" s="143" t="str">
        <f t="shared" si="14"/>
        <v/>
      </c>
      <c r="AZ66" s="143" t="str">
        <f t="shared" si="14"/>
        <v/>
      </c>
      <c r="BA66" s="143" t="str">
        <f t="shared" si="14"/>
        <v/>
      </c>
      <c r="BB66" s="143" t="str">
        <f t="shared" si="14"/>
        <v/>
      </c>
      <c r="BC66" s="143" t="str">
        <f t="shared" si="14"/>
        <v/>
      </c>
      <c r="BD66" s="143" t="str">
        <f t="shared" si="14"/>
        <v/>
      </c>
      <c r="BF66" s="9">
        <f t="shared" si="10"/>
        <v>1.1757794063424574E-3</v>
      </c>
      <c r="BG66" s="9">
        <f t="shared" si="5"/>
        <v>0.92012806492363985</v>
      </c>
    </row>
    <row r="67" spans="2:59" x14ac:dyDescent="0.35">
      <c r="B67" s="3" t="s">
        <v>142</v>
      </c>
      <c r="D67" s="141">
        <v>669910</v>
      </c>
      <c r="E67" s="141">
        <v>624545</v>
      </c>
      <c r="F67" s="141">
        <v>602867</v>
      </c>
      <c r="G67" s="141">
        <v>535242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2432564</v>
      </c>
      <c r="R67" s="141">
        <v>484936</v>
      </c>
      <c r="S67" s="141">
        <v>459180</v>
      </c>
      <c r="T67" s="141">
        <v>415815</v>
      </c>
      <c r="U67" s="141">
        <v>377734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1737665</v>
      </c>
      <c r="AF67" s="2">
        <f t="shared" si="15"/>
        <v>0.7238823125494469</v>
      </c>
      <c r="AG67" s="2">
        <f t="shared" si="15"/>
        <v>0.73522324252055493</v>
      </c>
      <c r="AH67" s="2">
        <f t="shared" si="15"/>
        <v>0.68972924376354983</v>
      </c>
      <c r="AI67" s="2">
        <f t="shared" si="15"/>
        <v>0.70572563438594127</v>
      </c>
      <c r="AJ67" s="2" t="str">
        <f t="shared" si="15"/>
        <v/>
      </c>
      <c r="AK67" s="2" t="str">
        <f t="shared" si="15"/>
        <v/>
      </c>
      <c r="AL67" s="2" t="str">
        <f t="shared" si="15"/>
        <v/>
      </c>
      <c r="AM67" s="2" t="str">
        <f t="shared" si="13"/>
        <v/>
      </c>
      <c r="AN67" s="2" t="str">
        <f t="shared" si="6"/>
        <v/>
      </c>
      <c r="AO67" s="2" t="str">
        <f t="shared" si="6"/>
        <v/>
      </c>
      <c r="AP67" s="2" t="str">
        <f t="shared" si="6"/>
        <v/>
      </c>
      <c r="AQ67" s="2" t="str">
        <f t="shared" si="6"/>
        <v/>
      </c>
      <c r="AR67" s="2">
        <f t="shared" si="6"/>
        <v>0.71433475131589552</v>
      </c>
      <c r="AT67" s="143">
        <f t="shared" si="11"/>
        <v>1.1340929971108027E-2</v>
      </c>
      <c r="AU67" s="143">
        <f t="shared" si="12"/>
        <v>-4.5493998757005105E-2</v>
      </c>
      <c r="AV67" s="143">
        <f t="shared" si="16"/>
        <v>1.5996390622391443E-2</v>
      </c>
      <c r="AW67" s="143" t="str">
        <f t="shared" si="16"/>
        <v/>
      </c>
      <c r="AX67" s="143" t="str">
        <f t="shared" si="16"/>
        <v/>
      </c>
      <c r="AY67" s="143" t="str">
        <f t="shared" si="14"/>
        <v/>
      </c>
      <c r="AZ67" s="143" t="str">
        <f t="shared" si="14"/>
        <v/>
      </c>
      <c r="BA67" s="143" t="str">
        <f t="shared" si="14"/>
        <v/>
      </c>
      <c r="BB67" s="143" t="str">
        <f t="shared" si="14"/>
        <v/>
      </c>
      <c r="BC67" s="143" t="str">
        <f t="shared" si="14"/>
        <v/>
      </c>
      <c r="BD67" s="143" t="str">
        <f t="shared" si="14"/>
        <v/>
      </c>
      <c r="BF67" s="9">
        <f t="shared" si="10"/>
        <v>2.1975856072096547E-3</v>
      </c>
      <c r="BG67" s="9">
        <f t="shared" si="5"/>
        <v>0.92232565053084947</v>
      </c>
    </row>
    <row r="68" spans="2:59" x14ac:dyDescent="0.35">
      <c r="B68" s="3" t="s">
        <v>145</v>
      </c>
      <c r="D68" s="141">
        <v>667113</v>
      </c>
      <c r="E68" s="141">
        <v>442290</v>
      </c>
      <c r="F68" s="141">
        <v>162064</v>
      </c>
      <c r="G68" s="141">
        <v>115608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1387075</v>
      </c>
      <c r="R68" s="141">
        <v>429177</v>
      </c>
      <c r="S68" s="141">
        <v>280270</v>
      </c>
      <c r="T68" s="141">
        <v>89570</v>
      </c>
      <c r="U68" s="141">
        <v>63810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862827</v>
      </c>
      <c r="AF68" s="2">
        <f t="shared" si="15"/>
        <v>0.6433347873598626</v>
      </c>
      <c r="AG68" s="2">
        <f t="shared" si="15"/>
        <v>0.63367926021388676</v>
      </c>
      <c r="AH68" s="2">
        <f t="shared" si="15"/>
        <v>0.552682890709843</v>
      </c>
      <c r="AI68" s="2">
        <f t="shared" si="15"/>
        <v>0.55195142204691716</v>
      </c>
      <c r="AJ68" s="2" t="str">
        <f t="shared" si="15"/>
        <v/>
      </c>
      <c r="AK68" s="2" t="str">
        <f t="shared" si="15"/>
        <v/>
      </c>
      <c r="AL68" s="2" t="str">
        <f t="shared" si="15"/>
        <v/>
      </c>
      <c r="AM68" s="2" t="str">
        <f t="shared" si="13"/>
        <v/>
      </c>
      <c r="AN68" s="2" t="str">
        <f t="shared" si="6"/>
        <v/>
      </c>
      <c r="AO68" s="2" t="str">
        <f t="shared" si="6"/>
        <v/>
      </c>
      <c r="AP68" s="2" t="str">
        <f t="shared" si="6"/>
        <v/>
      </c>
      <c r="AQ68" s="2" t="str">
        <f t="shared" si="6"/>
        <v/>
      </c>
      <c r="AR68" s="2">
        <f t="shared" si="6"/>
        <v>0.62204783447182022</v>
      </c>
      <c r="AT68" s="143">
        <f t="shared" si="11"/>
        <v>-9.6555271459758396E-3</v>
      </c>
      <c r="AU68" s="143">
        <f t="shared" si="12"/>
        <v>-8.0996369504043764E-2</v>
      </c>
      <c r="AV68" s="143">
        <f t="shared" si="16"/>
        <v>-7.3146866292583823E-4</v>
      </c>
      <c r="AW68" s="143" t="str">
        <f t="shared" si="16"/>
        <v/>
      </c>
      <c r="AX68" s="143" t="str">
        <f t="shared" si="16"/>
        <v/>
      </c>
      <c r="AY68" s="143" t="str">
        <f t="shared" si="14"/>
        <v/>
      </c>
      <c r="AZ68" s="143" t="str">
        <f t="shared" si="14"/>
        <v/>
      </c>
      <c r="BA68" s="143" t="str">
        <f t="shared" si="14"/>
        <v/>
      </c>
      <c r="BB68" s="143" t="str">
        <f t="shared" si="14"/>
        <v/>
      </c>
      <c r="BC68" s="143" t="str">
        <f t="shared" si="14"/>
        <v/>
      </c>
      <c r="BD68" s="143" t="str">
        <f t="shared" si="14"/>
        <v/>
      </c>
      <c r="BF68" s="9">
        <f t="shared" si="10"/>
        <v>1.0911977836417749E-3</v>
      </c>
      <c r="BG68" s="9">
        <f t="shared" si="5"/>
        <v>0.92341684831449122</v>
      </c>
    </row>
    <row r="69" spans="2:59" x14ac:dyDescent="0.35">
      <c r="B69" s="3" t="s">
        <v>131</v>
      </c>
      <c r="D69" s="141">
        <v>278264</v>
      </c>
      <c r="E69" s="141">
        <v>267657</v>
      </c>
      <c r="F69" s="141">
        <v>285765</v>
      </c>
      <c r="G69" s="141">
        <v>262359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7">+SUM(D69:O69)</f>
        <v>1094045</v>
      </c>
      <c r="R69" s="141">
        <v>204839</v>
      </c>
      <c r="S69" s="141">
        <v>197984</v>
      </c>
      <c r="T69" s="141">
        <v>207325</v>
      </c>
      <c r="U69" s="141">
        <v>172274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8">+SUM(R69:AC69)</f>
        <v>782422</v>
      </c>
      <c r="AF69" s="2">
        <f t="shared" si="15"/>
        <v>0.73613187476640884</v>
      </c>
      <c r="AG69" s="2">
        <f t="shared" si="15"/>
        <v>0.7396929652503017</v>
      </c>
      <c r="AH69" s="2">
        <f t="shared" si="15"/>
        <v>0.72550872220180918</v>
      </c>
      <c r="AI69" s="2">
        <f t="shared" si="15"/>
        <v>0.65663461135314583</v>
      </c>
      <c r="AJ69" s="2" t="str">
        <f t="shared" si="15"/>
        <v/>
      </c>
      <c r="AK69" s="2" t="str">
        <f t="shared" si="15"/>
        <v/>
      </c>
      <c r="AL69" s="2" t="str">
        <f t="shared" si="15"/>
        <v/>
      </c>
      <c r="AM69" s="2" t="str">
        <f t="shared" si="13"/>
        <v/>
      </c>
      <c r="AN69" s="2" t="str">
        <f t="shared" si="6"/>
        <v/>
      </c>
      <c r="AO69" s="2" t="str">
        <f t="shared" si="6"/>
        <v/>
      </c>
      <c r="AP69" s="2" t="str">
        <f t="shared" si="6"/>
        <v/>
      </c>
      <c r="AQ69" s="2" t="str">
        <f t="shared" si="6"/>
        <v/>
      </c>
      <c r="AR69" s="2">
        <f t="shared" si="6"/>
        <v>0.7151643670964174</v>
      </c>
      <c r="AT69" s="143">
        <f t="shared" si="11"/>
        <v>3.5610904838928592E-3</v>
      </c>
      <c r="AU69" s="143">
        <f t="shared" si="12"/>
        <v>-1.4184243048492529E-2</v>
      </c>
      <c r="AV69" s="143">
        <f t="shared" si="16"/>
        <v>-6.887411084866335E-2</v>
      </c>
      <c r="AW69" s="143" t="str">
        <f t="shared" si="16"/>
        <v/>
      </c>
      <c r="AX69" s="143" t="str">
        <f t="shared" si="16"/>
        <v/>
      </c>
      <c r="AY69" s="143" t="str">
        <f t="shared" si="14"/>
        <v/>
      </c>
      <c r="AZ69" s="143" t="str">
        <f t="shared" si="14"/>
        <v/>
      </c>
      <c r="BA69" s="143" t="str">
        <f t="shared" si="14"/>
        <v/>
      </c>
      <c r="BB69" s="143" t="str">
        <f t="shared" si="14"/>
        <v/>
      </c>
      <c r="BC69" s="143" t="str">
        <f t="shared" si="14"/>
        <v/>
      </c>
      <c r="BD69" s="143" t="str">
        <f t="shared" si="14"/>
        <v/>
      </c>
      <c r="BF69" s="9">
        <f t="shared" ref="BF69:BF100" si="19">+AD69/$AD$256</f>
        <v>9.8951139947239092E-4</v>
      </c>
      <c r="BG69" s="9">
        <f t="shared" si="5"/>
        <v>0.92440635971396357</v>
      </c>
    </row>
    <row r="70" spans="2:59" x14ac:dyDescent="0.35">
      <c r="B70" s="3" t="s">
        <v>160</v>
      </c>
      <c r="D70" s="141">
        <v>1086759</v>
      </c>
      <c r="E70" s="141">
        <v>1541359</v>
      </c>
      <c r="F70" s="141">
        <v>1706974</v>
      </c>
      <c r="G70" s="141">
        <v>1552386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17"/>
        <v>5887478</v>
      </c>
      <c r="R70" s="141">
        <v>827781</v>
      </c>
      <c r="S70" s="141">
        <v>1186607</v>
      </c>
      <c r="T70" s="141">
        <v>1323626</v>
      </c>
      <c r="U70" s="141">
        <v>1185495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18"/>
        <v>4523509</v>
      </c>
      <c r="AF70" s="2">
        <f t="shared" si="15"/>
        <v>0.76169693556713125</v>
      </c>
      <c r="AG70" s="2">
        <f t="shared" si="15"/>
        <v>0.76984466305383759</v>
      </c>
      <c r="AH70" s="2">
        <f t="shared" si="15"/>
        <v>0.77542247275002429</v>
      </c>
      <c r="AI70" s="2">
        <f t="shared" si="15"/>
        <v>0.76365994024682005</v>
      </c>
      <c r="AJ70" s="2" t="str">
        <f t="shared" si="15"/>
        <v/>
      </c>
      <c r="AK70" s="2" t="str">
        <f t="shared" si="15"/>
        <v/>
      </c>
      <c r="AL70" s="2" t="str">
        <f t="shared" si="15"/>
        <v/>
      </c>
      <c r="AM70" s="2" t="str">
        <f t="shared" si="13"/>
        <v/>
      </c>
      <c r="AN70" s="2" t="str">
        <f t="shared" si="6"/>
        <v/>
      </c>
      <c r="AO70" s="2" t="str">
        <f t="shared" si="6"/>
        <v/>
      </c>
      <c r="AP70" s="2" t="str">
        <f t="shared" si="6"/>
        <v/>
      </c>
      <c r="AQ70" s="2" t="str">
        <f t="shared" si="6"/>
        <v/>
      </c>
      <c r="AR70" s="2">
        <f t="shared" si="6"/>
        <v>0.76832711731576742</v>
      </c>
      <c r="AT70" s="143">
        <f t="shared" si="11"/>
        <v>8.1477274867063354E-3</v>
      </c>
      <c r="AU70" s="143">
        <f t="shared" si="12"/>
        <v>5.5778096961867085E-3</v>
      </c>
      <c r="AV70" s="143">
        <f t="shared" si="16"/>
        <v>-1.1762532503204248E-2</v>
      </c>
      <c r="AW70" s="143" t="str">
        <f t="shared" si="16"/>
        <v/>
      </c>
      <c r="AX70" s="143" t="str">
        <f t="shared" si="16"/>
        <v/>
      </c>
      <c r="AY70" s="143" t="str">
        <f t="shared" si="14"/>
        <v/>
      </c>
      <c r="AZ70" s="143" t="str">
        <f t="shared" si="14"/>
        <v/>
      </c>
      <c r="BA70" s="143" t="str">
        <f t="shared" si="14"/>
        <v/>
      </c>
      <c r="BB70" s="143" t="str">
        <f t="shared" si="14"/>
        <v/>
      </c>
      <c r="BC70" s="143" t="str">
        <f t="shared" si="14"/>
        <v/>
      </c>
      <c r="BD70" s="143" t="str">
        <f t="shared" si="14"/>
        <v/>
      </c>
      <c r="BF70" s="9">
        <f t="shared" si="19"/>
        <v>5.7207794784859779E-3</v>
      </c>
      <c r="BG70" s="9">
        <f t="shared" ref="BG70:BG133" si="20">+BF70+BG69</f>
        <v>0.93012713919244949</v>
      </c>
    </row>
    <row r="71" spans="2:59" x14ac:dyDescent="0.35">
      <c r="B71" s="3" t="s">
        <v>169</v>
      </c>
      <c r="D71" s="141">
        <v>327743</v>
      </c>
      <c r="E71" s="141">
        <v>287410</v>
      </c>
      <c r="F71" s="141">
        <v>357551</v>
      </c>
      <c r="G71" s="141">
        <v>320547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17"/>
        <v>1293251</v>
      </c>
      <c r="R71" s="141">
        <v>242170</v>
      </c>
      <c r="S71" s="141">
        <v>209324</v>
      </c>
      <c r="T71" s="141">
        <v>280663</v>
      </c>
      <c r="U71" s="141">
        <v>217241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18"/>
        <v>949398</v>
      </c>
      <c r="AF71" s="2">
        <f t="shared" si="15"/>
        <v>0.73890212758167217</v>
      </c>
      <c r="AG71" s="2">
        <f t="shared" si="15"/>
        <v>0.72831147141713926</v>
      </c>
      <c r="AH71" s="2">
        <f t="shared" si="15"/>
        <v>0.78495934845658377</v>
      </c>
      <c r="AI71" s="2">
        <f t="shared" si="15"/>
        <v>0.67771964797673978</v>
      </c>
      <c r="AJ71" s="2" t="str">
        <f t="shared" si="15"/>
        <v/>
      </c>
      <c r="AK71" s="2" t="str">
        <f t="shared" si="15"/>
        <v/>
      </c>
      <c r="AL71" s="2" t="str">
        <f t="shared" si="15"/>
        <v/>
      </c>
      <c r="AM71" s="2" t="str">
        <f t="shared" si="13"/>
        <v/>
      </c>
      <c r="AN71" s="2" t="str">
        <f t="shared" si="6"/>
        <v/>
      </c>
      <c r="AO71" s="2" t="str">
        <f t="shared" si="6"/>
        <v/>
      </c>
      <c r="AP71" s="2" t="str">
        <f t="shared" si="6"/>
        <v/>
      </c>
      <c r="AQ71" s="2" t="str">
        <f t="shared" si="6"/>
        <v/>
      </c>
      <c r="AR71" s="2">
        <f t="shared" si="6"/>
        <v>0.73411735231598507</v>
      </c>
      <c r="AT71" s="143">
        <f t="shared" si="11"/>
        <v>-1.0590656164532919E-2</v>
      </c>
      <c r="AU71" s="143">
        <f t="shared" si="12"/>
        <v>5.6647877039444516E-2</v>
      </c>
      <c r="AV71" s="143">
        <f t="shared" si="16"/>
        <v>-0.10723970047984399</v>
      </c>
      <c r="AW71" s="143" t="str">
        <f t="shared" si="16"/>
        <v/>
      </c>
      <c r="AX71" s="143" t="str">
        <f t="shared" si="16"/>
        <v/>
      </c>
      <c r="AY71" s="143" t="str">
        <f t="shared" si="14"/>
        <v/>
      </c>
      <c r="AZ71" s="143" t="str">
        <f t="shared" si="14"/>
        <v/>
      </c>
      <c r="BA71" s="143" t="str">
        <f t="shared" si="14"/>
        <v/>
      </c>
      <c r="BB71" s="143" t="str">
        <f t="shared" si="14"/>
        <v/>
      </c>
      <c r="BC71" s="143" t="str">
        <f t="shared" si="14"/>
        <v/>
      </c>
      <c r="BD71" s="143" t="str">
        <f t="shared" si="14"/>
        <v/>
      </c>
      <c r="BF71" s="9">
        <f t="shared" si="19"/>
        <v>1.2006821684925643E-3</v>
      </c>
      <c r="BG71" s="9">
        <f t="shared" si="20"/>
        <v>0.93132782136094205</v>
      </c>
    </row>
    <row r="72" spans="2:59" x14ac:dyDescent="0.35">
      <c r="B72" s="3" t="s">
        <v>144</v>
      </c>
      <c r="D72" s="141">
        <v>904707</v>
      </c>
      <c r="E72" s="141">
        <v>2157041</v>
      </c>
      <c r="F72" s="141">
        <v>1745406</v>
      </c>
      <c r="G72" s="141">
        <v>899920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17"/>
        <v>5707074</v>
      </c>
      <c r="R72" s="141">
        <v>659837</v>
      </c>
      <c r="S72" s="141">
        <v>1618500</v>
      </c>
      <c r="T72" s="141">
        <v>1265790</v>
      </c>
      <c r="U72" s="141">
        <v>685182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18"/>
        <v>4229309</v>
      </c>
      <c r="AF72" s="2">
        <f t="shared" si="15"/>
        <v>0.72933778560351581</v>
      </c>
      <c r="AG72" s="2">
        <f t="shared" si="15"/>
        <v>0.75033344289700565</v>
      </c>
      <c r="AH72" s="2">
        <f t="shared" si="15"/>
        <v>0.72521235746869206</v>
      </c>
      <c r="AI72" s="2">
        <f t="shared" si="15"/>
        <v>0.76138101164547956</v>
      </c>
      <c r="AJ72" s="2" t="str">
        <f t="shared" si="15"/>
        <v/>
      </c>
      <c r="AK72" s="2" t="str">
        <f t="shared" si="15"/>
        <v/>
      </c>
      <c r="AL72" s="2" t="str">
        <f t="shared" si="15"/>
        <v/>
      </c>
      <c r="AM72" s="2" t="str">
        <f t="shared" si="13"/>
        <v/>
      </c>
      <c r="AN72" s="2" t="str">
        <f t="shared" si="6"/>
        <v/>
      </c>
      <c r="AO72" s="2" t="str">
        <f t="shared" si="6"/>
        <v/>
      </c>
      <c r="AP72" s="2" t="str">
        <f t="shared" si="6"/>
        <v/>
      </c>
      <c r="AQ72" s="2" t="str">
        <f t="shared" si="6"/>
        <v/>
      </c>
      <c r="AR72" s="2">
        <f t="shared" si="6"/>
        <v>0.74106433524429505</v>
      </c>
      <c r="AT72" s="143">
        <f t="shared" si="11"/>
        <v>2.0995657293489844E-2</v>
      </c>
      <c r="AU72" s="143">
        <f t="shared" si="12"/>
        <v>-2.5121085428313594E-2</v>
      </c>
      <c r="AV72" s="143">
        <f t="shared" si="16"/>
        <v>3.6168654176787496E-2</v>
      </c>
      <c r="AW72" s="143" t="str">
        <f t="shared" si="16"/>
        <v/>
      </c>
      <c r="AX72" s="143" t="str">
        <f t="shared" si="16"/>
        <v/>
      </c>
      <c r="AY72" s="143" t="str">
        <f t="shared" si="14"/>
        <v/>
      </c>
      <c r="AZ72" s="143" t="str">
        <f t="shared" si="14"/>
        <v/>
      </c>
      <c r="BA72" s="143" t="str">
        <f t="shared" si="14"/>
        <v/>
      </c>
      <c r="BB72" s="143" t="str">
        <f t="shared" si="14"/>
        <v/>
      </c>
      <c r="BC72" s="143" t="str">
        <f t="shared" si="14"/>
        <v/>
      </c>
      <c r="BD72" s="143" t="str">
        <f t="shared" si="14"/>
        <v/>
      </c>
      <c r="BF72" s="9">
        <f t="shared" si="19"/>
        <v>5.3487113953738247E-3</v>
      </c>
      <c r="BG72" s="9">
        <f t="shared" si="20"/>
        <v>0.9366765327563159</v>
      </c>
    </row>
    <row r="73" spans="2:59" x14ac:dyDescent="0.35">
      <c r="B73" s="3" t="s">
        <v>146</v>
      </c>
      <c r="D73" s="141">
        <v>162178</v>
      </c>
      <c r="E73" s="141">
        <v>181545</v>
      </c>
      <c r="F73" s="141">
        <v>170451</v>
      </c>
      <c r="G73" s="141">
        <v>177799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17"/>
        <v>691973</v>
      </c>
      <c r="R73" s="141">
        <v>115105</v>
      </c>
      <c r="S73" s="141">
        <v>112945</v>
      </c>
      <c r="T73" s="141">
        <v>120955</v>
      </c>
      <c r="U73" s="141">
        <v>126176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18"/>
        <v>475181</v>
      </c>
      <c r="AF73" s="2">
        <f t="shared" si="15"/>
        <v>0.70974484825315398</v>
      </c>
      <c r="AG73" s="2">
        <f t="shared" si="15"/>
        <v>0.62213225371120107</v>
      </c>
      <c r="AH73" s="2">
        <f t="shared" si="15"/>
        <v>0.70961742670914219</v>
      </c>
      <c r="AI73" s="2">
        <f t="shared" si="15"/>
        <v>0.709655284900365</v>
      </c>
      <c r="AJ73" s="2" t="str">
        <f t="shared" si="15"/>
        <v/>
      </c>
      <c r="AK73" s="2" t="str">
        <f t="shared" si="15"/>
        <v/>
      </c>
      <c r="AL73" s="2" t="str">
        <f t="shared" si="15"/>
        <v/>
      </c>
      <c r="AM73" s="2" t="str">
        <f t="shared" si="13"/>
        <v/>
      </c>
      <c r="AN73" s="2" t="str">
        <f t="shared" si="6"/>
        <v/>
      </c>
      <c r="AO73" s="2" t="str">
        <f t="shared" si="6"/>
        <v/>
      </c>
      <c r="AP73" s="2" t="str">
        <f t="shared" si="6"/>
        <v/>
      </c>
      <c r="AQ73" s="2" t="str">
        <f t="shared" si="6"/>
        <v/>
      </c>
      <c r="AR73" s="2">
        <f t="shared" si="6"/>
        <v>0.686704539049934</v>
      </c>
      <c r="AT73" s="143">
        <f t="shared" si="11"/>
        <v>-8.7612594541952915E-2</v>
      </c>
      <c r="AU73" s="143">
        <f t="shared" si="12"/>
        <v>8.7485172997941119E-2</v>
      </c>
      <c r="AV73" s="143">
        <f t="shared" si="16"/>
        <v>3.7858191222817084E-5</v>
      </c>
      <c r="AW73" s="143" t="str">
        <f t="shared" si="16"/>
        <v/>
      </c>
      <c r="AX73" s="143" t="str">
        <f t="shared" si="16"/>
        <v/>
      </c>
      <c r="AY73" s="143" t="str">
        <f t="shared" si="14"/>
        <v/>
      </c>
      <c r="AZ73" s="143" t="str">
        <f t="shared" si="14"/>
        <v/>
      </c>
      <c r="BA73" s="143" t="str">
        <f t="shared" si="14"/>
        <v/>
      </c>
      <c r="BB73" s="143" t="str">
        <f t="shared" si="14"/>
        <v/>
      </c>
      <c r="BC73" s="143" t="str">
        <f t="shared" si="14"/>
        <v/>
      </c>
      <c r="BD73" s="143" t="str">
        <f t="shared" si="14"/>
        <v/>
      </c>
      <c r="BF73" s="9">
        <f t="shared" si="19"/>
        <v>6.0095065874002807E-4</v>
      </c>
      <c r="BG73" s="9">
        <f t="shared" si="20"/>
        <v>0.9372774834150559</v>
      </c>
    </row>
    <row r="74" spans="2:59" x14ac:dyDescent="0.35">
      <c r="B74" s="3" t="s">
        <v>252</v>
      </c>
      <c r="D74" s="141">
        <v>430267</v>
      </c>
      <c r="E74" s="141">
        <v>408549</v>
      </c>
      <c r="F74" s="141">
        <v>460155</v>
      </c>
      <c r="G74" s="141">
        <v>373071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17"/>
        <v>1672042</v>
      </c>
      <c r="R74" s="141">
        <v>257954</v>
      </c>
      <c r="S74" s="141">
        <v>253100</v>
      </c>
      <c r="T74" s="141">
        <v>292920</v>
      </c>
      <c r="U74" s="141">
        <v>212666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18"/>
        <v>1016640</v>
      </c>
      <c r="AF74" s="2">
        <f t="shared" si="15"/>
        <v>0.59952076268921395</v>
      </c>
      <c r="AG74" s="2">
        <f t="shared" si="15"/>
        <v>0.61950953251629548</v>
      </c>
      <c r="AH74" s="2">
        <f t="shared" si="15"/>
        <v>0.63656811291847315</v>
      </c>
      <c r="AI74" s="2">
        <f t="shared" si="15"/>
        <v>0.57004162746501341</v>
      </c>
      <c r="AJ74" s="2" t="str">
        <f t="shared" si="15"/>
        <v/>
      </c>
      <c r="AK74" s="2" t="str">
        <f t="shared" si="15"/>
        <v/>
      </c>
      <c r="AL74" s="2" t="str">
        <f t="shared" si="15"/>
        <v/>
      </c>
      <c r="AM74" s="2" t="str">
        <f t="shared" si="13"/>
        <v/>
      </c>
      <c r="AN74" s="2" t="str">
        <f t="shared" si="6"/>
        <v/>
      </c>
      <c r="AO74" s="2" t="str">
        <f t="shared" si="6"/>
        <v/>
      </c>
      <c r="AP74" s="2" t="str">
        <f t="shared" si="6"/>
        <v/>
      </c>
      <c r="AQ74" s="2" t="str">
        <f t="shared" si="6"/>
        <v/>
      </c>
      <c r="AR74" s="2">
        <f t="shared" si="6"/>
        <v>0.60802300420683209</v>
      </c>
      <c r="AT74" s="143">
        <f t="shared" si="11"/>
        <v>1.9988769827081532E-2</v>
      </c>
      <c r="AU74" s="143">
        <f t="shared" si="12"/>
        <v>1.705858040217767E-2</v>
      </c>
      <c r="AV74" s="143">
        <f t="shared" si="16"/>
        <v>-6.6526485453459738E-2</v>
      </c>
      <c r="AW74" s="143" t="str">
        <f t="shared" si="16"/>
        <v/>
      </c>
      <c r="AX74" s="143" t="str">
        <f t="shared" si="16"/>
        <v/>
      </c>
      <c r="AY74" s="143" t="str">
        <f t="shared" si="14"/>
        <v/>
      </c>
      <c r="AZ74" s="143" t="str">
        <f t="shared" si="14"/>
        <v/>
      </c>
      <c r="BA74" s="143" t="str">
        <f t="shared" si="14"/>
        <v/>
      </c>
      <c r="BB74" s="143" t="str">
        <f t="shared" si="14"/>
        <v/>
      </c>
      <c r="BC74" s="143" t="str">
        <f t="shared" si="14"/>
        <v/>
      </c>
      <c r="BD74" s="143" t="str">
        <f t="shared" si="14"/>
        <v/>
      </c>
      <c r="BF74" s="9">
        <f t="shared" si="19"/>
        <v>1.2857216044022428E-3</v>
      </c>
      <c r="BG74" s="9">
        <f t="shared" si="20"/>
        <v>0.93856320501945811</v>
      </c>
    </row>
    <row r="75" spans="2:59" x14ac:dyDescent="0.35">
      <c r="B75" s="3" t="s">
        <v>140</v>
      </c>
      <c r="D75" s="141">
        <v>86098</v>
      </c>
      <c r="E75" s="141">
        <v>83408</v>
      </c>
      <c r="F75" s="141">
        <v>120304</v>
      </c>
      <c r="G75" s="141">
        <v>99120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17"/>
        <v>388930</v>
      </c>
      <c r="R75" s="141">
        <v>59099</v>
      </c>
      <c r="S75" s="141">
        <v>64986</v>
      </c>
      <c r="T75" s="141">
        <v>103432</v>
      </c>
      <c r="U75" s="141">
        <v>77947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18"/>
        <v>305464</v>
      </c>
      <c r="AF75" s="2">
        <f t="shared" si="15"/>
        <v>0.68641548003437947</v>
      </c>
      <c r="AG75" s="2">
        <f t="shared" si="15"/>
        <v>0.77913389602915784</v>
      </c>
      <c r="AH75" s="2">
        <f t="shared" si="15"/>
        <v>0.85975528660726164</v>
      </c>
      <c r="AI75" s="2">
        <f t="shared" si="15"/>
        <v>0.78639023405972563</v>
      </c>
      <c r="AJ75" s="2" t="str">
        <f t="shared" si="15"/>
        <v/>
      </c>
      <c r="AK75" s="2" t="str">
        <f t="shared" si="15"/>
        <v/>
      </c>
      <c r="AL75" s="2" t="str">
        <f t="shared" si="15"/>
        <v/>
      </c>
      <c r="AM75" s="2" t="str">
        <f t="shared" si="13"/>
        <v/>
      </c>
      <c r="AN75" s="2" t="str">
        <f t="shared" si="13"/>
        <v/>
      </c>
      <c r="AO75" s="2" t="str">
        <f t="shared" si="13"/>
        <v/>
      </c>
      <c r="AP75" s="2" t="str">
        <f t="shared" si="13"/>
        <v/>
      </c>
      <c r="AQ75" s="2" t="str">
        <f t="shared" si="13"/>
        <v/>
      </c>
      <c r="AR75" s="2">
        <f t="shared" si="13"/>
        <v>0.78539582958372967</v>
      </c>
      <c r="AT75" s="143">
        <f t="shared" si="11"/>
        <v>9.2718415994778369E-2</v>
      </c>
      <c r="AU75" s="143">
        <f t="shared" si="12"/>
        <v>8.0621390578103802E-2</v>
      </c>
      <c r="AV75" s="143">
        <f t="shared" si="16"/>
        <v>-7.3365052547536003E-2</v>
      </c>
      <c r="AW75" s="143" t="str">
        <f t="shared" si="16"/>
        <v/>
      </c>
      <c r="AX75" s="143" t="str">
        <f t="shared" si="16"/>
        <v/>
      </c>
      <c r="AY75" s="143" t="str">
        <f t="shared" si="14"/>
        <v/>
      </c>
      <c r="AZ75" s="143" t="str">
        <f t="shared" si="14"/>
        <v/>
      </c>
      <c r="BA75" s="143" t="str">
        <f t="shared" si="14"/>
        <v/>
      </c>
      <c r="BB75" s="143" t="str">
        <f t="shared" si="14"/>
        <v/>
      </c>
      <c r="BC75" s="143" t="str">
        <f t="shared" si="14"/>
        <v/>
      </c>
      <c r="BD75" s="143" t="str">
        <f t="shared" si="14"/>
        <v/>
      </c>
      <c r="BF75" s="9">
        <f t="shared" si="19"/>
        <v>3.8631340904068961E-4</v>
      </c>
      <c r="BG75" s="9">
        <f t="shared" si="20"/>
        <v>0.93894951842849883</v>
      </c>
    </row>
    <row r="76" spans="2:59" x14ac:dyDescent="0.35">
      <c r="B76" s="3" t="s">
        <v>139</v>
      </c>
      <c r="D76" s="141">
        <v>223955</v>
      </c>
      <c r="E76" s="141">
        <v>196998</v>
      </c>
      <c r="F76" s="141">
        <v>237988</v>
      </c>
      <c r="G76" s="141">
        <v>227052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17"/>
        <v>885993</v>
      </c>
      <c r="R76" s="141">
        <v>160441</v>
      </c>
      <c r="S76" s="141">
        <v>138564</v>
      </c>
      <c r="T76" s="141">
        <v>173913</v>
      </c>
      <c r="U76" s="141">
        <v>158222</v>
      </c>
      <c r="V76" s="141"/>
      <c r="W76" s="141"/>
      <c r="X76" s="141"/>
      <c r="Y76" s="141"/>
      <c r="Z76" s="141"/>
      <c r="AA76" s="141"/>
      <c r="AB76" s="141"/>
      <c r="AC76" s="141"/>
      <c r="AD76" s="141">
        <f t="shared" si="18"/>
        <v>631140</v>
      </c>
      <c r="AF76" s="2">
        <f t="shared" si="15"/>
        <v>0.716398383603849</v>
      </c>
      <c r="AG76" s="2">
        <f t="shared" si="15"/>
        <v>0.70337769926598237</v>
      </c>
      <c r="AH76" s="2">
        <f t="shared" si="15"/>
        <v>0.73076373598668842</v>
      </c>
      <c r="AI76" s="2">
        <f t="shared" si="15"/>
        <v>0.69685358420097598</v>
      </c>
      <c r="AJ76" s="2" t="str">
        <f t="shared" si="15"/>
        <v/>
      </c>
      <c r="AK76" s="2" t="str">
        <f t="shared" si="15"/>
        <v/>
      </c>
      <c r="AL76" s="2" t="str">
        <f t="shared" si="15"/>
        <v/>
      </c>
      <c r="AM76" s="2" t="str">
        <f t="shared" si="13"/>
        <v/>
      </c>
      <c r="AN76" s="2" t="str">
        <f t="shared" si="13"/>
        <v/>
      </c>
      <c r="AO76" s="2" t="str">
        <f t="shared" si="13"/>
        <v/>
      </c>
      <c r="AP76" s="2" t="str">
        <f t="shared" si="13"/>
        <v/>
      </c>
      <c r="AQ76" s="2" t="str">
        <f t="shared" si="13"/>
        <v/>
      </c>
      <c r="AR76" s="2">
        <f t="shared" si="13"/>
        <v>0.71235325786998316</v>
      </c>
      <c r="AT76" s="143">
        <f t="shared" si="11"/>
        <v>-1.3020684337866628E-2</v>
      </c>
      <c r="AU76" s="143">
        <f t="shared" si="12"/>
        <v>2.7386036720706053E-2</v>
      </c>
      <c r="AV76" s="143">
        <f t="shared" si="16"/>
        <v>-3.3910151785712439E-2</v>
      </c>
      <c r="AW76" s="143" t="str">
        <f t="shared" si="16"/>
        <v/>
      </c>
      <c r="AX76" s="143" t="str">
        <f t="shared" si="16"/>
        <v/>
      </c>
      <c r="AY76" s="143" t="str">
        <f t="shared" si="14"/>
        <v/>
      </c>
      <c r="AZ76" s="143" t="str">
        <f t="shared" si="14"/>
        <v/>
      </c>
      <c r="BA76" s="143" t="str">
        <f t="shared" si="14"/>
        <v/>
      </c>
      <c r="BB76" s="143" t="str">
        <f t="shared" si="14"/>
        <v/>
      </c>
      <c r="BC76" s="143" t="str">
        <f t="shared" si="14"/>
        <v/>
      </c>
      <c r="BD76" s="143" t="str">
        <f t="shared" si="14"/>
        <v/>
      </c>
      <c r="BF76" s="9">
        <f t="shared" si="19"/>
        <v>7.9818847714277572E-4</v>
      </c>
      <c r="BG76" s="9">
        <f t="shared" si="20"/>
        <v>0.93974770690564158</v>
      </c>
    </row>
    <row r="77" spans="2:59" x14ac:dyDescent="0.35">
      <c r="B77" s="3" t="s">
        <v>148</v>
      </c>
      <c r="D77" s="141">
        <v>4795092</v>
      </c>
      <c r="E77" s="141">
        <v>4084648</v>
      </c>
      <c r="F77" s="141">
        <v>4783239</v>
      </c>
      <c r="G77" s="141">
        <v>4554135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17"/>
        <v>18217114</v>
      </c>
      <c r="R77" s="141">
        <v>4560011</v>
      </c>
      <c r="S77" s="141">
        <v>3819127</v>
      </c>
      <c r="T77" s="141">
        <v>4596463</v>
      </c>
      <c r="U77" s="141">
        <v>4362826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18"/>
        <v>17338427</v>
      </c>
      <c r="AF77" s="2">
        <f t="shared" si="15"/>
        <v>0.95097466325984992</v>
      </c>
      <c r="AG77" s="2">
        <f t="shared" si="15"/>
        <v>0.93499537781468567</v>
      </c>
      <c r="AH77" s="2">
        <f t="shared" si="15"/>
        <v>0.96095198253735592</v>
      </c>
      <c r="AI77" s="2">
        <f t="shared" si="15"/>
        <v>0.95799224221504198</v>
      </c>
      <c r="AJ77" s="2" t="str">
        <f t="shared" si="15"/>
        <v/>
      </c>
      <c r="AK77" s="2" t="str">
        <f t="shared" si="15"/>
        <v/>
      </c>
      <c r="AL77" s="2" t="str">
        <f t="shared" si="15"/>
        <v/>
      </c>
      <c r="AM77" s="2" t="str">
        <f t="shared" si="13"/>
        <v/>
      </c>
      <c r="AN77" s="2" t="str">
        <f t="shared" si="13"/>
        <v/>
      </c>
      <c r="AO77" s="2" t="str">
        <f t="shared" si="13"/>
        <v/>
      </c>
      <c r="AP77" s="2" t="str">
        <f t="shared" si="13"/>
        <v/>
      </c>
      <c r="AQ77" s="2" t="str">
        <f t="shared" si="13"/>
        <v/>
      </c>
      <c r="AR77" s="2">
        <f t="shared" si="13"/>
        <v>0.95176585050738549</v>
      </c>
      <c r="AT77" s="143">
        <f t="shared" si="11"/>
        <v>-1.5979285445164249E-2</v>
      </c>
      <c r="AU77" s="143">
        <f t="shared" si="12"/>
        <v>2.5956604722670251E-2</v>
      </c>
      <c r="AV77" s="143">
        <f t="shared" si="16"/>
        <v>-2.9597403223139418E-3</v>
      </c>
      <c r="AW77" s="143" t="str">
        <f t="shared" si="16"/>
        <v/>
      </c>
      <c r="AX77" s="143" t="str">
        <f t="shared" si="16"/>
        <v/>
      </c>
      <c r="AY77" s="143" t="str">
        <f t="shared" si="14"/>
        <v/>
      </c>
      <c r="AZ77" s="143" t="str">
        <f t="shared" si="14"/>
        <v/>
      </c>
      <c r="BA77" s="143" t="str">
        <f t="shared" si="14"/>
        <v/>
      </c>
      <c r="BB77" s="143" t="str">
        <f t="shared" si="14"/>
        <v/>
      </c>
      <c r="BC77" s="143" t="str">
        <f t="shared" si="14"/>
        <v/>
      </c>
      <c r="BD77" s="143" t="str">
        <f t="shared" si="14"/>
        <v/>
      </c>
      <c r="BF77" s="9">
        <f t="shared" si="19"/>
        <v>2.1927516308871544E-2</v>
      </c>
      <c r="BG77" s="9">
        <f t="shared" si="20"/>
        <v>0.96167522321451315</v>
      </c>
    </row>
    <row r="78" spans="2:59" x14ac:dyDescent="0.35">
      <c r="B78" s="3" t="s">
        <v>143</v>
      </c>
      <c r="D78" s="141">
        <v>212292</v>
      </c>
      <c r="E78" s="141">
        <v>197872</v>
      </c>
      <c r="F78" s="141">
        <v>254636</v>
      </c>
      <c r="G78" s="141">
        <v>205520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17"/>
        <v>870320</v>
      </c>
      <c r="R78" s="141">
        <v>139275</v>
      </c>
      <c r="S78" s="141">
        <v>145662</v>
      </c>
      <c r="T78" s="141">
        <v>204137</v>
      </c>
      <c r="U78" s="141">
        <v>143881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18"/>
        <v>632955</v>
      </c>
      <c r="AF78" s="2">
        <f t="shared" si="15"/>
        <v>0.65605392572494492</v>
      </c>
      <c r="AG78" s="2">
        <f t="shared" si="15"/>
        <v>0.73614255680439877</v>
      </c>
      <c r="AH78" s="2">
        <f t="shared" si="15"/>
        <v>0.80168161611084054</v>
      </c>
      <c r="AI78" s="2">
        <f t="shared" si="15"/>
        <v>0.70008271701050995</v>
      </c>
      <c r="AJ78" s="2" t="str">
        <f t="shared" si="15"/>
        <v/>
      </c>
      <c r="AK78" s="2" t="str">
        <f t="shared" si="15"/>
        <v/>
      </c>
      <c r="AL78" s="2" t="str">
        <f t="shared" si="15"/>
        <v/>
      </c>
      <c r="AM78" s="2" t="str">
        <f t="shared" si="13"/>
        <v/>
      </c>
      <c r="AN78" s="2" t="str">
        <f t="shared" si="13"/>
        <v/>
      </c>
      <c r="AO78" s="2" t="str">
        <f t="shared" si="13"/>
        <v/>
      </c>
      <c r="AP78" s="2" t="str">
        <f t="shared" si="13"/>
        <v/>
      </c>
      <c r="AQ78" s="2" t="str">
        <f t="shared" si="13"/>
        <v/>
      </c>
      <c r="AR78" s="2">
        <f t="shared" si="13"/>
        <v>0.72726698225939879</v>
      </c>
      <c r="AT78" s="143">
        <f t="shared" si="11"/>
        <v>8.0088631079453854E-2</v>
      </c>
      <c r="AU78" s="143">
        <f t="shared" si="12"/>
        <v>6.5539059306441771E-2</v>
      </c>
      <c r="AV78" s="143">
        <f t="shared" si="16"/>
        <v>-0.1015988991003306</v>
      </c>
      <c r="AW78" s="143" t="str">
        <f t="shared" si="16"/>
        <v/>
      </c>
      <c r="AX78" s="143" t="str">
        <f t="shared" si="16"/>
        <v/>
      </c>
      <c r="AY78" s="143" t="str">
        <f t="shared" si="14"/>
        <v/>
      </c>
      <c r="AZ78" s="143" t="str">
        <f t="shared" si="14"/>
        <v/>
      </c>
      <c r="BA78" s="143" t="str">
        <f t="shared" si="14"/>
        <v/>
      </c>
      <c r="BB78" s="143" t="str">
        <f t="shared" si="14"/>
        <v/>
      </c>
      <c r="BC78" s="143" t="str">
        <f t="shared" si="14"/>
        <v/>
      </c>
      <c r="BD78" s="143" t="str">
        <f t="shared" si="14"/>
        <v/>
      </c>
      <c r="BF78" s="9">
        <f t="shared" si="19"/>
        <v>8.0048386657461995E-4</v>
      </c>
      <c r="BG78" s="9">
        <f t="shared" si="20"/>
        <v>0.96247570708108776</v>
      </c>
    </row>
    <row r="79" spans="2:59" x14ac:dyDescent="0.35">
      <c r="B79" s="3" t="s">
        <v>172</v>
      </c>
      <c r="D79" s="141">
        <v>164086</v>
      </c>
      <c r="E79" s="141">
        <v>169823</v>
      </c>
      <c r="F79" s="141">
        <v>158238</v>
      </c>
      <c r="G79" s="141">
        <v>156816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17"/>
        <v>648963</v>
      </c>
      <c r="R79" s="141">
        <v>124633</v>
      </c>
      <c r="S79" s="141">
        <v>138170</v>
      </c>
      <c r="T79" s="141">
        <v>115305</v>
      </c>
      <c r="U79" s="141">
        <v>125604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18"/>
        <v>503712</v>
      </c>
      <c r="AF79" s="2">
        <f t="shared" si="15"/>
        <v>0.75955901173774731</v>
      </c>
      <c r="AG79" s="2">
        <f t="shared" si="15"/>
        <v>0.81361181936486815</v>
      </c>
      <c r="AH79" s="2">
        <f t="shared" si="15"/>
        <v>0.72868084783680276</v>
      </c>
      <c r="AI79" s="2">
        <f t="shared" si="15"/>
        <v>0.80096418732782371</v>
      </c>
      <c r="AJ79" s="2" t="str">
        <f t="shared" si="15"/>
        <v/>
      </c>
      <c r="AK79" s="2" t="str">
        <f t="shared" si="15"/>
        <v/>
      </c>
      <c r="AL79" s="2" t="str">
        <f t="shared" si="15"/>
        <v/>
      </c>
      <c r="AM79" s="2" t="str">
        <f t="shared" si="13"/>
        <v/>
      </c>
      <c r="AN79" s="2" t="str">
        <f t="shared" si="13"/>
        <v/>
      </c>
      <c r="AO79" s="2" t="str">
        <f t="shared" si="13"/>
        <v/>
      </c>
      <c r="AP79" s="2" t="str">
        <f t="shared" si="13"/>
        <v/>
      </c>
      <c r="AQ79" s="2" t="str">
        <f t="shared" si="13"/>
        <v/>
      </c>
      <c r="AR79" s="2">
        <f t="shared" si="13"/>
        <v>0.77617984384317751</v>
      </c>
      <c r="AT79" s="143">
        <f t="shared" si="11"/>
        <v>5.4052807627120836E-2</v>
      </c>
      <c r="AU79" s="143">
        <f t="shared" si="12"/>
        <v>-8.4930971528065391E-2</v>
      </c>
      <c r="AV79" s="143">
        <f t="shared" si="16"/>
        <v>7.2283339491020948E-2</v>
      </c>
      <c r="AW79" s="143" t="str">
        <f t="shared" si="16"/>
        <v/>
      </c>
      <c r="AX79" s="143" t="str">
        <f t="shared" si="16"/>
        <v/>
      </c>
      <c r="AY79" s="143" t="str">
        <f t="shared" si="14"/>
        <v/>
      </c>
      <c r="AZ79" s="143" t="str">
        <f t="shared" si="14"/>
        <v/>
      </c>
      <c r="BA79" s="143" t="str">
        <f t="shared" si="14"/>
        <v/>
      </c>
      <c r="BB79" s="143" t="str">
        <f t="shared" si="14"/>
        <v/>
      </c>
      <c r="BC79" s="143" t="str">
        <f t="shared" si="14"/>
        <v/>
      </c>
      <c r="BD79" s="143" t="str">
        <f t="shared" si="14"/>
        <v/>
      </c>
      <c r="BF79" s="9">
        <f t="shared" si="19"/>
        <v>6.3703316886672026E-4</v>
      </c>
      <c r="BG79" s="9">
        <f t="shared" si="20"/>
        <v>0.96311274024995452</v>
      </c>
    </row>
    <row r="80" spans="2:59" x14ac:dyDescent="0.35">
      <c r="B80" s="3" t="s">
        <v>181</v>
      </c>
      <c r="D80" s="141">
        <v>739184</v>
      </c>
      <c r="E80" s="141">
        <v>538310</v>
      </c>
      <c r="F80" s="141">
        <v>393334</v>
      </c>
      <c r="G80" s="141">
        <v>369511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17"/>
        <v>2040339</v>
      </c>
      <c r="R80" s="141">
        <v>564824</v>
      </c>
      <c r="S80" s="141">
        <v>377993</v>
      </c>
      <c r="T80" s="141">
        <v>240175</v>
      </c>
      <c r="U80" s="141">
        <v>265828</v>
      </c>
      <c r="V80" s="141"/>
      <c r="W80" s="141"/>
      <c r="X80" s="141"/>
      <c r="Y80" s="141"/>
      <c r="Z80" s="141"/>
      <c r="AA80" s="141"/>
      <c r="AB80" s="141"/>
      <c r="AC80" s="141"/>
      <c r="AD80" s="141">
        <f t="shared" si="18"/>
        <v>1448820</v>
      </c>
      <c r="AF80" s="2">
        <f t="shared" si="15"/>
        <v>0.7641182709582458</v>
      </c>
      <c r="AG80" s="2">
        <f t="shared" si="15"/>
        <v>0.70218461481302596</v>
      </c>
      <c r="AH80" s="2">
        <f t="shared" si="15"/>
        <v>0.61061337184174269</v>
      </c>
      <c r="AI80" s="2">
        <f t="shared" si="15"/>
        <v>0.71940483503874042</v>
      </c>
      <c r="AJ80" s="2" t="str">
        <f t="shared" si="15"/>
        <v/>
      </c>
      <c r="AK80" s="2" t="str">
        <f t="shared" si="15"/>
        <v/>
      </c>
      <c r="AL80" s="2" t="str">
        <f t="shared" si="15"/>
        <v/>
      </c>
      <c r="AM80" s="2" t="str">
        <f t="shared" si="13"/>
        <v/>
      </c>
      <c r="AN80" s="2" t="str">
        <f t="shared" si="13"/>
        <v/>
      </c>
      <c r="AO80" s="2" t="str">
        <f t="shared" si="13"/>
        <v/>
      </c>
      <c r="AP80" s="2" t="str">
        <f t="shared" si="13"/>
        <v/>
      </c>
      <c r="AQ80" s="2" t="str">
        <f t="shared" si="13"/>
        <v/>
      </c>
      <c r="AR80" s="2">
        <f t="shared" si="13"/>
        <v>0.71008788245482735</v>
      </c>
      <c r="AT80" s="143">
        <f t="shared" si="11"/>
        <v>-6.193365614521984E-2</v>
      </c>
      <c r="AU80" s="143">
        <f t="shared" si="12"/>
        <v>-9.1571242971283273E-2</v>
      </c>
      <c r="AV80" s="143">
        <f t="shared" si="16"/>
        <v>0.10879146319699773</v>
      </c>
      <c r="AW80" s="143" t="str">
        <f t="shared" si="16"/>
        <v/>
      </c>
      <c r="AX80" s="143" t="str">
        <f t="shared" si="16"/>
        <v/>
      </c>
      <c r="AY80" s="143" t="str">
        <f t="shared" si="14"/>
        <v/>
      </c>
      <c r="AZ80" s="143" t="str">
        <f t="shared" si="14"/>
        <v/>
      </c>
      <c r="BA80" s="143" t="str">
        <f t="shared" si="14"/>
        <v/>
      </c>
      <c r="BB80" s="143" t="str">
        <f t="shared" si="14"/>
        <v/>
      </c>
      <c r="BC80" s="143" t="str">
        <f t="shared" si="14"/>
        <v/>
      </c>
      <c r="BD80" s="143" t="str">
        <f t="shared" si="14"/>
        <v/>
      </c>
      <c r="BF80" s="9">
        <f t="shared" si="19"/>
        <v>1.8322898714294711E-3</v>
      </c>
      <c r="BG80" s="9">
        <f t="shared" si="20"/>
        <v>0.964945030121384</v>
      </c>
    </row>
    <row r="81" spans="2:59" x14ac:dyDescent="0.35">
      <c r="B81" s="3" t="s">
        <v>158</v>
      </c>
      <c r="D81" s="141">
        <v>375977</v>
      </c>
      <c r="E81" s="141">
        <v>458843</v>
      </c>
      <c r="F81" s="141">
        <v>418321</v>
      </c>
      <c r="G81" s="141">
        <v>331247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17"/>
        <v>1584388</v>
      </c>
      <c r="R81" s="141">
        <v>286929</v>
      </c>
      <c r="S81" s="141">
        <v>397402</v>
      </c>
      <c r="T81" s="141">
        <v>334816</v>
      </c>
      <c r="U81" s="141">
        <v>269548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18"/>
        <v>1288695</v>
      </c>
      <c r="AF81" s="2">
        <f t="shared" si="15"/>
        <v>0.76315572495126027</v>
      </c>
      <c r="AG81" s="2">
        <f t="shared" si="15"/>
        <v>0.86609581054957796</v>
      </c>
      <c r="AH81" s="2">
        <f t="shared" si="15"/>
        <v>0.80038056898888654</v>
      </c>
      <c r="AI81" s="2">
        <f t="shared" si="15"/>
        <v>0.81373718101597903</v>
      </c>
      <c r="AJ81" s="2" t="str">
        <f t="shared" si="15"/>
        <v/>
      </c>
      <c r="AK81" s="2" t="str">
        <f t="shared" si="15"/>
        <v/>
      </c>
      <c r="AL81" s="2" t="str">
        <f t="shared" si="15"/>
        <v/>
      </c>
      <c r="AM81" s="2" t="str">
        <f t="shared" si="13"/>
        <v/>
      </c>
      <c r="AN81" s="2" t="str">
        <f t="shared" si="13"/>
        <v/>
      </c>
      <c r="AO81" s="2" t="str">
        <f t="shared" si="13"/>
        <v/>
      </c>
      <c r="AP81" s="2" t="str">
        <f t="shared" si="13"/>
        <v/>
      </c>
      <c r="AQ81" s="2" t="str">
        <f t="shared" si="13"/>
        <v/>
      </c>
      <c r="AR81" s="2">
        <f t="shared" si="13"/>
        <v>0.81337084098087087</v>
      </c>
      <c r="AT81" s="143">
        <f t="shared" si="11"/>
        <v>0.10294008559831769</v>
      </c>
      <c r="AU81" s="143">
        <f t="shared" si="12"/>
        <v>-6.5715241560691418E-2</v>
      </c>
      <c r="AV81" s="143">
        <f t="shared" si="16"/>
        <v>1.3356612027092485E-2</v>
      </c>
      <c r="AW81" s="143" t="str">
        <f t="shared" si="16"/>
        <v/>
      </c>
      <c r="AX81" s="143" t="str">
        <f t="shared" si="16"/>
        <v/>
      </c>
      <c r="AY81" s="143" t="str">
        <f t="shared" si="14"/>
        <v/>
      </c>
      <c r="AZ81" s="143" t="str">
        <f t="shared" si="14"/>
        <v/>
      </c>
      <c r="BA81" s="143" t="str">
        <f t="shared" si="14"/>
        <v/>
      </c>
      <c r="BB81" s="143" t="str">
        <f t="shared" si="14"/>
        <v/>
      </c>
      <c r="BC81" s="143" t="str">
        <f t="shared" si="14"/>
        <v/>
      </c>
      <c r="BD81" s="143" t="str">
        <f t="shared" si="14"/>
        <v/>
      </c>
      <c r="BF81" s="9">
        <f t="shared" si="19"/>
        <v>1.6297834070911515E-3</v>
      </c>
      <c r="BG81" s="9">
        <f t="shared" si="20"/>
        <v>0.96657481352847519</v>
      </c>
    </row>
    <row r="82" spans="2:59" x14ac:dyDescent="0.35">
      <c r="B82" s="3" t="s">
        <v>154</v>
      </c>
      <c r="D82" s="141">
        <v>110982</v>
      </c>
      <c r="E82" s="141">
        <v>107329</v>
      </c>
      <c r="F82" s="141">
        <v>90970</v>
      </c>
      <c r="G82" s="141">
        <v>103353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17"/>
        <v>412634</v>
      </c>
      <c r="R82" s="141">
        <v>78986</v>
      </c>
      <c r="S82" s="141">
        <v>87254</v>
      </c>
      <c r="T82" s="141">
        <v>72549</v>
      </c>
      <c r="U82" s="141">
        <v>84076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18"/>
        <v>322865</v>
      </c>
      <c r="AF82" s="2">
        <f t="shared" si="15"/>
        <v>0.71170099655800034</v>
      </c>
      <c r="AG82" s="2">
        <f t="shared" si="15"/>
        <v>0.81295828713581608</v>
      </c>
      <c r="AH82" s="2">
        <f t="shared" si="15"/>
        <v>0.79750467186984719</v>
      </c>
      <c r="AI82" s="2">
        <f t="shared" si="15"/>
        <v>0.813483885325051</v>
      </c>
      <c r="AJ82" s="2" t="str">
        <f t="shared" si="15"/>
        <v/>
      </c>
      <c r="AK82" s="2" t="str">
        <f t="shared" si="15"/>
        <v/>
      </c>
      <c r="AL82" s="2" t="str">
        <f t="shared" si="15"/>
        <v/>
      </c>
      <c r="AM82" s="2" t="str">
        <f t="shared" si="13"/>
        <v/>
      </c>
      <c r="AN82" s="2" t="str">
        <f t="shared" si="13"/>
        <v/>
      </c>
      <c r="AO82" s="2" t="str">
        <f t="shared" si="13"/>
        <v/>
      </c>
      <c r="AP82" s="2" t="str">
        <f t="shared" si="13"/>
        <v/>
      </c>
      <c r="AQ82" s="2" t="str">
        <f t="shared" si="13"/>
        <v/>
      </c>
      <c r="AR82" s="2">
        <f t="shared" si="13"/>
        <v>0.78244885297866873</v>
      </c>
      <c r="AT82" s="143">
        <f t="shared" si="11"/>
        <v>0.10125729057781574</v>
      </c>
      <c r="AU82" s="143">
        <f t="shared" si="12"/>
        <v>-1.545361526596889E-2</v>
      </c>
      <c r="AV82" s="143">
        <f t="shared" si="16"/>
        <v>1.5979213455203811E-2</v>
      </c>
      <c r="AW82" s="143" t="str">
        <f t="shared" si="16"/>
        <v/>
      </c>
      <c r="AX82" s="143" t="str">
        <f t="shared" si="16"/>
        <v/>
      </c>
      <c r="AY82" s="143" t="str">
        <f t="shared" si="14"/>
        <v/>
      </c>
      <c r="AZ82" s="143" t="str">
        <f t="shared" si="14"/>
        <v/>
      </c>
      <c r="BA82" s="143" t="str">
        <f t="shared" si="14"/>
        <v/>
      </c>
      <c r="BB82" s="143" t="str">
        <f t="shared" si="14"/>
        <v/>
      </c>
      <c r="BC82" s="143" t="str">
        <f t="shared" si="14"/>
        <v/>
      </c>
      <c r="BD82" s="143" t="str">
        <f t="shared" si="14"/>
        <v/>
      </c>
      <c r="BF82" s="9">
        <f t="shared" si="19"/>
        <v>4.0832006000681668E-4</v>
      </c>
      <c r="BG82" s="9">
        <f t="shared" si="20"/>
        <v>0.96698313358848198</v>
      </c>
    </row>
    <row r="83" spans="2:59" x14ac:dyDescent="0.35">
      <c r="B83" s="3" t="s">
        <v>149</v>
      </c>
      <c r="D83" s="141">
        <v>104384</v>
      </c>
      <c r="E83" s="141">
        <v>113288</v>
      </c>
      <c r="F83" s="141">
        <v>110915</v>
      </c>
      <c r="G83" s="141">
        <v>122549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17"/>
        <v>451136</v>
      </c>
      <c r="R83" s="141">
        <v>82614</v>
      </c>
      <c r="S83" s="141">
        <v>90758</v>
      </c>
      <c r="T83" s="141">
        <v>80186</v>
      </c>
      <c r="U83" s="141">
        <v>96939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18"/>
        <v>350497</v>
      </c>
      <c r="AF83" s="2">
        <f t="shared" si="15"/>
        <v>0.79144313304721026</v>
      </c>
      <c r="AG83" s="2">
        <f t="shared" si="15"/>
        <v>0.80112633288609558</v>
      </c>
      <c r="AH83" s="2">
        <f t="shared" si="15"/>
        <v>0.72295000676193477</v>
      </c>
      <c r="AI83" s="2">
        <f t="shared" si="15"/>
        <v>0.79102236656357861</v>
      </c>
      <c r="AJ83" s="2" t="str">
        <f t="shared" si="15"/>
        <v/>
      </c>
      <c r="AK83" s="2" t="str">
        <f t="shared" si="15"/>
        <v/>
      </c>
      <c r="AL83" s="2" t="str">
        <f t="shared" si="15"/>
        <v/>
      </c>
      <c r="AM83" s="2" t="str">
        <f t="shared" si="13"/>
        <v/>
      </c>
      <c r="AN83" s="2" t="str">
        <f t="shared" si="13"/>
        <v/>
      </c>
      <c r="AO83" s="2" t="str">
        <f t="shared" si="13"/>
        <v/>
      </c>
      <c r="AP83" s="2" t="str">
        <f t="shared" si="13"/>
        <v/>
      </c>
      <c r="AQ83" s="2" t="str">
        <f t="shared" si="13"/>
        <v/>
      </c>
      <c r="AR83" s="2">
        <f t="shared" si="13"/>
        <v>0.77692092850049654</v>
      </c>
      <c r="AT83" s="143">
        <f t="shared" si="11"/>
        <v>9.6831998388853258E-3</v>
      </c>
      <c r="AU83" s="143">
        <f t="shared" si="12"/>
        <v>-7.8176326124160811E-2</v>
      </c>
      <c r="AV83" s="143">
        <f t="shared" si="16"/>
        <v>6.8072359801643834E-2</v>
      </c>
      <c r="AW83" s="143" t="str">
        <f t="shared" si="16"/>
        <v/>
      </c>
      <c r="AX83" s="143" t="str">
        <f t="shared" si="16"/>
        <v/>
      </c>
      <c r="AY83" s="143" t="str">
        <f t="shared" si="14"/>
        <v/>
      </c>
      <c r="AZ83" s="143" t="str">
        <f t="shared" si="14"/>
        <v/>
      </c>
      <c r="BA83" s="143" t="str">
        <f t="shared" si="14"/>
        <v/>
      </c>
      <c r="BB83" s="143" t="str">
        <f t="shared" si="14"/>
        <v/>
      </c>
      <c r="BC83" s="143" t="str">
        <f t="shared" si="14"/>
        <v/>
      </c>
      <c r="BD83" s="143" t="str">
        <f t="shared" si="14"/>
        <v/>
      </c>
      <c r="BF83" s="9">
        <f t="shared" si="19"/>
        <v>4.4326562517525659E-4</v>
      </c>
      <c r="BG83" s="9">
        <f t="shared" si="20"/>
        <v>0.96742639921365725</v>
      </c>
    </row>
    <row r="84" spans="2:59" x14ac:dyDescent="0.35">
      <c r="B84" s="3" t="s">
        <v>167</v>
      </c>
      <c r="D84" s="141">
        <v>58442</v>
      </c>
      <c r="E84" s="141">
        <v>56300</v>
      </c>
      <c r="F84" s="141">
        <v>74498</v>
      </c>
      <c r="G84" s="141">
        <v>43207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17"/>
        <v>232447</v>
      </c>
      <c r="R84" s="141">
        <v>44832</v>
      </c>
      <c r="S84" s="141">
        <v>46563</v>
      </c>
      <c r="T84" s="141">
        <v>33772</v>
      </c>
      <c r="U84" s="141">
        <v>23410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18"/>
        <v>148577</v>
      </c>
      <c r="AF84" s="2">
        <f t="shared" si="15"/>
        <v>0.76711953731905136</v>
      </c>
      <c r="AG84" s="2">
        <f t="shared" si="15"/>
        <v>0.82705150976909414</v>
      </c>
      <c r="AH84" s="2">
        <f t="shared" si="15"/>
        <v>0.45332760611023115</v>
      </c>
      <c r="AI84" s="2">
        <f t="shared" si="15"/>
        <v>0.54181035480361983</v>
      </c>
      <c r="AJ84" s="2" t="str">
        <f t="shared" si="15"/>
        <v/>
      </c>
      <c r="AK84" s="2" t="str">
        <f t="shared" si="15"/>
        <v/>
      </c>
      <c r="AL84" s="2" t="str">
        <f t="shared" si="15"/>
        <v/>
      </c>
      <c r="AM84" s="2" t="str">
        <f t="shared" si="13"/>
        <v/>
      </c>
      <c r="AN84" s="2" t="str">
        <f t="shared" si="13"/>
        <v/>
      </c>
      <c r="AO84" s="2" t="str">
        <f t="shared" si="13"/>
        <v/>
      </c>
      <c r="AP84" s="2" t="str">
        <f t="shared" si="13"/>
        <v/>
      </c>
      <c r="AQ84" s="2" t="str">
        <f t="shared" si="13"/>
        <v/>
      </c>
      <c r="AR84" s="2">
        <f t="shared" si="13"/>
        <v>0.63918656726049383</v>
      </c>
      <c r="AT84" s="143">
        <f t="shared" si="11"/>
        <v>5.9931972450042781E-2</v>
      </c>
      <c r="AU84" s="143">
        <f t="shared" si="12"/>
        <v>-0.37372390365886299</v>
      </c>
      <c r="AV84" s="143">
        <f t="shared" si="16"/>
        <v>8.848274869338868E-2</v>
      </c>
      <c r="AW84" s="143" t="str">
        <f t="shared" si="16"/>
        <v/>
      </c>
      <c r="AX84" s="143" t="str">
        <f t="shared" si="16"/>
        <v/>
      </c>
      <c r="AY84" s="143" t="str">
        <f t="shared" si="14"/>
        <v/>
      </c>
      <c r="AZ84" s="143" t="str">
        <f t="shared" si="14"/>
        <v/>
      </c>
      <c r="BA84" s="143" t="str">
        <f t="shared" si="14"/>
        <v/>
      </c>
      <c r="BB84" s="143" t="str">
        <f t="shared" si="14"/>
        <v/>
      </c>
      <c r="BC84" s="143" t="str">
        <f t="shared" si="14"/>
        <v/>
      </c>
      <c r="BD84" s="143" t="str">
        <f t="shared" si="14"/>
        <v/>
      </c>
      <c r="BF84" s="9">
        <f t="shared" si="19"/>
        <v>1.8790197003587506E-4</v>
      </c>
      <c r="BG84" s="9">
        <f t="shared" si="20"/>
        <v>0.96761430118369307</v>
      </c>
    </row>
    <row r="85" spans="2:59" x14ac:dyDescent="0.35">
      <c r="B85" s="3" t="s">
        <v>157</v>
      </c>
      <c r="D85" s="141">
        <v>51664</v>
      </c>
      <c r="E85" s="141">
        <v>49193</v>
      </c>
      <c r="F85" s="141">
        <v>64618</v>
      </c>
      <c r="G85" s="141">
        <v>88354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17"/>
        <v>253829</v>
      </c>
      <c r="R85" s="141">
        <v>42342</v>
      </c>
      <c r="S85" s="141">
        <v>42223</v>
      </c>
      <c r="T85" s="141">
        <v>47207</v>
      </c>
      <c r="U85" s="141">
        <v>70602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18"/>
        <v>202374</v>
      </c>
      <c r="AF85" s="2">
        <f t="shared" si="15"/>
        <v>0.81956488076803968</v>
      </c>
      <c r="AG85" s="2">
        <f t="shared" si="15"/>
        <v>0.85831317463866807</v>
      </c>
      <c r="AH85" s="2">
        <f t="shared" si="15"/>
        <v>0.73055495372806334</v>
      </c>
      <c r="AI85" s="2">
        <f t="shared" si="15"/>
        <v>0.79908096973538267</v>
      </c>
      <c r="AJ85" s="2" t="str">
        <f t="shared" si="15"/>
        <v/>
      </c>
      <c r="AK85" s="2" t="str">
        <f t="shared" si="15"/>
        <v/>
      </c>
      <c r="AL85" s="2" t="str">
        <f t="shared" si="15"/>
        <v/>
      </c>
      <c r="AM85" s="2" t="str">
        <f t="shared" si="13"/>
        <v/>
      </c>
      <c r="AN85" s="2" t="str">
        <f t="shared" si="13"/>
        <v/>
      </c>
      <c r="AO85" s="2" t="str">
        <f t="shared" si="13"/>
        <v/>
      </c>
      <c r="AP85" s="2" t="str">
        <f t="shared" si="13"/>
        <v/>
      </c>
      <c r="AQ85" s="2" t="str">
        <f t="shared" si="13"/>
        <v/>
      </c>
      <c r="AR85" s="2">
        <f t="shared" si="13"/>
        <v>0.79728478621434118</v>
      </c>
      <c r="AT85" s="143">
        <f t="shared" si="11"/>
        <v>3.8748293870628392E-2</v>
      </c>
      <c r="AU85" s="143">
        <f t="shared" si="12"/>
        <v>-0.12775822091060474</v>
      </c>
      <c r="AV85" s="143">
        <f t="shared" si="16"/>
        <v>6.8526016007319335E-2</v>
      </c>
      <c r="AW85" s="143" t="str">
        <f t="shared" si="16"/>
        <v/>
      </c>
      <c r="AX85" s="143" t="str">
        <f t="shared" si="16"/>
        <v/>
      </c>
      <c r="AY85" s="143" t="str">
        <f t="shared" si="14"/>
        <v/>
      </c>
      <c r="AZ85" s="143" t="str">
        <f t="shared" si="14"/>
        <v/>
      </c>
      <c r="BA85" s="143" t="str">
        <f t="shared" si="14"/>
        <v/>
      </c>
      <c r="BB85" s="143" t="str">
        <f t="shared" si="14"/>
        <v/>
      </c>
      <c r="BC85" s="143" t="str">
        <f t="shared" si="14"/>
        <v/>
      </c>
      <c r="BD85" s="143" t="str">
        <f t="shared" si="14"/>
        <v/>
      </c>
      <c r="BF85" s="9">
        <f t="shared" si="19"/>
        <v>2.5593781866668585E-4</v>
      </c>
      <c r="BG85" s="9">
        <f t="shared" si="20"/>
        <v>0.9678702390023598</v>
      </c>
    </row>
    <row r="86" spans="2:59" x14ac:dyDescent="0.35">
      <c r="B86" s="3" t="s">
        <v>151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7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8"/>
        <v>8540</v>
      </c>
      <c r="AF86" s="2">
        <f t="shared" si="15"/>
        <v>0.8203650336215178</v>
      </c>
      <c r="AG86" s="2" t="str">
        <f t="shared" si="15"/>
        <v/>
      </c>
      <c r="AH86" s="2" t="str">
        <f t="shared" si="15"/>
        <v/>
      </c>
      <c r="AI86" s="2" t="str">
        <f t="shared" si="15"/>
        <v/>
      </c>
      <c r="AJ86" s="2" t="str">
        <f t="shared" si="15"/>
        <v/>
      </c>
      <c r="AK86" s="2" t="str">
        <f t="shared" si="15"/>
        <v/>
      </c>
      <c r="AL86" s="2" t="str">
        <f t="shared" si="15"/>
        <v/>
      </c>
      <c r="AM86" s="2" t="str">
        <f t="shared" si="13"/>
        <v/>
      </c>
      <c r="AN86" s="2" t="str">
        <f t="shared" si="13"/>
        <v/>
      </c>
      <c r="AO86" s="2" t="str">
        <f t="shared" si="13"/>
        <v/>
      </c>
      <c r="AP86" s="2" t="str">
        <f t="shared" si="13"/>
        <v/>
      </c>
      <c r="AQ86" s="2" t="str">
        <f t="shared" si="13"/>
        <v/>
      </c>
      <c r="AR86" s="2">
        <f t="shared" si="13"/>
        <v>0.8203650336215178</v>
      </c>
      <c r="AT86" s="143" t="str">
        <f t="shared" si="11"/>
        <v/>
      </c>
      <c r="AU86" s="143" t="str">
        <f t="shared" si="12"/>
        <v/>
      </c>
      <c r="AV86" s="143" t="str">
        <f t="shared" si="16"/>
        <v/>
      </c>
      <c r="AW86" s="143" t="str">
        <f t="shared" si="16"/>
        <v/>
      </c>
      <c r="AX86" s="143" t="str">
        <f t="shared" si="16"/>
        <v/>
      </c>
      <c r="AY86" s="143" t="str">
        <f t="shared" si="14"/>
        <v/>
      </c>
      <c r="AZ86" s="143" t="str">
        <f t="shared" si="14"/>
        <v/>
      </c>
      <c r="BA86" s="143" t="str">
        <f t="shared" si="14"/>
        <v/>
      </c>
      <c r="BB86" s="143" t="str">
        <f t="shared" si="14"/>
        <v/>
      </c>
      <c r="BC86" s="143" t="str">
        <f t="shared" si="14"/>
        <v/>
      </c>
      <c r="BD86" s="143" t="str">
        <f t="shared" si="14"/>
        <v/>
      </c>
      <c r="BF86" s="9">
        <f t="shared" si="19"/>
        <v>1.0800344764710373E-5</v>
      </c>
      <c r="BG86" s="9">
        <f t="shared" si="20"/>
        <v>0.96788103934712455</v>
      </c>
    </row>
    <row r="87" spans="2:59" x14ac:dyDescent="0.35">
      <c r="B87" s="3" t="s">
        <v>265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7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8"/>
        <v>138713</v>
      </c>
      <c r="AF87" s="2">
        <f t="shared" si="15"/>
        <v>0.66941259362211414</v>
      </c>
      <c r="AG87" s="2" t="str">
        <f t="shared" si="15"/>
        <v/>
      </c>
      <c r="AH87" s="2" t="str">
        <f t="shared" si="15"/>
        <v/>
      </c>
      <c r="AI87" s="2" t="str">
        <f t="shared" si="15"/>
        <v/>
      </c>
      <c r="AJ87" s="2" t="str">
        <f t="shared" si="15"/>
        <v/>
      </c>
      <c r="AK87" s="2" t="str">
        <f t="shared" si="15"/>
        <v/>
      </c>
      <c r="AL87" s="2" t="str">
        <f t="shared" si="15"/>
        <v/>
      </c>
      <c r="AM87" s="2" t="str">
        <f t="shared" si="13"/>
        <v/>
      </c>
      <c r="AN87" s="2" t="str">
        <f t="shared" si="13"/>
        <v/>
      </c>
      <c r="AO87" s="2" t="str">
        <f t="shared" si="13"/>
        <v/>
      </c>
      <c r="AP87" s="2" t="str">
        <f t="shared" si="13"/>
        <v/>
      </c>
      <c r="AQ87" s="2" t="str">
        <f t="shared" si="13"/>
        <v/>
      </c>
      <c r="AR87" s="2">
        <f t="shared" si="13"/>
        <v>0.66941259362211414</v>
      </c>
      <c r="AT87" s="143" t="str">
        <f t="shared" si="11"/>
        <v/>
      </c>
      <c r="AU87" s="143" t="str">
        <f t="shared" si="12"/>
        <v/>
      </c>
      <c r="AV87" s="143" t="str">
        <f t="shared" si="16"/>
        <v/>
      </c>
      <c r="AW87" s="143" t="str">
        <f t="shared" si="16"/>
        <v/>
      </c>
      <c r="AX87" s="143" t="str">
        <f t="shared" si="16"/>
        <v/>
      </c>
      <c r="AY87" s="143" t="str">
        <f t="shared" si="14"/>
        <v/>
      </c>
      <c r="AZ87" s="143" t="str">
        <f t="shared" si="14"/>
        <v/>
      </c>
      <c r="BA87" s="143" t="str">
        <f t="shared" si="14"/>
        <v/>
      </c>
      <c r="BB87" s="143" t="str">
        <f t="shared" si="14"/>
        <v/>
      </c>
      <c r="BC87" s="143" t="str">
        <f t="shared" si="14"/>
        <v/>
      </c>
      <c r="BD87" s="143" t="str">
        <f t="shared" si="14"/>
        <v/>
      </c>
      <c r="BF87" s="9">
        <f t="shared" si="19"/>
        <v>1.7542719242942271E-4</v>
      </c>
      <c r="BG87" s="9">
        <f t="shared" si="20"/>
        <v>0.96805646653955402</v>
      </c>
    </row>
    <row r="88" spans="2:59" x14ac:dyDescent="0.35">
      <c r="B88" s="3" t="s">
        <v>183</v>
      </c>
      <c r="D88" s="141">
        <v>206597</v>
      </c>
      <c r="E88" s="141">
        <v>200828</v>
      </c>
      <c r="F88" s="141">
        <v>188648</v>
      </c>
      <c r="G88" s="141">
        <v>113116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17"/>
        <v>709189</v>
      </c>
      <c r="R88" s="141">
        <v>146632</v>
      </c>
      <c r="S88" s="141">
        <v>146577</v>
      </c>
      <c r="T88" s="141">
        <v>140691</v>
      </c>
      <c r="U88" s="141">
        <v>73169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18"/>
        <v>507069</v>
      </c>
      <c r="AF88" s="2">
        <f t="shared" si="15"/>
        <v>0.70974893149464902</v>
      </c>
      <c r="AG88" s="2">
        <f t="shared" si="15"/>
        <v>0.72986336566614218</v>
      </c>
      <c r="AH88" s="2">
        <f t="shared" si="15"/>
        <v>0.7457858021288325</v>
      </c>
      <c r="AI88" s="2">
        <f t="shared" si="15"/>
        <v>0.64684925209519428</v>
      </c>
      <c r="AJ88" s="2" t="str">
        <f t="shared" si="15"/>
        <v/>
      </c>
      <c r="AK88" s="2" t="str">
        <f t="shared" si="15"/>
        <v/>
      </c>
      <c r="AL88" s="2" t="str">
        <f t="shared" si="15"/>
        <v/>
      </c>
      <c r="AM88" s="2" t="str">
        <f t="shared" si="13"/>
        <v/>
      </c>
      <c r="AN88" s="2" t="str">
        <f t="shared" si="13"/>
        <v/>
      </c>
      <c r="AO88" s="2" t="str">
        <f t="shared" si="13"/>
        <v/>
      </c>
      <c r="AP88" s="2" t="str">
        <f t="shared" si="13"/>
        <v/>
      </c>
      <c r="AQ88" s="2" t="str">
        <f t="shared" si="13"/>
        <v/>
      </c>
      <c r="AR88" s="2">
        <f t="shared" si="13"/>
        <v>0.71499839958036571</v>
      </c>
      <c r="AT88" s="143">
        <f t="shared" si="11"/>
        <v>2.0114434171493167E-2</v>
      </c>
      <c r="AU88" s="143">
        <f t="shared" si="12"/>
        <v>1.5922436462690315E-2</v>
      </c>
      <c r="AV88" s="143">
        <f t="shared" si="16"/>
        <v>-9.8936550033638215E-2</v>
      </c>
      <c r="AW88" s="143" t="str">
        <f t="shared" si="16"/>
        <v/>
      </c>
      <c r="AX88" s="143" t="str">
        <f t="shared" si="16"/>
        <v/>
      </c>
      <c r="AY88" s="143" t="str">
        <f t="shared" si="16"/>
        <v/>
      </c>
      <c r="AZ88" s="143" t="str">
        <f t="shared" si="16"/>
        <v/>
      </c>
      <c r="BA88" s="143" t="str">
        <f t="shared" si="16"/>
        <v/>
      </c>
      <c r="BB88" s="143" t="str">
        <f t="shared" si="16"/>
        <v/>
      </c>
      <c r="BC88" s="143" t="str">
        <f t="shared" si="16"/>
        <v/>
      </c>
      <c r="BD88" s="143" t="str">
        <f t="shared" si="16"/>
        <v/>
      </c>
      <c r="BF88" s="9">
        <f t="shared" si="19"/>
        <v>6.4127869080760232E-4</v>
      </c>
      <c r="BG88" s="9">
        <f t="shared" si="20"/>
        <v>0.96869774523036167</v>
      </c>
    </row>
    <row r="89" spans="2:59" x14ac:dyDescent="0.35">
      <c r="B89" s="3" t="s">
        <v>171</v>
      </c>
      <c r="D89" s="141">
        <v>130312</v>
      </c>
      <c r="E89" s="141">
        <v>104580</v>
      </c>
      <c r="F89" s="141">
        <v>133433</v>
      </c>
      <c r="G89" s="141">
        <v>139468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17"/>
        <v>507793</v>
      </c>
      <c r="R89" s="141">
        <v>86980</v>
      </c>
      <c r="S89" s="141">
        <v>78492</v>
      </c>
      <c r="T89" s="141">
        <v>100914</v>
      </c>
      <c r="U89" s="141">
        <v>109526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18"/>
        <v>375912</v>
      </c>
      <c r="AF89" s="2">
        <f t="shared" si="15"/>
        <v>0.66747498311744125</v>
      </c>
      <c r="AG89" s="2">
        <f t="shared" si="15"/>
        <v>0.75054503729202526</v>
      </c>
      <c r="AH89" s="2">
        <f t="shared" si="15"/>
        <v>0.75628967346908182</v>
      </c>
      <c r="AI89" s="2">
        <f t="shared" si="15"/>
        <v>0.78531275991625316</v>
      </c>
      <c r="AJ89" s="2" t="str">
        <f t="shared" si="15"/>
        <v/>
      </c>
      <c r="AK89" s="2" t="str">
        <f t="shared" si="15"/>
        <v/>
      </c>
      <c r="AL89" s="2" t="str">
        <f t="shared" si="15"/>
        <v/>
      </c>
      <c r="AM89" s="2" t="str">
        <f t="shared" si="13"/>
        <v/>
      </c>
      <c r="AN89" s="2" t="str">
        <f t="shared" si="13"/>
        <v/>
      </c>
      <c r="AO89" s="2" t="str">
        <f t="shared" si="13"/>
        <v/>
      </c>
      <c r="AP89" s="2" t="str">
        <f t="shared" si="13"/>
        <v/>
      </c>
      <c r="AQ89" s="2" t="str">
        <f t="shared" si="13"/>
        <v/>
      </c>
      <c r="AR89" s="2">
        <f t="shared" si="13"/>
        <v>0.74028590390178672</v>
      </c>
      <c r="AT89" s="143">
        <f t="shared" si="11"/>
        <v>8.3070054174584018E-2</v>
      </c>
      <c r="AU89" s="143">
        <f t="shared" si="12"/>
        <v>5.7446361770565613E-3</v>
      </c>
      <c r="AV89" s="143">
        <f t="shared" ref="AV89:BD117" si="21">+IFERROR(AI89-AH89,"")</f>
        <v>2.9023086447171331E-2</v>
      </c>
      <c r="AW89" s="143" t="str">
        <f t="shared" si="21"/>
        <v/>
      </c>
      <c r="AX89" s="143" t="str">
        <f t="shared" si="21"/>
        <v/>
      </c>
      <c r="AY89" s="143" t="str">
        <f t="shared" si="21"/>
        <v/>
      </c>
      <c r="AZ89" s="143" t="str">
        <f t="shared" si="21"/>
        <v/>
      </c>
      <c r="BA89" s="143" t="str">
        <f t="shared" si="21"/>
        <v/>
      </c>
      <c r="BB89" s="143" t="str">
        <f t="shared" si="21"/>
        <v/>
      </c>
      <c r="BC89" s="143" t="str">
        <f t="shared" si="21"/>
        <v/>
      </c>
      <c r="BD89" s="143" t="str">
        <f t="shared" si="21"/>
        <v/>
      </c>
      <c r="BF89" s="9">
        <f t="shared" si="19"/>
        <v>4.7540740060793979E-4</v>
      </c>
      <c r="BG89" s="9">
        <f t="shared" si="20"/>
        <v>0.96917315263096959</v>
      </c>
    </row>
    <row r="90" spans="2:59" x14ac:dyDescent="0.35">
      <c r="B90" s="3" t="s">
        <v>168</v>
      </c>
      <c r="D90" s="141">
        <v>134307</v>
      </c>
      <c r="E90" s="141">
        <v>116548</v>
      </c>
      <c r="F90" s="141">
        <v>122783</v>
      </c>
      <c r="G90" s="141">
        <v>112864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17"/>
        <v>486502</v>
      </c>
      <c r="R90" s="141">
        <v>105440</v>
      </c>
      <c r="S90" s="141">
        <v>87373</v>
      </c>
      <c r="T90" s="141">
        <v>87691</v>
      </c>
      <c r="U90" s="141">
        <v>79974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18"/>
        <v>360478</v>
      </c>
      <c r="AF90" s="2">
        <f t="shared" si="15"/>
        <v>0.78506704788283554</v>
      </c>
      <c r="AG90" s="2">
        <f t="shared" si="15"/>
        <v>0.74967395407900606</v>
      </c>
      <c r="AH90" s="2">
        <f t="shared" si="15"/>
        <v>0.71419496184325193</v>
      </c>
      <c r="AI90" s="2">
        <f t="shared" si="15"/>
        <v>0.70858732633966548</v>
      </c>
      <c r="AJ90" s="2" t="str">
        <f t="shared" si="15"/>
        <v/>
      </c>
      <c r="AK90" s="2" t="str">
        <f t="shared" si="15"/>
        <v/>
      </c>
      <c r="AL90" s="2" t="str">
        <f t="shared" si="15"/>
        <v/>
      </c>
      <c r="AM90" s="2" t="str">
        <f t="shared" si="13"/>
        <v/>
      </c>
      <c r="AN90" s="2" t="str">
        <f t="shared" si="13"/>
        <v/>
      </c>
      <c r="AO90" s="2" t="str">
        <f t="shared" si="13"/>
        <v/>
      </c>
      <c r="AP90" s="2" t="str">
        <f t="shared" si="13"/>
        <v/>
      </c>
      <c r="AQ90" s="2" t="str">
        <f t="shared" si="13"/>
        <v/>
      </c>
      <c r="AR90" s="2">
        <f t="shared" si="13"/>
        <v>0.74095892719865486</v>
      </c>
      <c r="AT90" s="143">
        <f t="shared" si="11"/>
        <v>-3.539309380382949E-2</v>
      </c>
      <c r="AU90" s="143">
        <f t="shared" si="12"/>
        <v>-3.5478992235754125E-2</v>
      </c>
      <c r="AV90" s="143">
        <f t="shared" si="21"/>
        <v>-5.60763550358645E-3</v>
      </c>
      <c r="AW90" s="143" t="str">
        <f t="shared" si="21"/>
        <v/>
      </c>
      <c r="AX90" s="143" t="str">
        <f t="shared" si="21"/>
        <v/>
      </c>
      <c r="AY90" s="143" t="str">
        <f t="shared" si="21"/>
        <v/>
      </c>
      <c r="AZ90" s="143" t="str">
        <f t="shared" si="21"/>
        <v/>
      </c>
      <c r="BA90" s="143" t="str">
        <f t="shared" si="21"/>
        <v/>
      </c>
      <c r="BB90" s="143" t="str">
        <f t="shared" si="21"/>
        <v/>
      </c>
      <c r="BC90" s="143" t="str">
        <f t="shared" si="21"/>
        <v/>
      </c>
      <c r="BD90" s="143" t="str">
        <f t="shared" si="21"/>
        <v/>
      </c>
      <c r="BF90" s="9">
        <f t="shared" si="19"/>
        <v>4.5588837003434024E-4</v>
      </c>
      <c r="BG90" s="9">
        <f t="shared" si="20"/>
        <v>0.96962904100100389</v>
      </c>
    </row>
    <row r="91" spans="2:59" x14ac:dyDescent="0.35">
      <c r="B91" s="3" t="s">
        <v>177</v>
      </c>
      <c r="D91" s="141">
        <v>117655</v>
      </c>
      <c r="E91" s="141">
        <v>117276</v>
      </c>
      <c r="F91" s="141">
        <v>129108</v>
      </c>
      <c r="G91" s="141">
        <v>92016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17"/>
        <v>456055</v>
      </c>
      <c r="R91" s="141">
        <v>86773</v>
      </c>
      <c r="S91" s="141">
        <v>78333</v>
      </c>
      <c r="T91" s="141">
        <v>93634</v>
      </c>
      <c r="U91" s="141">
        <v>69228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18"/>
        <v>327968</v>
      </c>
      <c r="AF91" s="2">
        <f t="shared" si="15"/>
        <v>0.73752071735157876</v>
      </c>
      <c r="AG91" s="2">
        <f t="shared" si="15"/>
        <v>0.66793717384631124</v>
      </c>
      <c r="AH91" s="2">
        <f t="shared" si="15"/>
        <v>0.72523778541995854</v>
      </c>
      <c r="AI91" s="2">
        <f t="shared" si="15"/>
        <v>0.75234741784037562</v>
      </c>
      <c r="AJ91" s="2" t="str">
        <f t="shared" si="15"/>
        <v/>
      </c>
      <c r="AK91" s="2" t="str">
        <f t="shared" si="15"/>
        <v/>
      </c>
      <c r="AL91" s="2" t="str">
        <f t="shared" si="15"/>
        <v/>
      </c>
      <c r="AM91" s="2" t="str">
        <f t="shared" si="13"/>
        <v/>
      </c>
      <c r="AN91" s="2" t="str">
        <f t="shared" si="13"/>
        <v/>
      </c>
      <c r="AO91" s="2" t="str">
        <f t="shared" si="13"/>
        <v/>
      </c>
      <c r="AP91" s="2" t="str">
        <f t="shared" si="13"/>
        <v/>
      </c>
      <c r="AQ91" s="2" t="str">
        <f t="shared" si="13"/>
        <v/>
      </c>
      <c r="AR91" s="2">
        <f t="shared" si="13"/>
        <v>0.71914133163763139</v>
      </c>
      <c r="AT91" s="143">
        <f t="shared" si="11"/>
        <v>-6.958354350526752E-2</v>
      </c>
      <c r="AU91" s="143">
        <f t="shared" si="12"/>
        <v>5.7300611573647298E-2</v>
      </c>
      <c r="AV91" s="143">
        <f t="shared" si="21"/>
        <v>2.7109632420417085E-2</v>
      </c>
      <c r="AW91" s="143" t="str">
        <f t="shared" si="21"/>
        <v/>
      </c>
      <c r="AX91" s="143" t="str">
        <f t="shared" si="21"/>
        <v/>
      </c>
      <c r="AY91" s="143" t="str">
        <f t="shared" si="21"/>
        <v/>
      </c>
      <c r="AZ91" s="143" t="str">
        <f t="shared" si="21"/>
        <v/>
      </c>
      <c r="BA91" s="143" t="str">
        <f t="shared" si="21"/>
        <v/>
      </c>
      <c r="BB91" s="143" t="str">
        <f t="shared" si="21"/>
        <v/>
      </c>
      <c r="BC91" s="143" t="str">
        <f t="shared" si="21"/>
        <v/>
      </c>
      <c r="BD91" s="143" t="str">
        <f t="shared" si="21"/>
        <v/>
      </c>
      <c r="BF91" s="9">
        <f t="shared" si="19"/>
        <v>4.1477370864081167E-4</v>
      </c>
      <c r="BG91" s="9">
        <f t="shared" si="20"/>
        <v>0.97004381470964474</v>
      </c>
    </row>
    <row r="92" spans="2:59" x14ac:dyDescent="0.35">
      <c r="B92" s="3" t="s">
        <v>159</v>
      </c>
      <c r="D92" s="141">
        <v>85648</v>
      </c>
      <c r="E92" s="141">
        <v>76816</v>
      </c>
      <c r="F92" s="141">
        <v>117941</v>
      </c>
      <c r="G92" s="141">
        <v>102007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17"/>
        <v>382412</v>
      </c>
      <c r="R92" s="141">
        <v>51766</v>
      </c>
      <c r="S92" s="141">
        <v>52605</v>
      </c>
      <c r="T92" s="141">
        <v>90781</v>
      </c>
      <c r="U92" s="141">
        <v>69119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18"/>
        <v>264271</v>
      </c>
      <c r="AF92" s="2">
        <f t="shared" si="15"/>
        <v>0.60440407248271999</v>
      </c>
      <c r="AG92" s="2">
        <f t="shared" si="15"/>
        <v>0.68481826702770254</v>
      </c>
      <c r="AH92" s="2">
        <f t="shared" si="15"/>
        <v>0.76971536615765512</v>
      </c>
      <c r="AI92" s="2">
        <f t="shared" si="15"/>
        <v>0.67759075357573495</v>
      </c>
      <c r="AJ92" s="2" t="str">
        <f t="shared" si="15"/>
        <v/>
      </c>
      <c r="AK92" s="2" t="str">
        <f t="shared" si="15"/>
        <v/>
      </c>
      <c r="AL92" s="2" t="str">
        <f t="shared" si="15"/>
        <v/>
      </c>
      <c r="AM92" s="2" t="str">
        <f t="shared" si="13"/>
        <v/>
      </c>
      <c r="AN92" s="2" t="str">
        <f t="shared" si="13"/>
        <v/>
      </c>
      <c r="AO92" s="2" t="str">
        <f t="shared" si="13"/>
        <v/>
      </c>
      <c r="AP92" s="2" t="str">
        <f t="shared" si="13"/>
        <v/>
      </c>
      <c r="AQ92" s="2" t="str">
        <f t="shared" si="13"/>
        <v/>
      </c>
      <c r="AR92" s="2">
        <f t="shared" si="13"/>
        <v>0.69106356495089061</v>
      </c>
      <c r="AT92" s="143">
        <f t="shared" si="11"/>
        <v>8.0414194544982553E-2</v>
      </c>
      <c r="AU92" s="143">
        <f t="shared" si="12"/>
        <v>8.489709912995258E-2</v>
      </c>
      <c r="AV92" s="143">
        <f t="shared" si="21"/>
        <v>-9.2124612581920173E-2</v>
      </c>
      <c r="AW92" s="143" t="str">
        <f t="shared" si="21"/>
        <v/>
      </c>
      <c r="AX92" s="143" t="str">
        <f t="shared" si="21"/>
        <v/>
      </c>
      <c r="AY92" s="143" t="str">
        <f t="shared" si="21"/>
        <v/>
      </c>
      <c r="AZ92" s="143" t="str">
        <f t="shared" si="21"/>
        <v/>
      </c>
      <c r="BA92" s="143" t="str">
        <f t="shared" si="21"/>
        <v/>
      </c>
      <c r="BB92" s="143" t="str">
        <f t="shared" si="21"/>
        <v/>
      </c>
      <c r="BC92" s="143" t="str">
        <f t="shared" si="21"/>
        <v/>
      </c>
      <c r="BD92" s="143" t="str">
        <f t="shared" si="21"/>
        <v/>
      </c>
      <c r="BF92" s="9">
        <f t="shared" si="19"/>
        <v>3.3421755401812352E-4</v>
      </c>
      <c r="BG92" s="9">
        <f t="shared" si="20"/>
        <v>0.97037803226366282</v>
      </c>
    </row>
    <row r="93" spans="2:59" x14ac:dyDescent="0.35">
      <c r="B93" s="3" t="s">
        <v>173</v>
      </c>
      <c r="D93" s="141">
        <v>204226</v>
      </c>
      <c r="E93" s="141">
        <v>213843</v>
      </c>
      <c r="F93" s="141">
        <v>226760</v>
      </c>
      <c r="G93" s="141">
        <v>205626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17"/>
        <v>850455</v>
      </c>
      <c r="R93" s="141">
        <v>154833</v>
      </c>
      <c r="S93" s="141">
        <v>147041</v>
      </c>
      <c r="T93" s="141">
        <v>171863</v>
      </c>
      <c r="U93" s="141">
        <v>149792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18"/>
        <v>623529</v>
      </c>
      <c r="AF93" s="2">
        <f t="shared" si="15"/>
        <v>0.75814538795256237</v>
      </c>
      <c r="AG93" s="2">
        <f t="shared" si="15"/>
        <v>0.68761193960054812</v>
      </c>
      <c r="AH93" s="2">
        <f t="shared" si="15"/>
        <v>0.75790703827835593</v>
      </c>
      <c r="AI93" s="2">
        <f t="shared" ref="AI93:AN142" si="22">+IFERROR(U93/G93,"")</f>
        <v>0.72846818982035344</v>
      </c>
      <c r="AJ93" s="2" t="str">
        <f t="shared" si="22"/>
        <v/>
      </c>
      <c r="AK93" s="2" t="str">
        <f t="shared" si="22"/>
        <v/>
      </c>
      <c r="AL93" s="2" t="str">
        <f t="shared" si="22"/>
        <v/>
      </c>
      <c r="AM93" s="2" t="str">
        <f t="shared" si="13"/>
        <v/>
      </c>
      <c r="AN93" s="2" t="str">
        <f t="shared" si="13"/>
        <v/>
      </c>
      <c r="AO93" s="2" t="str">
        <f t="shared" si="13"/>
        <v/>
      </c>
      <c r="AP93" s="2" t="str">
        <f t="shared" si="13"/>
        <v/>
      </c>
      <c r="AQ93" s="2" t="str">
        <f t="shared" si="13"/>
        <v/>
      </c>
      <c r="AR93" s="2">
        <f t="shared" si="13"/>
        <v>0.73317106725223558</v>
      </c>
      <c r="AT93" s="143">
        <f t="shared" si="11"/>
        <v>-7.053344835201425E-2</v>
      </c>
      <c r="AU93" s="143">
        <f t="shared" si="12"/>
        <v>7.029509867780781E-2</v>
      </c>
      <c r="AV93" s="143">
        <f t="shared" si="21"/>
        <v>-2.9438848458002487E-2</v>
      </c>
      <c r="AW93" s="143" t="str">
        <f t="shared" si="21"/>
        <v/>
      </c>
      <c r="AX93" s="143" t="str">
        <f t="shared" si="21"/>
        <v/>
      </c>
      <c r="AY93" s="143" t="str">
        <f t="shared" si="21"/>
        <v/>
      </c>
      <c r="AZ93" s="143" t="str">
        <f t="shared" si="21"/>
        <v/>
      </c>
      <c r="BA93" s="143" t="str">
        <f t="shared" si="21"/>
        <v/>
      </c>
      <c r="BB93" s="143" t="str">
        <f t="shared" si="21"/>
        <v/>
      </c>
      <c r="BC93" s="143" t="str">
        <f t="shared" si="21"/>
        <v/>
      </c>
      <c r="BD93" s="143" t="str">
        <f t="shared" si="21"/>
        <v/>
      </c>
      <c r="BF93" s="9">
        <f t="shared" si="19"/>
        <v>7.8856301765750517E-4</v>
      </c>
      <c r="BG93" s="9">
        <f t="shared" si="20"/>
        <v>0.97116659528132032</v>
      </c>
    </row>
    <row r="94" spans="2:59" x14ac:dyDescent="0.35">
      <c r="B94" s="3" t="s">
        <v>249</v>
      </c>
      <c r="D94" s="141">
        <v>-418228</v>
      </c>
      <c r="E94" s="141">
        <v>-440551</v>
      </c>
      <c r="F94" s="141">
        <v>-509722</v>
      </c>
      <c r="G94" s="141">
        <v>-743627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17"/>
        <v>-2112128</v>
      </c>
      <c r="R94" s="141">
        <v>-360646</v>
      </c>
      <c r="S94" s="141">
        <v>-384711</v>
      </c>
      <c r="T94" s="141">
        <v>-457986</v>
      </c>
      <c r="U94" s="141">
        <v>-639152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18"/>
        <v>-1842495</v>
      </c>
      <c r="AF94" s="2">
        <f t="shared" ref="AF94:AM156" si="23">+IFERROR(R94/D94,"")</f>
        <v>0.86231911780177317</v>
      </c>
      <c r="AG94" s="2">
        <f t="shared" si="23"/>
        <v>0.87324963511602516</v>
      </c>
      <c r="AH94" s="2">
        <f t="shared" si="23"/>
        <v>0.89850153613145989</v>
      </c>
      <c r="AI94" s="2">
        <f t="shared" si="22"/>
        <v>0.8595061771560204</v>
      </c>
      <c r="AJ94" s="2" t="str">
        <f t="shared" si="22"/>
        <v/>
      </c>
      <c r="AK94" s="2" t="str">
        <f t="shared" si="22"/>
        <v/>
      </c>
      <c r="AL94" s="2" t="str">
        <f t="shared" si="22"/>
        <v/>
      </c>
      <c r="AM94" s="2" t="str">
        <f t="shared" si="13"/>
        <v/>
      </c>
      <c r="AN94" s="2" t="str">
        <f t="shared" si="13"/>
        <v/>
      </c>
      <c r="AO94" s="2" t="str">
        <f t="shared" si="13"/>
        <v/>
      </c>
      <c r="AP94" s="2" t="str">
        <f t="shared" si="13"/>
        <v/>
      </c>
      <c r="AQ94" s="2" t="str">
        <f t="shared" si="13"/>
        <v/>
      </c>
      <c r="AR94" s="2">
        <f t="shared" si="13"/>
        <v>0.87234059678201326</v>
      </c>
      <c r="AT94" s="143">
        <f t="shared" si="11"/>
        <v>1.0930517314251986E-2</v>
      </c>
      <c r="AU94" s="143">
        <f t="shared" si="12"/>
        <v>2.525190101543473E-2</v>
      </c>
      <c r="AV94" s="143">
        <f t="shared" si="21"/>
        <v>-3.8995358975439487E-2</v>
      </c>
      <c r="AW94" s="143" t="str">
        <f t="shared" si="21"/>
        <v/>
      </c>
      <c r="AX94" s="143" t="str">
        <f t="shared" si="21"/>
        <v/>
      </c>
      <c r="AY94" s="143" t="str">
        <f t="shared" si="21"/>
        <v/>
      </c>
      <c r="AZ94" s="143" t="str">
        <f t="shared" si="21"/>
        <v/>
      </c>
      <c r="BA94" s="143" t="str">
        <f t="shared" si="21"/>
        <v/>
      </c>
      <c r="BB94" s="143" t="str">
        <f t="shared" si="21"/>
        <v/>
      </c>
      <c r="BC94" s="143" t="str">
        <f t="shared" si="21"/>
        <v/>
      </c>
      <c r="BD94" s="143" t="str">
        <f t="shared" si="21"/>
        <v/>
      </c>
      <c r="BF94" s="9">
        <f t="shared" si="19"/>
        <v>-2.3301617362125339E-3</v>
      </c>
      <c r="BG94" s="9">
        <f t="shared" si="20"/>
        <v>0.96883643354510773</v>
      </c>
    </row>
    <row r="95" spans="2:59" x14ac:dyDescent="0.35">
      <c r="B95" s="3" t="s">
        <v>219</v>
      </c>
      <c r="D95" s="141">
        <v>229686</v>
      </c>
      <c r="E95" s="141">
        <v>193734</v>
      </c>
      <c r="F95" s="141">
        <v>201336</v>
      </c>
      <c r="G95" s="141">
        <v>195079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17"/>
        <v>819835</v>
      </c>
      <c r="R95" s="141">
        <v>169561</v>
      </c>
      <c r="S95" s="141">
        <v>146247</v>
      </c>
      <c r="T95" s="141">
        <v>153191</v>
      </c>
      <c r="U95" s="141">
        <v>146652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18"/>
        <v>615651</v>
      </c>
      <c r="AF95" s="2">
        <f t="shared" si="23"/>
        <v>0.73822958299591612</v>
      </c>
      <c r="AG95" s="2">
        <f t="shared" si="23"/>
        <v>0.75488556474341106</v>
      </c>
      <c r="AH95" s="2">
        <f t="shared" si="23"/>
        <v>0.76087237255135698</v>
      </c>
      <c r="AI95" s="2">
        <f t="shared" si="22"/>
        <v>0.75175698050533368</v>
      </c>
      <c r="AJ95" s="2" t="str">
        <f t="shared" si="22"/>
        <v/>
      </c>
      <c r="AK95" s="2" t="str">
        <f t="shared" si="22"/>
        <v/>
      </c>
      <c r="AL95" s="2" t="str">
        <f t="shared" si="22"/>
        <v/>
      </c>
      <c r="AM95" s="2" t="str">
        <f t="shared" si="13"/>
        <v/>
      </c>
      <c r="AN95" s="2" t="str">
        <f t="shared" si="13"/>
        <v/>
      </c>
      <c r="AO95" s="2" t="str">
        <f t="shared" si="13"/>
        <v/>
      </c>
      <c r="AP95" s="2" t="str">
        <f t="shared" si="13"/>
        <v/>
      </c>
      <c r="AQ95" s="2" t="str">
        <f t="shared" si="13"/>
        <v/>
      </c>
      <c r="AR95" s="2">
        <f t="shared" si="13"/>
        <v>0.75094500722706403</v>
      </c>
      <c r="AT95" s="143">
        <f t="shared" si="11"/>
        <v>1.6655981747494941E-2</v>
      </c>
      <c r="AU95" s="143">
        <f t="shared" si="12"/>
        <v>5.9868078079459153E-3</v>
      </c>
      <c r="AV95" s="143">
        <f t="shared" si="21"/>
        <v>-9.1153920460232962E-3</v>
      </c>
      <c r="AW95" s="143" t="str">
        <f t="shared" si="21"/>
        <v/>
      </c>
      <c r="AX95" s="143" t="str">
        <f t="shared" si="21"/>
        <v/>
      </c>
      <c r="AY95" s="143" t="str">
        <f t="shared" si="21"/>
        <v/>
      </c>
      <c r="AZ95" s="143" t="str">
        <f t="shared" si="21"/>
        <v/>
      </c>
      <c r="BA95" s="143" t="str">
        <f t="shared" si="21"/>
        <v/>
      </c>
      <c r="BB95" s="143" t="str">
        <f t="shared" si="21"/>
        <v/>
      </c>
      <c r="BC95" s="143" t="str">
        <f t="shared" si="21"/>
        <v/>
      </c>
      <c r="BD95" s="143" t="str">
        <f t="shared" si="21"/>
        <v/>
      </c>
      <c r="BF95" s="9">
        <f t="shared" si="19"/>
        <v>7.7859988931366572E-4</v>
      </c>
      <c r="BG95" s="9">
        <f t="shared" si="20"/>
        <v>0.96961503343442135</v>
      </c>
    </row>
    <row r="96" spans="2:59" x14ac:dyDescent="0.35">
      <c r="B96" s="3" t="s">
        <v>211</v>
      </c>
      <c r="D96" s="141">
        <v>167097</v>
      </c>
      <c r="E96" s="141">
        <v>185758</v>
      </c>
      <c r="F96" s="141">
        <v>219873</v>
      </c>
      <c r="G96" s="141">
        <v>190179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17"/>
        <v>762907</v>
      </c>
      <c r="R96" s="141">
        <v>123239</v>
      </c>
      <c r="S96" s="141">
        <v>90521</v>
      </c>
      <c r="T96" s="141">
        <v>149200</v>
      </c>
      <c r="U96" s="141">
        <v>158833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18"/>
        <v>521793</v>
      </c>
      <c r="AF96" s="2">
        <f t="shared" si="23"/>
        <v>0.73752969831894044</v>
      </c>
      <c r="AG96" s="2">
        <f t="shared" si="23"/>
        <v>0.48730606488011285</v>
      </c>
      <c r="AH96" s="2">
        <f t="shared" si="23"/>
        <v>0.67857354018001304</v>
      </c>
      <c r="AI96" s="2">
        <f t="shared" si="22"/>
        <v>0.8351763338749284</v>
      </c>
      <c r="AJ96" s="2" t="str">
        <f t="shared" si="22"/>
        <v/>
      </c>
      <c r="AK96" s="2" t="str">
        <f t="shared" si="22"/>
        <v/>
      </c>
      <c r="AL96" s="2" t="str">
        <f t="shared" si="22"/>
        <v/>
      </c>
      <c r="AM96" s="2" t="str">
        <f t="shared" si="13"/>
        <v/>
      </c>
      <c r="AN96" s="2" t="str">
        <f t="shared" si="13"/>
        <v/>
      </c>
      <c r="AO96" s="2" t="str">
        <f t="shared" si="13"/>
        <v/>
      </c>
      <c r="AP96" s="2" t="str">
        <f t="shared" si="13"/>
        <v/>
      </c>
      <c r="AQ96" s="2" t="str">
        <f t="shared" si="13"/>
        <v/>
      </c>
      <c r="AR96" s="2">
        <f t="shared" si="13"/>
        <v>0.68395361426753198</v>
      </c>
      <c r="AT96" s="143">
        <f t="shared" si="11"/>
        <v>-0.25022363343882759</v>
      </c>
      <c r="AU96" s="143">
        <f t="shared" si="12"/>
        <v>0.19126747529990018</v>
      </c>
      <c r="AV96" s="143">
        <f t="shared" si="21"/>
        <v>0.15660279369491537</v>
      </c>
      <c r="AW96" s="143" t="str">
        <f t="shared" si="21"/>
        <v/>
      </c>
      <c r="AX96" s="143" t="str">
        <f t="shared" si="21"/>
        <v/>
      </c>
      <c r="AY96" s="143" t="str">
        <f t="shared" si="21"/>
        <v/>
      </c>
      <c r="AZ96" s="143" t="str">
        <f t="shared" si="21"/>
        <v/>
      </c>
      <c r="BA96" s="143" t="str">
        <f t="shared" si="21"/>
        <v/>
      </c>
      <c r="BB96" s="143" t="str">
        <f t="shared" si="21"/>
        <v/>
      </c>
      <c r="BC96" s="143" t="str">
        <f t="shared" si="21"/>
        <v/>
      </c>
      <c r="BD96" s="143" t="str">
        <f t="shared" si="21"/>
        <v/>
      </c>
      <c r="BF96" s="9">
        <f t="shared" si="19"/>
        <v>6.5989980044643085E-4</v>
      </c>
      <c r="BG96" s="9">
        <f t="shared" si="20"/>
        <v>0.9702749332348678</v>
      </c>
    </row>
    <row r="97" spans="2:59" x14ac:dyDescent="0.35">
      <c r="B97" s="3" t="s">
        <v>201</v>
      </c>
      <c r="D97" s="141">
        <v>692078</v>
      </c>
      <c r="E97" s="141">
        <v>107948</v>
      </c>
      <c r="F97" s="141">
        <v>675156</v>
      </c>
      <c r="G97" s="141">
        <v>361968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17"/>
        <v>1837150</v>
      </c>
      <c r="R97" s="141">
        <v>487800</v>
      </c>
      <c r="S97" s="141">
        <v>93294</v>
      </c>
      <c r="T97" s="141">
        <v>474912</v>
      </c>
      <c r="U97" s="141">
        <v>253707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18"/>
        <v>1309713</v>
      </c>
      <c r="AF97" s="2">
        <f t="shared" si="23"/>
        <v>0.70483384820786099</v>
      </c>
      <c r="AG97" s="2">
        <f t="shared" si="23"/>
        <v>0.86424945344054549</v>
      </c>
      <c r="AH97" s="2">
        <f t="shared" si="23"/>
        <v>0.7034107672893376</v>
      </c>
      <c r="AI97" s="2">
        <f t="shared" si="22"/>
        <v>0.70091002519559742</v>
      </c>
      <c r="AJ97" s="2" t="str">
        <f t="shared" si="22"/>
        <v/>
      </c>
      <c r="AK97" s="2" t="str">
        <f t="shared" si="22"/>
        <v/>
      </c>
      <c r="AL97" s="2" t="str">
        <f t="shared" si="22"/>
        <v/>
      </c>
      <c r="AM97" s="2" t="str">
        <f t="shared" si="13"/>
        <v/>
      </c>
      <c r="AN97" s="2" t="str">
        <f t="shared" si="13"/>
        <v/>
      </c>
      <c r="AO97" s="2" t="str">
        <f t="shared" si="13"/>
        <v/>
      </c>
      <c r="AP97" s="2" t="str">
        <f t="shared" si="13"/>
        <v/>
      </c>
      <c r="AQ97" s="2" t="str">
        <f t="shared" si="13"/>
        <v/>
      </c>
      <c r="AR97" s="2">
        <f t="shared" si="13"/>
        <v>0.71290477097678473</v>
      </c>
      <c r="AT97" s="143">
        <f t="shared" si="11"/>
        <v>0.1594156052326845</v>
      </c>
      <c r="AU97" s="143">
        <f t="shared" si="12"/>
        <v>-0.16083868615120789</v>
      </c>
      <c r="AV97" s="143">
        <f t="shared" si="21"/>
        <v>-2.5007420937401825E-3</v>
      </c>
      <c r="AW97" s="143" t="str">
        <f t="shared" si="21"/>
        <v/>
      </c>
      <c r="AX97" s="143" t="str">
        <f t="shared" si="21"/>
        <v/>
      </c>
      <c r="AY97" s="143" t="str">
        <f t="shared" si="21"/>
        <v/>
      </c>
      <c r="AZ97" s="143" t="str">
        <f t="shared" si="21"/>
        <v/>
      </c>
      <c r="BA97" s="143" t="str">
        <f t="shared" si="21"/>
        <v/>
      </c>
      <c r="BB97" s="143" t="str">
        <f t="shared" si="21"/>
        <v/>
      </c>
      <c r="BC97" s="143" t="str">
        <f t="shared" si="21"/>
        <v/>
      </c>
      <c r="BD97" s="143" t="str">
        <f t="shared" si="21"/>
        <v/>
      </c>
      <c r="BF97" s="9">
        <f t="shared" si="19"/>
        <v>1.656364396115119E-3</v>
      </c>
      <c r="BG97" s="9">
        <f t="shared" si="20"/>
        <v>0.97193129763098296</v>
      </c>
    </row>
    <row r="98" spans="2:59" x14ac:dyDescent="0.35">
      <c r="B98" s="3" t="s">
        <v>184</v>
      </c>
      <c r="D98" s="141">
        <v>45274</v>
      </c>
      <c r="E98" s="141">
        <v>36128</v>
      </c>
      <c r="F98" s="141">
        <v>48178</v>
      </c>
      <c r="G98" s="141">
        <v>42154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17"/>
        <v>171734</v>
      </c>
      <c r="R98" s="141">
        <v>31970</v>
      </c>
      <c r="S98" s="141">
        <v>24329</v>
      </c>
      <c r="T98" s="141">
        <v>32781</v>
      </c>
      <c r="U98" s="141">
        <v>26388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18"/>
        <v>115468</v>
      </c>
      <c r="AF98" s="2">
        <f t="shared" si="23"/>
        <v>0.70614480717409556</v>
      </c>
      <c r="AG98" s="2">
        <f t="shared" si="23"/>
        <v>0.67341120460584591</v>
      </c>
      <c r="AH98" s="2">
        <f t="shared" si="23"/>
        <v>0.68041429698202494</v>
      </c>
      <c r="AI98" s="2">
        <f t="shared" si="22"/>
        <v>0.62599041609337192</v>
      </c>
      <c r="AJ98" s="2" t="str">
        <f t="shared" si="22"/>
        <v/>
      </c>
      <c r="AK98" s="2" t="str">
        <f t="shared" si="22"/>
        <v/>
      </c>
      <c r="AL98" s="2" t="str">
        <f t="shared" si="22"/>
        <v/>
      </c>
      <c r="AM98" s="2" t="str">
        <f t="shared" si="13"/>
        <v/>
      </c>
      <c r="AN98" s="2" t="str">
        <f t="shared" si="13"/>
        <v/>
      </c>
      <c r="AO98" s="2" t="str">
        <f t="shared" si="13"/>
        <v/>
      </c>
      <c r="AP98" s="2" t="str">
        <f t="shared" si="13"/>
        <v/>
      </c>
      <c r="AQ98" s="2" t="str">
        <f t="shared" si="13"/>
        <v/>
      </c>
      <c r="AR98" s="2">
        <f t="shared" si="13"/>
        <v>0.67236540230822084</v>
      </c>
      <c r="AT98" s="143">
        <f t="shared" si="11"/>
        <v>-3.2733602568249642E-2</v>
      </c>
      <c r="AU98" s="143">
        <f t="shared" si="12"/>
        <v>7.0030923761790209E-3</v>
      </c>
      <c r="AV98" s="143">
        <f t="shared" si="21"/>
        <v>-5.442388088865302E-2</v>
      </c>
      <c r="AW98" s="143" t="str">
        <f t="shared" si="21"/>
        <v/>
      </c>
      <c r="AX98" s="143" t="str">
        <f t="shared" si="21"/>
        <v/>
      </c>
      <c r="AY98" s="143" t="str">
        <f t="shared" si="21"/>
        <v/>
      </c>
      <c r="AZ98" s="143" t="str">
        <f t="shared" si="21"/>
        <v/>
      </c>
      <c r="BA98" s="143" t="str">
        <f t="shared" si="21"/>
        <v/>
      </c>
      <c r="BB98" s="143" t="str">
        <f t="shared" si="21"/>
        <v/>
      </c>
      <c r="BC98" s="143" t="str">
        <f t="shared" si="21"/>
        <v/>
      </c>
      <c r="BD98" s="143" t="str">
        <f t="shared" si="21"/>
        <v/>
      </c>
      <c r="BF98" s="9">
        <f t="shared" si="19"/>
        <v>1.4602976689596925E-4</v>
      </c>
      <c r="BG98" s="9">
        <f t="shared" si="20"/>
        <v>0.97207732739787889</v>
      </c>
    </row>
    <row r="99" spans="2:59" x14ac:dyDescent="0.35">
      <c r="B99" s="3" t="s">
        <v>161</v>
      </c>
      <c r="D99" s="141">
        <v>504227</v>
      </c>
      <c r="E99" s="141">
        <v>592690</v>
      </c>
      <c r="F99" s="141">
        <v>892117</v>
      </c>
      <c r="G99" s="141">
        <v>1136152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17"/>
        <v>3125186</v>
      </c>
      <c r="R99" s="141">
        <v>372314</v>
      </c>
      <c r="S99" s="141">
        <v>437761</v>
      </c>
      <c r="T99" s="141">
        <v>689021</v>
      </c>
      <c r="U99" s="141">
        <v>886782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18"/>
        <v>2385878</v>
      </c>
      <c r="AF99" s="2">
        <f t="shared" si="23"/>
        <v>0.73838568739873112</v>
      </c>
      <c r="AG99" s="2">
        <f t="shared" si="23"/>
        <v>0.73860028007896206</v>
      </c>
      <c r="AH99" s="2">
        <f t="shared" si="23"/>
        <v>0.77234376208501798</v>
      </c>
      <c r="AI99" s="2">
        <f t="shared" si="22"/>
        <v>0.7805135228384934</v>
      </c>
      <c r="AJ99" s="2" t="str">
        <f t="shared" si="22"/>
        <v/>
      </c>
      <c r="AK99" s="2" t="str">
        <f t="shared" si="22"/>
        <v/>
      </c>
      <c r="AL99" s="2" t="str">
        <f t="shared" si="22"/>
        <v/>
      </c>
      <c r="AM99" s="2" t="str">
        <f t="shared" si="13"/>
        <v/>
      </c>
      <c r="AN99" s="2" t="str">
        <f t="shared" si="13"/>
        <v/>
      </c>
      <c r="AO99" s="2" t="str">
        <f t="shared" si="13"/>
        <v/>
      </c>
      <c r="AP99" s="2" t="str">
        <f t="shared" si="13"/>
        <v/>
      </c>
      <c r="AQ99" s="2" t="str">
        <f t="shared" si="13"/>
        <v/>
      </c>
      <c r="AR99" s="2">
        <f t="shared" si="13"/>
        <v>0.76343552031783068</v>
      </c>
      <c r="AT99" s="143">
        <f t="shared" si="11"/>
        <v>2.1459268023094058E-4</v>
      </c>
      <c r="AU99" s="143">
        <f t="shared" si="12"/>
        <v>3.3743482006055925E-2</v>
      </c>
      <c r="AV99" s="143">
        <f t="shared" si="21"/>
        <v>8.1697607534754191E-3</v>
      </c>
      <c r="AW99" s="143" t="str">
        <f t="shared" si="21"/>
        <v/>
      </c>
      <c r="AX99" s="143" t="str">
        <f t="shared" si="21"/>
        <v/>
      </c>
      <c r="AY99" s="143" t="str">
        <f t="shared" si="21"/>
        <v/>
      </c>
      <c r="AZ99" s="143" t="str">
        <f t="shared" si="21"/>
        <v/>
      </c>
      <c r="BA99" s="143" t="str">
        <f t="shared" si="21"/>
        <v/>
      </c>
      <c r="BB99" s="143" t="str">
        <f t="shared" si="21"/>
        <v/>
      </c>
      <c r="BC99" s="143" t="str">
        <f t="shared" si="21"/>
        <v/>
      </c>
      <c r="BD99" s="143" t="str">
        <f t="shared" si="21"/>
        <v/>
      </c>
      <c r="BF99" s="9">
        <f t="shared" si="19"/>
        <v>3.0173659211402406E-3</v>
      </c>
      <c r="BG99" s="9">
        <f t="shared" si="20"/>
        <v>0.9750946933190191</v>
      </c>
    </row>
    <row r="100" spans="2:59" x14ac:dyDescent="0.35">
      <c r="B100" s="3" t="s">
        <v>170</v>
      </c>
      <c r="D100" s="141">
        <v>6878</v>
      </c>
      <c r="E100" s="141">
        <v>7685</v>
      </c>
      <c r="F100" s="141">
        <v>7153</v>
      </c>
      <c r="G100" s="141">
        <v>5787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7"/>
        <v>27503</v>
      </c>
      <c r="R100" s="141">
        <v>5042</v>
      </c>
      <c r="S100" s="141">
        <v>6004</v>
      </c>
      <c r="T100" s="141">
        <v>4914</v>
      </c>
      <c r="U100" s="141">
        <v>3731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8"/>
        <v>19691</v>
      </c>
      <c r="AF100" s="2">
        <f t="shared" si="23"/>
        <v>0.73306193660947949</v>
      </c>
      <c r="AG100" s="2">
        <f t="shared" si="23"/>
        <v>0.78126219908913463</v>
      </c>
      <c r="AH100" s="2">
        <f t="shared" si="23"/>
        <v>0.68698448203550955</v>
      </c>
      <c r="AI100" s="2">
        <f t="shared" si="22"/>
        <v>0.64472092621392774</v>
      </c>
      <c r="AJ100" s="2" t="str">
        <f t="shared" si="22"/>
        <v/>
      </c>
      <c r="AK100" s="2" t="str">
        <f t="shared" si="22"/>
        <v/>
      </c>
      <c r="AL100" s="2" t="str">
        <f t="shared" si="22"/>
        <v/>
      </c>
      <c r="AM100" s="2" t="str">
        <f t="shared" si="13"/>
        <v/>
      </c>
      <c r="AN100" s="2" t="str">
        <f t="shared" si="13"/>
        <v/>
      </c>
      <c r="AO100" s="2" t="str">
        <f t="shared" si="13"/>
        <v/>
      </c>
      <c r="AP100" s="2" t="str">
        <f t="shared" si="13"/>
        <v/>
      </c>
      <c r="AQ100" s="2" t="str">
        <f t="shared" si="13"/>
        <v/>
      </c>
      <c r="AR100" s="2">
        <f t="shared" si="13"/>
        <v>0.71595825909900734</v>
      </c>
      <c r="AT100" s="143">
        <f t="shared" si="11"/>
        <v>4.8200262479655143E-2</v>
      </c>
      <c r="AU100" s="143">
        <f t="shared" si="12"/>
        <v>-9.4277717053625087E-2</v>
      </c>
      <c r="AV100" s="143">
        <f t="shared" si="21"/>
        <v>-4.2263555821581811E-2</v>
      </c>
      <c r="AW100" s="143" t="str">
        <f t="shared" si="21"/>
        <v/>
      </c>
      <c r="AX100" s="143" t="str">
        <f t="shared" si="21"/>
        <v/>
      </c>
      <c r="AY100" s="143" t="str">
        <f t="shared" si="21"/>
        <v/>
      </c>
      <c r="AZ100" s="143" t="str">
        <f t="shared" si="21"/>
        <v/>
      </c>
      <c r="BA100" s="143" t="str">
        <f t="shared" si="21"/>
        <v/>
      </c>
      <c r="BB100" s="143" t="str">
        <f t="shared" si="21"/>
        <v/>
      </c>
      <c r="BC100" s="143" t="str">
        <f t="shared" si="21"/>
        <v/>
      </c>
      <c r="BD100" s="143" t="str">
        <f t="shared" si="21"/>
        <v/>
      </c>
      <c r="BF100" s="9">
        <f t="shared" si="19"/>
        <v>2.4902762150106785E-5</v>
      </c>
      <c r="BG100" s="9">
        <f t="shared" si="20"/>
        <v>0.97511959608116916</v>
      </c>
    </row>
    <row r="101" spans="2:59" x14ac:dyDescent="0.35">
      <c r="B101" s="3" t="s">
        <v>163</v>
      </c>
      <c r="D101" s="141">
        <v>142236</v>
      </c>
      <c r="E101" s="141">
        <v>84267</v>
      </c>
      <c r="F101" s="141">
        <v>155972</v>
      </c>
      <c r="G101" s="141">
        <v>107100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7"/>
        <v>489575</v>
      </c>
      <c r="R101" s="141">
        <v>90390</v>
      </c>
      <c r="S101" s="141">
        <v>71762</v>
      </c>
      <c r="T101" s="141">
        <v>147119</v>
      </c>
      <c r="U101" s="141">
        <v>87444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8"/>
        <v>396715</v>
      </c>
      <c r="AF101" s="2">
        <f t="shared" si="23"/>
        <v>0.63549312410360248</v>
      </c>
      <c r="AG101" s="2">
        <f t="shared" si="23"/>
        <v>0.85160264397688301</v>
      </c>
      <c r="AH101" s="2">
        <f t="shared" si="23"/>
        <v>0.94323981227399789</v>
      </c>
      <c r="AI101" s="2">
        <f t="shared" si="22"/>
        <v>0.81647058823529417</v>
      </c>
      <c r="AJ101" s="2" t="str">
        <f t="shared" si="22"/>
        <v/>
      </c>
      <c r="AK101" s="2" t="str">
        <f t="shared" si="22"/>
        <v/>
      </c>
      <c r="AL101" s="2" t="str">
        <f t="shared" si="22"/>
        <v/>
      </c>
      <c r="AM101" s="2" t="str">
        <f t="shared" si="13"/>
        <v/>
      </c>
      <c r="AN101" s="2" t="str">
        <f t="shared" si="13"/>
        <v/>
      </c>
      <c r="AO101" s="2" t="str">
        <f t="shared" si="13"/>
        <v/>
      </c>
      <c r="AP101" s="2" t="str">
        <f t="shared" si="13"/>
        <v/>
      </c>
      <c r="AQ101" s="2" t="str">
        <f t="shared" si="13"/>
        <v/>
      </c>
      <c r="AR101" s="2">
        <f t="shared" si="13"/>
        <v>0.8103252821324618</v>
      </c>
      <c r="AT101" s="143">
        <f t="shared" si="11"/>
        <v>0.21610951987328053</v>
      </c>
      <c r="AU101" s="143">
        <f t="shared" si="12"/>
        <v>9.1637168297114879E-2</v>
      </c>
      <c r="AV101" s="143">
        <f t="shared" si="21"/>
        <v>-0.12676922403870372</v>
      </c>
      <c r="AW101" s="143" t="str">
        <f t="shared" si="21"/>
        <v/>
      </c>
      <c r="AX101" s="143" t="str">
        <f t="shared" si="21"/>
        <v/>
      </c>
      <c r="AY101" s="143" t="str">
        <f t="shared" si="21"/>
        <v/>
      </c>
      <c r="AZ101" s="143" t="str">
        <f t="shared" si="21"/>
        <v/>
      </c>
      <c r="BA101" s="143" t="str">
        <f t="shared" si="21"/>
        <v/>
      </c>
      <c r="BB101" s="143" t="str">
        <f t="shared" si="21"/>
        <v/>
      </c>
      <c r="BC101" s="143" t="str">
        <f t="shared" si="21"/>
        <v/>
      </c>
      <c r="BD101" s="143" t="str">
        <f t="shared" si="21"/>
        <v/>
      </c>
      <c r="BF101" s="9">
        <f t="shared" ref="BF101:BF132" si="24">+AD101/$AD$256</f>
        <v>5.017164839967302E-4</v>
      </c>
      <c r="BG101" s="9">
        <f t="shared" si="20"/>
        <v>0.97562131256516593</v>
      </c>
    </row>
    <row r="102" spans="2:59" x14ac:dyDescent="0.35">
      <c r="B102" s="3" t="s">
        <v>202</v>
      </c>
      <c r="D102" s="141">
        <v>94469</v>
      </c>
      <c r="E102" s="141">
        <v>89727</v>
      </c>
      <c r="F102" s="141">
        <v>166470</v>
      </c>
      <c r="G102" s="141">
        <v>130605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7"/>
        <v>481271</v>
      </c>
      <c r="R102" s="141">
        <v>72397</v>
      </c>
      <c r="S102" s="141">
        <v>56830</v>
      </c>
      <c r="T102" s="141">
        <v>103969</v>
      </c>
      <c r="U102" s="141">
        <v>76120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8"/>
        <v>309316</v>
      </c>
      <c r="AF102" s="2">
        <f t="shared" si="23"/>
        <v>0.76635721771163023</v>
      </c>
      <c r="AG102" s="2">
        <f t="shared" si="23"/>
        <v>0.63336565359367858</v>
      </c>
      <c r="AH102" s="2">
        <f t="shared" si="23"/>
        <v>0.62455097014477079</v>
      </c>
      <c r="AI102" s="2">
        <f t="shared" si="22"/>
        <v>0.58282607863404923</v>
      </c>
      <c r="AJ102" s="2" t="str">
        <f t="shared" si="22"/>
        <v/>
      </c>
      <c r="AK102" s="2" t="str">
        <f t="shared" si="22"/>
        <v/>
      </c>
      <c r="AL102" s="2" t="str">
        <f t="shared" si="22"/>
        <v/>
      </c>
      <c r="AM102" s="2" t="str">
        <f t="shared" si="13"/>
        <v/>
      </c>
      <c r="AN102" s="2" t="str">
        <f t="shared" si="13"/>
        <v/>
      </c>
      <c r="AO102" s="2" t="str">
        <f t="shared" si="13"/>
        <v/>
      </c>
      <c r="AP102" s="2" t="str">
        <f t="shared" si="13"/>
        <v/>
      </c>
      <c r="AQ102" s="2" t="str">
        <f t="shared" si="13"/>
        <v/>
      </c>
      <c r="AR102" s="2">
        <f t="shared" si="13"/>
        <v>0.64270650007999652</v>
      </c>
      <c r="AT102" s="143">
        <f t="shared" si="11"/>
        <v>-0.13299156411795165</v>
      </c>
      <c r="AU102" s="143">
        <f t="shared" si="12"/>
        <v>-8.8146834489077897E-3</v>
      </c>
      <c r="AV102" s="143">
        <f t="shared" si="21"/>
        <v>-4.1724891510721562E-2</v>
      </c>
      <c r="AW102" s="143" t="str">
        <f t="shared" si="21"/>
        <v/>
      </c>
      <c r="AX102" s="143" t="str">
        <f t="shared" si="21"/>
        <v/>
      </c>
      <c r="AY102" s="143" t="str">
        <f t="shared" si="21"/>
        <v/>
      </c>
      <c r="AZ102" s="143" t="str">
        <f t="shared" si="21"/>
        <v/>
      </c>
      <c r="BA102" s="143" t="str">
        <f t="shared" si="21"/>
        <v/>
      </c>
      <c r="BB102" s="143" t="str">
        <f t="shared" si="21"/>
        <v/>
      </c>
      <c r="BC102" s="143" t="str">
        <f t="shared" si="21"/>
        <v/>
      </c>
      <c r="BD102" s="143" t="str">
        <f t="shared" si="21"/>
        <v/>
      </c>
      <c r="BF102" s="9">
        <f t="shared" si="24"/>
        <v>3.9118494628116555E-4</v>
      </c>
      <c r="BG102" s="9">
        <f t="shared" si="20"/>
        <v>0.97601249751144714</v>
      </c>
    </row>
    <row r="103" spans="2:59" x14ac:dyDescent="0.35">
      <c r="B103" s="3" t="s">
        <v>187</v>
      </c>
      <c r="D103" s="141">
        <v>146330</v>
      </c>
      <c r="E103" s="141">
        <v>170281</v>
      </c>
      <c r="F103" s="141">
        <v>124076</v>
      </c>
      <c r="G103" s="141">
        <v>207162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7"/>
        <v>647849</v>
      </c>
      <c r="R103" s="141">
        <v>116089</v>
      </c>
      <c r="S103" s="141">
        <v>113669</v>
      </c>
      <c r="T103" s="141">
        <v>106793</v>
      </c>
      <c r="U103" s="141">
        <v>136006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8"/>
        <v>472557</v>
      </c>
      <c r="AF103" s="2">
        <f t="shared" si="23"/>
        <v>0.79333697806328163</v>
      </c>
      <c r="AG103" s="2">
        <f t="shared" si="23"/>
        <v>0.66753777579412854</v>
      </c>
      <c r="AH103" s="2">
        <f t="shared" si="23"/>
        <v>0.86070634127470258</v>
      </c>
      <c r="AI103" s="2">
        <f t="shared" si="22"/>
        <v>0.65652001815004679</v>
      </c>
      <c r="AJ103" s="2" t="str">
        <f t="shared" si="22"/>
        <v/>
      </c>
      <c r="AK103" s="2" t="str">
        <f t="shared" si="22"/>
        <v/>
      </c>
      <c r="AL103" s="2" t="str">
        <f t="shared" si="22"/>
        <v/>
      </c>
      <c r="AM103" s="2" t="str">
        <f t="shared" si="13"/>
        <v/>
      </c>
      <c r="AN103" s="2" t="str">
        <f t="shared" si="13"/>
        <v/>
      </c>
      <c r="AO103" s="2" t="str">
        <f t="shared" si="13"/>
        <v/>
      </c>
      <c r="AP103" s="2" t="str">
        <f t="shared" si="13"/>
        <v/>
      </c>
      <c r="AQ103" s="2" t="str">
        <f t="shared" si="13"/>
        <v/>
      </c>
      <c r="AR103" s="2">
        <f t="shared" si="13"/>
        <v>0.72942460357274608</v>
      </c>
      <c r="AT103" s="143">
        <f t="shared" si="11"/>
        <v>-0.12579920226915309</v>
      </c>
      <c r="AU103" s="143">
        <f t="shared" si="12"/>
        <v>0.19316856548057404</v>
      </c>
      <c r="AV103" s="143">
        <f t="shared" si="21"/>
        <v>-0.20418632312465579</v>
      </c>
      <c r="AW103" s="143" t="str">
        <f t="shared" si="21"/>
        <v/>
      </c>
      <c r="AX103" s="143" t="str">
        <f t="shared" si="21"/>
        <v/>
      </c>
      <c r="AY103" s="143" t="str">
        <f t="shared" si="21"/>
        <v/>
      </c>
      <c r="AZ103" s="143" t="str">
        <f t="shared" si="21"/>
        <v/>
      </c>
      <c r="BA103" s="143" t="str">
        <f t="shared" si="21"/>
        <v/>
      </c>
      <c r="BB103" s="143" t="str">
        <f t="shared" si="21"/>
        <v/>
      </c>
      <c r="BC103" s="143" t="str">
        <f t="shared" si="21"/>
        <v/>
      </c>
      <c r="BD103" s="143" t="str">
        <f t="shared" si="21"/>
        <v/>
      </c>
      <c r="BF103" s="9">
        <f t="shared" si="24"/>
        <v>5.9763214531349405E-4</v>
      </c>
      <c r="BG103" s="9">
        <f t="shared" si="20"/>
        <v>0.97661012965676064</v>
      </c>
    </row>
    <row r="104" spans="2:59" x14ac:dyDescent="0.35">
      <c r="B104" s="3" t="s">
        <v>155</v>
      </c>
      <c r="D104" s="141">
        <v>79721</v>
      </c>
      <c r="E104" s="141">
        <v>75368</v>
      </c>
      <c r="F104" s="141">
        <v>68375</v>
      </c>
      <c r="G104" s="141">
        <v>58418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7"/>
        <v>281882</v>
      </c>
      <c r="R104" s="141">
        <v>60187</v>
      </c>
      <c r="S104" s="141">
        <v>52371</v>
      </c>
      <c r="T104" s="141">
        <v>48634</v>
      </c>
      <c r="U104" s="141">
        <v>32361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8"/>
        <v>193553</v>
      </c>
      <c r="AF104" s="2">
        <f t="shared" si="23"/>
        <v>0.75497045947742758</v>
      </c>
      <c r="AG104" s="2">
        <f t="shared" si="23"/>
        <v>0.69487050206984402</v>
      </c>
      <c r="AH104" s="2">
        <f t="shared" si="23"/>
        <v>0.71128336380255941</v>
      </c>
      <c r="AI104" s="2">
        <f t="shared" si="22"/>
        <v>0.55395597247423745</v>
      </c>
      <c r="AJ104" s="2" t="str">
        <f t="shared" si="22"/>
        <v/>
      </c>
      <c r="AK104" s="2" t="str">
        <f t="shared" si="22"/>
        <v/>
      </c>
      <c r="AL104" s="2" t="str">
        <f t="shared" si="22"/>
        <v/>
      </c>
      <c r="AM104" s="2" t="str">
        <f t="shared" si="13"/>
        <v/>
      </c>
      <c r="AN104" s="2" t="str">
        <f t="shared" si="13"/>
        <v/>
      </c>
      <c r="AO104" s="2" t="str">
        <f t="shared" si="13"/>
        <v/>
      </c>
      <c r="AP104" s="2" t="str">
        <f t="shared" si="13"/>
        <v/>
      </c>
      <c r="AQ104" s="2" t="str">
        <f t="shared" si="13"/>
        <v/>
      </c>
      <c r="AR104" s="2">
        <f t="shared" si="13"/>
        <v>0.68664547576645552</v>
      </c>
      <c r="AT104" s="143">
        <f t="shared" si="11"/>
        <v>-6.009995740758356E-2</v>
      </c>
      <c r="AU104" s="143">
        <f t="shared" si="12"/>
        <v>1.6412861732715389E-2</v>
      </c>
      <c r="AV104" s="143">
        <f t="shared" si="21"/>
        <v>-0.15732739132832196</v>
      </c>
      <c r="AW104" s="143" t="str">
        <f t="shared" si="21"/>
        <v/>
      </c>
      <c r="AX104" s="143" t="str">
        <f t="shared" si="21"/>
        <v/>
      </c>
      <c r="AY104" s="143" t="str">
        <f t="shared" si="21"/>
        <v/>
      </c>
      <c r="AZ104" s="143" t="str">
        <f t="shared" si="21"/>
        <v/>
      </c>
      <c r="BA104" s="143" t="str">
        <f t="shared" si="21"/>
        <v/>
      </c>
      <c r="BB104" s="143" t="str">
        <f t="shared" si="21"/>
        <v/>
      </c>
      <c r="BC104" s="143" t="str">
        <f t="shared" si="21"/>
        <v/>
      </c>
      <c r="BD104" s="143" t="str">
        <f t="shared" si="21"/>
        <v/>
      </c>
      <c r="BF104" s="9">
        <f t="shared" si="24"/>
        <v>2.4478209956018581E-4</v>
      </c>
      <c r="BG104" s="9">
        <f t="shared" si="20"/>
        <v>0.97685491175632078</v>
      </c>
    </row>
    <row r="105" spans="2:59" x14ac:dyDescent="0.35">
      <c r="B105" s="3" t="s">
        <v>229</v>
      </c>
      <c r="D105" s="141">
        <v>61564</v>
      </c>
      <c r="E105" s="141">
        <v>36858</v>
      </c>
      <c r="F105" s="141">
        <v>38697</v>
      </c>
      <c r="G105" s="141">
        <v>69225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7"/>
        <v>206344</v>
      </c>
      <c r="R105" s="141">
        <v>50831</v>
      </c>
      <c r="S105" s="141">
        <v>24340</v>
      </c>
      <c r="T105" s="141">
        <v>20613</v>
      </c>
      <c r="U105" s="141">
        <v>44229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8"/>
        <v>140013</v>
      </c>
      <c r="AF105" s="2">
        <f t="shared" si="23"/>
        <v>0.82566110064323306</v>
      </c>
      <c r="AG105" s="2">
        <f t="shared" si="23"/>
        <v>0.66037223940528511</v>
      </c>
      <c r="AH105" s="2">
        <f t="shared" si="23"/>
        <v>0.53267695170168228</v>
      </c>
      <c r="AI105" s="2">
        <f t="shared" si="22"/>
        <v>0.63891657638136512</v>
      </c>
      <c r="AJ105" s="2" t="str">
        <f t="shared" si="22"/>
        <v/>
      </c>
      <c r="AK105" s="2" t="str">
        <f t="shared" si="22"/>
        <v/>
      </c>
      <c r="AL105" s="2" t="str">
        <f t="shared" si="22"/>
        <v/>
      </c>
      <c r="AM105" s="2" t="str">
        <f t="shared" si="13"/>
        <v/>
      </c>
      <c r="AN105" s="2" t="str">
        <f t="shared" si="13"/>
        <v/>
      </c>
      <c r="AO105" s="2" t="str">
        <f t="shared" si="13"/>
        <v/>
      </c>
      <c r="AP105" s="2" t="str">
        <f t="shared" si="13"/>
        <v/>
      </c>
      <c r="AQ105" s="2" t="str">
        <f t="shared" si="13"/>
        <v/>
      </c>
      <c r="AR105" s="2">
        <f t="shared" si="13"/>
        <v>0.67854165858953974</v>
      </c>
      <c r="AT105" s="143">
        <f t="shared" si="11"/>
        <v>-0.16528886123794795</v>
      </c>
      <c r="AU105" s="143">
        <f t="shared" si="12"/>
        <v>-0.12769528770360283</v>
      </c>
      <c r="AV105" s="143">
        <f t="shared" si="21"/>
        <v>0.10623962467968284</v>
      </c>
      <c r="AW105" s="143" t="str">
        <f t="shared" si="21"/>
        <v/>
      </c>
      <c r="AX105" s="143" t="str">
        <f t="shared" si="21"/>
        <v/>
      </c>
      <c r="AY105" s="143" t="str">
        <f t="shared" si="21"/>
        <v/>
      </c>
      <c r="AZ105" s="143" t="str">
        <f t="shared" si="21"/>
        <v/>
      </c>
      <c r="BA105" s="143" t="str">
        <f t="shared" si="21"/>
        <v/>
      </c>
      <c r="BB105" s="143" t="str">
        <f t="shared" si="21"/>
        <v/>
      </c>
      <c r="BC105" s="143" t="str">
        <f t="shared" si="21"/>
        <v/>
      </c>
      <c r="BD105" s="143" t="str">
        <f t="shared" si="21"/>
        <v/>
      </c>
      <c r="BF105" s="9">
        <f t="shared" si="24"/>
        <v>1.770712730142147E-4</v>
      </c>
      <c r="BG105" s="9">
        <f t="shared" si="20"/>
        <v>0.97703198302933503</v>
      </c>
    </row>
    <row r="106" spans="2:59" x14ac:dyDescent="0.35">
      <c r="B106" s="3" t="s">
        <v>192</v>
      </c>
      <c r="D106" s="141">
        <v>63183</v>
      </c>
      <c r="E106" s="141">
        <v>144139</v>
      </c>
      <c r="F106" s="141">
        <v>91679</v>
      </c>
      <c r="G106" s="141">
        <v>99828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7"/>
        <v>398829</v>
      </c>
      <c r="R106" s="141">
        <v>44581</v>
      </c>
      <c r="S106" s="141">
        <v>108653</v>
      </c>
      <c r="T106" s="141">
        <v>66303</v>
      </c>
      <c r="U106" s="141">
        <v>75897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8"/>
        <v>295434</v>
      </c>
      <c r="AF106" s="2">
        <f t="shared" si="23"/>
        <v>0.70558536315148057</v>
      </c>
      <c r="AG106" s="2">
        <f t="shared" si="23"/>
        <v>0.75380708899048832</v>
      </c>
      <c r="AH106" s="2">
        <f t="shared" si="23"/>
        <v>0.72320815017615814</v>
      </c>
      <c r="AI106" s="2">
        <f t="shared" si="22"/>
        <v>0.76027767760548148</v>
      </c>
      <c r="AJ106" s="2" t="str">
        <f t="shared" si="22"/>
        <v/>
      </c>
      <c r="AK106" s="2" t="str">
        <f t="shared" si="22"/>
        <v/>
      </c>
      <c r="AL106" s="2" t="str">
        <f t="shared" si="22"/>
        <v/>
      </c>
      <c r="AM106" s="2" t="str">
        <f t="shared" si="13"/>
        <v/>
      </c>
      <c r="AN106" s="2" t="str">
        <f t="shared" si="13"/>
        <v/>
      </c>
      <c r="AO106" s="2" t="str">
        <f t="shared" si="13"/>
        <v/>
      </c>
      <c r="AP106" s="2" t="str">
        <f t="shared" si="13"/>
        <v/>
      </c>
      <c r="AQ106" s="2" t="str">
        <f t="shared" si="13"/>
        <v/>
      </c>
      <c r="AR106" s="2">
        <f t="shared" si="13"/>
        <v>0.74075355603529336</v>
      </c>
      <c r="AT106" s="143">
        <f t="shared" si="11"/>
        <v>4.8221725839007745E-2</v>
      </c>
      <c r="AU106" s="143">
        <f t="shared" si="12"/>
        <v>-3.0598938814330179E-2</v>
      </c>
      <c r="AV106" s="143">
        <f t="shared" si="21"/>
        <v>3.7069527429323346E-2</v>
      </c>
      <c r="AW106" s="143" t="str">
        <f t="shared" si="21"/>
        <v/>
      </c>
      <c r="AX106" s="143" t="str">
        <f t="shared" si="21"/>
        <v/>
      </c>
      <c r="AY106" s="143" t="str">
        <f t="shared" si="21"/>
        <v/>
      </c>
      <c r="AZ106" s="143" t="str">
        <f t="shared" si="21"/>
        <v/>
      </c>
      <c r="BA106" s="143" t="str">
        <f t="shared" si="21"/>
        <v/>
      </c>
      <c r="BB106" s="143" t="str">
        <f t="shared" si="21"/>
        <v/>
      </c>
      <c r="BC106" s="143" t="str">
        <f t="shared" si="21"/>
        <v/>
      </c>
      <c r="BD106" s="143" t="str">
        <f t="shared" si="21"/>
        <v/>
      </c>
      <c r="BF106" s="9">
        <f t="shared" si="24"/>
        <v>3.7362869499033306E-4</v>
      </c>
      <c r="BG106" s="9">
        <f t="shared" si="20"/>
        <v>0.97740561172432538</v>
      </c>
    </row>
    <row r="107" spans="2:59" x14ac:dyDescent="0.35">
      <c r="B107" s="3" t="s">
        <v>221</v>
      </c>
      <c r="D107" s="141">
        <v>7095</v>
      </c>
      <c r="E107" s="141">
        <v>13100</v>
      </c>
      <c r="F107" s="141">
        <v>34739</v>
      </c>
      <c r="G107" s="141">
        <v>26749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7"/>
        <v>81683</v>
      </c>
      <c r="R107" s="141">
        <v>2701</v>
      </c>
      <c r="S107" s="141">
        <v>4805</v>
      </c>
      <c r="T107" s="141">
        <v>8024</v>
      </c>
      <c r="U107" s="141">
        <v>21990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8"/>
        <v>37520</v>
      </c>
      <c r="AF107" s="2">
        <f t="shared" si="23"/>
        <v>0.38069062720225511</v>
      </c>
      <c r="AG107" s="2">
        <f t="shared" si="23"/>
        <v>0.36679389312977101</v>
      </c>
      <c r="AH107" s="2">
        <f t="shared" si="23"/>
        <v>0.23097959066179222</v>
      </c>
      <c r="AI107" s="2">
        <f t="shared" si="22"/>
        <v>0.82208680698343861</v>
      </c>
      <c r="AJ107" s="2" t="str">
        <f t="shared" si="22"/>
        <v/>
      </c>
      <c r="AK107" s="2" t="str">
        <f t="shared" si="22"/>
        <v/>
      </c>
      <c r="AL107" s="2" t="str">
        <f t="shared" si="22"/>
        <v/>
      </c>
      <c r="AM107" s="2" t="str">
        <f t="shared" si="13"/>
        <v/>
      </c>
      <c r="AN107" s="2" t="str">
        <f t="shared" si="13"/>
        <v/>
      </c>
      <c r="AO107" s="2" t="str">
        <f t="shared" si="13"/>
        <v/>
      </c>
      <c r="AP107" s="2" t="str">
        <f t="shared" si="13"/>
        <v/>
      </c>
      <c r="AQ107" s="2" t="str">
        <f t="shared" si="13"/>
        <v/>
      </c>
      <c r="AR107" s="2">
        <f t="shared" si="13"/>
        <v>0.4593367040877539</v>
      </c>
      <c r="AT107" s="143">
        <f t="shared" si="11"/>
        <v>-1.3896734072484096E-2</v>
      </c>
      <c r="AU107" s="143">
        <f t="shared" si="12"/>
        <v>-0.13581430246797879</v>
      </c>
      <c r="AV107" s="143">
        <f t="shared" si="21"/>
        <v>0.59110721632164642</v>
      </c>
      <c r="AW107" s="143" t="str">
        <f t="shared" si="21"/>
        <v/>
      </c>
      <c r="AX107" s="143" t="str">
        <f t="shared" si="21"/>
        <v/>
      </c>
      <c r="AY107" s="143" t="str">
        <f t="shared" si="21"/>
        <v/>
      </c>
      <c r="AZ107" s="143" t="str">
        <f t="shared" si="21"/>
        <v/>
      </c>
      <c r="BA107" s="143" t="str">
        <f t="shared" si="21"/>
        <v/>
      </c>
      <c r="BB107" s="143" t="str">
        <f t="shared" si="21"/>
        <v/>
      </c>
      <c r="BC107" s="143" t="str">
        <f t="shared" si="21"/>
        <v/>
      </c>
      <c r="BD107" s="143" t="str">
        <f t="shared" si="21"/>
        <v/>
      </c>
      <c r="BF107" s="9">
        <f t="shared" si="24"/>
        <v>4.7450695031842295E-5</v>
      </c>
      <c r="BG107" s="9">
        <f t="shared" si="20"/>
        <v>0.97745306241935725</v>
      </c>
    </row>
    <row r="108" spans="2:59" x14ac:dyDescent="0.35">
      <c r="B108" s="3" t="s">
        <v>196</v>
      </c>
      <c r="D108" s="141">
        <v>30779</v>
      </c>
      <c r="E108" s="141">
        <v>50675</v>
      </c>
      <c r="F108" s="141">
        <v>60327</v>
      </c>
      <c r="G108" s="141">
        <v>37519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7"/>
        <v>179300</v>
      </c>
      <c r="R108" s="141">
        <v>18656</v>
      </c>
      <c r="S108" s="141">
        <v>35760</v>
      </c>
      <c r="T108" s="141">
        <v>48330</v>
      </c>
      <c r="U108" s="141">
        <v>27801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8"/>
        <v>130547</v>
      </c>
      <c r="AF108" s="2">
        <f t="shared" si="23"/>
        <v>0.60612755450144584</v>
      </c>
      <c r="AG108" s="2">
        <f t="shared" si="23"/>
        <v>0.70567340897878639</v>
      </c>
      <c r="AH108" s="2">
        <f t="shared" si="23"/>
        <v>0.80113382067730865</v>
      </c>
      <c r="AI108" s="2">
        <f t="shared" si="22"/>
        <v>0.74098456781897171</v>
      </c>
      <c r="AJ108" s="2" t="str">
        <f t="shared" si="22"/>
        <v/>
      </c>
      <c r="AK108" s="2" t="str">
        <f t="shared" si="22"/>
        <v/>
      </c>
      <c r="AL108" s="2" t="str">
        <f t="shared" si="22"/>
        <v/>
      </c>
      <c r="AM108" s="2" t="str">
        <f t="shared" si="13"/>
        <v/>
      </c>
      <c r="AN108" s="2" t="str">
        <f t="shared" si="13"/>
        <v/>
      </c>
      <c r="AO108" s="2" t="str">
        <f t="shared" si="13"/>
        <v/>
      </c>
      <c r="AP108" s="2" t="str">
        <f t="shared" si="13"/>
        <v/>
      </c>
      <c r="AQ108" s="2" t="str">
        <f t="shared" si="13"/>
        <v/>
      </c>
      <c r="AR108" s="2">
        <f t="shared" si="13"/>
        <v>0.72809258226436135</v>
      </c>
      <c r="AT108" s="143">
        <f t="shared" si="11"/>
        <v>9.9545854477340545E-2</v>
      </c>
      <c r="AU108" s="143">
        <f t="shared" si="12"/>
        <v>9.5460411698522263E-2</v>
      </c>
      <c r="AV108" s="143">
        <f t="shared" si="21"/>
        <v>-6.0149252858336943E-2</v>
      </c>
      <c r="AW108" s="143" t="str">
        <f t="shared" si="21"/>
        <v/>
      </c>
      <c r="AX108" s="143" t="str">
        <f t="shared" si="21"/>
        <v/>
      </c>
      <c r="AY108" s="143" t="str">
        <f t="shared" si="21"/>
        <v/>
      </c>
      <c r="AZ108" s="143" t="str">
        <f t="shared" si="21"/>
        <v/>
      </c>
      <c r="BA108" s="143" t="str">
        <f t="shared" si="21"/>
        <v/>
      </c>
      <c r="BB108" s="143" t="str">
        <f t="shared" si="21"/>
        <v/>
      </c>
      <c r="BC108" s="143" t="str">
        <f t="shared" si="21"/>
        <v/>
      </c>
      <c r="BD108" s="143" t="str">
        <f t="shared" si="21"/>
        <v/>
      </c>
      <c r="BF108" s="9">
        <f t="shared" si="24"/>
        <v>1.6509983700218326E-4</v>
      </c>
      <c r="BG108" s="9">
        <f t="shared" si="20"/>
        <v>0.97761816225635945</v>
      </c>
    </row>
    <row r="109" spans="2:59" x14ac:dyDescent="0.35">
      <c r="B109" s="3" t="s">
        <v>175</v>
      </c>
      <c r="D109" s="141">
        <v>146077</v>
      </c>
      <c r="E109" s="141">
        <v>149484</v>
      </c>
      <c r="F109" s="141">
        <v>199531</v>
      </c>
      <c r="G109" s="141">
        <v>217339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7"/>
        <v>712431</v>
      </c>
      <c r="R109" s="141">
        <v>133193</v>
      </c>
      <c r="S109" s="141">
        <v>131418</v>
      </c>
      <c r="T109" s="141">
        <v>185208</v>
      </c>
      <c r="U109" s="141">
        <v>203280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8"/>
        <v>653099</v>
      </c>
      <c r="AF109" s="2">
        <f t="shared" si="23"/>
        <v>0.91179994112693985</v>
      </c>
      <c r="AG109" s="2">
        <f t="shared" si="23"/>
        <v>0.87914425624147063</v>
      </c>
      <c r="AH109" s="2">
        <f t="shared" si="23"/>
        <v>0.92821666808666325</v>
      </c>
      <c r="AI109" s="2">
        <f t="shared" si="22"/>
        <v>0.93531303631653773</v>
      </c>
      <c r="AJ109" s="2" t="str">
        <f t="shared" si="22"/>
        <v/>
      </c>
      <c r="AK109" s="2" t="str">
        <f t="shared" si="22"/>
        <v/>
      </c>
      <c r="AL109" s="2" t="str">
        <f t="shared" si="22"/>
        <v/>
      </c>
      <c r="AM109" s="2" t="str">
        <f t="shared" si="13"/>
        <v/>
      </c>
      <c r="AN109" s="2" t="str">
        <f t="shared" si="13"/>
        <v/>
      </c>
      <c r="AO109" s="2" t="str">
        <f t="shared" si="13"/>
        <v/>
      </c>
      <c r="AP109" s="2" t="str">
        <f t="shared" si="13"/>
        <v/>
      </c>
      <c r="AQ109" s="2" t="str">
        <f t="shared" si="13"/>
        <v/>
      </c>
      <c r="AR109" s="2">
        <f t="shared" si="13"/>
        <v>0.91671895243188461</v>
      </c>
      <c r="AT109" s="143">
        <f t="shared" si="11"/>
        <v>-3.2655684885469216E-2</v>
      </c>
      <c r="AU109" s="143">
        <f t="shared" si="12"/>
        <v>4.9072411845192621E-2</v>
      </c>
      <c r="AV109" s="143">
        <f t="shared" si="21"/>
        <v>7.0963682298744724E-3</v>
      </c>
      <c r="AW109" s="143" t="str">
        <f t="shared" si="21"/>
        <v/>
      </c>
      <c r="AX109" s="143" t="str">
        <f t="shared" si="21"/>
        <v/>
      </c>
      <c r="AY109" s="143" t="str">
        <f t="shared" si="21"/>
        <v/>
      </c>
      <c r="AZ109" s="143" t="str">
        <f t="shared" si="21"/>
        <v/>
      </c>
      <c r="BA109" s="143" t="str">
        <f t="shared" si="21"/>
        <v/>
      </c>
      <c r="BB109" s="143" t="str">
        <f t="shared" si="21"/>
        <v/>
      </c>
      <c r="BC109" s="143" t="str">
        <f t="shared" si="21"/>
        <v/>
      </c>
      <c r="BD109" s="143" t="str">
        <f t="shared" si="21"/>
        <v/>
      </c>
      <c r="BF109" s="9">
        <f t="shared" si="24"/>
        <v>8.2595952757465803E-4</v>
      </c>
      <c r="BG109" s="9">
        <f t="shared" si="20"/>
        <v>0.97844412178393414</v>
      </c>
    </row>
    <row r="110" spans="2:59" x14ac:dyDescent="0.35">
      <c r="B110" s="3" t="s">
        <v>198</v>
      </c>
      <c r="D110" s="141">
        <v>318301</v>
      </c>
      <c r="E110" s="141">
        <v>226454</v>
      </c>
      <c r="F110" s="141">
        <v>225130</v>
      </c>
      <c r="G110" s="141">
        <v>228743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7"/>
        <v>998628</v>
      </c>
      <c r="R110" s="141">
        <v>245836</v>
      </c>
      <c r="S110" s="141">
        <v>156741</v>
      </c>
      <c r="T110" s="141">
        <v>162605</v>
      </c>
      <c r="U110" s="141">
        <v>171269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8"/>
        <v>736451</v>
      </c>
      <c r="AF110" s="2">
        <f t="shared" si="23"/>
        <v>0.77233813277369534</v>
      </c>
      <c r="AG110" s="2">
        <f t="shared" si="23"/>
        <v>0.69215381490280592</v>
      </c>
      <c r="AH110" s="2">
        <f t="shared" si="23"/>
        <v>0.72227157642251139</v>
      </c>
      <c r="AI110" s="2">
        <f t="shared" si="22"/>
        <v>0.74873985214848104</v>
      </c>
      <c r="AJ110" s="2" t="str">
        <f t="shared" si="22"/>
        <v/>
      </c>
      <c r="AK110" s="2" t="str">
        <f t="shared" si="22"/>
        <v/>
      </c>
      <c r="AL110" s="2" t="str">
        <f t="shared" si="22"/>
        <v/>
      </c>
      <c r="AM110" s="2" t="str">
        <f t="shared" si="13"/>
        <v/>
      </c>
      <c r="AN110" s="2" t="str">
        <f t="shared" si="13"/>
        <v/>
      </c>
      <c r="AO110" s="2" t="str">
        <f t="shared" si="13"/>
        <v/>
      </c>
      <c r="AP110" s="2" t="str">
        <f t="shared" si="13"/>
        <v/>
      </c>
      <c r="AQ110" s="2" t="str">
        <f t="shared" si="13"/>
        <v/>
      </c>
      <c r="AR110" s="2">
        <f t="shared" si="13"/>
        <v>0.7374627989601733</v>
      </c>
      <c r="AT110" s="143">
        <f t="shared" ref="AT110:AT173" si="25">+IFERROR(AG110-AF110,"")</f>
        <v>-8.0184317870889421E-2</v>
      </c>
      <c r="AU110" s="143">
        <f t="shared" ref="AU110:AV173" si="26">+IFERROR(AH110-AG110,"")</f>
        <v>3.0117761519705466E-2</v>
      </c>
      <c r="AV110" s="143">
        <f t="shared" si="21"/>
        <v>2.6468275725969659E-2</v>
      </c>
      <c r="AW110" s="143" t="str">
        <f t="shared" si="21"/>
        <v/>
      </c>
      <c r="AX110" s="143" t="str">
        <f t="shared" si="21"/>
        <v/>
      </c>
      <c r="AY110" s="143" t="str">
        <f t="shared" si="21"/>
        <v/>
      </c>
      <c r="AZ110" s="143" t="str">
        <f t="shared" si="21"/>
        <v/>
      </c>
      <c r="BA110" s="143" t="str">
        <f t="shared" si="21"/>
        <v/>
      </c>
      <c r="BB110" s="143" t="str">
        <f t="shared" si="21"/>
        <v/>
      </c>
      <c r="BC110" s="143" t="str">
        <f t="shared" si="21"/>
        <v/>
      </c>
      <c r="BD110" s="143" t="str">
        <f t="shared" si="21"/>
        <v/>
      </c>
      <c r="BF110" s="9">
        <f t="shared" si="24"/>
        <v>9.3137291596202799E-4</v>
      </c>
      <c r="BG110" s="9">
        <f t="shared" si="20"/>
        <v>0.97937549469989615</v>
      </c>
    </row>
    <row r="111" spans="2:59" x14ac:dyDescent="0.35">
      <c r="B111" s="3" t="s">
        <v>182</v>
      </c>
      <c r="D111" s="141">
        <v>88319</v>
      </c>
      <c r="E111" s="141">
        <v>74856</v>
      </c>
      <c r="F111" s="141">
        <v>87499</v>
      </c>
      <c r="G111" s="141">
        <v>77660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7"/>
        <v>328334</v>
      </c>
      <c r="R111" s="141">
        <v>56382</v>
      </c>
      <c r="S111" s="141">
        <v>56284</v>
      </c>
      <c r="T111" s="141">
        <v>64880</v>
      </c>
      <c r="U111" s="141">
        <v>54229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8"/>
        <v>231775</v>
      </c>
      <c r="AF111" s="2">
        <f t="shared" si="23"/>
        <v>0.63839038032586415</v>
      </c>
      <c r="AG111" s="2">
        <f t="shared" si="23"/>
        <v>0.75189697552634394</v>
      </c>
      <c r="AH111" s="2">
        <f t="shared" si="23"/>
        <v>0.74149418850501148</v>
      </c>
      <c r="AI111" s="2">
        <f t="shared" si="22"/>
        <v>0.69828740664434719</v>
      </c>
      <c r="AJ111" s="2" t="str">
        <f t="shared" si="22"/>
        <v/>
      </c>
      <c r="AK111" s="2" t="str">
        <f t="shared" si="22"/>
        <v/>
      </c>
      <c r="AL111" s="2" t="str">
        <f t="shared" si="22"/>
        <v/>
      </c>
      <c r="AM111" s="2" t="str">
        <f t="shared" si="13"/>
        <v/>
      </c>
      <c r="AN111" s="2" t="str">
        <f t="shared" si="13"/>
        <v/>
      </c>
      <c r="AO111" s="2" t="str">
        <f t="shared" si="13"/>
        <v/>
      </c>
      <c r="AP111" s="2" t="str">
        <f t="shared" si="13"/>
        <v/>
      </c>
      <c r="AQ111" s="2" t="str">
        <f t="shared" si="13"/>
        <v/>
      </c>
      <c r="AR111" s="2">
        <f t="shared" si="13"/>
        <v>0.70591227225934572</v>
      </c>
      <c r="AT111" s="143">
        <f t="shared" si="25"/>
        <v>0.11350659520047979</v>
      </c>
      <c r="AU111" s="143">
        <f t="shared" si="26"/>
        <v>-1.040278702133246E-2</v>
      </c>
      <c r="AV111" s="143">
        <f t="shared" si="21"/>
        <v>-4.3206781860664289E-2</v>
      </c>
      <c r="AW111" s="143" t="str">
        <f t="shared" si="21"/>
        <v/>
      </c>
      <c r="AX111" s="143" t="str">
        <f t="shared" si="21"/>
        <v/>
      </c>
      <c r="AY111" s="143" t="str">
        <f t="shared" si="21"/>
        <v/>
      </c>
      <c r="AZ111" s="143" t="str">
        <f t="shared" si="21"/>
        <v/>
      </c>
      <c r="BA111" s="143" t="str">
        <f t="shared" si="21"/>
        <v/>
      </c>
      <c r="BB111" s="143" t="str">
        <f t="shared" si="21"/>
        <v/>
      </c>
      <c r="BC111" s="143" t="str">
        <f t="shared" si="21"/>
        <v/>
      </c>
      <c r="BD111" s="143" t="str">
        <f t="shared" si="21"/>
        <v/>
      </c>
      <c r="BF111" s="9">
        <f t="shared" si="24"/>
        <v>2.9312059810781578E-4</v>
      </c>
      <c r="BG111" s="9">
        <f t="shared" si="20"/>
        <v>0.97966861529800398</v>
      </c>
    </row>
    <row r="112" spans="2:59" x14ac:dyDescent="0.35">
      <c r="B112" s="3" t="s">
        <v>162</v>
      </c>
      <c r="D112" s="141">
        <v>76770</v>
      </c>
      <c r="E112" s="141">
        <v>73036</v>
      </c>
      <c r="F112" s="141">
        <v>78874</v>
      </c>
      <c r="G112" s="141">
        <v>53296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7"/>
        <v>281976</v>
      </c>
      <c r="R112" s="141">
        <v>53416</v>
      </c>
      <c r="S112" s="141">
        <v>61623</v>
      </c>
      <c r="T112" s="141">
        <v>65596</v>
      </c>
      <c r="U112" s="141">
        <v>39397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8"/>
        <v>220032</v>
      </c>
      <c r="AF112" s="2">
        <f t="shared" si="23"/>
        <v>0.69579262732838343</v>
      </c>
      <c r="AG112" s="2">
        <f t="shared" si="23"/>
        <v>0.84373459663727479</v>
      </c>
      <c r="AH112" s="2">
        <f t="shared" si="23"/>
        <v>0.83165555189289242</v>
      </c>
      <c r="AI112" s="2">
        <f t="shared" si="22"/>
        <v>0.73921119783848699</v>
      </c>
      <c r="AJ112" s="2" t="str">
        <f t="shared" si="22"/>
        <v/>
      </c>
      <c r="AK112" s="2" t="str">
        <f t="shared" si="22"/>
        <v/>
      </c>
      <c r="AL112" s="2" t="str">
        <f t="shared" si="22"/>
        <v/>
      </c>
      <c r="AM112" s="2" t="str">
        <f t="shared" si="13"/>
        <v/>
      </c>
      <c r="AN112" s="2" t="str">
        <f t="shared" si="13"/>
        <v/>
      </c>
      <c r="AO112" s="2" t="str">
        <f t="shared" si="13"/>
        <v/>
      </c>
      <c r="AP112" s="2" t="str">
        <f t="shared" si="13"/>
        <v/>
      </c>
      <c r="AQ112" s="2" t="str">
        <f t="shared" si="13"/>
        <v/>
      </c>
      <c r="AR112" s="2">
        <f t="shared" si="13"/>
        <v>0.78032172950889434</v>
      </c>
      <c r="AT112" s="143">
        <f t="shared" si="25"/>
        <v>0.14794196930889136</v>
      </c>
      <c r="AU112" s="143">
        <f t="shared" si="26"/>
        <v>-1.2079044744382372E-2</v>
      </c>
      <c r="AV112" s="143">
        <f t="shared" si="21"/>
        <v>-9.2444354054405431E-2</v>
      </c>
      <c r="AW112" s="143" t="str">
        <f t="shared" si="21"/>
        <v/>
      </c>
      <c r="AX112" s="143" t="str">
        <f t="shared" si="21"/>
        <v/>
      </c>
      <c r="AY112" s="143" t="str">
        <f t="shared" si="21"/>
        <v/>
      </c>
      <c r="AZ112" s="143" t="str">
        <f t="shared" si="21"/>
        <v/>
      </c>
      <c r="BA112" s="143" t="str">
        <f t="shared" si="21"/>
        <v/>
      </c>
      <c r="BB112" s="143" t="str">
        <f t="shared" si="21"/>
        <v/>
      </c>
      <c r="BC112" s="143" t="str">
        <f t="shared" si="21"/>
        <v/>
      </c>
      <c r="BD112" s="143" t="str">
        <f t="shared" si="21"/>
        <v/>
      </c>
      <c r="BF112" s="9">
        <f t="shared" si="24"/>
        <v>2.7826949171765253E-4</v>
      </c>
      <c r="BG112" s="9">
        <f t="shared" si="20"/>
        <v>0.97994688478972158</v>
      </c>
    </row>
    <row r="113" spans="2:59" x14ac:dyDescent="0.35">
      <c r="B113" s="3" t="s">
        <v>189</v>
      </c>
      <c r="D113" s="141">
        <v>50656</v>
      </c>
      <c r="E113" s="141">
        <v>39844</v>
      </c>
      <c r="F113" s="141">
        <v>55189</v>
      </c>
      <c r="G113" s="141">
        <v>42485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7"/>
        <v>188174</v>
      </c>
      <c r="R113" s="141">
        <v>38881</v>
      </c>
      <c r="S113" s="141">
        <v>29080</v>
      </c>
      <c r="T113" s="141">
        <v>32132</v>
      </c>
      <c r="U113" s="141">
        <v>33671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8"/>
        <v>133764</v>
      </c>
      <c r="AF113" s="2">
        <f t="shared" si="23"/>
        <v>0.7675497473152243</v>
      </c>
      <c r="AG113" s="2">
        <f t="shared" si="23"/>
        <v>0.72984640096375863</v>
      </c>
      <c r="AH113" s="2">
        <f t="shared" si="23"/>
        <v>0.58221747087281883</v>
      </c>
      <c r="AI113" s="2">
        <f t="shared" si="22"/>
        <v>0.79253854301518178</v>
      </c>
      <c r="AJ113" s="2" t="str">
        <f t="shared" si="22"/>
        <v/>
      </c>
      <c r="AK113" s="2" t="str">
        <f t="shared" si="22"/>
        <v/>
      </c>
      <c r="AL113" s="2" t="str">
        <f t="shared" si="22"/>
        <v/>
      </c>
      <c r="AM113" s="2" t="str">
        <f t="shared" si="13"/>
        <v/>
      </c>
      <c r="AN113" s="2" t="str">
        <f t="shared" si="13"/>
        <v/>
      </c>
      <c r="AO113" s="2" t="str">
        <f t="shared" si="13"/>
        <v/>
      </c>
      <c r="AP113" s="2" t="str">
        <f t="shared" si="13"/>
        <v/>
      </c>
      <c r="AQ113" s="2" t="str">
        <f t="shared" si="13"/>
        <v/>
      </c>
      <c r="AR113" s="2">
        <f t="shared" si="13"/>
        <v>0.71085272141741151</v>
      </c>
      <c r="AT113" s="143">
        <f t="shared" si="25"/>
        <v>-3.7703346351465661E-2</v>
      </c>
      <c r="AU113" s="143">
        <f t="shared" si="26"/>
        <v>-0.1476289300909398</v>
      </c>
      <c r="AV113" s="143">
        <f t="shared" si="21"/>
        <v>0.21032107214236295</v>
      </c>
      <c r="AW113" s="143" t="str">
        <f t="shared" si="21"/>
        <v/>
      </c>
      <c r="AX113" s="143" t="str">
        <f t="shared" si="21"/>
        <v/>
      </c>
      <c r="AY113" s="143" t="str">
        <f t="shared" si="21"/>
        <v/>
      </c>
      <c r="AZ113" s="143" t="str">
        <f t="shared" si="21"/>
        <v/>
      </c>
      <c r="BA113" s="143" t="str">
        <f t="shared" si="21"/>
        <v/>
      </c>
      <c r="BB113" s="143" t="str">
        <f t="shared" si="21"/>
        <v/>
      </c>
      <c r="BC113" s="143" t="str">
        <f t="shared" si="21"/>
        <v/>
      </c>
      <c r="BD113" s="143" t="str">
        <f t="shared" si="21"/>
        <v/>
      </c>
      <c r="BF113" s="9">
        <f t="shared" si="24"/>
        <v>1.6916830411085694E-4</v>
      </c>
      <c r="BG113" s="9">
        <f t="shared" si="20"/>
        <v>0.98011605309383243</v>
      </c>
    </row>
    <row r="114" spans="2:59" x14ac:dyDescent="0.35">
      <c r="B114" s="3" t="s">
        <v>185</v>
      </c>
      <c r="D114" s="141">
        <v>112377</v>
      </c>
      <c r="E114" s="141">
        <v>113089</v>
      </c>
      <c r="F114" s="141">
        <v>55053</v>
      </c>
      <c r="G114" s="141">
        <v>35647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7"/>
        <v>316166</v>
      </c>
      <c r="R114" s="141">
        <v>107194</v>
      </c>
      <c r="S114" s="141">
        <v>106823</v>
      </c>
      <c r="T114" s="141">
        <v>46542</v>
      </c>
      <c r="U114" s="141">
        <v>30892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8"/>
        <v>291451</v>
      </c>
      <c r="AF114" s="2">
        <f t="shared" si="23"/>
        <v>0.95387846267474663</v>
      </c>
      <c r="AG114" s="2">
        <f t="shared" si="23"/>
        <v>0.94459231224964413</v>
      </c>
      <c r="AH114" s="2">
        <f t="shared" si="23"/>
        <v>0.84540352024412835</v>
      </c>
      <c r="AI114" s="2">
        <f t="shared" si="22"/>
        <v>0.86660869077341707</v>
      </c>
      <c r="AJ114" s="2" t="str">
        <f t="shared" si="22"/>
        <v/>
      </c>
      <c r="AK114" s="2" t="str">
        <f t="shared" si="22"/>
        <v/>
      </c>
      <c r="AL114" s="2" t="str">
        <f t="shared" si="22"/>
        <v/>
      </c>
      <c r="AM114" s="2" t="str">
        <f t="shared" si="13"/>
        <v/>
      </c>
      <c r="AN114" s="2" t="str">
        <f t="shared" si="13"/>
        <v/>
      </c>
      <c r="AO114" s="2" t="str">
        <f t="shared" ref="AO114:AR176" si="27">+IFERROR(AA114/M114,"")</f>
        <v/>
      </c>
      <c r="AP114" s="2" t="str">
        <f t="shared" si="27"/>
        <v/>
      </c>
      <c r="AQ114" s="2" t="str">
        <f t="shared" si="27"/>
        <v/>
      </c>
      <c r="AR114" s="2">
        <f t="shared" si="27"/>
        <v>0.92182903917562298</v>
      </c>
      <c r="AT114" s="143">
        <f t="shared" si="25"/>
        <v>-9.2861504251025018E-3</v>
      </c>
      <c r="AU114" s="143">
        <f t="shared" si="26"/>
        <v>-9.918879200551578E-2</v>
      </c>
      <c r="AV114" s="143">
        <f t="shared" si="21"/>
        <v>2.1205170529288719E-2</v>
      </c>
      <c r="AW114" s="143" t="str">
        <f t="shared" si="21"/>
        <v/>
      </c>
      <c r="AX114" s="143" t="str">
        <f t="shared" si="21"/>
        <v/>
      </c>
      <c r="AY114" s="143" t="str">
        <f t="shared" si="21"/>
        <v/>
      </c>
      <c r="AZ114" s="143" t="str">
        <f t="shared" si="21"/>
        <v/>
      </c>
      <c r="BA114" s="143" t="str">
        <f t="shared" si="21"/>
        <v/>
      </c>
      <c r="BB114" s="143" t="str">
        <f t="shared" si="21"/>
        <v/>
      </c>
      <c r="BC114" s="143" t="str">
        <f t="shared" si="21"/>
        <v/>
      </c>
      <c r="BD114" s="143" t="str">
        <f t="shared" si="21"/>
        <v/>
      </c>
      <c r="BF114" s="9">
        <f t="shared" si="24"/>
        <v>3.6859148501400501E-4</v>
      </c>
      <c r="BG114" s="9">
        <f t="shared" si="20"/>
        <v>0.98048464457884643</v>
      </c>
    </row>
    <row r="115" spans="2:59" x14ac:dyDescent="0.35">
      <c r="B115" s="3" t="s">
        <v>153</v>
      </c>
      <c r="D115" s="141">
        <v>22587</v>
      </c>
      <c r="E115" s="141">
        <v>18873</v>
      </c>
      <c r="F115" s="141">
        <v>43693</v>
      </c>
      <c r="G115" s="141">
        <v>32517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7"/>
        <v>117670</v>
      </c>
      <c r="R115" s="141">
        <v>16048</v>
      </c>
      <c r="S115" s="141">
        <v>13601</v>
      </c>
      <c r="T115" s="141">
        <v>31285</v>
      </c>
      <c r="U115" s="141">
        <v>26173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8"/>
        <v>87107</v>
      </c>
      <c r="AF115" s="2">
        <f t="shared" si="23"/>
        <v>0.71049718864833755</v>
      </c>
      <c r="AG115" s="2">
        <f t="shared" si="23"/>
        <v>0.72065914269061626</v>
      </c>
      <c r="AH115" s="2">
        <f t="shared" si="23"/>
        <v>0.71601858421257414</v>
      </c>
      <c r="AI115" s="2">
        <f t="shared" si="22"/>
        <v>0.80490205123473879</v>
      </c>
      <c r="AJ115" s="2" t="str">
        <f t="shared" si="22"/>
        <v/>
      </c>
      <c r="AK115" s="2" t="str">
        <f t="shared" si="22"/>
        <v/>
      </c>
      <c r="AL115" s="2" t="str">
        <f t="shared" si="22"/>
        <v/>
      </c>
      <c r="AM115" s="2" t="str">
        <f t="shared" si="22"/>
        <v/>
      </c>
      <c r="AN115" s="2" t="str">
        <f t="shared" si="22"/>
        <v/>
      </c>
      <c r="AO115" s="2" t="str">
        <f t="shared" si="27"/>
        <v/>
      </c>
      <c r="AP115" s="2" t="str">
        <f t="shared" si="27"/>
        <v/>
      </c>
      <c r="AQ115" s="2" t="str">
        <f t="shared" si="27"/>
        <v/>
      </c>
      <c r="AR115" s="2">
        <f t="shared" si="27"/>
        <v>0.74026514829608225</v>
      </c>
      <c r="AT115" s="143">
        <f t="shared" si="25"/>
        <v>1.0161954042278709E-2</v>
      </c>
      <c r="AU115" s="143">
        <f t="shared" si="26"/>
        <v>-4.6405584780421227E-3</v>
      </c>
      <c r="AV115" s="143">
        <f t="shared" si="21"/>
        <v>8.8883467022164653E-2</v>
      </c>
      <c r="AW115" s="143" t="str">
        <f t="shared" si="21"/>
        <v/>
      </c>
      <c r="AX115" s="143" t="str">
        <f t="shared" si="21"/>
        <v/>
      </c>
      <c r="AY115" s="143" t="str">
        <f t="shared" si="21"/>
        <v/>
      </c>
      <c r="AZ115" s="143" t="str">
        <f t="shared" si="21"/>
        <v/>
      </c>
      <c r="BA115" s="143" t="str">
        <f t="shared" si="21"/>
        <v/>
      </c>
      <c r="BB115" s="143" t="str">
        <f t="shared" si="21"/>
        <v/>
      </c>
      <c r="BC115" s="143" t="str">
        <f t="shared" si="21"/>
        <v/>
      </c>
      <c r="BD115" s="143" t="str">
        <f t="shared" si="21"/>
        <v/>
      </c>
      <c r="BF115" s="9">
        <f t="shared" si="24"/>
        <v>1.1016225192267289E-4</v>
      </c>
      <c r="BG115" s="9">
        <f t="shared" si="20"/>
        <v>0.98059480683076905</v>
      </c>
    </row>
    <row r="116" spans="2:59" x14ac:dyDescent="0.35">
      <c r="B116" s="3" t="s">
        <v>186</v>
      </c>
      <c r="D116" s="141">
        <v>88846</v>
      </c>
      <c r="E116" s="141">
        <v>96166</v>
      </c>
      <c r="F116" s="141">
        <v>104621</v>
      </c>
      <c r="G116" s="141">
        <v>121920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7"/>
        <v>411553</v>
      </c>
      <c r="R116" s="141">
        <v>77239</v>
      </c>
      <c r="S116" s="141">
        <v>76613</v>
      </c>
      <c r="T116" s="141">
        <v>94356</v>
      </c>
      <c r="U116" s="141">
        <v>96513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8"/>
        <v>344721</v>
      </c>
      <c r="AF116" s="2">
        <f t="shared" si="23"/>
        <v>0.86935821533890101</v>
      </c>
      <c r="AG116" s="2">
        <f t="shared" si="23"/>
        <v>0.79667450034315668</v>
      </c>
      <c r="AH116" s="2">
        <f t="shared" si="23"/>
        <v>0.90188394299423635</v>
      </c>
      <c r="AI116" s="2">
        <f t="shared" si="22"/>
        <v>0.79160925196850396</v>
      </c>
      <c r="AJ116" s="2" t="str">
        <f t="shared" si="22"/>
        <v/>
      </c>
      <c r="AK116" s="2" t="str">
        <f t="shared" si="22"/>
        <v/>
      </c>
      <c r="AL116" s="2" t="str">
        <f t="shared" si="22"/>
        <v/>
      </c>
      <c r="AM116" s="2" t="str">
        <f t="shared" si="22"/>
        <v/>
      </c>
      <c r="AN116" s="2" t="str">
        <f t="shared" si="22"/>
        <v/>
      </c>
      <c r="AO116" s="2" t="str">
        <f t="shared" si="27"/>
        <v/>
      </c>
      <c r="AP116" s="2" t="str">
        <f t="shared" si="27"/>
        <v/>
      </c>
      <c r="AQ116" s="2" t="str">
        <f t="shared" si="27"/>
        <v/>
      </c>
      <c r="AR116" s="2">
        <f t="shared" si="27"/>
        <v>0.83761022274166386</v>
      </c>
      <c r="AT116" s="143">
        <f t="shared" si="25"/>
        <v>-7.2683714995744331E-2</v>
      </c>
      <c r="AU116" s="143">
        <f t="shared" si="26"/>
        <v>0.10520944265107968</v>
      </c>
      <c r="AV116" s="143">
        <f t="shared" si="21"/>
        <v>-0.1102746910257324</v>
      </c>
      <c r="AW116" s="143" t="str">
        <f t="shared" si="21"/>
        <v/>
      </c>
      <c r="AX116" s="143" t="str">
        <f t="shared" si="21"/>
        <v/>
      </c>
      <c r="AY116" s="143" t="str">
        <f t="shared" si="21"/>
        <v/>
      </c>
      <c r="AZ116" s="143" t="str">
        <f t="shared" si="21"/>
        <v/>
      </c>
      <c r="BA116" s="143" t="str">
        <f t="shared" si="21"/>
        <v/>
      </c>
      <c r="BB116" s="143" t="str">
        <f t="shared" si="21"/>
        <v/>
      </c>
      <c r="BC116" s="143" t="str">
        <f t="shared" si="21"/>
        <v/>
      </c>
      <c r="BD116" s="143" t="str">
        <f t="shared" si="21"/>
        <v/>
      </c>
      <c r="BF116" s="9">
        <f t="shared" si="24"/>
        <v>4.3596084866928859E-4</v>
      </c>
      <c r="BG116" s="9">
        <f t="shared" si="20"/>
        <v>0.98103076767943831</v>
      </c>
    </row>
    <row r="117" spans="2:59" x14ac:dyDescent="0.35">
      <c r="B117" s="3" t="s">
        <v>190</v>
      </c>
      <c r="D117" s="141">
        <v>109253</v>
      </c>
      <c r="E117" s="141">
        <v>84142</v>
      </c>
      <c r="F117" s="141">
        <v>132745</v>
      </c>
      <c r="G117" s="141">
        <v>108905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7"/>
        <v>435045</v>
      </c>
      <c r="R117" s="141">
        <v>80566</v>
      </c>
      <c r="S117" s="141">
        <v>62774</v>
      </c>
      <c r="T117" s="141">
        <v>72974</v>
      </c>
      <c r="U117" s="141">
        <v>76679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8"/>
        <v>292993</v>
      </c>
      <c r="AF117" s="2">
        <f t="shared" si="23"/>
        <v>0.73742597457278058</v>
      </c>
      <c r="AG117" s="2">
        <f t="shared" si="23"/>
        <v>0.74604834684224286</v>
      </c>
      <c r="AH117" s="2">
        <f t="shared" si="23"/>
        <v>0.54973068665486458</v>
      </c>
      <c r="AI117" s="2">
        <f t="shared" si="22"/>
        <v>0.70409072127083239</v>
      </c>
      <c r="AJ117" s="2" t="str">
        <f t="shared" si="22"/>
        <v/>
      </c>
      <c r="AK117" s="2" t="str">
        <f t="shared" si="22"/>
        <v/>
      </c>
      <c r="AL117" s="2" t="str">
        <f t="shared" si="22"/>
        <v/>
      </c>
      <c r="AM117" s="2" t="str">
        <f t="shared" si="22"/>
        <v/>
      </c>
      <c r="AN117" s="2" t="str">
        <f t="shared" si="22"/>
        <v/>
      </c>
      <c r="AO117" s="2" t="str">
        <f t="shared" si="27"/>
        <v/>
      </c>
      <c r="AP117" s="2" t="str">
        <f t="shared" si="27"/>
        <v/>
      </c>
      <c r="AQ117" s="2" t="str">
        <f t="shared" si="27"/>
        <v/>
      </c>
      <c r="AR117" s="2">
        <f t="shared" si="27"/>
        <v>0.67347745635508971</v>
      </c>
      <c r="AT117" s="143">
        <f t="shared" si="25"/>
        <v>8.6223722694622751E-3</v>
      </c>
      <c r="AU117" s="143">
        <f t="shared" si="26"/>
        <v>-0.19631766018737828</v>
      </c>
      <c r="AV117" s="143">
        <f t="shared" si="21"/>
        <v>0.15436003461596781</v>
      </c>
      <c r="AW117" s="143" t="str">
        <f t="shared" si="21"/>
        <v/>
      </c>
      <c r="AX117" s="143" t="str">
        <f t="shared" si="21"/>
        <v/>
      </c>
      <c r="AY117" s="143" t="str">
        <f t="shared" ref="AY117:BD148" si="28">+IFERROR(AL117-AK117,"")</f>
        <v/>
      </c>
      <c r="AZ117" s="143" t="str">
        <f t="shared" si="28"/>
        <v/>
      </c>
      <c r="BA117" s="143" t="str">
        <f t="shared" si="28"/>
        <v/>
      </c>
      <c r="BB117" s="143" t="str">
        <f t="shared" si="28"/>
        <v/>
      </c>
      <c r="BC117" s="143" t="str">
        <f t="shared" si="28"/>
        <v/>
      </c>
      <c r="BD117" s="143" t="str">
        <f t="shared" si="28"/>
        <v/>
      </c>
      <c r="BF117" s="9">
        <f t="shared" si="24"/>
        <v>3.705416175230429E-4</v>
      </c>
      <c r="BG117" s="9">
        <f t="shared" si="20"/>
        <v>0.98140130929696134</v>
      </c>
    </row>
    <row r="118" spans="2:59" x14ac:dyDescent="0.35">
      <c r="B118" s="3" t="s">
        <v>199</v>
      </c>
      <c r="D118" s="141">
        <v>25700</v>
      </c>
      <c r="E118" s="141">
        <v>17218</v>
      </c>
      <c r="F118" s="141">
        <v>42591</v>
      </c>
      <c r="G118" s="141">
        <v>13624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7"/>
        <v>99133</v>
      </c>
      <c r="R118" s="141">
        <v>22547</v>
      </c>
      <c r="S118" s="141">
        <v>9140</v>
      </c>
      <c r="T118" s="141">
        <v>37714</v>
      </c>
      <c r="U118" s="141">
        <v>8878</v>
      </c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8"/>
        <v>78279</v>
      </c>
      <c r="AF118" s="2">
        <f t="shared" si="23"/>
        <v>0.8773151750972763</v>
      </c>
      <c r="AG118" s="2">
        <f t="shared" si="23"/>
        <v>0.5308398187942851</v>
      </c>
      <c r="AH118" s="2">
        <f t="shared" si="23"/>
        <v>0.88549224014463146</v>
      </c>
      <c r="AI118" s="2">
        <f t="shared" si="22"/>
        <v>0.65164415736934822</v>
      </c>
      <c r="AJ118" s="2" t="str">
        <f t="shared" si="22"/>
        <v/>
      </c>
      <c r="AK118" s="2" t="str">
        <f t="shared" si="22"/>
        <v/>
      </c>
      <c r="AL118" s="2" t="str">
        <f t="shared" si="22"/>
        <v/>
      </c>
      <c r="AM118" s="2" t="str">
        <f t="shared" si="22"/>
        <v/>
      </c>
      <c r="AN118" s="2" t="str">
        <f t="shared" si="22"/>
        <v/>
      </c>
      <c r="AO118" s="2" t="str">
        <f t="shared" si="27"/>
        <v/>
      </c>
      <c r="AP118" s="2" t="str">
        <f t="shared" si="27"/>
        <v/>
      </c>
      <c r="AQ118" s="2" t="str">
        <f t="shared" si="27"/>
        <v/>
      </c>
      <c r="AR118" s="2">
        <f t="shared" si="27"/>
        <v>0.78963614538044846</v>
      </c>
      <c r="AT118" s="143">
        <f t="shared" si="25"/>
        <v>-0.3464753563029912</v>
      </c>
      <c r="AU118" s="143">
        <f t="shared" si="26"/>
        <v>0.35465242135034636</v>
      </c>
      <c r="AV118" s="143">
        <f t="shared" ref="AV118:BD149" si="29">+IFERROR(AI118-AH118,"")</f>
        <v>-0.23384808277528324</v>
      </c>
      <c r="AW118" s="143" t="str">
        <f t="shared" si="29"/>
        <v/>
      </c>
      <c r="AX118" s="143" t="str">
        <f t="shared" si="29"/>
        <v/>
      </c>
      <c r="AY118" s="143" t="str">
        <f t="shared" si="28"/>
        <v/>
      </c>
      <c r="AZ118" s="143" t="str">
        <f t="shared" si="28"/>
        <v/>
      </c>
      <c r="BA118" s="143" t="str">
        <f t="shared" si="28"/>
        <v/>
      </c>
      <c r="BB118" s="143" t="str">
        <f t="shared" si="28"/>
        <v/>
      </c>
      <c r="BC118" s="143" t="str">
        <f t="shared" si="28"/>
        <v/>
      </c>
      <c r="BD118" s="143" t="str">
        <f t="shared" si="28"/>
        <v/>
      </c>
      <c r="BF118" s="9">
        <f t="shared" si="24"/>
        <v>9.8997680074562448E-5</v>
      </c>
      <c r="BG118" s="9">
        <f t="shared" si="20"/>
        <v>0.98150030697703594</v>
      </c>
    </row>
    <row r="119" spans="2:59" x14ac:dyDescent="0.35">
      <c r="B119" s="3" t="s">
        <v>197</v>
      </c>
      <c r="D119" s="141">
        <v>26820</v>
      </c>
      <c r="E119" s="141">
        <v>17520</v>
      </c>
      <c r="F119" s="141">
        <v>24743</v>
      </c>
      <c r="G119" s="141">
        <v>41090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7"/>
        <v>110173</v>
      </c>
      <c r="R119" s="141">
        <v>23215</v>
      </c>
      <c r="S119" s="141">
        <v>17169</v>
      </c>
      <c r="T119" s="141">
        <v>22799</v>
      </c>
      <c r="U119" s="141">
        <v>26500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8"/>
        <v>89683</v>
      </c>
      <c r="AF119" s="2">
        <f t="shared" si="23"/>
        <v>0.86558538404175989</v>
      </c>
      <c r="AG119" s="2">
        <f t="shared" si="23"/>
        <v>0.97996575342465753</v>
      </c>
      <c r="AH119" s="2">
        <f t="shared" si="23"/>
        <v>0.92143232429373967</v>
      </c>
      <c r="AI119" s="2">
        <f t="shared" si="22"/>
        <v>0.64492577269408613</v>
      </c>
      <c r="AJ119" s="2" t="str">
        <f t="shared" si="22"/>
        <v/>
      </c>
      <c r="AK119" s="2" t="str">
        <f t="shared" si="22"/>
        <v/>
      </c>
      <c r="AL119" s="2" t="str">
        <f t="shared" si="22"/>
        <v/>
      </c>
      <c r="AM119" s="2" t="str">
        <f t="shared" si="22"/>
        <v/>
      </c>
      <c r="AN119" s="2" t="str">
        <f t="shared" si="22"/>
        <v/>
      </c>
      <c r="AO119" s="2" t="str">
        <f t="shared" si="27"/>
        <v/>
      </c>
      <c r="AP119" s="2" t="str">
        <f t="shared" si="27"/>
        <v/>
      </c>
      <c r="AQ119" s="2" t="str">
        <f t="shared" si="27"/>
        <v/>
      </c>
      <c r="AR119" s="2">
        <f t="shared" si="27"/>
        <v>0.81401976890889782</v>
      </c>
      <c r="AT119" s="143">
        <f t="shared" si="25"/>
        <v>0.11438036938289764</v>
      </c>
      <c r="AU119" s="143">
        <f t="shared" si="26"/>
        <v>-5.8533429130917858E-2</v>
      </c>
      <c r="AV119" s="143">
        <f t="shared" si="29"/>
        <v>-0.27650655159965354</v>
      </c>
      <c r="AW119" s="143" t="str">
        <f t="shared" si="29"/>
        <v/>
      </c>
      <c r="AX119" s="143" t="str">
        <f t="shared" si="29"/>
        <v/>
      </c>
      <c r="AY119" s="143" t="str">
        <f t="shared" si="28"/>
        <v/>
      </c>
      <c r="AZ119" s="143" t="str">
        <f t="shared" si="28"/>
        <v/>
      </c>
      <c r="BA119" s="143" t="str">
        <f t="shared" si="28"/>
        <v/>
      </c>
      <c r="BB119" s="143" t="str">
        <f t="shared" si="28"/>
        <v/>
      </c>
      <c r="BC119" s="143" t="str">
        <f t="shared" si="28"/>
        <v/>
      </c>
      <c r="BD119" s="143" t="str">
        <f t="shared" si="28"/>
        <v/>
      </c>
      <c r="BF119" s="9">
        <f t="shared" si="24"/>
        <v>1.1342006083530684E-4</v>
      </c>
      <c r="BG119" s="9">
        <f t="shared" si="20"/>
        <v>0.9816137270378712</v>
      </c>
    </row>
    <row r="120" spans="2:59" x14ac:dyDescent="0.35">
      <c r="B120" s="3" t="s">
        <v>174</v>
      </c>
      <c r="D120" s="141">
        <v>224050</v>
      </c>
      <c r="E120" s="141">
        <v>154023</v>
      </c>
      <c r="F120" s="141">
        <v>195278</v>
      </c>
      <c r="G120" s="141">
        <v>150034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7"/>
        <v>723385</v>
      </c>
      <c r="R120" s="141">
        <v>164307</v>
      </c>
      <c r="S120" s="141">
        <v>107114</v>
      </c>
      <c r="T120" s="141">
        <v>134490</v>
      </c>
      <c r="U120" s="141">
        <v>108696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8"/>
        <v>514607</v>
      </c>
      <c r="AF120" s="2">
        <f t="shared" si="23"/>
        <v>0.73334969872796252</v>
      </c>
      <c r="AG120" s="2">
        <f t="shared" si="23"/>
        <v>0.69544158989241867</v>
      </c>
      <c r="AH120" s="2">
        <f t="shared" si="23"/>
        <v>0.68871045381456175</v>
      </c>
      <c r="AI120" s="2">
        <f t="shared" si="22"/>
        <v>0.72447578548862257</v>
      </c>
      <c r="AJ120" s="2" t="str">
        <f t="shared" si="22"/>
        <v/>
      </c>
      <c r="AK120" s="2" t="str">
        <f t="shared" si="22"/>
        <v/>
      </c>
      <c r="AL120" s="2" t="str">
        <f t="shared" si="22"/>
        <v/>
      </c>
      <c r="AM120" s="2" t="str">
        <f t="shared" si="22"/>
        <v/>
      </c>
      <c r="AN120" s="2" t="str">
        <f t="shared" si="22"/>
        <v/>
      </c>
      <c r="AO120" s="2" t="str">
        <f t="shared" si="27"/>
        <v/>
      </c>
      <c r="AP120" s="2" t="str">
        <f t="shared" si="27"/>
        <v/>
      </c>
      <c r="AQ120" s="2" t="str">
        <f t="shared" si="27"/>
        <v/>
      </c>
      <c r="AR120" s="2">
        <f t="shared" si="27"/>
        <v>0.7113874354596792</v>
      </c>
      <c r="AT120" s="143">
        <f t="shared" si="25"/>
        <v>-3.7908108835543852E-2</v>
      </c>
      <c r="AU120" s="143">
        <f t="shared" si="26"/>
        <v>-6.731136077856914E-3</v>
      </c>
      <c r="AV120" s="143">
        <f t="shared" si="29"/>
        <v>3.5765331674060818E-2</v>
      </c>
      <c r="AW120" s="143" t="str">
        <f t="shared" si="29"/>
        <v/>
      </c>
      <c r="AX120" s="143" t="str">
        <f t="shared" si="29"/>
        <v/>
      </c>
      <c r="AY120" s="143" t="str">
        <f t="shared" si="28"/>
        <v/>
      </c>
      <c r="AZ120" s="143" t="str">
        <f t="shared" si="28"/>
        <v/>
      </c>
      <c r="BA120" s="143" t="str">
        <f t="shared" si="28"/>
        <v/>
      </c>
      <c r="BB120" s="143" t="str">
        <f t="shared" si="28"/>
        <v/>
      </c>
      <c r="BC120" s="143" t="str">
        <f t="shared" si="28"/>
        <v/>
      </c>
      <c r="BD120" s="143" t="str">
        <f t="shared" si="28"/>
        <v/>
      </c>
      <c r="BF120" s="9">
        <f t="shared" si="24"/>
        <v>6.5081182884464998E-4</v>
      </c>
      <c r="BG120" s="9">
        <f t="shared" si="20"/>
        <v>0.98226453886671583</v>
      </c>
    </row>
    <row r="121" spans="2:59" x14ac:dyDescent="0.35">
      <c r="B121" s="3" t="s">
        <v>178</v>
      </c>
      <c r="D121" s="141">
        <v>205590</v>
      </c>
      <c r="E121" s="141">
        <v>167870</v>
      </c>
      <c r="F121" s="141">
        <v>150896</v>
      </c>
      <c r="G121" s="141">
        <v>124887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7"/>
        <v>649243</v>
      </c>
      <c r="R121" s="141">
        <v>154646</v>
      </c>
      <c r="S121" s="141">
        <v>128029</v>
      </c>
      <c r="T121" s="141">
        <v>114789</v>
      </c>
      <c r="U121" s="141">
        <v>96011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8"/>
        <v>493475</v>
      </c>
      <c r="AF121" s="2">
        <f t="shared" si="23"/>
        <v>0.75220584658786904</v>
      </c>
      <c r="AG121" s="2">
        <f t="shared" si="23"/>
        <v>0.76266754035861084</v>
      </c>
      <c r="AH121" s="2">
        <f t="shared" si="23"/>
        <v>0.76071598982080368</v>
      </c>
      <c r="AI121" s="2">
        <f t="shared" si="22"/>
        <v>0.76878297981375165</v>
      </c>
      <c r="AJ121" s="2" t="str">
        <f t="shared" si="22"/>
        <v/>
      </c>
      <c r="AK121" s="2" t="str">
        <f t="shared" si="22"/>
        <v/>
      </c>
      <c r="AL121" s="2" t="str">
        <f t="shared" si="22"/>
        <v/>
      </c>
      <c r="AM121" s="2" t="str">
        <f t="shared" si="22"/>
        <v/>
      </c>
      <c r="AN121" s="2" t="str">
        <f t="shared" si="22"/>
        <v/>
      </c>
      <c r="AO121" s="2" t="str">
        <f t="shared" si="27"/>
        <v/>
      </c>
      <c r="AP121" s="2" t="str">
        <f t="shared" si="27"/>
        <v/>
      </c>
      <c r="AQ121" s="2" t="str">
        <f t="shared" si="27"/>
        <v/>
      </c>
      <c r="AR121" s="2">
        <f t="shared" si="27"/>
        <v>0.76007750564888643</v>
      </c>
      <c r="AT121" s="143">
        <f t="shared" si="25"/>
        <v>1.0461693770741798E-2</v>
      </c>
      <c r="AU121" s="143">
        <f t="shared" si="26"/>
        <v>-1.9515505378071563E-3</v>
      </c>
      <c r="AV121" s="143">
        <f t="shared" si="29"/>
        <v>8.0669899929479705E-3</v>
      </c>
      <c r="AW121" s="143" t="str">
        <f t="shared" si="29"/>
        <v/>
      </c>
      <c r="AX121" s="143" t="str">
        <f t="shared" si="29"/>
        <v/>
      </c>
      <c r="AY121" s="143" t="str">
        <f t="shared" si="28"/>
        <v/>
      </c>
      <c r="AZ121" s="143" t="str">
        <f t="shared" si="28"/>
        <v/>
      </c>
      <c r="BA121" s="143" t="str">
        <f t="shared" si="28"/>
        <v/>
      </c>
      <c r="BB121" s="143" t="str">
        <f t="shared" si="28"/>
        <v/>
      </c>
      <c r="BC121" s="143" t="str">
        <f t="shared" si="28"/>
        <v/>
      </c>
      <c r="BD121" s="143" t="str">
        <f t="shared" si="28"/>
        <v/>
      </c>
      <c r="BF121" s="9">
        <f t="shared" si="24"/>
        <v>6.2408666660016996E-4</v>
      </c>
      <c r="BG121" s="9">
        <f t="shared" si="20"/>
        <v>0.98288862553331602</v>
      </c>
    </row>
    <row r="122" spans="2:59" x14ac:dyDescent="0.35">
      <c r="B122" s="3" t="s">
        <v>200</v>
      </c>
      <c r="D122" s="141">
        <v>19739</v>
      </c>
      <c r="E122" s="141">
        <v>6194</v>
      </c>
      <c r="F122" s="141">
        <v>13778</v>
      </c>
      <c r="G122" s="141">
        <v>17103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7"/>
        <v>56814</v>
      </c>
      <c r="R122" s="141">
        <v>16850</v>
      </c>
      <c r="S122" s="141">
        <v>5356</v>
      </c>
      <c r="T122" s="141">
        <v>8401</v>
      </c>
      <c r="U122" s="141">
        <v>9034</v>
      </c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8"/>
        <v>39641</v>
      </c>
      <c r="AF122" s="2">
        <f t="shared" si="23"/>
        <v>0.85364000202644508</v>
      </c>
      <c r="AG122" s="2">
        <f t="shared" si="23"/>
        <v>0.86470778172424922</v>
      </c>
      <c r="AH122" s="2">
        <f t="shared" si="23"/>
        <v>0.60974016548120191</v>
      </c>
      <c r="AI122" s="2">
        <f t="shared" si="22"/>
        <v>0.52821142489621709</v>
      </c>
      <c r="AJ122" s="2" t="str">
        <f t="shared" si="22"/>
        <v/>
      </c>
      <c r="AK122" s="2" t="str">
        <f t="shared" si="22"/>
        <v/>
      </c>
      <c r="AL122" s="2" t="str">
        <f t="shared" si="22"/>
        <v/>
      </c>
      <c r="AM122" s="2" t="str">
        <f t="shared" si="22"/>
        <v/>
      </c>
      <c r="AN122" s="2" t="str">
        <f t="shared" si="22"/>
        <v/>
      </c>
      <c r="AO122" s="2" t="str">
        <f t="shared" si="27"/>
        <v/>
      </c>
      <c r="AP122" s="2" t="str">
        <f t="shared" si="27"/>
        <v/>
      </c>
      <c r="AQ122" s="2" t="str">
        <f t="shared" si="27"/>
        <v/>
      </c>
      <c r="AR122" s="2">
        <f t="shared" si="27"/>
        <v>0.69773295314535155</v>
      </c>
      <c r="AT122" s="143">
        <f t="shared" si="25"/>
        <v>1.1067779697804148E-2</v>
      </c>
      <c r="AU122" s="143">
        <f t="shared" si="26"/>
        <v>-0.25496761624304731</v>
      </c>
      <c r="AV122" s="143">
        <f t="shared" si="29"/>
        <v>-8.1528740584984827E-2</v>
      </c>
      <c r="AW122" s="143" t="str">
        <f t="shared" si="29"/>
        <v/>
      </c>
      <c r="AX122" s="143" t="str">
        <f t="shared" si="29"/>
        <v/>
      </c>
      <c r="AY122" s="143" t="str">
        <f t="shared" si="28"/>
        <v/>
      </c>
      <c r="AZ122" s="143" t="str">
        <f t="shared" si="28"/>
        <v/>
      </c>
      <c r="BA122" s="143" t="str">
        <f t="shared" si="28"/>
        <v/>
      </c>
      <c r="BB122" s="143" t="str">
        <f t="shared" si="28"/>
        <v/>
      </c>
      <c r="BC122" s="143" t="str">
        <f t="shared" si="28"/>
        <v/>
      </c>
      <c r="BD122" s="143" t="str">
        <f t="shared" si="28"/>
        <v/>
      </c>
      <c r="BF122" s="9">
        <f t="shared" si="24"/>
        <v>5.0133075739799052E-5</v>
      </c>
      <c r="BG122" s="9">
        <f t="shared" si="20"/>
        <v>0.98293875860905577</v>
      </c>
    </row>
    <row r="123" spans="2:59" x14ac:dyDescent="0.35">
      <c r="B123" s="3" t="s">
        <v>176</v>
      </c>
      <c r="D123" s="141">
        <v>378041</v>
      </c>
      <c r="E123" s="141">
        <v>353073</v>
      </c>
      <c r="F123" s="141">
        <v>389778</v>
      </c>
      <c r="G123" s="141">
        <v>385259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7"/>
        <v>1506151</v>
      </c>
      <c r="R123" s="141">
        <v>275828</v>
      </c>
      <c r="S123" s="141">
        <v>263125</v>
      </c>
      <c r="T123" s="141">
        <v>287232</v>
      </c>
      <c r="U123" s="141">
        <v>283325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8"/>
        <v>1109510</v>
      </c>
      <c r="AF123" s="2">
        <f t="shared" si="23"/>
        <v>0.72962456453136038</v>
      </c>
      <c r="AG123" s="2">
        <f t="shared" si="23"/>
        <v>0.74524248526508685</v>
      </c>
      <c r="AH123" s="2">
        <f t="shared" si="23"/>
        <v>0.73691178055200657</v>
      </c>
      <c r="AI123" s="2">
        <f t="shared" si="22"/>
        <v>0.73541435761396878</v>
      </c>
      <c r="AJ123" s="2" t="str">
        <f t="shared" si="22"/>
        <v/>
      </c>
      <c r="AK123" s="2" t="str">
        <f t="shared" si="22"/>
        <v/>
      </c>
      <c r="AL123" s="2" t="str">
        <f t="shared" si="22"/>
        <v/>
      </c>
      <c r="AM123" s="2" t="str">
        <f t="shared" si="22"/>
        <v/>
      </c>
      <c r="AN123" s="2" t="str">
        <f t="shared" si="22"/>
        <v/>
      </c>
      <c r="AO123" s="2" t="str">
        <f t="shared" si="27"/>
        <v/>
      </c>
      <c r="AP123" s="2" t="str">
        <f t="shared" si="27"/>
        <v/>
      </c>
      <c r="AQ123" s="2" t="str">
        <f t="shared" si="27"/>
        <v/>
      </c>
      <c r="AR123" s="2">
        <f t="shared" si="27"/>
        <v>0.73665256670811896</v>
      </c>
      <c r="AT123" s="143">
        <f t="shared" si="25"/>
        <v>1.5617920733726476E-2</v>
      </c>
      <c r="AU123" s="143">
        <f t="shared" si="26"/>
        <v>-8.3307047130802836E-3</v>
      </c>
      <c r="AV123" s="143">
        <f t="shared" si="29"/>
        <v>-1.4974229380377846E-3</v>
      </c>
      <c r="AW123" s="143" t="str">
        <f t="shared" si="29"/>
        <v/>
      </c>
      <c r="AX123" s="143" t="str">
        <f t="shared" si="29"/>
        <v/>
      </c>
      <c r="AY123" s="143" t="str">
        <f t="shared" si="28"/>
        <v/>
      </c>
      <c r="AZ123" s="143" t="str">
        <f t="shared" si="28"/>
        <v/>
      </c>
      <c r="BA123" s="143" t="str">
        <f t="shared" si="28"/>
        <v/>
      </c>
      <c r="BB123" s="143" t="str">
        <f t="shared" si="28"/>
        <v/>
      </c>
      <c r="BC123" s="143" t="str">
        <f t="shared" si="28"/>
        <v/>
      </c>
      <c r="BD123" s="143" t="str">
        <f t="shared" si="28"/>
        <v/>
      </c>
      <c r="BF123" s="9">
        <f t="shared" si="24"/>
        <v>1.4031721920250359E-3</v>
      </c>
      <c r="BG123" s="9">
        <f t="shared" si="20"/>
        <v>0.98434193080108079</v>
      </c>
    </row>
    <row r="124" spans="2:59" x14ac:dyDescent="0.35">
      <c r="B124" s="3" t="s">
        <v>193</v>
      </c>
      <c r="D124" s="141">
        <v>42487</v>
      </c>
      <c r="E124" s="141">
        <v>39513</v>
      </c>
      <c r="F124" s="141">
        <v>49705</v>
      </c>
      <c r="G124" s="141">
        <v>22561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7"/>
        <v>154266</v>
      </c>
      <c r="R124" s="141">
        <v>32552</v>
      </c>
      <c r="S124" s="141">
        <v>29691</v>
      </c>
      <c r="T124" s="141">
        <v>22283</v>
      </c>
      <c r="U124" s="141">
        <v>21274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8"/>
        <v>105800</v>
      </c>
      <c r="AF124" s="2">
        <f t="shared" si="23"/>
        <v>0.7661637677407207</v>
      </c>
      <c r="AG124" s="2">
        <f t="shared" si="23"/>
        <v>0.75142358211221627</v>
      </c>
      <c r="AH124" s="2">
        <f t="shared" si="23"/>
        <v>0.44830499949703251</v>
      </c>
      <c r="AI124" s="2">
        <f t="shared" si="22"/>
        <v>0.94295465626523645</v>
      </c>
      <c r="AJ124" s="2" t="str">
        <f t="shared" si="22"/>
        <v/>
      </c>
      <c r="AK124" s="2" t="str">
        <f t="shared" si="22"/>
        <v/>
      </c>
      <c r="AL124" s="2" t="str">
        <f t="shared" si="22"/>
        <v/>
      </c>
      <c r="AM124" s="2" t="str">
        <f t="shared" si="22"/>
        <v/>
      </c>
      <c r="AN124" s="2" t="str">
        <f t="shared" si="22"/>
        <v/>
      </c>
      <c r="AO124" s="2" t="str">
        <f t="shared" si="27"/>
        <v/>
      </c>
      <c r="AP124" s="2" t="str">
        <f t="shared" si="27"/>
        <v/>
      </c>
      <c r="AQ124" s="2" t="str">
        <f t="shared" si="27"/>
        <v/>
      </c>
      <c r="AR124" s="2">
        <f t="shared" si="27"/>
        <v>0.68582837436635424</v>
      </c>
      <c r="AT124" s="143">
        <f t="shared" si="25"/>
        <v>-1.4740185628504432E-2</v>
      </c>
      <c r="AU124" s="143">
        <f t="shared" si="26"/>
        <v>-0.30311858261518376</v>
      </c>
      <c r="AV124" s="143">
        <f t="shared" si="29"/>
        <v>0.49464965676820394</v>
      </c>
      <c r="AW124" s="143" t="str">
        <f t="shared" si="29"/>
        <v/>
      </c>
      <c r="AX124" s="143" t="str">
        <f t="shared" si="29"/>
        <v/>
      </c>
      <c r="AY124" s="143" t="str">
        <f t="shared" si="28"/>
        <v/>
      </c>
      <c r="AZ124" s="143" t="str">
        <f t="shared" si="28"/>
        <v/>
      </c>
      <c r="BA124" s="143" t="str">
        <f t="shared" si="28"/>
        <v/>
      </c>
      <c r="BB124" s="143" t="str">
        <f t="shared" si="28"/>
        <v/>
      </c>
      <c r="BC124" s="143" t="str">
        <f t="shared" si="28"/>
        <v/>
      </c>
      <c r="BD124" s="143" t="str">
        <f t="shared" si="28"/>
        <v/>
      </c>
      <c r="BF124" s="9">
        <f t="shared" si="24"/>
        <v>1.3380286605460859E-4</v>
      </c>
      <c r="BG124" s="9">
        <f t="shared" si="20"/>
        <v>0.98447573366713537</v>
      </c>
    </row>
    <row r="125" spans="2:59" x14ac:dyDescent="0.35">
      <c r="B125" s="3" t="s">
        <v>179</v>
      </c>
      <c r="D125" s="141">
        <v>69177</v>
      </c>
      <c r="E125" s="141">
        <v>54847</v>
      </c>
      <c r="F125" s="141">
        <v>70516</v>
      </c>
      <c r="G125" s="141">
        <v>59071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7"/>
        <v>253611</v>
      </c>
      <c r="R125" s="141">
        <v>43790</v>
      </c>
      <c r="S125" s="141">
        <v>45388</v>
      </c>
      <c r="T125" s="141">
        <v>57299</v>
      </c>
      <c r="U125" s="141">
        <v>45152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8"/>
        <v>191629</v>
      </c>
      <c r="AF125" s="2">
        <f t="shared" si="23"/>
        <v>0.63301386298914375</v>
      </c>
      <c r="AG125" s="2">
        <f t="shared" si="23"/>
        <v>0.82753842507338593</v>
      </c>
      <c r="AH125" s="2">
        <f t="shared" si="23"/>
        <v>0.81256736059901302</v>
      </c>
      <c r="AI125" s="2">
        <f t="shared" si="22"/>
        <v>0.76436830255116728</v>
      </c>
      <c r="AJ125" s="2" t="str">
        <f t="shared" si="22"/>
        <v/>
      </c>
      <c r="AK125" s="2" t="str">
        <f t="shared" si="22"/>
        <v/>
      </c>
      <c r="AL125" s="2" t="str">
        <f t="shared" si="22"/>
        <v/>
      </c>
      <c r="AM125" s="2" t="str">
        <f t="shared" si="22"/>
        <v/>
      </c>
      <c r="AN125" s="2" t="str">
        <f t="shared" si="22"/>
        <v/>
      </c>
      <c r="AO125" s="2" t="str">
        <f t="shared" si="27"/>
        <v/>
      </c>
      <c r="AP125" s="2" t="str">
        <f t="shared" si="27"/>
        <v/>
      </c>
      <c r="AQ125" s="2" t="str">
        <f t="shared" si="27"/>
        <v/>
      </c>
      <c r="AR125" s="2">
        <f t="shared" si="27"/>
        <v>0.75560208350584157</v>
      </c>
      <c r="AT125" s="143">
        <f t="shared" si="25"/>
        <v>0.19452456208424218</v>
      </c>
      <c r="AU125" s="143">
        <f t="shared" si="26"/>
        <v>-1.4971064474372908E-2</v>
      </c>
      <c r="AV125" s="143">
        <f t="shared" si="29"/>
        <v>-4.8199058047845744E-2</v>
      </c>
      <c r="AW125" s="143" t="str">
        <f t="shared" si="29"/>
        <v/>
      </c>
      <c r="AX125" s="143" t="str">
        <f t="shared" si="29"/>
        <v/>
      </c>
      <c r="AY125" s="143" t="str">
        <f t="shared" si="28"/>
        <v/>
      </c>
      <c r="AZ125" s="143" t="str">
        <f t="shared" si="28"/>
        <v/>
      </c>
      <c r="BA125" s="143" t="str">
        <f t="shared" si="28"/>
        <v/>
      </c>
      <c r="BB125" s="143" t="str">
        <f t="shared" si="28"/>
        <v/>
      </c>
      <c r="BC125" s="143" t="str">
        <f t="shared" si="28"/>
        <v/>
      </c>
      <c r="BD125" s="143" t="str">
        <f t="shared" si="28"/>
        <v/>
      </c>
      <c r="BF125" s="9">
        <f t="shared" si="24"/>
        <v>2.4234886029469367E-4</v>
      </c>
      <c r="BG125" s="9">
        <f t="shared" si="20"/>
        <v>0.98471808252743009</v>
      </c>
    </row>
    <row r="126" spans="2:59" x14ac:dyDescent="0.35">
      <c r="B126" s="3" t="s">
        <v>209</v>
      </c>
      <c r="D126" s="141">
        <v>63771</v>
      </c>
      <c r="E126" s="141">
        <v>41310</v>
      </c>
      <c r="F126" s="141">
        <v>36347</v>
      </c>
      <c r="G126" s="141">
        <v>32712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7"/>
        <v>174140</v>
      </c>
      <c r="R126" s="141">
        <v>48347</v>
      </c>
      <c r="S126" s="141">
        <v>26315</v>
      </c>
      <c r="T126" s="141">
        <v>25190</v>
      </c>
      <c r="U126" s="141">
        <v>23341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8"/>
        <v>123193</v>
      </c>
      <c r="AF126" s="2">
        <f t="shared" si="23"/>
        <v>0.75813457527716355</v>
      </c>
      <c r="AG126" s="2">
        <f t="shared" si="23"/>
        <v>0.63701282982328733</v>
      </c>
      <c r="AH126" s="2">
        <f t="shared" si="23"/>
        <v>0.69304206674553603</v>
      </c>
      <c r="AI126" s="2">
        <f t="shared" si="22"/>
        <v>0.71353020298361458</v>
      </c>
      <c r="AJ126" s="2" t="str">
        <f t="shared" si="22"/>
        <v/>
      </c>
      <c r="AK126" s="2" t="str">
        <f t="shared" si="22"/>
        <v/>
      </c>
      <c r="AL126" s="2" t="str">
        <f t="shared" si="22"/>
        <v/>
      </c>
      <c r="AM126" s="2" t="str">
        <f t="shared" si="22"/>
        <v/>
      </c>
      <c r="AN126" s="2" t="str">
        <f t="shared" si="22"/>
        <v/>
      </c>
      <c r="AO126" s="2" t="str">
        <f t="shared" si="27"/>
        <v/>
      </c>
      <c r="AP126" s="2" t="str">
        <f t="shared" si="27"/>
        <v/>
      </c>
      <c r="AQ126" s="2" t="str">
        <f t="shared" si="27"/>
        <v/>
      </c>
      <c r="AR126" s="2">
        <f t="shared" si="27"/>
        <v>0.70743654530837252</v>
      </c>
      <c r="AT126" s="143">
        <f t="shared" si="25"/>
        <v>-0.12112174545387622</v>
      </c>
      <c r="AU126" s="143">
        <f t="shared" si="26"/>
        <v>5.6029236922248704E-2</v>
      </c>
      <c r="AV126" s="143">
        <f t="shared" si="29"/>
        <v>2.0488136238078547E-2</v>
      </c>
      <c r="AW126" s="143" t="str">
        <f t="shared" si="29"/>
        <v/>
      </c>
      <c r="AX126" s="143" t="str">
        <f t="shared" si="29"/>
        <v/>
      </c>
      <c r="AY126" s="143" t="str">
        <f t="shared" si="28"/>
        <v/>
      </c>
      <c r="AZ126" s="143" t="str">
        <f t="shared" si="28"/>
        <v/>
      </c>
      <c r="BA126" s="143" t="str">
        <f t="shared" si="28"/>
        <v/>
      </c>
      <c r="BB126" s="143" t="str">
        <f t="shared" si="28"/>
        <v/>
      </c>
      <c r="BC126" s="143" t="str">
        <f t="shared" si="28"/>
        <v/>
      </c>
      <c r="BD126" s="143" t="str">
        <f t="shared" si="28"/>
        <v/>
      </c>
      <c r="BF126" s="9">
        <f t="shared" si="24"/>
        <v>1.5579939960175233E-4</v>
      </c>
      <c r="BG126" s="9">
        <f t="shared" si="20"/>
        <v>0.98487388192703185</v>
      </c>
    </row>
    <row r="127" spans="2:59" x14ac:dyDescent="0.35">
      <c r="B127" s="3" t="s">
        <v>188</v>
      </c>
      <c r="D127" s="141">
        <v>27292</v>
      </c>
      <c r="E127" s="141">
        <v>12525</v>
      </c>
      <c r="F127" s="141">
        <v>18377</v>
      </c>
      <c r="G127" s="141">
        <v>28162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7"/>
        <v>86356</v>
      </c>
      <c r="R127" s="141">
        <v>15298</v>
      </c>
      <c r="S127" s="141">
        <v>7030</v>
      </c>
      <c r="T127" s="141">
        <v>13845</v>
      </c>
      <c r="U127" s="141">
        <v>20820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8"/>
        <v>56993</v>
      </c>
      <c r="AF127" s="2">
        <f t="shared" si="23"/>
        <v>0.56053055840539356</v>
      </c>
      <c r="AG127" s="2">
        <f t="shared" si="23"/>
        <v>0.56127744510978039</v>
      </c>
      <c r="AH127" s="2">
        <f t="shared" si="23"/>
        <v>0.75338738640692171</v>
      </c>
      <c r="AI127" s="2">
        <f t="shared" si="22"/>
        <v>0.73929408422697251</v>
      </c>
      <c r="AJ127" s="2" t="str">
        <f t="shared" si="22"/>
        <v/>
      </c>
      <c r="AK127" s="2" t="str">
        <f t="shared" si="22"/>
        <v/>
      </c>
      <c r="AL127" s="2" t="str">
        <f t="shared" si="22"/>
        <v/>
      </c>
      <c r="AM127" s="2" t="str">
        <f t="shared" si="22"/>
        <v/>
      </c>
      <c r="AN127" s="2" t="str">
        <f t="shared" si="22"/>
        <v/>
      </c>
      <c r="AO127" s="2" t="str">
        <f t="shared" si="27"/>
        <v/>
      </c>
      <c r="AP127" s="2" t="str">
        <f t="shared" si="27"/>
        <v/>
      </c>
      <c r="AQ127" s="2" t="str">
        <f t="shared" si="27"/>
        <v/>
      </c>
      <c r="AR127" s="2">
        <f t="shared" si="27"/>
        <v>0.65997730325628789</v>
      </c>
      <c r="AT127" s="143">
        <f t="shared" si="25"/>
        <v>7.468867043868288E-4</v>
      </c>
      <c r="AU127" s="143">
        <f t="shared" si="26"/>
        <v>0.19210994129714132</v>
      </c>
      <c r="AV127" s="143">
        <f t="shared" si="29"/>
        <v>-1.4093302179949196E-2</v>
      </c>
      <c r="AW127" s="143" t="str">
        <f t="shared" si="29"/>
        <v/>
      </c>
      <c r="AX127" s="143" t="str">
        <f t="shared" si="29"/>
        <v/>
      </c>
      <c r="AY127" s="143" t="str">
        <f t="shared" si="28"/>
        <v/>
      </c>
      <c r="AZ127" s="143" t="str">
        <f t="shared" si="28"/>
        <v/>
      </c>
      <c r="BA127" s="143" t="str">
        <f t="shared" si="28"/>
        <v/>
      </c>
      <c r="BB127" s="143" t="str">
        <f t="shared" si="28"/>
        <v/>
      </c>
      <c r="BC127" s="143" t="str">
        <f t="shared" si="28"/>
        <v/>
      </c>
      <c r="BD127" s="143" t="str">
        <f t="shared" si="28"/>
        <v/>
      </c>
      <c r="BF127" s="9">
        <f t="shared" si="24"/>
        <v>7.2077757514653199E-5</v>
      </c>
      <c r="BG127" s="9">
        <f t="shared" si="20"/>
        <v>0.98494595968454646</v>
      </c>
    </row>
    <row r="128" spans="2:59" x14ac:dyDescent="0.35">
      <c r="B128" s="3" t="s">
        <v>195</v>
      </c>
      <c r="D128" s="141">
        <v>74245</v>
      </c>
      <c r="E128" s="141">
        <v>63853</v>
      </c>
      <c r="F128" s="141">
        <v>53512</v>
      </c>
      <c r="G128" s="141">
        <v>45846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7"/>
        <v>237456</v>
      </c>
      <c r="R128" s="141">
        <v>54043</v>
      </c>
      <c r="S128" s="141">
        <v>45784</v>
      </c>
      <c r="T128" s="141">
        <v>38072</v>
      </c>
      <c r="U128" s="141">
        <v>28475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8"/>
        <v>166374</v>
      </c>
      <c r="AF128" s="2">
        <f t="shared" si="23"/>
        <v>0.72790086874537008</v>
      </c>
      <c r="AG128" s="2">
        <f t="shared" si="23"/>
        <v>0.7170219096988395</v>
      </c>
      <c r="AH128" s="2">
        <f t="shared" si="23"/>
        <v>0.71146658693377185</v>
      </c>
      <c r="AI128" s="2">
        <f t="shared" si="22"/>
        <v>0.62110107752039434</v>
      </c>
      <c r="AJ128" s="2" t="str">
        <f t="shared" si="22"/>
        <v/>
      </c>
      <c r="AK128" s="2" t="str">
        <f t="shared" si="22"/>
        <v/>
      </c>
      <c r="AL128" s="2" t="str">
        <f t="shared" si="22"/>
        <v/>
      </c>
      <c r="AM128" s="2" t="str">
        <f t="shared" si="22"/>
        <v/>
      </c>
      <c r="AN128" s="2" t="str">
        <f t="shared" si="22"/>
        <v/>
      </c>
      <c r="AO128" s="2" t="str">
        <f t="shared" si="27"/>
        <v/>
      </c>
      <c r="AP128" s="2" t="str">
        <f t="shared" si="27"/>
        <v/>
      </c>
      <c r="AQ128" s="2" t="str">
        <f t="shared" si="27"/>
        <v/>
      </c>
      <c r="AR128" s="2">
        <f t="shared" si="27"/>
        <v>0.70065191024863549</v>
      </c>
      <c r="AT128" s="143">
        <f t="shared" si="25"/>
        <v>-1.0878959046530579E-2</v>
      </c>
      <c r="AU128" s="143">
        <f t="shared" si="26"/>
        <v>-5.5553227650676495E-3</v>
      </c>
      <c r="AV128" s="143">
        <f t="shared" si="29"/>
        <v>-9.0365509413377509E-2</v>
      </c>
      <c r="AW128" s="143" t="str">
        <f t="shared" si="29"/>
        <v/>
      </c>
      <c r="AX128" s="143" t="str">
        <f t="shared" si="29"/>
        <v/>
      </c>
      <c r="AY128" s="143" t="str">
        <f t="shared" si="28"/>
        <v/>
      </c>
      <c r="AZ128" s="143" t="str">
        <f t="shared" si="28"/>
        <v/>
      </c>
      <c r="BA128" s="143" t="str">
        <f t="shared" si="28"/>
        <v/>
      </c>
      <c r="BB128" s="143" t="str">
        <f t="shared" si="28"/>
        <v/>
      </c>
      <c r="BC128" s="143" t="str">
        <f t="shared" si="28"/>
        <v/>
      </c>
      <c r="BD128" s="143" t="str">
        <f t="shared" si="28"/>
        <v/>
      </c>
      <c r="BF128" s="9">
        <f t="shared" si="24"/>
        <v>2.1040943324167723E-4</v>
      </c>
      <c r="BG128" s="9">
        <f t="shared" si="20"/>
        <v>0.98515636911778814</v>
      </c>
    </row>
    <row r="129" spans="2:59" x14ac:dyDescent="0.35">
      <c r="B129" s="3" t="s">
        <v>206</v>
      </c>
      <c r="D129" s="141">
        <v>62625</v>
      </c>
      <c r="E129" s="141">
        <v>58565</v>
      </c>
      <c r="F129" s="141">
        <v>69018</v>
      </c>
      <c r="G129" s="141">
        <v>69557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7"/>
        <v>259765</v>
      </c>
      <c r="R129" s="141">
        <v>48546</v>
      </c>
      <c r="S129" s="141">
        <v>45757</v>
      </c>
      <c r="T129" s="141">
        <v>53130</v>
      </c>
      <c r="U129" s="141">
        <v>56451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8"/>
        <v>203884</v>
      </c>
      <c r="AF129" s="2">
        <f t="shared" si="23"/>
        <v>0.77518562874251495</v>
      </c>
      <c r="AG129" s="2">
        <f t="shared" si="23"/>
        <v>0.78130282591991806</v>
      </c>
      <c r="AH129" s="2">
        <f t="shared" si="23"/>
        <v>0.76979918282187254</v>
      </c>
      <c r="AI129" s="2">
        <f t="shared" si="22"/>
        <v>0.81157899276852075</v>
      </c>
      <c r="AJ129" s="2" t="str">
        <f t="shared" si="22"/>
        <v/>
      </c>
      <c r="AK129" s="2" t="str">
        <f t="shared" si="22"/>
        <v/>
      </c>
      <c r="AL129" s="2" t="str">
        <f t="shared" si="22"/>
        <v/>
      </c>
      <c r="AM129" s="2" t="str">
        <f t="shared" si="22"/>
        <v/>
      </c>
      <c r="AN129" s="2" t="str">
        <f t="shared" si="22"/>
        <v/>
      </c>
      <c r="AO129" s="2" t="str">
        <f t="shared" si="27"/>
        <v/>
      </c>
      <c r="AP129" s="2" t="str">
        <f t="shared" si="27"/>
        <v/>
      </c>
      <c r="AQ129" s="2" t="str">
        <f t="shared" si="27"/>
        <v/>
      </c>
      <c r="AR129" s="2">
        <f t="shared" si="27"/>
        <v>0.78487864030951049</v>
      </c>
      <c r="AT129" s="143">
        <f t="shared" si="25"/>
        <v>6.1171971774031109E-3</v>
      </c>
      <c r="AU129" s="143">
        <f t="shared" si="26"/>
        <v>-1.1503643098045524E-2</v>
      </c>
      <c r="AV129" s="143">
        <f t="shared" si="29"/>
        <v>4.1779809946648205E-2</v>
      </c>
      <c r="AW129" s="143" t="str">
        <f t="shared" si="29"/>
        <v/>
      </c>
      <c r="AX129" s="143" t="str">
        <f t="shared" si="29"/>
        <v/>
      </c>
      <c r="AY129" s="143" t="str">
        <f t="shared" si="28"/>
        <v/>
      </c>
      <c r="AZ129" s="143" t="str">
        <f t="shared" si="28"/>
        <v/>
      </c>
      <c r="BA129" s="143" t="str">
        <f t="shared" si="28"/>
        <v/>
      </c>
      <c r="BB129" s="143" t="str">
        <f t="shared" si="28"/>
        <v/>
      </c>
      <c r="BC129" s="143" t="str">
        <f t="shared" si="28"/>
        <v/>
      </c>
      <c r="BD129" s="143" t="str">
        <f t="shared" si="28"/>
        <v/>
      </c>
      <c r="BF129" s="9">
        <f t="shared" si="24"/>
        <v>2.5784748149979036E-4</v>
      </c>
      <c r="BG129" s="9">
        <f t="shared" si="20"/>
        <v>0.98541421659928796</v>
      </c>
    </row>
    <row r="130" spans="2:59" x14ac:dyDescent="0.35">
      <c r="B130" s="3" t="s">
        <v>210</v>
      </c>
      <c r="D130" s="141">
        <v>51634</v>
      </c>
      <c r="E130" s="141">
        <v>34824</v>
      </c>
      <c r="F130" s="141">
        <v>38528</v>
      </c>
      <c r="G130" s="141">
        <v>38920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7"/>
        <v>163906</v>
      </c>
      <c r="R130" s="141">
        <v>39039</v>
      </c>
      <c r="S130" s="141">
        <v>27126</v>
      </c>
      <c r="T130" s="141">
        <v>26450</v>
      </c>
      <c r="U130" s="141">
        <v>19479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8"/>
        <v>112094</v>
      </c>
      <c r="AF130" s="2">
        <f t="shared" si="23"/>
        <v>0.75607158074137193</v>
      </c>
      <c r="AG130" s="2">
        <f t="shared" si="23"/>
        <v>0.7789455547898001</v>
      </c>
      <c r="AH130" s="2">
        <f t="shared" si="23"/>
        <v>0.68651370431893688</v>
      </c>
      <c r="AI130" s="2">
        <f t="shared" si="22"/>
        <v>0.50048818088386438</v>
      </c>
      <c r="AJ130" s="2" t="str">
        <f t="shared" si="22"/>
        <v/>
      </c>
      <c r="AK130" s="2" t="str">
        <f t="shared" si="22"/>
        <v/>
      </c>
      <c r="AL130" s="2" t="str">
        <f t="shared" si="22"/>
        <v/>
      </c>
      <c r="AM130" s="2" t="str">
        <f t="shared" si="22"/>
        <v/>
      </c>
      <c r="AN130" s="2" t="str">
        <f t="shared" si="22"/>
        <v/>
      </c>
      <c r="AO130" s="2" t="str">
        <f t="shared" si="27"/>
        <v/>
      </c>
      <c r="AP130" s="2" t="str">
        <f t="shared" si="27"/>
        <v/>
      </c>
      <c r="AQ130" s="2" t="str">
        <f t="shared" si="27"/>
        <v/>
      </c>
      <c r="AR130" s="2">
        <f t="shared" si="27"/>
        <v>0.68389198687052333</v>
      </c>
      <c r="AT130" s="143">
        <f t="shared" si="25"/>
        <v>2.287397404842817E-2</v>
      </c>
      <c r="AU130" s="143">
        <f t="shared" si="26"/>
        <v>-9.2431850470863219E-2</v>
      </c>
      <c r="AV130" s="143">
        <f t="shared" si="29"/>
        <v>-0.1860255234350725</v>
      </c>
      <c r="AW130" s="143" t="str">
        <f t="shared" si="29"/>
        <v/>
      </c>
      <c r="AX130" s="143" t="str">
        <f t="shared" si="29"/>
        <v/>
      </c>
      <c r="AY130" s="143" t="str">
        <f t="shared" si="28"/>
        <v/>
      </c>
      <c r="AZ130" s="143" t="str">
        <f t="shared" si="28"/>
        <v/>
      </c>
      <c r="BA130" s="143" t="str">
        <f t="shared" si="28"/>
        <v/>
      </c>
      <c r="BB130" s="143" t="str">
        <f t="shared" si="28"/>
        <v/>
      </c>
      <c r="BC130" s="143" t="str">
        <f t="shared" si="28"/>
        <v/>
      </c>
      <c r="BD130" s="143" t="str">
        <f t="shared" si="28"/>
        <v/>
      </c>
      <c r="BF130" s="9">
        <f t="shared" si="24"/>
        <v>1.4176274543974761E-4</v>
      </c>
      <c r="BG130" s="9">
        <f t="shared" si="20"/>
        <v>0.98555597934472772</v>
      </c>
    </row>
    <row r="131" spans="2:59" x14ac:dyDescent="0.35">
      <c r="B131" s="3" t="s">
        <v>239</v>
      </c>
      <c r="D131" s="141">
        <v>5890</v>
      </c>
      <c r="E131" s="141">
        <v>8256</v>
      </c>
      <c r="F131" s="141">
        <v>23793</v>
      </c>
      <c r="G131" s="141">
        <v>5505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7"/>
        <v>43444</v>
      </c>
      <c r="R131" s="141">
        <v>3395</v>
      </c>
      <c r="S131" s="141">
        <v>5902</v>
      </c>
      <c r="T131" s="141">
        <v>14753</v>
      </c>
      <c r="U131" s="141">
        <v>4703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8"/>
        <v>28753</v>
      </c>
      <c r="AF131" s="2">
        <f t="shared" si="23"/>
        <v>0.57640067911714776</v>
      </c>
      <c r="AG131" s="2">
        <f t="shared" si="23"/>
        <v>0.71487403100775193</v>
      </c>
      <c r="AH131" s="2">
        <f t="shared" si="23"/>
        <v>0.62005631908544534</v>
      </c>
      <c r="AI131" s="2">
        <f t="shared" si="22"/>
        <v>0.854314259763851</v>
      </c>
      <c r="AJ131" s="2" t="str">
        <f t="shared" si="22"/>
        <v/>
      </c>
      <c r="AK131" s="2" t="str">
        <f t="shared" si="22"/>
        <v/>
      </c>
      <c r="AL131" s="2" t="str">
        <f t="shared" si="22"/>
        <v/>
      </c>
      <c r="AM131" s="2" t="str">
        <f t="shared" si="22"/>
        <v/>
      </c>
      <c r="AN131" s="2" t="str">
        <f t="shared" si="22"/>
        <v/>
      </c>
      <c r="AO131" s="2" t="str">
        <f t="shared" si="27"/>
        <v/>
      </c>
      <c r="AP131" s="2" t="str">
        <f t="shared" si="27"/>
        <v/>
      </c>
      <c r="AQ131" s="2" t="str">
        <f t="shared" si="27"/>
        <v/>
      </c>
      <c r="AR131" s="2">
        <f t="shared" si="27"/>
        <v>0.66184053033790624</v>
      </c>
      <c r="AT131" s="143">
        <f t="shared" si="25"/>
        <v>0.13847335189060417</v>
      </c>
      <c r="AU131" s="143">
        <f t="shared" si="26"/>
        <v>-9.4817711922306591E-2</v>
      </c>
      <c r="AV131" s="143">
        <f t="shared" si="29"/>
        <v>0.23425794067840566</v>
      </c>
      <c r="AW131" s="143" t="str">
        <f t="shared" si="29"/>
        <v/>
      </c>
      <c r="AX131" s="143" t="str">
        <f t="shared" si="29"/>
        <v/>
      </c>
      <c r="AY131" s="143" t="str">
        <f t="shared" si="28"/>
        <v/>
      </c>
      <c r="AZ131" s="143" t="str">
        <f t="shared" si="28"/>
        <v/>
      </c>
      <c r="BA131" s="143" t="str">
        <f t="shared" si="28"/>
        <v/>
      </c>
      <c r="BB131" s="143" t="str">
        <f t="shared" si="28"/>
        <v/>
      </c>
      <c r="BC131" s="143" t="str">
        <f t="shared" si="28"/>
        <v/>
      </c>
      <c r="BD131" s="143" t="str">
        <f t="shared" si="28"/>
        <v/>
      </c>
      <c r="BF131" s="9">
        <f t="shared" si="24"/>
        <v>3.6363268503479783E-5</v>
      </c>
      <c r="BG131" s="9">
        <f t="shared" si="20"/>
        <v>0.98559234261323114</v>
      </c>
    </row>
    <row r="132" spans="2:59" x14ac:dyDescent="0.35">
      <c r="B132" s="3" t="s">
        <v>205</v>
      </c>
      <c r="D132" s="141">
        <v>37365</v>
      </c>
      <c r="E132" s="141">
        <v>32893</v>
      </c>
      <c r="F132" s="141">
        <v>48329</v>
      </c>
      <c r="G132" s="141">
        <v>25610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7"/>
        <v>144197</v>
      </c>
      <c r="R132" s="141">
        <v>25299</v>
      </c>
      <c r="S132" s="141">
        <v>22675</v>
      </c>
      <c r="T132" s="141">
        <v>30150</v>
      </c>
      <c r="U132" s="141">
        <v>18577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8"/>
        <v>96701</v>
      </c>
      <c r="AF132" s="2">
        <f t="shared" si="23"/>
        <v>0.67707747892412684</v>
      </c>
      <c r="AG132" s="2">
        <f t="shared" si="23"/>
        <v>0.68935639801781534</v>
      </c>
      <c r="AH132" s="2">
        <f t="shared" si="23"/>
        <v>0.62384903474104569</v>
      </c>
      <c r="AI132" s="2">
        <f t="shared" si="22"/>
        <v>0.72538071065989851</v>
      </c>
      <c r="AJ132" s="2" t="str">
        <f t="shared" si="22"/>
        <v/>
      </c>
      <c r="AK132" s="2" t="str">
        <f t="shared" si="22"/>
        <v/>
      </c>
      <c r="AL132" s="2" t="str">
        <f t="shared" si="22"/>
        <v/>
      </c>
      <c r="AM132" s="2" t="str">
        <f t="shared" si="22"/>
        <v/>
      </c>
      <c r="AN132" s="2" t="str">
        <f t="shared" si="22"/>
        <v/>
      </c>
      <c r="AO132" s="2" t="str">
        <f t="shared" si="27"/>
        <v/>
      </c>
      <c r="AP132" s="2" t="str">
        <f t="shared" si="27"/>
        <v/>
      </c>
      <c r="AQ132" s="2" t="str">
        <f t="shared" si="27"/>
        <v/>
      </c>
      <c r="AR132" s="2">
        <f t="shared" si="27"/>
        <v>0.67061728052594716</v>
      </c>
      <c r="AT132" s="143">
        <f t="shared" si="25"/>
        <v>1.2278919093688501E-2</v>
      </c>
      <c r="AU132" s="143">
        <f t="shared" si="26"/>
        <v>-6.5507363276769648E-2</v>
      </c>
      <c r="AV132" s="143">
        <f t="shared" si="29"/>
        <v>0.10153167591885282</v>
      </c>
      <c r="AW132" s="143" t="str">
        <f t="shared" si="29"/>
        <v/>
      </c>
      <c r="AX132" s="143" t="str">
        <f t="shared" si="29"/>
        <v/>
      </c>
      <c r="AY132" s="143" t="str">
        <f t="shared" si="28"/>
        <v/>
      </c>
      <c r="AZ132" s="143" t="str">
        <f t="shared" si="28"/>
        <v/>
      </c>
      <c r="BA132" s="143" t="str">
        <f t="shared" si="28"/>
        <v/>
      </c>
      <c r="BB132" s="143" t="str">
        <f t="shared" si="28"/>
        <v/>
      </c>
      <c r="BC132" s="143" t="str">
        <f t="shared" si="28"/>
        <v/>
      </c>
      <c r="BD132" s="143" t="str">
        <f t="shared" si="28"/>
        <v/>
      </c>
      <c r="BF132" s="9">
        <f t="shared" si="24"/>
        <v>1.2229556663843769E-4</v>
      </c>
      <c r="BG132" s="9">
        <f t="shared" si="20"/>
        <v>0.9857146381798696</v>
      </c>
    </row>
    <row r="133" spans="2:59" x14ac:dyDescent="0.35">
      <c r="B133" s="3" t="s">
        <v>230</v>
      </c>
      <c r="D133" s="141">
        <v>15152</v>
      </c>
      <c r="E133" s="141">
        <v>15972</v>
      </c>
      <c r="F133" s="141">
        <v>15558</v>
      </c>
      <c r="G133" s="141">
        <v>7563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5" si="30">+SUM(D133:O133)</f>
        <v>54245</v>
      </c>
      <c r="R133" s="141">
        <v>14668</v>
      </c>
      <c r="S133" s="141">
        <v>15512</v>
      </c>
      <c r="T133" s="141">
        <v>14591</v>
      </c>
      <c r="U133" s="141">
        <v>7223</v>
      </c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5" si="31">+SUM(R133:AC133)</f>
        <v>51994</v>
      </c>
      <c r="AF133" s="2">
        <f t="shared" si="23"/>
        <v>0.96805702217529044</v>
      </c>
      <c r="AG133" s="2">
        <f t="shared" si="23"/>
        <v>0.97119959929877286</v>
      </c>
      <c r="AH133" s="2">
        <f t="shared" si="23"/>
        <v>0.93784548142434765</v>
      </c>
      <c r="AI133" s="2">
        <f t="shared" si="22"/>
        <v>0.95504429459209306</v>
      </c>
      <c r="AJ133" s="2" t="str">
        <f t="shared" si="22"/>
        <v/>
      </c>
      <c r="AK133" s="2" t="str">
        <f t="shared" si="22"/>
        <v/>
      </c>
      <c r="AL133" s="2" t="str">
        <f t="shared" si="22"/>
        <v/>
      </c>
      <c r="AM133" s="2" t="str">
        <f t="shared" si="22"/>
        <v/>
      </c>
      <c r="AN133" s="2" t="str">
        <f t="shared" si="22"/>
        <v/>
      </c>
      <c r="AO133" s="2" t="str">
        <f t="shared" si="27"/>
        <v/>
      </c>
      <c r="AP133" s="2" t="str">
        <f t="shared" si="27"/>
        <v/>
      </c>
      <c r="AQ133" s="2" t="str">
        <f t="shared" si="27"/>
        <v/>
      </c>
      <c r="AR133" s="2">
        <f t="shared" si="27"/>
        <v>0.9585030878421974</v>
      </c>
      <c r="AT133" s="143">
        <f t="shared" si="25"/>
        <v>3.1425771234824262E-3</v>
      </c>
      <c r="AU133" s="143">
        <f t="shared" si="26"/>
        <v>-3.3354117874425215E-2</v>
      </c>
      <c r="AV133" s="143">
        <f t="shared" si="29"/>
        <v>1.7198813167745408E-2</v>
      </c>
      <c r="AW133" s="143" t="str">
        <f t="shared" si="29"/>
        <v/>
      </c>
      <c r="AX133" s="143" t="str">
        <f t="shared" si="29"/>
        <v/>
      </c>
      <c r="AY133" s="143" t="str">
        <f t="shared" si="28"/>
        <v/>
      </c>
      <c r="AZ133" s="143" t="str">
        <f t="shared" si="28"/>
        <v/>
      </c>
      <c r="BA133" s="143" t="str">
        <f t="shared" si="28"/>
        <v/>
      </c>
      <c r="BB133" s="143" t="str">
        <f t="shared" si="28"/>
        <v/>
      </c>
      <c r="BC133" s="143" t="str">
        <f t="shared" si="28"/>
        <v/>
      </c>
      <c r="BD133" s="143" t="str">
        <f t="shared" si="28"/>
        <v/>
      </c>
      <c r="BF133" s="9">
        <f t="shared" ref="BF133:BF164" si="32">+AD133/$AD$256</f>
        <v>6.5755635327441586E-5</v>
      </c>
      <c r="BG133" s="9">
        <f t="shared" si="20"/>
        <v>0.985780393815197</v>
      </c>
    </row>
    <row r="134" spans="2:59" x14ac:dyDescent="0.35">
      <c r="B134" s="3" t="s">
        <v>290</v>
      </c>
      <c r="D134" s="141">
        <v>41991</v>
      </c>
      <c r="E134" s="141">
        <v>63170</v>
      </c>
      <c r="F134" s="141">
        <v>87994</v>
      </c>
      <c r="G134" s="141">
        <v>64810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30"/>
        <v>257965</v>
      </c>
      <c r="R134" s="141">
        <v>23973</v>
      </c>
      <c r="S134" s="141">
        <v>47668</v>
      </c>
      <c r="T134" s="141">
        <v>69137</v>
      </c>
      <c r="U134" s="141">
        <v>43585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31"/>
        <v>184363</v>
      </c>
      <c r="AF134" s="2">
        <f t="shared" si="23"/>
        <v>0.57090805172536974</v>
      </c>
      <c r="AG134" s="2">
        <f t="shared" si="23"/>
        <v>0.75459870191546619</v>
      </c>
      <c r="AH134" s="2">
        <f t="shared" si="23"/>
        <v>0.78570129781576015</v>
      </c>
      <c r="AI134" s="2">
        <f t="shared" si="22"/>
        <v>0.67250424317234991</v>
      </c>
      <c r="AJ134" s="2" t="str">
        <f t="shared" si="22"/>
        <v/>
      </c>
      <c r="AK134" s="2" t="str">
        <f t="shared" si="22"/>
        <v/>
      </c>
      <c r="AL134" s="2" t="str">
        <f t="shared" si="22"/>
        <v/>
      </c>
      <c r="AM134" s="2" t="str">
        <f t="shared" si="22"/>
        <v/>
      </c>
      <c r="AN134" s="2" t="str">
        <f t="shared" si="22"/>
        <v/>
      </c>
      <c r="AO134" s="2" t="str">
        <f t="shared" si="27"/>
        <v/>
      </c>
      <c r="AP134" s="2" t="str">
        <f t="shared" si="27"/>
        <v/>
      </c>
      <c r="AQ134" s="2" t="str">
        <f t="shared" si="27"/>
        <v/>
      </c>
      <c r="AR134" s="2">
        <f t="shared" si="27"/>
        <v>0.7146822243327583</v>
      </c>
      <c r="AT134" s="143">
        <f t="shared" si="25"/>
        <v>0.18369065019009645</v>
      </c>
      <c r="AU134" s="143">
        <f t="shared" si="26"/>
        <v>3.1102595900293961E-2</v>
      </c>
      <c r="AV134" s="143">
        <f t="shared" si="29"/>
        <v>-0.11319705464341023</v>
      </c>
      <c r="AW134" s="143" t="str">
        <f t="shared" si="29"/>
        <v/>
      </c>
      <c r="AX134" s="143" t="str">
        <f t="shared" si="29"/>
        <v/>
      </c>
      <c r="AY134" s="143" t="str">
        <f t="shared" si="28"/>
        <v/>
      </c>
      <c r="AZ134" s="143" t="str">
        <f t="shared" si="28"/>
        <v/>
      </c>
      <c r="BA134" s="143" t="str">
        <f t="shared" si="28"/>
        <v/>
      </c>
      <c r="BB134" s="143" t="str">
        <f t="shared" si="28"/>
        <v/>
      </c>
      <c r="BC134" s="143" t="str">
        <f t="shared" si="28"/>
        <v/>
      </c>
      <c r="BD134" s="143" t="str">
        <f t="shared" si="28"/>
        <v/>
      </c>
      <c r="BF134" s="9">
        <f t="shared" si="32"/>
        <v>2.3315971450307943E-4</v>
      </c>
      <c r="BG134" s="9">
        <f t="shared" ref="BG134:BG197" si="33">+BF134+BG133</f>
        <v>0.9860135535297001</v>
      </c>
    </row>
    <row r="135" spans="2:59" x14ac:dyDescent="0.35">
      <c r="B135" s="3" t="s">
        <v>207</v>
      </c>
      <c r="D135" s="141">
        <v>14178</v>
      </c>
      <c r="E135" s="141">
        <v>32159</v>
      </c>
      <c r="F135" s="141">
        <v>6856</v>
      </c>
      <c r="G135" s="141">
        <v>33759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30"/>
        <v>86952</v>
      </c>
      <c r="R135" s="141">
        <v>10065</v>
      </c>
      <c r="S135" s="141">
        <v>25235</v>
      </c>
      <c r="T135" s="141">
        <v>4423</v>
      </c>
      <c r="U135" s="141">
        <v>10059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31"/>
        <v>49782</v>
      </c>
      <c r="AF135" s="2">
        <f t="shared" si="23"/>
        <v>0.70990266610241215</v>
      </c>
      <c r="AG135" s="2">
        <f t="shared" si="23"/>
        <v>0.78469479772380979</v>
      </c>
      <c r="AH135" s="2">
        <f t="shared" si="23"/>
        <v>0.64512835472578767</v>
      </c>
      <c r="AI135" s="2">
        <f t="shared" si="22"/>
        <v>0.29796498711454722</v>
      </c>
      <c r="AJ135" s="2" t="str">
        <f t="shared" si="22"/>
        <v/>
      </c>
      <c r="AK135" s="2" t="str">
        <f t="shared" si="22"/>
        <v/>
      </c>
      <c r="AL135" s="2" t="str">
        <f t="shared" si="22"/>
        <v/>
      </c>
      <c r="AM135" s="2" t="str">
        <f t="shared" si="22"/>
        <v/>
      </c>
      <c r="AN135" s="2" t="str">
        <f t="shared" si="22"/>
        <v/>
      </c>
      <c r="AO135" s="2" t="str">
        <f t="shared" si="27"/>
        <v/>
      </c>
      <c r="AP135" s="2" t="str">
        <f t="shared" si="27"/>
        <v/>
      </c>
      <c r="AQ135" s="2" t="str">
        <f t="shared" si="27"/>
        <v/>
      </c>
      <c r="AR135" s="2">
        <f t="shared" si="27"/>
        <v>0.57252277118410155</v>
      </c>
      <c r="AT135" s="143">
        <f t="shared" si="25"/>
        <v>7.4792131621397639E-2</v>
      </c>
      <c r="AU135" s="143">
        <f t="shared" si="26"/>
        <v>-0.13956644299802212</v>
      </c>
      <c r="AV135" s="143">
        <f t="shared" si="29"/>
        <v>-0.34716336761124045</v>
      </c>
      <c r="AW135" s="143" t="str">
        <f t="shared" si="29"/>
        <v/>
      </c>
      <c r="AX135" s="143" t="str">
        <f t="shared" si="29"/>
        <v/>
      </c>
      <c r="AY135" s="143" t="str">
        <f t="shared" si="28"/>
        <v/>
      </c>
      <c r="AZ135" s="143" t="str">
        <f t="shared" si="28"/>
        <v/>
      </c>
      <c r="BA135" s="143" t="str">
        <f t="shared" si="28"/>
        <v/>
      </c>
      <c r="BB135" s="143" t="str">
        <f t="shared" si="28"/>
        <v/>
      </c>
      <c r="BC135" s="143" t="str">
        <f t="shared" si="28"/>
        <v/>
      </c>
      <c r="BD135" s="143" t="str">
        <f t="shared" si="28"/>
        <v/>
      </c>
      <c r="BF135" s="9">
        <f t="shared" si="32"/>
        <v>6.295816897854939E-5</v>
      </c>
      <c r="BG135" s="9">
        <f t="shared" si="33"/>
        <v>0.9860765116986786</v>
      </c>
    </row>
    <row r="136" spans="2:59" x14ac:dyDescent="0.35">
      <c r="B136" s="3" t="s">
        <v>231</v>
      </c>
      <c r="D136" s="141">
        <v>58596</v>
      </c>
      <c r="E136" s="141">
        <v>213454</v>
      </c>
      <c r="F136" s="141">
        <v>198864</v>
      </c>
      <c r="G136" s="141">
        <v>62895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30"/>
        <v>533809</v>
      </c>
      <c r="R136" s="141">
        <v>48264</v>
      </c>
      <c r="S136" s="141">
        <v>158165</v>
      </c>
      <c r="T136" s="141">
        <v>147133</v>
      </c>
      <c r="U136" s="141">
        <v>48040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31"/>
        <v>401602</v>
      </c>
      <c r="AF136" s="2">
        <f t="shared" si="23"/>
        <v>0.82367397091951666</v>
      </c>
      <c r="AG136" s="2">
        <f t="shared" si="23"/>
        <v>0.74097932107151887</v>
      </c>
      <c r="AH136" s="2">
        <f t="shared" si="23"/>
        <v>0.73986744709952534</v>
      </c>
      <c r="AI136" s="2">
        <f t="shared" si="22"/>
        <v>0.76381270371253673</v>
      </c>
      <c r="AJ136" s="2" t="str">
        <f t="shared" si="22"/>
        <v/>
      </c>
      <c r="AK136" s="2" t="str">
        <f t="shared" si="22"/>
        <v/>
      </c>
      <c r="AL136" s="2" t="str">
        <f t="shared" si="22"/>
        <v/>
      </c>
      <c r="AM136" s="2" t="str">
        <f t="shared" si="22"/>
        <v/>
      </c>
      <c r="AN136" s="2" t="str">
        <f t="shared" si="22"/>
        <v/>
      </c>
      <c r="AO136" s="2" t="str">
        <f t="shared" si="27"/>
        <v/>
      </c>
      <c r="AP136" s="2" t="str">
        <f t="shared" si="27"/>
        <v/>
      </c>
      <c r="AQ136" s="2" t="str">
        <f t="shared" si="27"/>
        <v/>
      </c>
      <c r="AR136" s="2">
        <f t="shared" si="27"/>
        <v>0.75233276321680598</v>
      </c>
      <c r="AT136" s="143">
        <f t="shared" si="25"/>
        <v>-8.2694649847997792E-2</v>
      </c>
      <c r="AU136" s="143">
        <f t="shared" si="26"/>
        <v>-1.1118739719935267E-3</v>
      </c>
      <c r="AV136" s="143">
        <f t="shared" si="29"/>
        <v>2.394525661301139E-2</v>
      </c>
      <c r="AW136" s="143" t="str">
        <f t="shared" si="29"/>
        <v/>
      </c>
      <c r="AX136" s="143" t="str">
        <f t="shared" si="29"/>
        <v/>
      </c>
      <c r="AY136" s="143" t="str">
        <f t="shared" si="28"/>
        <v/>
      </c>
      <c r="AZ136" s="143" t="str">
        <f t="shared" si="28"/>
        <v/>
      </c>
      <c r="BA136" s="143" t="str">
        <f t="shared" si="28"/>
        <v/>
      </c>
      <c r="BB136" s="143" t="str">
        <f t="shared" si="28"/>
        <v/>
      </c>
      <c r="BC136" s="143" t="str">
        <f t="shared" si="28"/>
        <v/>
      </c>
      <c r="BD136" s="143" t="str">
        <f t="shared" si="28"/>
        <v/>
      </c>
      <c r="BF136" s="9">
        <f t="shared" si="32"/>
        <v>5.078969623181751E-4</v>
      </c>
      <c r="BG136" s="9">
        <f t="shared" si="33"/>
        <v>0.98658440866099673</v>
      </c>
    </row>
    <row r="137" spans="2:59" x14ac:dyDescent="0.35">
      <c r="B137" s="3" t="s">
        <v>180</v>
      </c>
      <c r="D137" s="141">
        <v>1248998</v>
      </c>
      <c r="E137" s="141">
        <v>1115107</v>
      </c>
      <c r="F137" s="141">
        <v>1479150</v>
      </c>
      <c r="G137" s="141">
        <v>1329179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30"/>
        <v>5172434</v>
      </c>
      <c r="R137" s="141">
        <v>887579</v>
      </c>
      <c r="S137" s="141">
        <v>778209</v>
      </c>
      <c r="T137" s="141">
        <v>1020795</v>
      </c>
      <c r="U137" s="141">
        <v>826312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31"/>
        <v>3512895</v>
      </c>
      <c r="AF137" s="2">
        <f t="shared" si="23"/>
        <v>0.71063284328717902</v>
      </c>
      <c r="AG137" s="2">
        <f t="shared" si="23"/>
        <v>0.6978783201970753</v>
      </c>
      <c r="AH137" s="2">
        <f t="shared" si="23"/>
        <v>0.69012270560795053</v>
      </c>
      <c r="AI137" s="2">
        <f t="shared" si="22"/>
        <v>0.62167097132891813</v>
      </c>
      <c r="AJ137" s="2" t="str">
        <f t="shared" si="22"/>
        <v/>
      </c>
      <c r="AK137" s="2" t="str">
        <f t="shared" si="22"/>
        <v/>
      </c>
      <c r="AL137" s="2" t="str">
        <f t="shared" si="22"/>
        <v/>
      </c>
      <c r="AM137" s="2" t="str">
        <f t="shared" si="22"/>
        <v/>
      </c>
      <c r="AN137" s="2" t="str">
        <f t="shared" si="22"/>
        <v/>
      </c>
      <c r="AO137" s="2" t="str">
        <f t="shared" si="27"/>
        <v/>
      </c>
      <c r="AP137" s="2" t="str">
        <f t="shared" si="27"/>
        <v/>
      </c>
      <c r="AQ137" s="2" t="str">
        <f t="shared" si="27"/>
        <v/>
      </c>
      <c r="AR137" s="2">
        <f t="shared" si="27"/>
        <v>0.67915704675980404</v>
      </c>
      <c r="AT137" s="143">
        <f t="shared" si="25"/>
        <v>-1.275452309010372E-2</v>
      </c>
      <c r="AU137" s="143">
        <f t="shared" si="26"/>
        <v>-7.7556145891247708E-3</v>
      </c>
      <c r="AV137" s="143">
        <f t="shared" si="29"/>
        <v>-6.8451734279032395E-2</v>
      </c>
      <c r="AW137" s="143" t="str">
        <f t="shared" si="29"/>
        <v/>
      </c>
      <c r="AX137" s="143" t="str">
        <f t="shared" si="29"/>
        <v/>
      </c>
      <c r="AY137" s="143" t="str">
        <f t="shared" si="28"/>
        <v/>
      </c>
      <c r="AZ137" s="143" t="str">
        <f t="shared" si="28"/>
        <v/>
      </c>
      <c r="BA137" s="143" t="str">
        <f t="shared" si="28"/>
        <v/>
      </c>
      <c r="BB137" s="143" t="str">
        <f t="shared" si="28"/>
        <v/>
      </c>
      <c r="BC137" s="143" t="str">
        <f t="shared" si="28"/>
        <v/>
      </c>
      <c r="BD137" s="143" t="str">
        <f t="shared" si="28"/>
        <v/>
      </c>
      <c r="BF137" s="9">
        <f t="shared" si="32"/>
        <v>4.4426788199329326E-3</v>
      </c>
      <c r="BG137" s="9">
        <f t="shared" si="33"/>
        <v>0.99102708748092971</v>
      </c>
    </row>
    <row r="138" spans="2:59" x14ac:dyDescent="0.35">
      <c r="B138" s="3" t="s">
        <v>261</v>
      </c>
      <c r="D138" s="141">
        <v>20181</v>
      </c>
      <c r="E138" s="141">
        <v>18717</v>
      </c>
      <c r="F138" s="141">
        <v>22900</v>
      </c>
      <c r="G138" s="141">
        <v>30700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30"/>
        <v>92498</v>
      </c>
      <c r="R138" s="141">
        <v>16629</v>
      </c>
      <c r="S138" s="141">
        <v>9988</v>
      </c>
      <c r="T138" s="141">
        <v>14135</v>
      </c>
      <c r="U138" s="141">
        <v>19862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31"/>
        <v>60614</v>
      </c>
      <c r="AF138" s="2">
        <f t="shared" si="23"/>
        <v>0.82399286457559096</v>
      </c>
      <c r="AG138" s="2">
        <f t="shared" si="23"/>
        <v>0.53363252658011429</v>
      </c>
      <c r="AH138" s="2">
        <f t="shared" si="23"/>
        <v>0.61724890829694323</v>
      </c>
      <c r="AI138" s="2">
        <f t="shared" si="22"/>
        <v>0.64697068403908797</v>
      </c>
      <c r="AJ138" s="2" t="str">
        <f t="shared" si="22"/>
        <v/>
      </c>
      <c r="AK138" s="2" t="str">
        <f t="shared" si="22"/>
        <v/>
      </c>
      <c r="AL138" s="2" t="str">
        <f t="shared" si="22"/>
        <v/>
      </c>
      <c r="AM138" s="2" t="str">
        <f t="shared" si="22"/>
        <v/>
      </c>
      <c r="AN138" s="2" t="str">
        <f t="shared" si="22"/>
        <v/>
      </c>
      <c r="AO138" s="2" t="str">
        <f t="shared" si="27"/>
        <v/>
      </c>
      <c r="AP138" s="2" t="str">
        <f t="shared" si="27"/>
        <v/>
      </c>
      <c r="AQ138" s="2" t="str">
        <f t="shared" si="27"/>
        <v/>
      </c>
      <c r="AR138" s="2">
        <f t="shared" si="27"/>
        <v>0.65530065514930047</v>
      </c>
      <c r="AT138" s="143">
        <f t="shared" si="25"/>
        <v>-0.29036033799547667</v>
      </c>
      <c r="AU138" s="143">
        <f t="shared" si="26"/>
        <v>8.3616381716828947E-2</v>
      </c>
      <c r="AV138" s="143">
        <f t="shared" si="29"/>
        <v>2.972177574214474E-2</v>
      </c>
      <c r="AW138" s="143" t="str">
        <f t="shared" si="29"/>
        <v/>
      </c>
      <c r="AX138" s="143" t="str">
        <f t="shared" si="29"/>
        <v/>
      </c>
      <c r="AY138" s="143" t="str">
        <f t="shared" si="28"/>
        <v/>
      </c>
      <c r="AZ138" s="143" t="str">
        <f t="shared" si="28"/>
        <v/>
      </c>
      <c r="BA138" s="143" t="str">
        <f t="shared" si="28"/>
        <v/>
      </c>
      <c r="BB138" s="143" t="str">
        <f t="shared" si="28"/>
        <v/>
      </c>
      <c r="BC138" s="143" t="str">
        <f t="shared" si="28"/>
        <v/>
      </c>
      <c r="BD138" s="143" t="str">
        <f t="shared" si="28"/>
        <v/>
      </c>
      <c r="BF138" s="9">
        <f t="shared" si="32"/>
        <v>7.6657154281985308E-5</v>
      </c>
      <c r="BG138" s="9">
        <f t="shared" si="33"/>
        <v>0.99110374463521167</v>
      </c>
    </row>
    <row r="139" spans="2:59" x14ac:dyDescent="0.35">
      <c r="B139" s="3" t="s">
        <v>208</v>
      </c>
      <c r="D139" s="141">
        <v>22817</v>
      </c>
      <c r="E139" s="141">
        <v>34795</v>
      </c>
      <c r="F139" s="141">
        <v>29136</v>
      </c>
      <c r="G139" s="141">
        <v>15610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30"/>
        <v>102358</v>
      </c>
      <c r="R139" s="141">
        <v>18638</v>
      </c>
      <c r="S139" s="141">
        <v>24024</v>
      </c>
      <c r="T139" s="141">
        <v>25196</v>
      </c>
      <c r="U139" s="141">
        <v>11450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31"/>
        <v>79308</v>
      </c>
      <c r="AF139" s="2">
        <f t="shared" si="23"/>
        <v>0.81684708769776926</v>
      </c>
      <c r="AG139" s="2">
        <f t="shared" si="23"/>
        <v>0.69044402931455673</v>
      </c>
      <c r="AH139" s="2">
        <f t="shared" si="23"/>
        <v>0.864772103239978</v>
      </c>
      <c r="AI139" s="2">
        <f t="shared" si="22"/>
        <v>0.73350416399743756</v>
      </c>
      <c r="AJ139" s="2" t="str">
        <f t="shared" si="22"/>
        <v/>
      </c>
      <c r="AK139" s="2" t="str">
        <f t="shared" si="22"/>
        <v/>
      </c>
      <c r="AL139" s="2" t="str">
        <f t="shared" si="22"/>
        <v/>
      </c>
      <c r="AM139" s="2" t="str">
        <f t="shared" si="22"/>
        <v/>
      </c>
      <c r="AN139" s="2" t="str">
        <f t="shared" si="22"/>
        <v/>
      </c>
      <c r="AO139" s="2" t="str">
        <f t="shared" si="27"/>
        <v/>
      </c>
      <c r="AP139" s="2" t="str">
        <f t="shared" si="27"/>
        <v/>
      </c>
      <c r="AQ139" s="2" t="str">
        <f t="shared" si="27"/>
        <v/>
      </c>
      <c r="AR139" s="2">
        <f t="shared" si="27"/>
        <v>0.77480998065612849</v>
      </c>
      <c r="AT139" s="143">
        <f t="shared" si="25"/>
        <v>-0.12640305838321253</v>
      </c>
      <c r="AU139" s="143">
        <f t="shared" si="26"/>
        <v>0.17432807392542127</v>
      </c>
      <c r="AV139" s="143">
        <f t="shared" si="29"/>
        <v>-0.13126793924254043</v>
      </c>
      <c r="AW139" s="143" t="str">
        <f t="shared" si="29"/>
        <v/>
      </c>
      <c r="AX139" s="143" t="str">
        <f t="shared" si="29"/>
        <v/>
      </c>
      <c r="AY139" s="143" t="str">
        <f t="shared" si="28"/>
        <v/>
      </c>
      <c r="AZ139" s="143" t="str">
        <f t="shared" si="28"/>
        <v/>
      </c>
      <c r="BA139" s="143" t="str">
        <f t="shared" si="28"/>
        <v/>
      </c>
      <c r="BB139" s="143" t="str">
        <f t="shared" si="28"/>
        <v/>
      </c>
      <c r="BC139" s="143" t="str">
        <f t="shared" si="28"/>
        <v/>
      </c>
      <c r="BD139" s="143" t="str">
        <f t="shared" si="28"/>
        <v/>
      </c>
      <c r="BF139" s="9">
        <f t="shared" si="32"/>
        <v>1.0029903309129394E-4</v>
      </c>
      <c r="BG139" s="9">
        <f t="shared" si="33"/>
        <v>0.99120404366830295</v>
      </c>
    </row>
    <row r="140" spans="2:59" x14ac:dyDescent="0.35">
      <c r="B140" s="3" t="s">
        <v>203</v>
      </c>
      <c r="D140" s="141">
        <v>22945</v>
      </c>
      <c r="E140" s="141">
        <v>9101</v>
      </c>
      <c r="F140" s="141">
        <v>27495</v>
      </c>
      <c r="G140" s="141">
        <v>7980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30"/>
        <v>67521</v>
      </c>
      <c r="R140" s="141">
        <v>2405</v>
      </c>
      <c r="S140" s="141">
        <v>4276</v>
      </c>
      <c r="T140" s="141">
        <v>8671</v>
      </c>
      <c r="U140" s="141">
        <v>7021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31"/>
        <v>22373</v>
      </c>
      <c r="AF140" s="2">
        <f t="shared" si="23"/>
        <v>0.10481586402266289</v>
      </c>
      <c r="AG140" s="2">
        <f t="shared" si="23"/>
        <v>0.46983847928799033</v>
      </c>
      <c r="AH140" s="2">
        <f t="shared" si="23"/>
        <v>0.31536643026004729</v>
      </c>
      <c r="AI140" s="2">
        <f t="shared" si="22"/>
        <v>0.87982456140350873</v>
      </c>
      <c r="AJ140" s="2" t="str">
        <f t="shared" si="22"/>
        <v/>
      </c>
      <c r="AK140" s="2" t="str">
        <f t="shared" si="22"/>
        <v/>
      </c>
      <c r="AL140" s="2" t="str">
        <f t="shared" si="22"/>
        <v/>
      </c>
      <c r="AM140" s="2" t="str">
        <f t="shared" si="22"/>
        <v/>
      </c>
      <c r="AN140" s="2" t="str">
        <f t="shared" si="22"/>
        <v/>
      </c>
      <c r="AO140" s="2" t="str">
        <f t="shared" si="27"/>
        <v/>
      </c>
      <c r="AP140" s="2" t="str">
        <f t="shared" si="27"/>
        <v/>
      </c>
      <c r="AQ140" s="2" t="str">
        <f t="shared" si="27"/>
        <v/>
      </c>
      <c r="AR140" s="2">
        <f t="shared" si="27"/>
        <v>0.33134876556923032</v>
      </c>
      <c r="AT140" s="143">
        <f t="shared" si="25"/>
        <v>0.36502261526532742</v>
      </c>
      <c r="AU140" s="143">
        <f t="shared" si="26"/>
        <v>-0.15447204902794304</v>
      </c>
      <c r="AV140" s="143">
        <f t="shared" si="29"/>
        <v>0.56445813114346144</v>
      </c>
      <c r="AW140" s="143" t="str">
        <f t="shared" si="29"/>
        <v/>
      </c>
      <c r="AX140" s="143" t="str">
        <f t="shared" si="29"/>
        <v/>
      </c>
      <c r="AY140" s="143" t="str">
        <f t="shared" si="28"/>
        <v/>
      </c>
      <c r="AZ140" s="143" t="str">
        <f t="shared" si="28"/>
        <v/>
      </c>
      <c r="BA140" s="143" t="str">
        <f t="shared" si="28"/>
        <v/>
      </c>
      <c r="BB140" s="143" t="str">
        <f t="shared" si="28"/>
        <v/>
      </c>
      <c r="BC140" s="143" t="str">
        <f t="shared" si="28"/>
        <v/>
      </c>
      <c r="BD140" s="143" t="str">
        <f t="shared" si="28"/>
        <v/>
      </c>
      <c r="BF140" s="9">
        <f t="shared" si="32"/>
        <v>2.8294626864269925E-5</v>
      </c>
      <c r="BG140" s="9">
        <f t="shared" si="33"/>
        <v>0.99123233829516721</v>
      </c>
    </row>
    <row r="141" spans="2:59" x14ac:dyDescent="0.35">
      <c r="B141" s="3" t="s">
        <v>226</v>
      </c>
      <c r="D141" s="141">
        <v>7953</v>
      </c>
      <c r="E141" s="141">
        <v>13148</v>
      </c>
      <c r="F141" s="141">
        <v>11902</v>
      </c>
      <c r="G141" s="141">
        <v>7040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30"/>
        <v>40043</v>
      </c>
      <c r="R141" s="141">
        <v>6587</v>
      </c>
      <c r="S141" s="141">
        <v>11264</v>
      </c>
      <c r="T141" s="141">
        <v>11859</v>
      </c>
      <c r="U141" s="141">
        <v>4427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31"/>
        <v>34137</v>
      </c>
      <c r="AF141" s="2">
        <f t="shared" si="23"/>
        <v>0.82824091537784483</v>
      </c>
      <c r="AG141" s="2">
        <f t="shared" si="23"/>
        <v>0.85670824459993911</v>
      </c>
      <c r="AH141" s="2">
        <f t="shared" si="23"/>
        <v>0.99638716182154263</v>
      </c>
      <c r="AI141" s="2">
        <f t="shared" si="22"/>
        <v>0.62883522727272723</v>
      </c>
      <c r="AJ141" s="2" t="str">
        <f t="shared" si="22"/>
        <v/>
      </c>
      <c r="AK141" s="2" t="str">
        <f t="shared" si="22"/>
        <v/>
      </c>
      <c r="AL141" s="2" t="str">
        <f t="shared" si="22"/>
        <v/>
      </c>
      <c r="AM141" s="2" t="str">
        <f t="shared" si="22"/>
        <v/>
      </c>
      <c r="AN141" s="2" t="str">
        <f t="shared" si="22"/>
        <v/>
      </c>
      <c r="AO141" s="2" t="str">
        <f t="shared" si="27"/>
        <v/>
      </c>
      <c r="AP141" s="2" t="str">
        <f t="shared" si="27"/>
        <v/>
      </c>
      <c r="AQ141" s="2" t="str">
        <f t="shared" si="27"/>
        <v/>
      </c>
      <c r="AR141" s="2">
        <f t="shared" si="27"/>
        <v>0.85250855330519693</v>
      </c>
      <c r="AT141" s="143">
        <f t="shared" si="25"/>
        <v>2.8467329222094273E-2</v>
      </c>
      <c r="AU141" s="143">
        <f t="shared" si="26"/>
        <v>0.13967891722160353</v>
      </c>
      <c r="AV141" s="143">
        <f t="shared" si="29"/>
        <v>-0.36755193454881541</v>
      </c>
      <c r="AW141" s="143" t="str">
        <f t="shared" si="29"/>
        <v/>
      </c>
      <c r="AX141" s="143" t="str">
        <f t="shared" si="29"/>
        <v/>
      </c>
      <c r="AY141" s="143" t="str">
        <f t="shared" si="28"/>
        <v/>
      </c>
      <c r="AZ141" s="143" t="str">
        <f t="shared" si="28"/>
        <v/>
      </c>
      <c r="BA141" s="143" t="str">
        <f t="shared" si="28"/>
        <v/>
      </c>
      <c r="BB141" s="143" t="str">
        <f t="shared" si="28"/>
        <v/>
      </c>
      <c r="BC141" s="143" t="str">
        <f t="shared" si="28"/>
        <v/>
      </c>
      <c r="BD141" s="143" t="str">
        <f t="shared" si="28"/>
        <v/>
      </c>
      <c r="BF141" s="9">
        <f t="shared" si="32"/>
        <v>4.3172291479264403E-5</v>
      </c>
      <c r="BG141" s="9">
        <f t="shared" si="33"/>
        <v>0.99127551058664642</v>
      </c>
    </row>
    <row r="142" spans="2:59" x14ac:dyDescent="0.35">
      <c r="B142" s="3" t="s">
        <v>238</v>
      </c>
      <c r="D142" s="141">
        <v>201000</v>
      </c>
      <c r="E142" s="141">
        <v>171618</v>
      </c>
      <c r="F142" s="141">
        <v>135281</v>
      </c>
      <c r="G142" s="141">
        <v>136075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30"/>
        <v>643974</v>
      </c>
      <c r="R142" s="141">
        <v>164062</v>
      </c>
      <c r="S142" s="141">
        <v>128584</v>
      </c>
      <c r="T142" s="141">
        <v>100151</v>
      </c>
      <c r="U142" s="141">
        <v>77693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31"/>
        <v>470490</v>
      </c>
      <c r="AF142" s="2">
        <f t="shared" si="23"/>
        <v>0.81622885572139303</v>
      </c>
      <c r="AG142" s="2">
        <f t="shared" si="23"/>
        <v>0.74924541714738546</v>
      </c>
      <c r="AH142" s="2">
        <f t="shared" si="23"/>
        <v>0.74031830042651958</v>
      </c>
      <c r="AI142" s="2">
        <f t="shared" si="22"/>
        <v>0.57095719272460044</v>
      </c>
      <c r="AJ142" s="2" t="str">
        <f t="shared" si="22"/>
        <v/>
      </c>
      <c r="AK142" s="2" t="str">
        <f t="shared" si="22"/>
        <v/>
      </c>
      <c r="AL142" s="2" t="str">
        <f t="shared" si="22"/>
        <v/>
      </c>
      <c r="AM142" s="2" t="str">
        <f t="shared" si="22"/>
        <v/>
      </c>
      <c r="AN142" s="2" t="str">
        <f t="shared" ref="AN142:AQ204" si="34">+IFERROR(Z142/L142,"")</f>
        <v/>
      </c>
      <c r="AO142" s="2" t="str">
        <f t="shared" si="27"/>
        <v/>
      </c>
      <c r="AP142" s="2" t="str">
        <f t="shared" si="27"/>
        <v/>
      </c>
      <c r="AQ142" s="2" t="str">
        <f t="shared" si="27"/>
        <v/>
      </c>
      <c r="AR142" s="2">
        <f t="shared" si="27"/>
        <v>0.73060403059750856</v>
      </c>
      <c r="AT142" s="143">
        <f t="shared" si="25"/>
        <v>-6.698343857400757E-2</v>
      </c>
      <c r="AU142" s="143">
        <f t="shared" si="26"/>
        <v>-8.9271167208658797E-3</v>
      </c>
      <c r="AV142" s="143">
        <f t="shared" si="29"/>
        <v>-0.16936110770191914</v>
      </c>
      <c r="AW142" s="143" t="str">
        <f t="shared" si="29"/>
        <v/>
      </c>
      <c r="AX142" s="143" t="str">
        <f t="shared" si="29"/>
        <v/>
      </c>
      <c r="AY142" s="143" t="str">
        <f t="shared" si="28"/>
        <v/>
      </c>
      <c r="AZ142" s="143" t="str">
        <f t="shared" si="28"/>
        <v/>
      </c>
      <c r="BA142" s="143" t="str">
        <f t="shared" si="28"/>
        <v/>
      </c>
      <c r="BB142" s="143" t="str">
        <f t="shared" si="28"/>
        <v/>
      </c>
      <c r="BC142" s="143" t="str">
        <f t="shared" si="28"/>
        <v/>
      </c>
      <c r="BD142" s="143" t="str">
        <f t="shared" si="28"/>
        <v/>
      </c>
      <c r="BF142" s="9">
        <f t="shared" si="32"/>
        <v>5.950180571836749E-4</v>
      </c>
      <c r="BG142" s="9">
        <f t="shared" si="33"/>
        <v>0.99187052864383007</v>
      </c>
    </row>
    <row r="143" spans="2:59" x14ac:dyDescent="0.35">
      <c r="B143" s="3" t="s">
        <v>213</v>
      </c>
      <c r="D143" s="141">
        <v>28211</v>
      </c>
      <c r="E143" s="141">
        <v>27824</v>
      </c>
      <c r="F143" s="141">
        <v>28981</v>
      </c>
      <c r="G143" s="141">
        <v>50845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30"/>
        <v>135861</v>
      </c>
      <c r="R143" s="141">
        <v>27762</v>
      </c>
      <c r="S143" s="141">
        <v>26699</v>
      </c>
      <c r="T143" s="141">
        <v>28786</v>
      </c>
      <c r="U143" s="141">
        <v>50845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31"/>
        <v>134092</v>
      </c>
      <c r="AF143" s="2">
        <f t="shared" si="23"/>
        <v>0.9840842224664138</v>
      </c>
      <c r="AG143" s="2">
        <f t="shared" si="23"/>
        <v>0.95956728004600345</v>
      </c>
      <c r="AH143" s="2">
        <f t="shared" si="23"/>
        <v>0.99327145371105208</v>
      </c>
      <c r="AI143" s="2">
        <f t="shared" si="23"/>
        <v>1</v>
      </c>
      <c r="AJ143" s="2" t="str">
        <f t="shared" si="23"/>
        <v/>
      </c>
      <c r="AK143" s="2" t="str">
        <f t="shared" si="23"/>
        <v/>
      </c>
      <c r="AL143" s="2" t="str">
        <f t="shared" si="23"/>
        <v/>
      </c>
      <c r="AM143" s="2" t="str">
        <f t="shared" si="23"/>
        <v/>
      </c>
      <c r="AN143" s="2" t="str">
        <f t="shared" si="34"/>
        <v/>
      </c>
      <c r="AO143" s="2" t="str">
        <f t="shared" si="27"/>
        <v/>
      </c>
      <c r="AP143" s="2" t="str">
        <f t="shared" si="27"/>
        <v/>
      </c>
      <c r="AQ143" s="2" t="str">
        <f t="shared" si="27"/>
        <v/>
      </c>
      <c r="AR143" s="2">
        <f t="shared" si="27"/>
        <v>0.98697933917754177</v>
      </c>
      <c r="AT143" s="143">
        <f t="shared" si="25"/>
        <v>-2.4516942420410359E-2</v>
      </c>
      <c r="AU143" s="143">
        <f t="shared" si="26"/>
        <v>3.3704173665048631E-2</v>
      </c>
      <c r="AV143" s="143">
        <f t="shared" si="29"/>
        <v>6.7285462889479231E-3</v>
      </c>
      <c r="AW143" s="143" t="str">
        <f t="shared" si="29"/>
        <v/>
      </c>
      <c r="AX143" s="143" t="str">
        <f t="shared" si="29"/>
        <v/>
      </c>
      <c r="AY143" s="143" t="str">
        <f t="shared" si="28"/>
        <v/>
      </c>
      <c r="AZ143" s="143" t="str">
        <f t="shared" si="28"/>
        <v/>
      </c>
      <c r="BA143" s="143" t="str">
        <f t="shared" si="28"/>
        <v/>
      </c>
      <c r="BB143" s="143" t="str">
        <f t="shared" si="28"/>
        <v/>
      </c>
      <c r="BC143" s="143" t="str">
        <f t="shared" si="28"/>
        <v/>
      </c>
      <c r="BD143" s="143" t="str">
        <f t="shared" si="28"/>
        <v/>
      </c>
      <c r="BF143" s="9">
        <f t="shared" si="32"/>
        <v>1.6958311828917368E-4</v>
      </c>
      <c r="BG143" s="9">
        <f t="shared" si="33"/>
        <v>0.99204011176211926</v>
      </c>
    </row>
    <row r="144" spans="2:59" x14ac:dyDescent="0.35">
      <c r="B144" s="3" t="s">
        <v>222</v>
      </c>
      <c r="D144" s="141">
        <v>14155</v>
      </c>
      <c r="E144" s="141">
        <v>6439</v>
      </c>
      <c r="F144" s="141">
        <v>3879</v>
      </c>
      <c r="G144" s="141">
        <v>7393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30"/>
        <v>31866</v>
      </c>
      <c r="R144" s="141">
        <v>10142</v>
      </c>
      <c r="S144" s="141">
        <v>3182</v>
      </c>
      <c r="T144" s="141">
        <v>2741</v>
      </c>
      <c r="U144" s="141">
        <v>7113</v>
      </c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31"/>
        <v>23178</v>
      </c>
      <c r="AF144" s="2">
        <f t="shared" si="23"/>
        <v>0.71649593783115506</v>
      </c>
      <c r="AG144" s="2">
        <f t="shared" si="23"/>
        <v>0.49417611430346325</v>
      </c>
      <c r="AH144" s="2">
        <f t="shared" si="23"/>
        <v>0.70662541892240271</v>
      </c>
      <c r="AI144" s="2">
        <f t="shared" si="23"/>
        <v>0.96212633572298123</v>
      </c>
      <c r="AJ144" s="2" t="str">
        <f t="shared" si="23"/>
        <v/>
      </c>
      <c r="AK144" s="2" t="str">
        <f t="shared" si="23"/>
        <v/>
      </c>
      <c r="AL144" s="2" t="str">
        <f t="shared" si="23"/>
        <v/>
      </c>
      <c r="AM144" s="2" t="str">
        <f t="shared" si="23"/>
        <v/>
      </c>
      <c r="AN144" s="2" t="str">
        <f t="shared" si="34"/>
        <v/>
      </c>
      <c r="AO144" s="2" t="str">
        <f t="shared" si="27"/>
        <v/>
      </c>
      <c r="AP144" s="2" t="str">
        <f t="shared" si="27"/>
        <v/>
      </c>
      <c r="AQ144" s="2" t="str">
        <f t="shared" si="27"/>
        <v/>
      </c>
      <c r="AR144" s="2">
        <f t="shared" si="27"/>
        <v>0.72735831293541708</v>
      </c>
      <c r="AT144" s="143">
        <f t="shared" si="25"/>
        <v>-0.22231982352769181</v>
      </c>
      <c r="AU144" s="143">
        <f t="shared" si="26"/>
        <v>0.21244930461893946</v>
      </c>
      <c r="AV144" s="143">
        <f t="shared" si="29"/>
        <v>0.25550091680057851</v>
      </c>
      <c r="AW144" s="143" t="str">
        <f t="shared" si="29"/>
        <v/>
      </c>
      <c r="AX144" s="143" t="str">
        <f t="shared" si="29"/>
        <v/>
      </c>
      <c r="AY144" s="143" t="str">
        <f t="shared" si="28"/>
        <v/>
      </c>
      <c r="AZ144" s="143" t="str">
        <f t="shared" si="28"/>
        <v/>
      </c>
      <c r="BA144" s="143" t="str">
        <f t="shared" si="28"/>
        <v/>
      </c>
      <c r="BB144" s="143" t="str">
        <f t="shared" si="28"/>
        <v/>
      </c>
      <c r="BC144" s="143" t="str">
        <f t="shared" si="28"/>
        <v/>
      </c>
      <c r="BD144" s="143" t="str">
        <f t="shared" si="28"/>
        <v/>
      </c>
      <c r="BF144" s="9">
        <f t="shared" si="32"/>
        <v>2.9312692149468036E-5</v>
      </c>
      <c r="BG144" s="9">
        <f t="shared" si="33"/>
        <v>0.99206942445426871</v>
      </c>
    </row>
    <row r="145" spans="2:59" x14ac:dyDescent="0.35">
      <c r="B145" s="3" t="s">
        <v>276</v>
      </c>
      <c r="D145" s="141">
        <v>32204</v>
      </c>
      <c r="E145" s="141">
        <v>52323</v>
      </c>
      <c r="F145" s="141">
        <v>110438</v>
      </c>
      <c r="G145" s="141">
        <v>53408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30"/>
        <v>248373</v>
      </c>
      <c r="R145" s="141">
        <v>26009</v>
      </c>
      <c r="S145" s="141">
        <v>46544</v>
      </c>
      <c r="T145" s="141">
        <v>72416</v>
      </c>
      <c r="U145" s="141">
        <v>38489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31"/>
        <v>183458</v>
      </c>
      <c r="AF145" s="2">
        <f t="shared" si="23"/>
        <v>0.8076325922245684</v>
      </c>
      <c r="AG145" s="2">
        <f t="shared" si="23"/>
        <v>0.88955144009326681</v>
      </c>
      <c r="AH145" s="2">
        <f t="shared" si="23"/>
        <v>0.65571632952425796</v>
      </c>
      <c r="AI145" s="2">
        <f t="shared" si="23"/>
        <v>0.72065982624325942</v>
      </c>
      <c r="AJ145" s="2" t="str">
        <f t="shared" si="23"/>
        <v/>
      </c>
      <c r="AK145" s="2" t="str">
        <f t="shared" si="23"/>
        <v/>
      </c>
      <c r="AL145" s="2" t="str">
        <f t="shared" si="23"/>
        <v/>
      </c>
      <c r="AM145" s="2" t="str">
        <f t="shared" si="23"/>
        <v/>
      </c>
      <c r="AN145" s="2" t="str">
        <f t="shared" si="34"/>
        <v/>
      </c>
      <c r="AO145" s="2" t="str">
        <f t="shared" si="27"/>
        <v/>
      </c>
      <c r="AP145" s="2" t="str">
        <f t="shared" si="27"/>
        <v/>
      </c>
      <c r="AQ145" s="2" t="str">
        <f t="shared" si="27"/>
        <v/>
      </c>
      <c r="AR145" s="2">
        <f t="shared" si="27"/>
        <v>0.7386390630221481</v>
      </c>
      <c r="AT145" s="143">
        <f t="shared" si="25"/>
        <v>8.1918847868698408E-2</v>
      </c>
      <c r="AU145" s="143">
        <f t="shared" si="26"/>
        <v>-0.23383511056900885</v>
      </c>
      <c r="AV145" s="143">
        <f t="shared" si="29"/>
        <v>6.4943496719001459E-2</v>
      </c>
      <c r="AW145" s="143" t="str">
        <f t="shared" si="29"/>
        <v/>
      </c>
      <c r="AX145" s="143" t="str">
        <f t="shared" si="29"/>
        <v/>
      </c>
      <c r="AY145" s="143" t="str">
        <f t="shared" si="28"/>
        <v/>
      </c>
      <c r="AZ145" s="143" t="str">
        <f t="shared" si="28"/>
        <v/>
      </c>
      <c r="BA145" s="143" t="str">
        <f t="shared" si="28"/>
        <v/>
      </c>
      <c r="BB145" s="143" t="str">
        <f t="shared" si="28"/>
        <v/>
      </c>
      <c r="BC145" s="143" t="str">
        <f t="shared" si="28"/>
        <v/>
      </c>
      <c r="BD145" s="143" t="str">
        <f t="shared" si="28"/>
        <v/>
      </c>
      <c r="BF145" s="9">
        <f t="shared" si="32"/>
        <v>2.3201518148058964E-4</v>
      </c>
      <c r="BG145" s="9">
        <f t="shared" si="33"/>
        <v>0.99230143963574935</v>
      </c>
    </row>
    <row r="146" spans="2:59" x14ac:dyDescent="0.35">
      <c r="B146" s="3" t="s">
        <v>215</v>
      </c>
      <c r="D146" s="141">
        <v>8587</v>
      </c>
      <c r="E146" s="141">
        <v>4741</v>
      </c>
      <c r="F146" s="141">
        <v>9426</v>
      </c>
      <c r="G146" s="141">
        <v>3019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30"/>
        <v>25773</v>
      </c>
      <c r="R146" s="141">
        <v>7540</v>
      </c>
      <c r="S146" s="141">
        <v>3630</v>
      </c>
      <c r="T146" s="141">
        <v>7938</v>
      </c>
      <c r="U146" s="141">
        <v>2061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31"/>
        <v>21169</v>
      </c>
      <c r="AF146" s="2">
        <f t="shared" si="23"/>
        <v>0.87807150343542562</v>
      </c>
      <c r="AG146" s="2">
        <f t="shared" si="23"/>
        <v>0.76566125290023201</v>
      </c>
      <c r="AH146" s="2">
        <f t="shared" si="23"/>
        <v>0.84213876511775942</v>
      </c>
      <c r="AI146" s="2">
        <f t="shared" si="23"/>
        <v>0.68267638290824773</v>
      </c>
      <c r="AJ146" s="2" t="str">
        <f t="shared" si="23"/>
        <v/>
      </c>
      <c r="AK146" s="2" t="str">
        <f t="shared" si="23"/>
        <v/>
      </c>
      <c r="AL146" s="2" t="str">
        <f t="shared" si="23"/>
        <v/>
      </c>
      <c r="AM146" s="2" t="str">
        <f t="shared" si="23"/>
        <v/>
      </c>
      <c r="AN146" s="2" t="str">
        <f t="shared" si="34"/>
        <v/>
      </c>
      <c r="AO146" s="2" t="str">
        <f t="shared" si="27"/>
        <v/>
      </c>
      <c r="AP146" s="2" t="str">
        <f t="shared" si="27"/>
        <v/>
      </c>
      <c r="AQ146" s="2" t="str">
        <f t="shared" si="27"/>
        <v/>
      </c>
      <c r="AR146" s="2">
        <f t="shared" si="27"/>
        <v>0.82136344236216197</v>
      </c>
      <c r="AT146" s="143">
        <f t="shared" si="25"/>
        <v>-0.1124102505351936</v>
      </c>
      <c r="AU146" s="143">
        <f t="shared" si="26"/>
        <v>7.647751221752741E-2</v>
      </c>
      <c r="AV146" s="143">
        <f t="shared" si="29"/>
        <v>-0.1594623822095117</v>
      </c>
      <c r="AW146" s="143" t="str">
        <f t="shared" si="29"/>
        <v/>
      </c>
      <c r="AX146" s="143" t="str">
        <f t="shared" si="29"/>
        <v/>
      </c>
      <c r="AY146" s="143" t="str">
        <f t="shared" si="28"/>
        <v/>
      </c>
      <c r="AZ146" s="143" t="str">
        <f t="shared" si="28"/>
        <v/>
      </c>
      <c r="BA146" s="143" t="str">
        <f t="shared" si="28"/>
        <v/>
      </c>
      <c r="BB146" s="143" t="str">
        <f t="shared" si="28"/>
        <v/>
      </c>
      <c r="BC146" s="143" t="str">
        <f t="shared" si="28"/>
        <v/>
      </c>
      <c r="BD146" s="143" t="str">
        <f t="shared" si="28"/>
        <v/>
      </c>
      <c r="BF146" s="9">
        <f t="shared" si="32"/>
        <v>2.6771955307277974E-5</v>
      </c>
      <c r="BG146" s="9">
        <f t="shared" si="33"/>
        <v>0.99232821159105666</v>
      </c>
    </row>
    <row r="147" spans="2:59" x14ac:dyDescent="0.35">
      <c r="B147" s="3" t="s">
        <v>217</v>
      </c>
      <c r="D147" s="141">
        <v>27738</v>
      </c>
      <c r="E147" s="141">
        <v>3075</v>
      </c>
      <c r="F147" s="141">
        <v>1210</v>
      </c>
      <c r="G147" s="141">
        <v>4447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30"/>
        <v>36470</v>
      </c>
      <c r="R147" s="141">
        <v>27032</v>
      </c>
      <c r="S147" s="141">
        <v>2725</v>
      </c>
      <c r="T147" s="141">
        <v>390</v>
      </c>
      <c r="U147" s="141">
        <v>4447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31"/>
        <v>34594</v>
      </c>
      <c r="AF147" s="2">
        <f t="shared" si="23"/>
        <v>0.97454755209459942</v>
      </c>
      <c r="AG147" s="2">
        <f t="shared" si="23"/>
        <v>0.88617886178861793</v>
      </c>
      <c r="AH147" s="2">
        <f t="shared" si="23"/>
        <v>0.32231404958677684</v>
      </c>
      <c r="AI147" s="2">
        <f t="shared" si="23"/>
        <v>1</v>
      </c>
      <c r="AJ147" s="2" t="str">
        <f t="shared" si="23"/>
        <v/>
      </c>
      <c r="AK147" s="2" t="str">
        <f t="shared" si="23"/>
        <v/>
      </c>
      <c r="AL147" s="2" t="str">
        <f t="shared" si="23"/>
        <v/>
      </c>
      <c r="AM147" s="2" t="str">
        <f t="shared" si="23"/>
        <v/>
      </c>
      <c r="AN147" s="2" t="str">
        <f t="shared" si="34"/>
        <v/>
      </c>
      <c r="AO147" s="2" t="str">
        <f t="shared" si="27"/>
        <v/>
      </c>
      <c r="AP147" s="2" t="str">
        <f t="shared" si="27"/>
        <v/>
      </c>
      <c r="AQ147" s="2" t="str">
        <f t="shared" si="27"/>
        <v/>
      </c>
      <c r="AR147" s="2">
        <f t="shared" si="27"/>
        <v>0.94856046065259114</v>
      </c>
      <c r="AT147" s="143">
        <f t="shared" si="25"/>
        <v>-8.836869030598149E-2</v>
      </c>
      <c r="AU147" s="143">
        <f t="shared" si="26"/>
        <v>-0.56386481220184104</v>
      </c>
      <c r="AV147" s="143">
        <f t="shared" si="29"/>
        <v>0.6776859504132231</v>
      </c>
      <c r="AW147" s="143" t="str">
        <f t="shared" si="29"/>
        <v/>
      </c>
      <c r="AX147" s="143" t="str">
        <f t="shared" si="29"/>
        <v/>
      </c>
      <c r="AY147" s="143" t="str">
        <f t="shared" si="28"/>
        <v/>
      </c>
      <c r="AZ147" s="143" t="str">
        <f t="shared" si="28"/>
        <v/>
      </c>
      <c r="BA147" s="143" t="str">
        <f t="shared" si="28"/>
        <v/>
      </c>
      <c r="BB147" s="143" t="str">
        <f t="shared" si="28"/>
        <v/>
      </c>
      <c r="BC147" s="143" t="str">
        <f t="shared" si="28"/>
        <v/>
      </c>
      <c r="BD147" s="143" t="str">
        <f t="shared" si="28"/>
        <v/>
      </c>
      <c r="BF147" s="9">
        <f t="shared" si="32"/>
        <v>4.3750249038687431E-5</v>
      </c>
      <c r="BG147" s="9">
        <f t="shared" si="33"/>
        <v>0.99237196184009535</v>
      </c>
    </row>
    <row r="148" spans="2:59" x14ac:dyDescent="0.35">
      <c r="B148" s="3" t="s">
        <v>214</v>
      </c>
      <c r="D148" s="141">
        <v>5150</v>
      </c>
      <c r="E148" s="141">
        <v>2128</v>
      </c>
      <c r="F148" s="141">
        <v>1946</v>
      </c>
      <c r="G148" s="141">
        <v>26545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30"/>
        <v>35769</v>
      </c>
      <c r="R148" s="141">
        <v>5040</v>
      </c>
      <c r="S148" s="141">
        <v>2128</v>
      </c>
      <c r="T148" s="141">
        <v>1946</v>
      </c>
      <c r="U148" s="141">
        <v>14028</v>
      </c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31"/>
        <v>23142</v>
      </c>
      <c r="AF148" s="2">
        <f t="shared" si="23"/>
        <v>0.97864077669902916</v>
      </c>
      <c r="AG148" s="2">
        <f t="shared" si="23"/>
        <v>1</v>
      </c>
      <c r="AH148" s="2">
        <f t="shared" si="23"/>
        <v>1</v>
      </c>
      <c r="AI148" s="2">
        <f t="shared" si="23"/>
        <v>0.52846110378602373</v>
      </c>
      <c r="AJ148" s="2" t="str">
        <f t="shared" si="23"/>
        <v/>
      </c>
      <c r="AK148" s="2" t="str">
        <f t="shared" si="23"/>
        <v/>
      </c>
      <c r="AL148" s="2" t="str">
        <f t="shared" si="23"/>
        <v/>
      </c>
      <c r="AM148" s="2" t="str">
        <f t="shared" si="23"/>
        <v/>
      </c>
      <c r="AN148" s="2" t="str">
        <f t="shared" si="34"/>
        <v/>
      </c>
      <c r="AO148" s="2" t="str">
        <f t="shared" si="27"/>
        <v/>
      </c>
      <c r="AP148" s="2" t="str">
        <f t="shared" si="27"/>
        <v/>
      </c>
      <c r="AQ148" s="2" t="str">
        <f t="shared" si="27"/>
        <v/>
      </c>
      <c r="AR148" s="2">
        <f t="shared" si="27"/>
        <v>0.64698481925689844</v>
      </c>
      <c r="AT148" s="143">
        <f t="shared" si="25"/>
        <v>2.1359223300970842E-2</v>
      </c>
      <c r="AU148" s="143">
        <f t="shared" si="26"/>
        <v>0</v>
      </c>
      <c r="AV148" s="143">
        <f t="shared" si="29"/>
        <v>-0.47153889621397627</v>
      </c>
      <c r="AW148" s="143" t="str">
        <f t="shared" si="29"/>
        <v/>
      </c>
      <c r="AX148" s="143" t="str">
        <f t="shared" si="29"/>
        <v/>
      </c>
      <c r="AY148" s="143" t="str">
        <f t="shared" si="28"/>
        <v/>
      </c>
      <c r="AZ148" s="143" t="str">
        <f t="shared" si="28"/>
        <v/>
      </c>
      <c r="BA148" s="143" t="str">
        <f t="shared" si="28"/>
        <v/>
      </c>
      <c r="BB148" s="143" t="str">
        <f t="shared" si="28"/>
        <v/>
      </c>
      <c r="BC148" s="143" t="str">
        <f t="shared" si="28"/>
        <v/>
      </c>
      <c r="BD148" s="143" t="str">
        <f t="shared" si="28"/>
        <v/>
      </c>
      <c r="BF148" s="9">
        <f t="shared" si="32"/>
        <v>2.9267163764043026E-5</v>
      </c>
      <c r="BG148" s="9">
        <f t="shared" si="33"/>
        <v>0.99240122900385941</v>
      </c>
    </row>
    <row r="149" spans="2:59" x14ac:dyDescent="0.35">
      <c r="B149" s="3" t="s">
        <v>271</v>
      </c>
      <c r="D149" s="141">
        <v>118594</v>
      </c>
      <c r="E149" s="141">
        <v>178413</v>
      </c>
      <c r="F149" s="141">
        <v>242458</v>
      </c>
      <c r="G149" s="141">
        <v>255145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30"/>
        <v>794610</v>
      </c>
      <c r="R149" s="141">
        <v>98908</v>
      </c>
      <c r="S149" s="141">
        <v>129524</v>
      </c>
      <c r="T149" s="141">
        <v>194228</v>
      </c>
      <c r="U149" s="141">
        <v>136786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31"/>
        <v>559446</v>
      </c>
      <c r="AF149" s="2">
        <f t="shared" si="23"/>
        <v>0.83400509300639158</v>
      </c>
      <c r="AG149" s="2">
        <f t="shared" si="23"/>
        <v>0.72597848811465537</v>
      </c>
      <c r="AH149" s="2">
        <f t="shared" si="23"/>
        <v>0.80107894975624649</v>
      </c>
      <c r="AI149" s="2">
        <f t="shared" si="23"/>
        <v>0.53611083893472344</v>
      </c>
      <c r="AJ149" s="2" t="str">
        <f t="shared" si="23"/>
        <v/>
      </c>
      <c r="AK149" s="2" t="str">
        <f t="shared" si="23"/>
        <v/>
      </c>
      <c r="AL149" s="2" t="str">
        <f t="shared" si="23"/>
        <v/>
      </c>
      <c r="AM149" s="2" t="str">
        <f t="shared" si="23"/>
        <v/>
      </c>
      <c r="AN149" s="2" t="str">
        <f t="shared" si="34"/>
        <v/>
      </c>
      <c r="AO149" s="2" t="str">
        <f t="shared" si="27"/>
        <v/>
      </c>
      <c r="AP149" s="2" t="str">
        <f t="shared" si="27"/>
        <v/>
      </c>
      <c r="AQ149" s="2" t="str">
        <f t="shared" si="27"/>
        <v/>
      </c>
      <c r="AR149" s="2">
        <f t="shared" si="27"/>
        <v>0.7040510439083324</v>
      </c>
      <c r="AT149" s="143">
        <f t="shared" si="25"/>
        <v>-0.10802660489173621</v>
      </c>
      <c r="AU149" s="143">
        <f t="shared" si="26"/>
        <v>7.5100461641591121E-2</v>
      </c>
      <c r="AV149" s="143">
        <f t="shared" si="29"/>
        <v>-0.26496811082152305</v>
      </c>
      <c r="AW149" s="143" t="str">
        <f t="shared" si="29"/>
        <v/>
      </c>
      <c r="AX149" s="143" t="str">
        <f t="shared" si="29"/>
        <v/>
      </c>
      <c r="AY149" s="143" t="str">
        <f t="shared" si="29"/>
        <v/>
      </c>
      <c r="AZ149" s="143" t="str">
        <f t="shared" si="29"/>
        <v/>
      </c>
      <c r="BA149" s="143" t="str">
        <f t="shared" si="29"/>
        <v/>
      </c>
      <c r="BB149" s="143" t="str">
        <f t="shared" si="29"/>
        <v/>
      </c>
      <c r="BC149" s="143" t="str">
        <f t="shared" si="29"/>
        <v/>
      </c>
      <c r="BD149" s="143" t="str">
        <f t="shared" si="29"/>
        <v/>
      </c>
      <c r="BF149" s="9">
        <f t="shared" si="32"/>
        <v>7.0751869756887113E-4</v>
      </c>
      <c r="BG149" s="9">
        <f t="shared" si="33"/>
        <v>0.99310874770142832</v>
      </c>
    </row>
    <row r="150" spans="2:59" x14ac:dyDescent="0.35">
      <c r="B150" s="3" t="s">
        <v>291</v>
      </c>
      <c r="D150" s="141">
        <v>1418</v>
      </c>
      <c r="E150" s="141">
        <v>3896</v>
      </c>
      <c r="F150" s="141">
        <v>4457</v>
      </c>
      <c r="G150" s="141">
        <v>7721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30"/>
        <v>17492</v>
      </c>
      <c r="R150" s="141">
        <v>611</v>
      </c>
      <c r="S150" s="141">
        <v>1523</v>
      </c>
      <c r="T150" s="141">
        <v>1835</v>
      </c>
      <c r="U150" s="141">
        <v>578</v>
      </c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31"/>
        <v>4547</v>
      </c>
      <c r="AF150" s="2">
        <f t="shared" si="23"/>
        <v>0.4308885754583921</v>
      </c>
      <c r="AG150" s="2">
        <f t="shared" si="23"/>
        <v>0.39091375770020537</v>
      </c>
      <c r="AH150" s="2">
        <f t="shared" si="23"/>
        <v>0.4117119138433924</v>
      </c>
      <c r="AI150" s="2">
        <f t="shared" si="23"/>
        <v>7.486076933039762E-2</v>
      </c>
      <c r="AJ150" s="2" t="str">
        <f t="shared" si="23"/>
        <v/>
      </c>
      <c r="AK150" s="2" t="str">
        <f t="shared" si="23"/>
        <v/>
      </c>
      <c r="AL150" s="2" t="str">
        <f t="shared" si="23"/>
        <v/>
      </c>
      <c r="AM150" s="2" t="str">
        <f t="shared" si="23"/>
        <v/>
      </c>
      <c r="AN150" s="2" t="str">
        <f t="shared" si="34"/>
        <v/>
      </c>
      <c r="AO150" s="2" t="str">
        <f t="shared" si="27"/>
        <v/>
      </c>
      <c r="AP150" s="2" t="str">
        <f t="shared" si="27"/>
        <v/>
      </c>
      <c r="AQ150" s="2" t="str">
        <f t="shared" si="27"/>
        <v/>
      </c>
      <c r="AR150" s="2">
        <f t="shared" si="27"/>
        <v>0.25994740452778414</v>
      </c>
      <c r="AT150" s="143">
        <f t="shared" si="25"/>
        <v>-3.9974817758186731E-2</v>
      </c>
      <c r="AU150" s="143">
        <f t="shared" si="26"/>
        <v>2.079815614318703E-2</v>
      </c>
      <c r="AV150" s="143">
        <f t="shared" si="26"/>
        <v>-0.3368511445129948</v>
      </c>
      <c r="AW150" s="143" t="str">
        <f t="shared" ref="AW150:BD177" si="35">+IFERROR(AJ150-AI150,"")</f>
        <v/>
      </c>
      <c r="AX150" s="143" t="str">
        <f t="shared" si="35"/>
        <v/>
      </c>
      <c r="AY150" s="143" t="str">
        <f t="shared" si="35"/>
        <v/>
      </c>
      <c r="AZ150" s="143" t="str">
        <f t="shared" si="35"/>
        <v/>
      </c>
      <c r="BA150" s="143" t="str">
        <f t="shared" si="35"/>
        <v/>
      </c>
      <c r="BB150" s="143" t="str">
        <f t="shared" si="35"/>
        <v/>
      </c>
      <c r="BC150" s="143" t="str">
        <f t="shared" si="35"/>
        <v/>
      </c>
      <c r="BD150" s="143" t="str">
        <f t="shared" si="35"/>
        <v/>
      </c>
      <c r="BF150" s="9">
        <f t="shared" si="32"/>
        <v>5.7504880146531693E-6</v>
      </c>
      <c r="BG150" s="9">
        <f t="shared" si="33"/>
        <v>0.99311449818944297</v>
      </c>
    </row>
    <row r="151" spans="2:59" x14ac:dyDescent="0.35">
      <c r="B151" s="3" t="s">
        <v>216</v>
      </c>
      <c r="D151" s="141">
        <v>12125</v>
      </c>
      <c r="E151" s="141">
        <v>9782</v>
      </c>
      <c r="F151" s="141">
        <v>13296</v>
      </c>
      <c r="G151" s="141">
        <v>5507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30"/>
        <v>40710</v>
      </c>
      <c r="R151" s="141">
        <v>9637</v>
      </c>
      <c r="S151" s="141">
        <v>6936</v>
      </c>
      <c r="T151" s="141">
        <v>11463</v>
      </c>
      <c r="U151" s="141">
        <v>3567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31"/>
        <v>31603</v>
      </c>
      <c r="AF151" s="2">
        <f t="shared" si="23"/>
        <v>0.79480412371134024</v>
      </c>
      <c r="AG151" s="2">
        <f t="shared" si="23"/>
        <v>0.70905745246370888</v>
      </c>
      <c r="AH151" s="2">
        <f t="shared" si="23"/>
        <v>0.86213898916967513</v>
      </c>
      <c r="AI151" s="2">
        <f t="shared" si="23"/>
        <v>0.6477210822589432</v>
      </c>
      <c r="AJ151" s="2" t="str">
        <f t="shared" si="23"/>
        <v/>
      </c>
      <c r="AK151" s="2" t="str">
        <f t="shared" si="23"/>
        <v/>
      </c>
      <c r="AL151" s="2" t="str">
        <f t="shared" si="23"/>
        <v/>
      </c>
      <c r="AM151" s="2" t="str">
        <f t="shared" si="23"/>
        <v/>
      </c>
      <c r="AN151" s="2" t="str">
        <f t="shared" si="34"/>
        <v/>
      </c>
      <c r="AO151" s="2" t="str">
        <f t="shared" si="27"/>
        <v/>
      </c>
      <c r="AP151" s="2" t="str">
        <f t="shared" si="27"/>
        <v/>
      </c>
      <c r="AQ151" s="2" t="str">
        <f t="shared" si="27"/>
        <v/>
      </c>
      <c r="AR151" s="2">
        <f t="shared" si="27"/>
        <v>0.77629575042986976</v>
      </c>
      <c r="AT151" s="143">
        <f t="shared" si="25"/>
        <v>-8.5746671247631356E-2</v>
      </c>
      <c r="AU151" s="143">
        <f t="shared" si="26"/>
        <v>0.15308153670596625</v>
      </c>
      <c r="AV151" s="143">
        <f t="shared" si="26"/>
        <v>-0.21441790691073193</v>
      </c>
      <c r="AW151" s="143" t="str">
        <f t="shared" si="35"/>
        <v/>
      </c>
      <c r="AX151" s="143" t="str">
        <f t="shared" si="35"/>
        <v/>
      </c>
      <c r="AY151" s="143" t="str">
        <f t="shared" si="35"/>
        <v/>
      </c>
      <c r="AZ151" s="143" t="str">
        <f t="shared" si="35"/>
        <v/>
      </c>
      <c r="BA151" s="143" t="str">
        <f t="shared" si="35"/>
        <v/>
      </c>
      <c r="BB151" s="143" t="str">
        <f t="shared" si="35"/>
        <v/>
      </c>
      <c r="BC151" s="143" t="str">
        <f t="shared" si="35"/>
        <v/>
      </c>
      <c r="BD151" s="143" t="str">
        <f t="shared" si="35"/>
        <v/>
      </c>
      <c r="BF151" s="9">
        <f t="shared" si="32"/>
        <v>3.9967599016292961E-5</v>
      </c>
      <c r="BG151" s="9">
        <f t="shared" si="33"/>
        <v>0.99315446578845923</v>
      </c>
    </row>
    <row r="152" spans="2:59" x14ac:dyDescent="0.35">
      <c r="B152" s="3" t="s">
        <v>227</v>
      </c>
      <c r="D152" s="141">
        <v>4918</v>
      </c>
      <c r="E152" s="141">
        <v>6005</v>
      </c>
      <c r="F152" s="141">
        <v>10235</v>
      </c>
      <c r="G152" s="141">
        <v>19937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30"/>
        <v>41095</v>
      </c>
      <c r="R152" s="141">
        <v>3831</v>
      </c>
      <c r="S152" s="141">
        <v>5202</v>
      </c>
      <c r="T152" s="141">
        <v>8735</v>
      </c>
      <c r="U152" s="141">
        <v>18414</v>
      </c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31"/>
        <v>36182</v>
      </c>
      <c r="AF152" s="2">
        <f t="shared" si="23"/>
        <v>0.77897519316795449</v>
      </c>
      <c r="AG152" s="2">
        <f t="shared" si="23"/>
        <v>0.86627810158201501</v>
      </c>
      <c r="AH152" s="2">
        <f t="shared" si="23"/>
        <v>0.85344406448461163</v>
      </c>
      <c r="AI152" s="2">
        <f t="shared" si="23"/>
        <v>0.92360936951396899</v>
      </c>
      <c r="AJ152" s="2" t="str">
        <f t="shared" si="23"/>
        <v/>
      </c>
      <c r="AK152" s="2" t="str">
        <f t="shared" si="23"/>
        <v/>
      </c>
      <c r="AL152" s="2" t="str">
        <f t="shared" si="23"/>
        <v/>
      </c>
      <c r="AM152" s="2" t="str">
        <f t="shared" si="23"/>
        <v/>
      </c>
      <c r="AN152" s="2" t="str">
        <f t="shared" si="34"/>
        <v/>
      </c>
      <c r="AO152" s="2" t="str">
        <f t="shared" si="27"/>
        <v/>
      </c>
      <c r="AP152" s="2" t="str">
        <f t="shared" si="27"/>
        <v/>
      </c>
      <c r="AQ152" s="2" t="str">
        <f t="shared" si="27"/>
        <v/>
      </c>
      <c r="AR152" s="2">
        <f t="shared" si="27"/>
        <v>0.88044774303443241</v>
      </c>
      <c r="AT152" s="143">
        <f t="shared" si="25"/>
        <v>8.730290841406052E-2</v>
      </c>
      <c r="AU152" s="143">
        <f t="shared" si="26"/>
        <v>-1.2834037097403383E-2</v>
      </c>
      <c r="AV152" s="143">
        <f t="shared" si="26"/>
        <v>7.0165305029357361E-2</v>
      </c>
      <c r="AW152" s="143" t="str">
        <f t="shared" si="35"/>
        <v/>
      </c>
      <c r="AX152" s="143" t="str">
        <f t="shared" si="35"/>
        <v/>
      </c>
      <c r="AY152" s="143" t="str">
        <f t="shared" si="35"/>
        <v/>
      </c>
      <c r="AZ152" s="143" t="str">
        <f t="shared" si="35"/>
        <v/>
      </c>
      <c r="BA152" s="143" t="str">
        <f t="shared" si="35"/>
        <v/>
      </c>
      <c r="BB152" s="143" t="str">
        <f t="shared" si="35"/>
        <v/>
      </c>
      <c r="BC152" s="143" t="str">
        <f t="shared" si="35"/>
        <v/>
      </c>
      <c r="BD152" s="143" t="str">
        <f t="shared" si="35"/>
        <v/>
      </c>
      <c r="BF152" s="9">
        <f t="shared" si="32"/>
        <v>4.5758556706879473E-5</v>
      </c>
      <c r="BG152" s="9">
        <f t="shared" si="33"/>
        <v>0.99320022434516608</v>
      </c>
    </row>
    <row r="153" spans="2:59" x14ac:dyDescent="0.35">
      <c r="B153" s="3" t="s">
        <v>225</v>
      </c>
      <c r="D153" s="141">
        <v>9264</v>
      </c>
      <c r="E153" s="141">
        <v>11345</v>
      </c>
      <c r="F153" s="141">
        <v>7172</v>
      </c>
      <c r="G153" s="141">
        <v>5690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30"/>
        <v>33471</v>
      </c>
      <c r="R153" s="141">
        <v>6866</v>
      </c>
      <c r="S153" s="141">
        <v>9958</v>
      </c>
      <c r="T153" s="141">
        <v>5683</v>
      </c>
      <c r="U153" s="141">
        <v>3804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31"/>
        <v>26311</v>
      </c>
      <c r="AF153" s="2">
        <f t="shared" si="23"/>
        <v>0.74114853195164077</v>
      </c>
      <c r="AG153" s="2">
        <f t="shared" si="23"/>
        <v>0.87774349933891582</v>
      </c>
      <c r="AH153" s="2">
        <f t="shared" si="23"/>
        <v>0.79238706079196874</v>
      </c>
      <c r="AI153" s="2">
        <f t="shared" si="23"/>
        <v>0.66854130052724081</v>
      </c>
      <c r="AJ153" s="2" t="str">
        <f t="shared" si="23"/>
        <v/>
      </c>
      <c r="AK153" s="2" t="str">
        <f t="shared" si="23"/>
        <v/>
      </c>
      <c r="AL153" s="2" t="str">
        <f t="shared" si="23"/>
        <v/>
      </c>
      <c r="AM153" s="2" t="str">
        <f t="shared" si="23"/>
        <v/>
      </c>
      <c r="AN153" s="2" t="str">
        <f t="shared" si="34"/>
        <v/>
      </c>
      <c r="AO153" s="2" t="str">
        <f t="shared" si="27"/>
        <v/>
      </c>
      <c r="AP153" s="2" t="str">
        <f t="shared" si="27"/>
        <v/>
      </c>
      <c r="AQ153" s="2" t="str">
        <f t="shared" si="27"/>
        <v/>
      </c>
      <c r="AR153" s="2">
        <f t="shared" si="27"/>
        <v>0.78608347524722899</v>
      </c>
      <c r="AT153" s="143">
        <f t="shared" si="25"/>
        <v>0.13659496738727506</v>
      </c>
      <c r="AU153" s="143">
        <f t="shared" si="26"/>
        <v>-8.5356438546947078E-2</v>
      </c>
      <c r="AV153" s="143">
        <f t="shared" si="26"/>
        <v>-0.12384576026472793</v>
      </c>
      <c r="AW153" s="143" t="str">
        <f t="shared" si="35"/>
        <v/>
      </c>
      <c r="AX153" s="143" t="str">
        <f t="shared" si="35"/>
        <v/>
      </c>
      <c r="AY153" s="143" t="str">
        <f t="shared" si="35"/>
        <v/>
      </c>
      <c r="AZ153" s="143" t="str">
        <f t="shared" si="35"/>
        <v/>
      </c>
      <c r="BA153" s="143" t="str">
        <f t="shared" si="35"/>
        <v/>
      </c>
      <c r="BB153" s="143" t="str">
        <f t="shared" si="35"/>
        <v/>
      </c>
      <c r="BC153" s="143" t="str">
        <f t="shared" si="35"/>
        <v/>
      </c>
      <c r="BD153" s="143" t="str">
        <f t="shared" si="35"/>
        <v/>
      </c>
      <c r="BF153" s="9">
        <f t="shared" si="32"/>
        <v>3.3274926358816702E-5</v>
      </c>
      <c r="BG153" s="9">
        <f t="shared" si="33"/>
        <v>0.99323349927152493</v>
      </c>
    </row>
    <row r="154" spans="2:59" x14ac:dyDescent="0.35">
      <c r="B154" s="3" t="s">
        <v>232</v>
      </c>
      <c r="D154" s="141">
        <v>48637</v>
      </c>
      <c r="E154" s="141">
        <v>28632</v>
      </c>
      <c r="F154" s="141">
        <v>38353</v>
      </c>
      <c r="G154" s="141">
        <v>24989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30"/>
        <v>140611</v>
      </c>
      <c r="R154" s="141">
        <v>28150</v>
      </c>
      <c r="S154" s="141">
        <v>19632</v>
      </c>
      <c r="T154" s="141">
        <v>27058</v>
      </c>
      <c r="U154" s="141">
        <v>17270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31"/>
        <v>92110</v>
      </c>
      <c r="AF154" s="2">
        <f t="shared" si="23"/>
        <v>0.57877747393959333</v>
      </c>
      <c r="AG154" s="2">
        <f t="shared" si="23"/>
        <v>0.68566638725901086</v>
      </c>
      <c r="AH154" s="2">
        <f t="shared" si="23"/>
        <v>0.70549891794644481</v>
      </c>
      <c r="AI154" s="2">
        <f t="shared" si="23"/>
        <v>0.69110408579775096</v>
      </c>
      <c r="AJ154" s="2" t="str">
        <f t="shared" si="23"/>
        <v/>
      </c>
      <c r="AK154" s="2" t="str">
        <f t="shared" si="23"/>
        <v/>
      </c>
      <c r="AL154" s="2" t="str">
        <f t="shared" si="23"/>
        <v/>
      </c>
      <c r="AM154" s="2" t="str">
        <f t="shared" si="23"/>
        <v/>
      </c>
      <c r="AN154" s="2" t="str">
        <f t="shared" si="34"/>
        <v/>
      </c>
      <c r="AO154" s="2" t="str">
        <f t="shared" si="27"/>
        <v/>
      </c>
      <c r="AP154" s="2" t="str">
        <f t="shared" si="27"/>
        <v/>
      </c>
      <c r="AQ154" s="2" t="str">
        <f t="shared" si="27"/>
        <v/>
      </c>
      <c r="AR154" s="2">
        <f t="shared" si="27"/>
        <v>0.65506966026840008</v>
      </c>
      <c r="AT154" s="143">
        <f t="shared" si="25"/>
        <v>0.10688891331941752</v>
      </c>
      <c r="AU154" s="143">
        <f t="shared" si="26"/>
        <v>1.9832530687433958E-2</v>
      </c>
      <c r="AV154" s="143">
        <f t="shared" si="26"/>
        <v>-1.4394832148693859E-2</v>
      </c>
      <c r="AW154" s="143" t="str">
        <f t="shared" si="35"/>
        <v/>
      </c>
      <c r="AX154" s="143" t="str">
        <f t="shared" si="35"/>
        <v/>
      </c>
      <c r="AY154" s="143" t="str">
        <f t="shared" si="35"/>
        <v/>
      </c>
      <c r="AZ154" s="143" t="str">
        <f t="shared" si="35"/>
        <v/>
      </c>
      <c r="BA154" s="143" t="str">
        <f t="shared" si="35"/>
        <v/>
      </c>
      <c r="BB154" s="143" t="str">
        <f t="shared" si="35"/>
        <v/>
      </c>
      <c r="BC154" s="143" t="str">
        <f t="shared" si="35"/>
        <v/>
      </c>
      <c r="BD154" s="143" t="str">
        <f t="shared" si="35"/>
        <v/>
      </c>
      <c r="BF154" s="9">
        <f t="shared" si="32"/>
        <v>1.1648943281937617E-4</v>
      </c>
      <c r="BG154" s="9">
        <f t="shared" si="33"/>
        <v>0.99334998870434432</v>
      </c>
    </row>
    <row r="155" spans="2:59" x14ac:dyDescent="0.35">
      <c r="B155" s="3" t="s">
        <v>279</v>
      </c>
      <c r="D155" s="141">
        <v>68888</v>
      </c>
      <c r="E155" s="141">
        <v>91902</v>
      </c>
      <c r="F155" s="141">
        <v>79955</v>
      </c>
      <c r="G155" s="141">
        <v>102656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30"/>
        <v>343401</v>
      </c>
      <c r="R155" s="141">
        <v>37781</v>
      </c>
      <c r="S155" s="141">
        <v>57909</v>
      </c>
      <c r="T155" s="141">
        <v>39546</v>
      </c>
      <c r="U155" s="141">
        <v>94412</v>
      </c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31"/>
        <v>229648</v>
      </c>
      <c r="AF155" s="2">
        <f t="shared" si="23"/>
        <v>0.54844094762513063</v>
      </c>
      <c r="AG155" s="2">
        <f t="shared" si="23"/>
        <v>0.63011686361559049</v>
      </c>
      <c r="AH155" s="2">
        <f t="shared" si="23"/>
        <v>0.49460321430804827</v>
      </c>
      <c r="AI155" s="2">
        <f t="shared" si="23"/>
        <v>0.91969295511221949</v>
      </c>
      <c r="AJ155" s="2" t="str">
        <f t="shared" si="23"/>
        <v/>
      </c>
      <c r="AK155" s="2" t="str">
        <f t="shared" si="23"/>
        <v/>
      </c>
      <c r="AL155" s="2" t="str">
        <f t="shared" si="23"/>
        <v/>
      </c>
      <c r="AM155" s="2" t="str">
        <f t="shared" si="23"/>
        <v/>
      </c>
      <c r="AN155" s="2" t="str">
        <f t="shared" si="34"/>
        <v/>
      </c>
      <c r="AO155" s="2" t="str">
        <f t="shared" si="27"/>
        <v/>
      </c>
      <c r="AP155" s="2" t="str">
        <f t="shared" si="27"/>
        <v/>
      </c>
      <c r="AQ155" s="2" t="str">
        <f t="shared" si="27"/>
        <v/>
      </c>
      <c r="AR155" s="2">
        <f t="shared" si="27"/>
        <v>0.66874586853270668</v>
      </c>
      <c r="AT155" s="143">
        <f t="shared" si="25"/>
        <v>8.1675915990459869E-2</v>
      </c>
      <c r="AU155" s="143">
        <f t="shared" si="26"/>
        <v>-0.13551364930754223</v>
      </c>
      <c r="AV155" s="143">
        <f t="shared" si="26"/>
        <v>0.42508974080417122</v>
      </c>
      <c r="AW155" s="143" t="str">
        <f t="shared" si="35"/>
        <v/>
      </c>
      <c r="AX155" s="143" t="str">
        <f t="shared" si="35"/>
        <v/>
      </c>
      <c r="AY155" s="143" t="str">
        <f t="shared" si="35"/>
        <v/>
      </c>
      <c r="AZ155" s="143" t="str">
        <f t="shared" si="35"/>
        <v/>
      </c>
      <c r="BA155" s="143" t="str">
        <f t="shared" si="35"/>
        <v/>
      </c>
      <c r="BB155" s="143" t="str">
        <f t="shared" si="35"/>
        <v/>
      </c>
      <c r="BC155" s="143" t="str">
        <f t="shared" si="35"/>
        <v/>
      </c>
      <c r="BD155" s="143" t="str">
        <f t="shared" si="35"/>
        <v/>
      </c>
      <c r="BF155" s="9">
        <f t="shared" si="32"/>
        <v>2.9043062933562153E-4</v>
      </c>
      <c r="BG155" s="9">
        <f t="shared" si="33"/>
        <v>0.99364041933367997</v>
      </c>
    </row>
    <row r="156" spans="2:59" x14ac:dyDescent="0.35">
      <c r="B156" s="3" t="s">
        <v>218</v>
      </c>
      <c r="D156" s="141">
        <v>3180</v>
      </c>
      <c r="E156" s="141">
        <v>18910</v>
      </c>
      <c r="F156" s="141">
        <v>8590</v>
      </c>
      <c r="G156" s="141">
        <v>9843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30"/>
        <v>40523</v>
      </c>
      <c r="R156" s="141">
        <v>2970</v>
      </c>
      <c r="S156" s="141">
        <v>18910</v>
      </c>
      <c r="T156" s="141">
        <v>7652</v>
      </c>
      <c r="U156" s="141">
        <v>5086</v>
      </c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31"/>
        <v>34618</v>
      </c>
      <c r="AF156" s="2">
        <f t="shared" si="23"/>
        <v>0.93396226415094341</v>
      </c>
      <c r="AG156" s="2">
        <f t="shared" si="23"/>
        <v>1</v>
      </c>
      <c r="AH156" s="2">
        <f t="shared" si="23"/>
        <v>0.89080325960419093</v>
      </c>
      <c r="AI156" s="2">
        <f t="shared" si="23"/>
        <v>0.51671238443563949</v>
      </c>
      <c r="AJ156" s="2" t="str">
        <f t="shared" ref="AJ156:AQ211" si="36">+IFERROR(V156/H156,"")</f>
        <v/>
      </c>
      <c r="AK156" s="2" t="str">
        <f t="shared" si="36"/>
        <v/>
      </c>
      <c r="AL156" s="2" t="str">
        <f t="shared" si="36"/>
        <v/>
      </c>
      <c r="AM156" s="2" t="str">
        <f t="shared" si="36"/>
        <v/>
      </c>
      <c r="AN156" s="2" t="str">
        <f t="shared" si="34"/>
        <v/>
      </c>
      <c r="AO156" s="2" t="str">
        <f t="shared" si="27"/>
        <v/>
      </c>
      <c r="AP156" s="2" t="str">
        <f t="shared" si="27"/>
        <v/>
      </c>
      <c r="AQ156" s="2" t="str">
        <f t="shared" si="27"/>
        <v/>
      </c>
      <c r="AR156" s="2">
        <f t="shared" si="27"/>
        <v>0.85428028527009348</v>
      </c>
      <c r="AT156" s="143">
        <f t="shared" si="25"/>
        <v>6.6037735849056589E-2</v>
      </c>
      <c r="AU156" s="143">
        <f t="shared" si="26"/>
        <v>-0.10919674039580907</v>
      </c>
      <c r="AV156" s="143">
        <f t="shared" si="26"/>
        <v>-0.37409087516855144</v>
      </c>
      <c r="AW156" s="143" t="str">
        <f t="shared" si="35"/>
        <v/>
      </c>
      <c r="AX156" s="143" t="str">
        <f t="shared" si="35"/>
        <v/>
      </c>
      <c r="AY156" s="143" t="str">
        <f t="shared" si="35"/>
        <v/>
      </c>
      <c r="AZ156" s="143" t="str">
        <f t="shared" si="35"/>
        <v/>
      </c>
      <c r="BA156" s="143" t="str">
        <f t="shared" si="35"/>
        <v/>
      </c>
      <c r="BB156" s="143" t="str">
        <f t="shared" si="35"/>
        <v/>
      </c>
      <c r="BC156" s="143" t="str">
        <f t="shared" si="35"/>
        <v/>
      </c>
      <c r="BD156" s="143" t="str">
        <f t="shared" si="35"/>
        <v/>
      </c>
      <c r="BF156" s="9">
        <f t="shared" si="32"/>
        <v>4.3780601295637431E-5</v>
      </c>
      <c r="BG156" s="9">
        <f t="shared" si="33"/>
        <v>0.99368419993497559</v>
      </c>
    </row>
    <row r="157" spans="2:59" x14ac:dyDescent="0.35">
      <c r="B157" s="3" t="s">
        <v>266</v>
      </c>
      <c r="D157" s="141">
        <v>9762</v>
      </c>
      <c r="E157" s="141">
        <v>4743</v>
      </c>
      <c r="F157" s="141">
        <v>20315</v>
      </c>
      <c r="G157" s="141">
        <v>7329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30"/>
        <v>42149</v>
      </c>
      <c r="R157" s="141">
        <v>4261</v>
      </c>
      <c r="S157" s="141">
        <v>267</v>
      </c>
      <c r="T157" s="141">
        <v>13163</v>
      </c>
      <c r="U157" s="141">
        <v>6808</v>
      </c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31"/>
        <v>24499</v>
      </c>
      <c r="AF157" s="2">
        <f t="shared" ref="AF157:AP214" si="37">+IFERROR(R157/D157,"")</f>
        <v>0.4364884245031756</v>
      </c>
      <c r="AG157" s="2">
        <f t="shared" si="37"/>
        <v>5.6293485135989876E-2</v>
      </c>
      <c r="AH157" s="2">
        <f t="shared" si="37"/>
        <v>0.64794486832389864</v>
      </c>
      <c r="AI157" s="2">
        <f t="shared" si="37"/>
        <v>0.92891253922772543</v>
      </c>
      <c r="AJ157" s="2" t="str">
        <f t="shared" si="36"/>
        <v/>
      </c>
      <c r="AK157" s="2" t="str">
        <f t="shared" si="36"/>
        <v/>
      </c>
      <c r="AL157" s="2" t="str">
        <f t="shared" si="36"/>
        <v/>
      </c>
      <c r="AM157" s="2" t="str">
        <f t="shared" si="36"/>
        <v/>
      </c>
      <c r="AN157" s="2" t="str">
        <f t="shared" si="34"/>
        <v/>
      </c>
      <c r="AO157" s="2" t="str">
        <f t="shared" si="27"/>
        <v/>
      </c>
      <c r="AP157" s="2" t="str">
        <f t="shared" si="27"/>
        <v/>
      </c>
      <c r="AQ157" s="2" t="str">
        <f t="shared" si="27"/>
        <v/>
      </c>
      <c r="AR157" s="2">
        <f t="shared" si="27"/>
        <v>0.58124747918100073</v>
      </c>
      <c r="AT157" s="143">
        <f t="shared" si="25"/>
        <v>-0.38019493936718574</v>
      </c>
      <c r="AU157" s="143">
        <f t="shared" si="26"/>
        <v>0.59165138318790877</v>
      </c>
      <c r="AV157" s="143">
        <f t="shared" si="26"/>
        <v>0.28096767090382679</v>
      </c>
      <c r="AW157" s="143" t="str">
        <f t="shared" si="35"/>
        <v/>
      </c>
      <c r="AX157" s="143" t="str">
        <f t="shared" si="35"/>
        <v/>
      </c>
      <c r="AY157" s="143" t="str">
        <f t="shared" si="35"/>
        <v/>
      </c>
      <c r="AZ157" s="143" t="str">
        <f t="shared" si="35"/>
        <v/>
      </c>
      <c r="BA157" s="143" t="str">
        <f t="shared" si="35"/>
        <v/>
      </c>
      <c r="BB157" s="143" t="str">
        <f t="shared" si="35"/>
        <v/>
      </c>
      <c r="BC157" s="143" t="str">
        <f t="shared" si="35"/>
        <v/>
      </c>
      <c r="BD157" s="143" t="str">
        <f t="shared" si="35"/>
        <v/>
      </c>
      <c r="BF157" s="9">
        <f t="shared" si="32"/>
        <v>3.0983330959091267E-5</v>
      </c>
      <c r="BG157" s="9">
        <f t="shared" si="33"/>
        <v>0.99371518326593467</v>
      </c>
    </row>
    <row r="158" spans="2:59" x14ac:dyDescent="0.35">
      <c r="B158" s="3" t="s">
        <v>234</v>
      </c>
      <c r="D158" s="141">
        <v>3404</v>
      </c>
      <c r="E158" s="141">
        <v>2219</v>
      </c>
      <c r="F158" s="141">
        <v>10963</v>
      </c>
      <c r="G158" s="141">
        <v>6040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30"/>
        <v>22626</v>
      </c>
      <c r="R158" s="141">
        <v>2970</v>
      </c>
      <c r="S158" s="141">
        <v>1659</v>
      </c>
      <c r="T158" s="141">
        <v>10564</v>
      </c>
      <c r="U158" s="141">
        <v>4205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31"/>
        <v>19398</v>
      </c>
      <c r="AF158" s="2">
        <f t="shared" si="37"/>
        <v>0.87250293772032905</v>
      </c>
      <c r="AG158" s="2">
        <f t="shared" si="37"/>
        <v>0.74763406940063093</v>
      </c>
      <c r="AH158" s="2">
        <f t="shared" si="37"/>
        <v>0.96360485268630847</v>
      </c>
      <c r="AI158" s="2">
        <f t="shared" si="37"/>
        <v>0.69619205298013243</v>
      </c>
      <c r="AJ158" s="2" t="str">
        <f t="shared" si="36"/>
        <v/>
      </c>
      <c r="AK158" s="2" t="str">
        <f t="shared" si="36"/>
        <v/>
      </c>
      <c r="AL158" s="2" t="str">
        <f t="shared" si="36"/>
        <v/>
      </c>
      <c r="AM158" s="2" t="str">
        <f t="shared" si="36"/>
        <v/>
      </c>
      <c r="AN158" s="2" t="str">
        <f t="shared" si="34"/>
        <v/>
      </c>
      <c r="AO158" s="2" t="str">
        <f t="shared" si="27"/>
        <v/>
      </c>
      <c r="AP158" s="2" t="str">
        <f t="shared" si="27"/>
        <v/>
      </c>
      <c r="AQ158" s="2" t="str">
        <f t="shared" si="27"/>
        <v/>
      </c>
      <c r="AR158" s="2">
        <f t="shared" si="27"/>
        <v>0.85733227260673561</v>
      </c>
      <c r="AT158" s="143">
        <f t="shared" si="25"/>
        <v>-0.12486886831969812</v>
      </c>
      <c r="AU158" s="143">
        <f t="shared" si="26"/>
        <v>0.21597078328567754</v>
      </c>
      <c r="AV158" s="143">
        <f t="shared" si="26"/>
        <v>-0.26741279970617604</v>
      </c>
      <c r="AW158" s="143" t="str">
        <f t="shared" si="35"/>
        <v/>
      </c>
      <c r="AX158" s="143" t="str">
        <f t="shared" si="35"/>
        <v/>
      </c>
      <c r="AY158" s="143" t="str">
        <f t="shared" si="35"/>
        <v/>
      </c>
      <c r="AZ158" s="143" t="str">
        <f t="shared" si="35"/>
        <v/>
      </c>
      <c r="BA158" s="143" t="str">
        <f t="shared" si="35"/>
        <v/>
      </c>
      <c r="BB158" s="143" t="str">
        <f t="shared" si="35"/>
        <v/>
      </c>
      <c r="BC158" s="143" t="str">
        <f t="shared" si="35"/>
        <v/>
      </c>
      <c r="BD158" s="143" t="str">
        <f t="shared" si="35"/>
        <v/>
      </c>
      <c r="BF158" s="9">
        <f t="shared" si="32"/>
        <v>2.4532211679842134E-5</v>
      </c>
      <c r="BG158" s="9">
        <f t="shared" si="33"/>
        <v>0.99373971547761453</v>
      </c>
    </row>
    <row r="159" spans="2:59" x14ac:dyDescent="0.35">
      <c r="B159" s="3" t="s">
        <v>262</v>
      </c>
      <c r="D159" s="141">
        <v>32524</v>
      </c>
      <c r="E159" s="141">
        <v>27095</v>
      </c>
      <c r="F159" s="141">
        <v>39864</v>
      </c>
      <c r="G159" s="141">
        <v>30627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30"/>
        <v>130110</v>
      </c>
      <c r="R159" s="141">
        <v>17361</v>
      </c>
      <c r="S159" s="141">
        <v>17756</v>
      </c>
      <c r="T159" s="141">
        <v>22128</v>
      </c>
      <c r="U159" s="141">
        <v>12005</v>
      </c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31"/>
        <v>69250</v>
      </c>
      <c r="AF159" s="2">
        <f t="shared" si="37"/>
        <v>0.53379043168121998</v>
      </c>
      <c r="AG159" s="2">
        <f t="shared" si="37"/>
        <v>0.65532386049086544</v>
      </c>
      <c r="AH159" s="2">
        <f t="shared" si="37"/>
        <v>0.55508729680915114</v>
      </c>
      <c r="AI159" s="2">
        <f t="shared" si="37"/>
        <v>0.39197440167172753</v>
      </c>
      <c r="AJ159" s="2" t="str">
        <f t="shared" si="36"/>
        <v/>
      </c>
      <c r="AK159" s="2" t="str">
        <f t="shared" si="36"/>
        <v/>
      </c>
      <c r="AL159" s="2" t="str">
        <f t="shared" si="36"/>
        <v/>
      </c>
      <c r="AM159" s="2" t="str">
        <f t="shared" si="36"/>
        <v/>
      </c>
      <c r="AN159" s="2" t="str">
        <f t="shared" si="34"/>
        <v/>
      </c>
      <c r="AO159" s="2" t="str">
        <f t="shared" si="27"/>
        <v/>
      </c>
      <c r="AP159" s="2" t="str">
        <f t="shared" si="27"/>
        <v/>
      </c>
      <c r="AQ159" s="2" t="str">
        <f t="shared" si="27"/>
        <v/>
      </c>
      <c r="AR159" s="2">
        <f t="shared" si="27"/>
        <v>0.53224194911997535</v>
      </c>
      <c r="AT159" s="143">
        <f t="shared" si="25"/>
        <v>0.12153342880964546</v>
      </c>
      <c r="AU159" s="143">
        <f t="shared" si="26"/>
        <v>-0.1002365636817143</v>
      </c>
      <c r="AV159" s="143">
        <f t="shared" si="26"/>
        <v>-0.16311289513742361</v>
      </c>
      <c r="AW159" s="143" t="str">
        <f t="shared" si="35"/>
        <v/>
      </c>
      <c r="AX159" s="143" t="str">
        <f t="shared" si="35"/>
        <v/>
      </c>
      <c r="AY159" s="143" t="str">
        <f t="shared" si="35"/>
        <v/>
      </c>
      <c r="AZ159" s="143" t="str">
        <f t="shared" si="35"/>
        <v/>
      </c>
      <c r="BA159" s="143" t="str">
        <f t="shared" si="35"/>
        <v/>
      </c>
      <c r="BB159" s="143" t="str">
        <f t="shared" si="35"/>
        <v/>
      </c>
      <c r="BC159" s="143" t="str">
        <f t="shared" si="35"/>
        <v/>
      </c>
      <c r="BD159" s="143" t="str">
        <f t="shared" si="35"/>
        <v/>
      </c>
      <c r="BF159" s="9">
        <f t="shared" si="32"/>
        <v>8.7578908074495705E-5</v>
      </c>
      <c r="BG159" s="9">
        <f t="shared" si="33"/>
        <v>0.99382729438568906</v>
      </c>
    </row>
    <row r="160" spans="2:59" x14ac:dyDescent="0.35">
      <c r="B160" s="3" t="s">
        <v>228</v>
      </c>
      <c r="D160" s="141">
        <v>1641</v>
      </c>
      <c r="E160" s="141">
        <v>3454</v>
      </c>
      <c r="F160" s="141">
        <v>5363</v>
      </c>
      <c r="G160" s="141">
        <v>5092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30"/>
        <v>15550</v>
      </c>
      <c r="R160" s="141">
        <v>826</v>
      </c>
      <c r="S160" s="141">
        <v>2852</v>
      </c>
      <c r="T160" s="141">
        <v>3382</v>
      </c>
      <c r="U160" s="141">
        <v>3395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31"/>
        <v>10455</v>
      </c>
      <c r="AF160" s="2">
        <f t="shared" si="37"/>
        <v>0.50335161486898228</v>
      </c>
      <c r="AG160" s="2">
        <f t="shared" si="37"/>
        <v>0.82570932252460916</v>
      </c>
      <c r="AH160" s="2">
        <f t="shared" si="37"/>
        <v>0.63061719187022192</v>
      </c>
      <c r="AI160" s="2">
        <f t="shared" si="37"/>
        <v>0.66673212882953647</v>
      </c>
      <c r="AJ160" s="2" t="str">
        <f t="shared" si="36"/>
        <v/>
      </c>
      <c r="AK160" s="2" t="str">
        <f t="shared" si="36"/>
        <v/>
      </c>
      <c r="AL160" s="2" t="str">
        <f t="shared" si="36"/>
        <v/>
      </c>
      <c r="AM160" s="2" t="str">
        <f t="shared" si="36"/>
        <v/>
      </c>
      <c r="AN160" s="2" t="str">
        <f t="shared" si="34"/>
        <v/>
      </c>
      <c r="AO160" s="2" t="str">
        <f t="shared" si="27"/>
        <v/>
      </c>
      <c r="AP160" s="2" t="str">
        <f t="shared" si="27"/>
        <v/>
      </c>
      <c r="AQ160" s="2" t="str">
        <f t="shared" si="27"/>
        <v/>
      </c>
      <c r="AR160" s="2">
        <f t="shared" si="27"/>
        <v>0.67234726688102897</v>
      </c>
      <c r="AT160" s="143">
        <f t="shared" si="25"/>
        <v>0.32235770765562688</v>
      </c>
      <c r="AU160" s="143">
        <f t="shared" si="26"/>
        <v>-0.19509213065438724</v>
      </c>
      <c r="AV160" s="143">
        <f t="shared" si="26"/>
        <v>3.6114936959314559E-2</v>
      </c>
      <c r="AW160" s="143" t="str">
        <f t="shared" si="35"/>
        <v/>
      </c>
      <c r="AX160" s="143" t="str">
        <f t="shared" si="35"/>
        <v/>
      </c>
      <c r="AY160" s="143" t="str">
        <f t="shared" si="35"/>
        <v/>
      </c>
      <c r="AZ160" s="143" t="str">
        <f t="shared" si="35"/>
        <v/>
      </c>
      <c r="BA160" s="143" t="str">
        <f t="shared" si="35"/>
        <v/>
      </c>
      <c r="BB160" s="143" t="str">
        <f t="shared" si="35"/>
        <v/>
      </c>
      <c r="BC160" s="143" t="str">
        <f t="shared" si="35"/>
        <v/>
      </c>
      <c r="BD160" s="143" t="str">
        <f t="shared" si="35"/>
        <v/>
      </c>
      <c r="BF160" s="9">
        <f t="shared" si="32"/>
        <v>1.3222201933846246E-5</v>
      </c>
      <c r="BG160" s="9">
        <f t="shared" si="33"/>
        <v>0.99384051658762296</v>
      </c>
    </row>
    <row r="161" spans="2:59" x14ac:dyDescent="0.35">
      <c r="B161" s="3" t="s">
        <v>220</v>
      </c>
      <c r="D161" s="141">
        <v>48258</v>
      </c>
      <c r="E161" s="141">
        <v>67220</v>
      </c>
      <c r="F161" s="141">
        <v>40817</v>
      </c>
      <c r="G161" s="141">
        <v>46871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30"/>
        <v>203166</v>
      </c>
      <c r="R161" s="141">
        <v>43617</v>
      </c>
      <c r="S161" s="141">
        <v>61290</v>
      </c>
      <c r="T161" s="141">
        <v>38163</v>
      </c>
      <c r="U161" s="141">
        <v>43815</v>
      </c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31"/>
        <v>186885</v>
      </c>
      <c r="AF161" s="2">
        <f t="shared" si="37"/>
        <v>0.90382941688424712</v>
      </c>
      <c r="AG161" s="2">
        <f t="shared" si="37"/>
        <v>0.91178220767628682</v>
      </c>
      <c r="AH161" s="2">
        <f t="shared" si="37"/>
        <v>0.93497807286179779</v>
      </c>
      <c r="AI161" s="2">
        <f t="shared" si="37"/>
        <v>0.9347997695803375</v>
      </c>
      <c r="AJ161" s="2" t="str">
        <f t="shared" si="36"/>
        <v/>
      </c>
      <c r="AK161" s="2" t="str">
        <f t="shared" si="36"/>
        <v/>
      </c>
      <c r="AL161" s="2" t="str">
        <f t="shared" si="36"/>
        <v/>
      </c>
      <c r="AM161" s="2" t="str">
        <f t="shared" si="36"/>
        <v/>
      </c>
      <c r="AN161" s="2" t="str">
        <f t="shared" si="34"/>
        <v/>
      </c>
      <c r="AO161" s="2" t="str">
        <f t="shared" si="27"/>
        <v/>
      </c>
      <c r="AP161" s="2" t="str">
        <f t="shared" si="27"/>
        <v/>
      </c>
      <c r="AQ161" s="2" t="str">
        <f t="shared" si="27"/>
        <v/>
      </c>
      <c r="AR161" s="2">
        <f t="shared" si="27"/>
        <v>0.91986355984761226</v>
      </c>
      <c r="AT161" s="143">
        <f t="shared" si="25"/>
        <v>7.952790792039699E-3</v>
      </c>
      <c r="AU161" s="143">
        <f t="shared" si="26"/>
        <v>2.3195865185510978E-2</v>
      </c>
      <c r="AV161" s="143">
        <f t="shared" si="26"/>
        <v>-1.7830328146029029E-4</v>
      </c>
      <c r="AW161" s="143" t="str">
        <f t="shared" si="35"/>
        <v/>
      </c>
      <c r="AX161" s="143" t="str">
        <f t="shared" si="35"/>
        <v/>
      </c>
      <c r="AY161" s="143" t="str">
        <f t="shared" si="35"/>
        <v/>
      </c>
      <c r="AZ161" s="143" t="str">
        <f t="shared" si="35"/>
        <v/>
      </c>
      <c r="BA161" s="143" t="str">
        <f t="shared" si="35"/>
        <v/>
      </c>
      <c r="BB161" s="143" t="str">
        <f t="shared" si="35"/>
        <v/>
      </c>
      <c r="BC161" s="143" t="str">
        <f t="shared" si="35"/>
        <v/>
      </c>
      <c r="BD161" s="143" t="str">
        <f t="shared" si="35"/>
        <v/>
      </c>
      <c r="BF161" s="9">
        <f t="shared" si="32"/>
        <v>2.3634923083757587E-4</v>
      </c>
      <c r="BG161" s="9">
        <f t="shared" si="33"/>
        <v>0.99407686581846055</v>
      </c>
    </row>
    <row r="162" spans="2:59" x14ac:dyDescent="0.35">
      <c r="B162" s="3" t="s">
        <v>236</v>
      </c>
      <c r="D162" s="141">
        <v>3453</v>
      </c>
      <c r="E162" s="141">
        <v>5892</v>
      </c>
      <c r="F162" s="141">
        <v>3627</v>
      </c>
      <c r="G162" s="141">
        <v>5649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30"/>
        <v>18621</v>
      </c>
      <c r="R162" s="141">
        <v>1313</v>
      </c>
      <c r="S162" s="141">
        <v>4876</v>
      </c>
      <c r="T162" s="141">
        <v>2355</v>
      </c>
      <c r="U162" s="141">
        <v>5434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31"/>
        <v>13978</v>
      </c>
      <c r="AF162" s="2">
        <f t="shared" si="37"/>
        <v>0.38024905878945842</v>
      </c>
      <c r="AG162" s="2">
        <f t="shared" si="37"/>
        <v>0.82756279701289881</v>
      </c>
      <c r="AH162" s="2">
        <f t="shared" si="37"/>
        <v>0.64929693961952029</v>
      </c>
      <c r="AI162" s="2">
        <f t="shared" si="37"/>
        <v>0.96194016640113289</v>
      </c>
      <c r="AJ162" s="2" t="str">
        <f t="shared" si="36"/>
        <v/>
      </c>
      <c r="AK162" s="2" t="str">
        <f t="shared" si="36"/>
        <v/>
      </c>
      <c r="AL162" s="2" t="str">
        <f t="shared" si="36"/>
        <v/>
      </c>
      <c r="AM162" s="2" t="str">
        <f t="shared" si="36"/>
        <v/>
      </c>
      <c r="AN162" s="2" t="str">
        <f t="shared" si="34"/>
        <v/>
      </c>
      <c r="AO162" s="2" t="str">
        <f t="shared" si="27"/>
        <v/>
      </c>
      <c r="AP162" s="2" t="str">
        <f t="shared" si="27"/>
        <v/>
      </c>
      <c r="AQ162" s="2" t="str">
        <f t="shared" si="27"/>
        <v/>
      </c>
      <c r="AR162" s="2">
        <f t="shared" si="27"/>
        <v>0.7506578594060469</v>
      </c>
      <c r="AT162" s="143">
        <f t="shared" si="25"/>
        <v>0.44731373822344039</v>
      </c>
      <c r="AU162" s="143">
        <f t="shared" si="26"/>
        <v>-0.17826585739337852</v>
      </c>
      <c r="AV162" s="143">
        <f t="shared" si="26"/>
        <v>0.3126432267816126</v>
      </c>
      <c r="AW162" s="143" t="str">
        <f t="shared" si="35"/>
        <v/>
      </c>
      <c r="AX162" s="143" t="str">
        <f t="shared" si="35"/>
        <v/>
      </c>
      <c r="AY162" s="143" t="str">
        <f t="shared" si="35"/>
        <v/>
      </c>
      <c r="AZ162" s="143" t="str">
        <f t="shared" si="35"/>
        <v/>
      </c>
      <c r="BA162" s="143" t="str">
        <f t="shared" si="35"/>
        <v/>
      </c>
      <c r="BB162" s="143" t="str">
        <f t="shared" si="35"/>
        <v/>
      </c>
      <c r="BC162" s="143" t="str">
        <f t="shared" si="35"/>
        <v/>
      </c>
      <c r="BD162" s="143" t="str">
        <f t="shared" si="35"/>
        <v/>
      </c>
      <c r="BF162" s="9">
        <f t="shared" si="32"/>
        <v>1.7677660318632506E-5</v>
      </c>
      <c r="BG162" s="9">
        <f t="shared" si="33"/>
        <v>0.99409454347877924</v>
      </c>
    </row>
    <row r="163" spans="2:59" x14ac:dyDescent="0.35">
      <c r="B163" s="3" t="s">
        <v>244</v>
      </c>
      <c r="D163" s="141">
        <v>1425</v>
      </c>
      <c r="E163" s="141">
        <v>1215</v>
      </c>
      <c r="F163" s="141">
        <v>2001</v>
      </c>
      <c r="G163" s="141">
        <v>2000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30"/>
        <v>6641</v>
      </c>
      <c r="R163" s="141">
        <v>1425</v>
      </c>
      <c r="S163" s="141">
        <v>1215</v>
      </c>
      <c r="T163" s="141">
        <v>2001</v>
      </c>
      <c r="U163" s="141">
        <v>2000</v>
      </c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31"/>
        <v>6641</v>
      </c>
      <c r="AF163" s="2">
        <f t="shared" si="37"/>
        <v>1</v>
      </c>
      <c r="AG163" s="2">
        <f t="shared" si="37"/>
        <v>1</v>
      </c>
      <c r="AH163" s="2">
        <f t="shared" si="37"/>
        <v>1</v>
      </c>
      <c r="AI163" s="2">
        <f t="shared" si="37"/>
        <v>1</v>
      </c>
      <c r="AJ163" s="2" t="str">
        <f t="shared" si="36"/>
        <v/>
      </c>
      <c r="AK163" s="2" t="str">
        <f t="shared" si="36"/>
        <v/>
      </c>
      <c r="AL163" s="2" t="str">
        <f t="shared" si="36"/>
        <v/>
      </c>
      <c r="AM163" s="2" t="str">
        <f t="shared" si="36"/>
        <v/>
      </c>
      <c r="AN163" s="2" t="str">
        <f t="shared" si="34"/>
        <v/>
      </c>
      <c r="AO163" s="2" t="str">
        <f t="shared" si="27"/>
        <v/>
      </c>
      <c r="AP163" s="2" t="str">
        <f t="shared" si="27"/>
        <v/>
      </c>
      <c r="AQ163" s="2" t="str">
        <f t="shared" si="27"/>
        <v/>
      </c>
      <c r="AR163" s="2">
        <f t="shared" si="27"/>
        <v>1</v>
      </c>
      <c r="AT163" s="143">
        <f t="shared" si="25"/>
        <v>0</v>
      </c>
      <c r="AU163" s="143">
        <f t="shared" si="26"/>
        <v>0</v>
      </c>
      <c r="AV163" s="143">
        <f t="shared" si="26"/>
        <v>0</v>
      </c>
      <c r="AW163" s="143" t="str">
        <f t="shared" si="35"/>
        <v/>
      </c>
      <c r="AX163" s="143" t="str">
        <f t="shared" si="35"/>
        <v/>
      </c>
      <c r="AY163" s="143" t="str">
        <f t="shared" si="35"/>
        <v/>
      </c>
      <c r="AZ163" s="143" t="str">
        <f t="shared" si="35"/>
        <v/>
      </c>
      <c r="BA163" s="143" t="str">
        <f t="shared" si="35"/>
        <v/>
      </c>
      <c r="BB163" s="143" t="str">
        <f t="shared" si="35"/>
        <v/>
      </c>
      <c r="BC163" s="143" t="str">
        <f t="shared" si="35"/>
        <v/>
      </c>
      <c r="BD163" s="143" t="str">
        <f t="shared" si="35"/>
        <v/>
      </c>
      <c r="BF163" s="9">
        <f t="shared" si="32"/>
        <v>8.3987224335411695E-6</v>
      </c>
      <c r="BG163" s="9">
        <f t="shared" si="33"/>
        <v>0.99410294220121276</v>
      </c>
    </row>
    <row r="164" spans="2:59" x14ac:dyDescent="0.35">
      <c r="B164" s="3" t="s">
        <v>223</v>
      </c>
      <c r="D164" s="141">
        <v>19969</v>
      </c>
      <c r="E164" s="141">
        <v>27804</v>
      </c>
      <c r="F164" s="141">
        <v>14983</v>
      </c>
      <c r="G164" s="141">
        <v>14370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30"/>
        <v>77126</v>
      </c>
      <c r="R164" s="141">
        <v>17359</v>
      </c>
      <c r="S164" s="141">
        <v>21715</v>
      </c>
      <c r="T164" s="141">
        <v>11540</v>
      </c>
      <c r="U164" s="141">
        <v>9670</v>
      </c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31"/>
        <v>60284</v>
      </c>
      <c r="AF164" s="2">
        <f t="shared" si="37"/>
        <v>0.86929741098702995</v>
      </c>
      <c r="AG164" s="2">
        <f t="shared" si="37"/>
        <v>0.78100273341965187</v>
      </c>
      <c r="AH164" s="2">
        <f t="shared" si="37"/>
        <v>0.77020623373156238</v>
      </c>
      <c r="AI164" s="2">
        <f t="shared" si="37"/>
        <v>0.67292971468336815</v>
      </c>
      <c r="AJ164" s="2" t="str">
        <f t="shared" si="36"/>
        <v/>
      </c>
      <c r="AK164" s="2" t="str">
        <f t="shared" si="36"/>
        <v/>
      </c>
      <c r="AL164" s="2" t="str">
        <f t="shared" si="36"/>
        <v/>
      </c>
      <c r="AM164" s="2" t="str">
        <f t="shared" si="36"/>
        <v/>
      </c>
      <c r="AN164" s="2" t="str">
        <f t="shared" si="34"/>
        <v/>
      </c>
      <c r="AO164" s="2" t="str">
        <f t="shared" si="27"/>
        <v/>
      </c>
      <c r="AP164" s="2" t="str">
        <f t="shared" si="27"/>
        <v/>
      </c>
      <c r="AQ164" s="2" t="str">
        <f t="shared" si="27"/>
        <v/>
      </c>
      <c r="AR164" s="2">
        <f t="shared" si="27"/>
        <v>0.78163005990197854</v>
      </c>
      <c r="AT164" s="143">
        <f t="shared" si="25"/>
        <v>-8.8294677567378077E-2</v>
      </c>
      <c r="AU164" s="143">
        <f t="shared" si="26"/>
        <v>-1.0796499688089489E-2</v>
      </c>
      <c r="AV164" s="143">
        <f t="shared" si="26"/>
        <v>-9.7276519048194232E-2</v>
      </c>
      <c r="AW164" s="143" t="str">
        <f t="shared" si="35"/>
        <v/>
      </c>
      <c r="AX164" s="143" t="str">
        <f t="shared" si="35"/>
        <v/>
      </c>
      <c r="AY164" s="143" t="str">
        <f t="shared" si="35"/>
        <v/>
      </c>
      <c r="AZ164" s="143" t="str">
        <f t="shared" si="35"/>
        <v/>
      </c>
      <c r="BA164" s="143" t="str">
        <f t="shared" si="35"/>
        <v/>
      </c>
      <c r="BB164" s="143" t="str">
        <f t="shared" si="35"/>
        <v/>
      </c>
      <c r="BC164" s="143" t="str">
        <f t="shared" si="35"/>
        <v/>
      </c>
      <c r="BD164" s="143" t="str">
        <f t="shared" si="35"/>
        <v/>
      </c>
      <c r="BF164" s="9">
        <f t="shared" si="32"/>
        <v>7.6239810748922736E-5</v>
      </c>
      <c r="BG164" s="9">
        <f t="shared" si="33"/>
        <v>0.99417918201196165</v>
      </c>
    </row>
    <row r="165" spans="2:59" x14ac:dyDescent="0.35">
      <c r="B165" s="3" t="s">
        <v>240</v>
      </c>
      <c r="D165" s="141">
        <v>38908</v>
      </c>
      <c r="E165" s="141">
        <v>23952</v>
      </c>
      <c r="F165" s="141">
        <v>19668</v>
      </c>
      <c r="G165" s="141">
        <v>26276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30"/>
        <v>108804</v>
      </c>
      <c r="R165" s="141">
        <v>18107</v>
      </c>
      <c r="S165" s="141">
        <v>17089</v>
      </c>
      <c r="T165" s="141">
        <v>11681</v>
      </c>
      <c r="U165" s="141">
        <v>13954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31"/>
        <v>60831</v>
      </c>
      <c r="AF165" s="2">
        <f t="shared" si="37"/>
        <v>0.46537987046365786</v>
      </c>
      <c r="AG165" s="2">
        <f t="shared" si="37"/>
        <v>0.71346860387441546</v>
      </c>
      <c r="AH165" s="2">
        <f t="shared" si="37"/>
        <v>0.5939088875330486</v>
      </c>
      <c r="AI165" s="2">
        <f t="shared" si="37"/>
        <v>0.53105495509209921</v>
      </c>
      <c r="AJ165" s="2" t="str">
        <f t="shared" si="36"/>
        <v/>
      </c>
      <c r="AK165" s="2" t="str">
        <f t="shared" si="36"/>
        <v/>
      </c>
      <c r="AL165" s="2" t="str">
        <f t="shared" si="36"/>
        <v/>
      </c>
      <c r="AM165" s="2" t="str">
        <f t="shared" si="36"/>
        <v/>
      </c>
      <c r="AN165" s="2" t="str">
        <f t="shared" si="34"/>
        <v/>
      </c>
      <c r="AO165" s="2" t="str">
        <f t="shared" si="27"/>
        <v/>
      </c>
      <c r="AP165" s="2" t="str">
        <f t="shared" si="27"/>
        <v/>
      </c>
      <c r="AQ165" s="2" t="str">
        <f t="shared" si="27"/>
        <v/>
      </c>
      <c r="AR165" s="2">
        <f t="shared" si="27"/>
        <v>0.55908790118010365</v>
      </c>
      <c r="AT165" s="143">
        <f t="shared" si="25"/>
        <v>0.2480887334107576</v>
      </c>
      <c r="AU165" s="143">
        <f t="shared" si="26"/>
        <v>-0.11955971634136686</v>
      </c>
      <c r="AV165" s="143">
        <f t="shared" si="26"/>
        <v>-6.2853932440949389E-2</v>
      </c>
      <c r="AW165" s="143" t="str">
        <f t="shared" si="35"/>
        <v/>
      </c>
      <c r="AX165" s="143" t="str">
        <f t="shared" si="35"/>
        <v/>
      </c>
      <c r="AY165" s="143" t="str">
        <f t="shared" si="35"/>
        <v/>
      </c>
      <c r="AZ165" s="143" t="str">
        <f t="shared" si="35"/>
        <v/>
      </c>
      <c r="BA165" s="143" t="str">
        <f t="shared" si="35"/>
        <v/>
      </c>
      <c r="BB165" s="143" t="str">
        <f t="shared" si="35"/>
        <v/>
      </c>
      <c r="BC165" s="143" t="str">
        <f t="shared" si="35"/>
        <v/>
      </c>
      <c r="BD165" s="143" t="str">
        <f t="shared" si="35"/>
        <v/>
      </c>
      <c r="BF165" s="9">
        <f t="shared" ref="BF165:BF195" si="38">+AD165/$AD$256</f>
        <v>7.6931589271908273E-5</v>
      </c>
      <c r="BG165" s="9">
        <f t="shared" si="33"/>
        <v>0.99425611360123356</v>
      </c>
    </row>
    <row r="166" spans="2:59" x14ac:dyDescent="0.35">
      <c r="B166" s="3" t="s">
        <v>235</v>
      </c>
      <c r="D166" s="141">
        <v>5895</v>
      </c>
      <c r="E166" s="141">
        <v>-460</v>
      </c>
      <c r="F166" s="141">
        <v>2229</v>
      </c>
      <c r="G166" s="141">
        <v>9052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30"/>
        <v>16716</v>
      </c>
      <c r="R166" s="141">
        <v>5895</v>
      </c>
      <c r="S166" s="141">
        <v>-460</v>
      </c>
      <c r="T166" s="141">
        <v>579</v>
      </c>
      <c r="U166" s="141">
        <v>8158</v>
      </c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31"/>
        <v>14172</v>
      </c>
      <c r="AF166" s="2">
        <f t="shared" si="37"/>
        <v>1</v>
      </c>
      <c r="AG166" s="2">
        <f t="shared" si="37"/>
        <v>1</v>
      </c>
      <c r="AH166" s="2">
        <f t="shared" si="37"/>
        <v>0.25975773889636611</v>
      </c>
      <c r="AI166" s="2">
        <f t="shared" si="37"/>
        <v>0.90123729562527621</v>
      </c>
      <c r="AJ166" s="2" t="str">
        <f t="shared" si="36"/>
        <v/>
      </c>
      <c r="AK166" s="2" t="str">
        <f t="shared" si="36"/>
        <v/>
      </c>
      <c r="AL166" s="2" t="str">
        <f t="shared" si="36"/>
        <v/>
      </c>
      <c r="AM166" s="2" t="str">
        <f t="shared" si="36"/>
        <v/>
      </c>
      <c r="AN166" s="2" t="str">
        <f t="shared" si="34"/>
        <v/>
      </c>
      <c r="AO166" s="2" t="str">
        <f t="shared" si="27"/>
        <v/>
      </c>
      <c r="AP166" s="2" t="str">
        <f t="shared" si="27"/>
        <v/>
      </c>
      <c r="AQ166" s="2" t="str">
        <f t="shared" si="27"/>
        <v/>
      </c>
      <c r="AR166" s="2">
        <f t="shared" si="27"/>
        <v>0.84781048097631018</v>
      </c>
      <c r="AT166" s="143">
        <f t="shared" si="25"/>
        <v>0</v>
      </c>
      <c r="AU166" s="143">
        <f t="shared" si="26"/>
        <v>-0.74024226110363389</v>
      </c>
      <c r="AV166" s="143">
        <f t="shared" si="26"/>
        <v>0.64147955672891011</v>
      </c>
      <c r="AW166" s="143" t="str">
        <f t="shared" si="35"/>
        <v/>
      </c>
      <c r="AX166" s="143" t="str">
        <f t="shared" si="35"/>
        <v/>
      </c>
      <c r="AY166" s="143" t="str">
        <f t="shared" si="35"/>
        <v/>
      </c>
      <c r="AZ166" s="143" t="str">
        <f t="shared" si="35"/>
        <v/>
      </c>
      <c r="BA166" s="143" t="str">
        <f t="shared" si="35"/>
        <v/>
      </c>
      <c r="BB166" s="143" t="str">
        <f t="shared" si="35"/>
        <v/>
      </c>
      <c r="BC166" s="143" t="str">
        <f t="shared" si="35"/>
        <v/>
      </c>
      <c r="BD166" s="143" t="str">
        <f t="shared" si="35"/>
        <v/>
      </c>
      <c r="BF166" s="9">
        <f t="shared" si="38"/>
        <v>1.7923007728978384E-5</v>
      </c>
      <c r="BG166" s="9">
        <f t="shared" si="33"/>
        <v>0.99427403660896252</v>
      </c>
    </row>
    <row r="167" spans="2:59" x14ac:dyDescent="0.35">
      <c r="B167" s="3" t="s">
        <v>255</v>
      </c>
      <c r="D167" s="141">
        <v>3491</v>
      </c>
      <c r="E167" s="141">
        <v>3225</v>
      </c>
      <c r="F167" s="141">
        <v>2800</v>
      </c>
      <c r="G167" s="141">
        <v>1207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30"/>
        <v>10723</v>
      </c>
      <c r="R167" s="141">
        <v>246</v>
      </c>
      <c r="S167" s="141">
        <v>2705</v>
      </c>
      <c r="T167" s="141">
        <v>420</v>
      </c>
      <c r="U167" s="141">
        <v>907</v>
      </c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31"/>
        <v>4278</v>
      </c>
      <c r="AF167" s="2">
        <f t="shared" si="37"/>
        <v>7.0466914924090518E-2</v>
      </c>
      <c r="AG167" s="2">
        <f t="shared" si="37"/>
        <v>0.83875968992248062</v>
      </c>
      <c r="AH167" s="2">
        <f t="shared" si="37"/>
        <v>0.15</v>
      </c>
      <c r="AI167" s="2">
        <f t="shared" si="37"/>
        <v>0.75144987572493782</v>
      </c>
      <c r="AJ167" s="2" t="str">
        <f t="shared" si="36"/>
        <v/>
      </c>
      <c r="AK167" s="2" t="str">
        <f t="shared" si="36"/>
        <v/>
      </c>
      <c r="AL167" s="2" t="str">
        <f t="shared" si="36"/>
        <v/>
      </c>
      <c r="AM167" s="2" t="str">
        <f t="shared" si="36"/>
        <v/>
      </c>
      <c r="AN167" s="2" t="str">
        <f t="shared" si="34"/>
        <v/>
      </c>
      <c r="AO167" s="2" t="str">
        <f t="shared" si="27"/>
        <v/>
      </c>
      <c r="AP167" s="2" t="str">
        <f t="shared" si="27"/>
        <v/>
      </c>
      <c r="AQ167" s="2" t="str">
        <f t="shared" si="27"/>
        <v/>
      </c>
      <c r="AR167" s="2">
        <f t="shared" si="27"/>
        <v>0.39895551618017344</v>
      </c>
      <c r="AT167" s="143">
        <f t="shared" si="25"/>
        <v>0.7682927749983901</v>
      </c>
      <c r="AU167" s="143">
        <f t="shared" si="26"/>
        <v>-0.6887596899224806</v>
      </c>
      <c r="AV167" s="143">
        <f t="shared" si="26"/>
        <v>0.6014498757249378</v>
      </c>
      <c r="AW167" s="143" t="str">
        <f t="shared" si="35"/>
        <v/>
      </c>
      <c r="AX167" s="143" t="str">
        <f t="shared" si="35"/>
        <v/>
      </c>
      <c r="AY167" s="143" t="str">
        <f t="shared" si="35"/>
        <v/>
      </c>
      <c r="AZ167" s="143" t="str">
        <f t="shared" si="35"/>
        <v/>
      </c>
      <c r="BA167" s="143" t="str">
        <f t="shared" si="35"/>
        <v/>
      </c>
      <c r="BB167" s="143" t="str">
        <f t="shared" si="35"/>
        <v/>
      </c>
      <c r="BC167" s="143" t="str">
        <f t="shared" si="35"/>
        <v/>
      </c>
      <c r="BD167" s="143" t="str">
        <f t="shared" si="35"/>
        <v/>
      </c>
      <c r="BF167" s="9">
        <f t="shared" si="38"/>
        <v>5.4102898013385212E-6</v>
      </c>
      <c r="BG167" s="9">
        <f t="shared" si="33"/>
        <v>0.99427944689876391</v>
      </c>
    </row>
    <row r="168" spans="2:59" x14ac:dyDescent="0.35">
      <c r="B168" s="3" t="s">
        <v>273</v>
      </c>
      <c r="D168" s="141">
        <v>12718</v>
      </c>
      <c r="E168" s="141">
        <v>25258</v>
      </c>
      <c r="F168" s="141">
        <v>24002</v>
      </c>
      <c r="G168" s="141">
        <v>23618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30"/>
        <v>85596</v>
      </c>
      <c r="R168" s="141">
        <v>11242</v>
      </c>
      <c r="S168" s="141">
        <v>19837</v>
      </c>
      <c r="T168" s="141">
        <v>22697</v>
      </c>
      <c r="U168" s="141">
        <v>17735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31"/>
        <v>71511</v>
      </c>
      <c r="AF168" s="2">
        <f t="shared" si="37"/>
        <v>0.88394401635477271</v>
      </c>
      <c r="AG168" s="2">
        <f t="shared" si="37"/>
        <v>0.78537493071502096</v>
      </c>
      <c r="AH168" s="2">
        <f t="shared" si="37"/>
        <v>0.94562953087242729</v>
      </c>
      <c r="AI168" s="2">
        <f t="shared" si="37"/>
        <v>0.75091032263527813</v>
      </c>
      <c r="AJ168" s="2" t="str">
        <f t="shared" si="36"/>
        <v/>
      </c>
      <c r="AK168" s="2" t="str">
        <f t="shared" si="36"/>
        <v/>
      </c>
      <c r="AL168" s="2" t="str">
        <f t="shared" si="36"/>
        <v/>
      </c>
      <c r="AM168" s="2" t="str">
        <f t="shared" si="36"/>
        <v/>
      </c>
      <c r="AN168" s="2" t="str">
        <f t="shared" si="34"/>
        <v/>
      </c>
      <c r="AO168" s="2" t="str">
        <f t="shared" si="27"/>
        <v/>
      </c>
      <c r="AP168" s="2" t="str">
        <f t="shared" si="27"/>
        <v/>
      </c>
      <c r="AQ168" s="2" t="str">
        <f t="shared" si="27"/>
        <v/>
      </c>
      <c r="AR168" s="2">
        <f t="shared" si="27"/>
        <v>0.83544791812701524</v>
      </c>
      <c r="AT168" s="143">
        <f t="shared" si="25"/>
        <v>-9.8569085639751752E-2</v>
      </c>
      <c r="AU168" s="143">
        <f t="shared" si="26"/>
        <v>0.16025460015740634</v>
      </c>
      <c r="AV168" s="143">
        <f t="shared" si="26"/>
        <v>-0.19471920823714917</v>
      </c>
      <c r="AW168" s="143" t="str">
        <f t="shared" si="35"/>
        <v/>
      </c>
      <c r="AX168" s="143" t="str">
        <f t="shared" si="35"/>
        <v/>
      </c>
      <c r="AY168" s="143" t="str">
        <f t="shared" si="35"/>
        <v/>
      </c>
      <c r="AZ168" s="143" t="str">
        <f t="shared" si="35"/>
        <v/>
      </c>
      <c r="BA168" s="143" t="str">
        <f t="shared" si="35"/>
        <v/>
      </c>
      <c r="BB168" s="143" t="str">
        <f t="shared" si="35"/>
        <v/>
      </c>
      <c r="BC168" s="143" t="str">
        <f t="shared" si="35"/>
        <v/>
      </c>
      <c r="BD168" s="143" t="str">
        <f t="shared" si="35"/>
        <v/>
      </c>
      <c r="BF168" s="9">
        <f t="shared" si="38"/>
        <v>9.0438343614660831E-5</v>
      </c>
      <c r="BG168" s="9">
        <f t="shared" si="33"/>
        <v>0.99436988524237857</v>
      </c>
    </row>
    <row r="169" spans="2:59" x14ac:dyDescent="0.35">
      <c r="B169" s="3" t="s">
        <v>292</v>
      </c>
      <c r="D169" s="141">
        <v>29423</v>
      </c>
      <c r="E169" s="141">
        <v>31699</v>
      </c>
      <c r="F169" s="141">
        <v>26860</v>
      </c>
      <c r="G169" s="141">
        <v>47050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30"/>
        <v>135032</v>
      </c>
      <c r="R169" s="141">
        <v>11892</v>
      </c>
      <c r="S169" s="141">
        <v>27994</v>
      </c>
      <c r="T169" s="141">
        <v>17574</v>
      </c>
      <c r="U169" s="141">
        <v>38988</v>
      </c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31"/>
        <v>96448</v>
      </c>
      <c r="AF169" s="2">
        <f t="shared" si="37"/>
        <v>0.40417360568262922</v>
      </c>
      <c r="AG169" s="2">
        <f t="shared" si="37"/>
        <v>0.88311934130414205</v>
      </c>
      <c r="AH169" s="2">
        <f t="shared" si="37"/>
        <v>0.65428145941921068</v>
      </c>
      <c r="AI169" s="2">
        <f t="shared" si="37"/>
        <v>0.82865037194473967</v>
      </c>
      <c r="AJ169" s="2" t="str">
        <f t="shared" si="36"/>
        <v/>
      </c>
      <c r="AK169" s="2" t="str">
        <f t="shared" si="36"/>
        <v/>
      </c>
      <c r="AL169" s="2" t="str">
        <f t="shared" si="36"/>
        <v/>
      </c>
      <c r="AM169" s="2" t="str">
        <f t="shared" si="36"/>
        <v/>
      </c>
      <c r="AN169" s="2" t="str">
        <f t="shared" si="34"/>
        <v/>
      </c>
      <c r="AO169" s="2" t="str">
        <f t="shared" si="27"/>
        <v/>
      </c>
      <c r="AP169" s="2" t="str">
        <f t="shared" si="27"/>
        <v/>
      </c>
      <c r="AQ169" s="2" t="str">
        <f t="shared" si="27"/>
        <v/>
      </c>
      <c r="AR169" s="2">
        <f t="shared" si="27"/>
        <v>0.71426032347887913</v>
      </c>
      <c r="AT169" s="143">
        <f t="shared" si="25"/>
        <v>0.47894573562151282</v>
      </c>
      <c r="AU169" s="143">
        <f t="shared" si="26"/>
        <v>-0.22883788188493137</v>
      </c>
      <c r="AV169" s="143">
        <f t="shared" si="26"/>
        <v>0.174368912525529</v>
      </c>
      <c r="AW169" s="143" t="str">
        <f t="shared" si="35"/>
        <v/>
      </c>
      <c r="AX169" s="143" t="str">
        <f t="shared" si="35"/>
        <v/>
      </c>
      <c r="AY169" s="143" t="str">
        <f t="shared" si="35"/>
        <v/>
      </c>
      <c r="AZ169" s="143" t="str">
        <f t="shared" si="35"/>
        <v/>
      </c>
      <c r="BA169" s="143" t="str">
        <f t="shared" si="35"/>
        <v/>
      </c>
      <c r="BB169" s="143" t="str">
        <f t="shared" si="35"/>
        <v/>
      </c>
      <c r="BC169" s="143" t="str">
        <f t="shared" si="35"/>
        <v/>
      </c>
      <c r="BD169" s="143" t="str">
        <f t="shared" si="35"/>
        <v/>
      </c>
      <c r="BF169" s="9">
        <f t="shared" si="38"/>
        <v>1.2197560326308969E-4</v>
      </c>
      <c r="BG169" s="9">
        <f t="shared" si="33"/>
        <v>0.99449186084564167</v>
      </c>
    </row>
    <row r="170" spans="2:59" x14ac:dyDescent="0.35">
      <c r="B170" s="3" t="s">
        <v>247</v>
      </c>
      <c r="D170" s="141">
        <v>747096</v>
      </c>
      <c r="E170" s="141">
        <v>640752</v>
      </c>
      <c r="F170" s="141">
        <v>921506</v>
      </c>
      <c r="G170" s="141">
        <v>880340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30"/>
        <v>3189694</v>
      </c>
      <c r="R170" s="141">
        <v>594889</v>
      </c>
      <c r="S170" s="141">
        <v>432575</v>
      </c>
      <c r="T170" s="141">
        <v>658543</v>
      </c>
      <c r="U170" s="141">
        <v>635101</v>
      </c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31"/>
        <v>2321108</v>
      </c>
      <c r="AF170" s="2">
        <f t="shared" si="37"/>
        <v>0.79626848490689284</v>
      </c>
      <c r="AG170" s="2">
        <f t="shared" si="37"/>
        <v>0.67510518890303894</v>
      </c>
      <c r="AH170" s="2">
        <f t="shared" si="37"/>
        <v>0.71463777772472448</v>
      </c>
      <c r="AI170" s="2">
        <f t="shared" si="37"/>
        <v>0.72142694867891954</v>
      </c>
      <c r="AJ170" s="2" t="str">
        <f t="shared" si="36"/>
        <v/>
      </c>
      <c r="AK170" s="2" t="str">
        <f t="shared" si="36"/>
        <v/>
      </c>
      <c r="AL170" s="2" t="str">
        <f t="shared" si="36"/>
        <v/>
      </c>
      <c r="AM170" s="2" t="str">
        <f t="shared" si="36"/>
        <v/>
      </c>
      <c r="AN170" s="2" t="str">
        <f t="shared" si="34"/>
        <v/>
      </c>
      <c r="AO170" s="2" t="str">
        <f t="shared" si="27"/>
        <v/>
      </c>
      <c r="AP170" s="2" t="str">
        <f t="shared" si="27"/>
        <v/>
      </c>
      <c r="AQ170" s="2" t="str">
        <f t="shared" si="27"/>
        <v/>
      </c>
      <c r="AR170" s="2">
        <f t="shared" si="27"/>
        <v>0.72768986617525067</v>
      </c>
      <c r="AT170" s="143">
        <f t="shared" si="25"/>
        <v>-0.12116329600385389</v>
      </c>
      <c r="AU170" s="143">
        <f t="shared" si="26"/>
        <v>3.9532588821685533E-2</v>
      </c>
      <c r="AV170" s="143">
        <f t="shared" si="26"/>
        <v>6.7891709541950673E-3</v>
      </c>
      <c r="AW170" s="143" t="str">
        <f t="shared" si="35"/>
        <v/>
      </c>
      <c r="AX170" s="143" t="str">
        <f t="shared" si="35"/>
        <v/>
      </c>
      <c r="AY170" s="143" t="str">
        <f t="shared" si="35"/>
        <v/>
      </c>
      <c r="AZ170" s="143" t="str">
        <f t="shared" si="35"/>
        <v/>
      </c>
      <c r="BA170" s="143" t="str">
        <f t="shared" si="35"/>
        <v/>
      </c>
      <c r="BB170" s="143" t="str">
        <f t="shared" si="35"/>
        <v/>
      </c>
      <c r="BC170" s="143" t="str">
        <f t="shared" si="35"/>
        <v/>
      </c>
      <c r="BD170" s="143" t="str">
        <f t="shared" si="35"/>
        <v/>
      </c>
      <c r="BF170" s="9">
        <f t="shared" si="38"/>
        <v>2.9354527676964128E-3</v>
      </c>
      <c r="BG170" s="9">
        <f t="shared" si="33"/>
        <v>0.99742731361333814</v>
      </c>
    </row>
    <row r="171" spans="2:59" x14ac:dyDescent="0.35">
      <c r="B171" s="3" t="s">
        <v>246</v>
      </c>
      <c r="D171" s="141">
        <v>9549</v>
      </c>
      <c r="E171" s="141">
        <v>9856</v>
      </c>
      <c r="F171" s="141">
        <v>3158</v>
      </c>
      <c r="G171" s="141">
        <v>3195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30"/>
        <v>25758</v>
      </c>
      <c r="R171" s="141">
        <v>8549</v>
      </c>
      <c r="S171" s="141">
        <v>8856</v>
      </c>
      <c r="T171" s="141">
        <v>3158</v>
      </c>
      <c r="U171" s="141">
        <v>3195</v>
      </c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31"/>
        <v>23758</v>
      </c>
      <c r="AF171" s="2">
        <f t="shared" si="37"/>
        <v>0.8952769923552204</v>
      </c>
      <c r="AG171" s="2">
        <f t="shared" si="37"/>
        <v>0.89853896103896103</v>
      </c>
      <c r="AH171" s="2">
        <f t="shared" si="37"/>
        <v>1</v>
      </c>
      <c r="AI171" s="2">
        <f t="shared" si="37"/>
        <v>1</v>
      </c>
      <c r="AJ171" s="2" t="str">
        <f t="shared" si="36"/>
        <v/>
      </c>
      <c r="AK171" s="2" t="str">
        <f t="shared" si="36"/>
        <v/>
      </c>
      <c r="AL171" s="2" t="str">
        <f t="shared" si="36"/>
        <v/>
      </c>
      <c r="AM171" s="2" t="str">
        <f t="shared" si="36"/>
        <v/>
      </c>
      <c r="AN171" s="2" t="str">
        <f t="shared" si="34"/>
        <v/>
      </c>
      <c r="AO171" s="2" t="str">
        <f t="shared" si="27"/>
        <v/>
      </c>
      <c r="AP171" s="2" t="str">
        <f t="shared" si="27"/>
        <v/>
      </c>
      <c r="AQ171" s="2" t="str">
        <f t="shared" si="27"/>
        <v/>
      </c>
      <c r="AR171" s="2">
        <f t="shared" si="27"/>
        <v>0.92235422004814038</v>
      </c>
      <c r="AT171" s="143">
        <f t="shared" si="25"/>
        <v>3.2619686837406237E-3</v>
      </c>
      <c r="AU171" s="143">
        <f t="shared" si="26"/>
        <v>0.10146103896103897</v>
      </c>
      <c r="AV171" s="143">
        <f t="shared" si="26"/>
        <v>0</v>
      </c>
      <c r="AW171" s="143" t="str">
        <f t="shared" si="35"/>
        <v/>
      </c>
      <c r="AX171" s="143" t="str">
        <f t="shared" si="35"/>
        <v/>
      </c>
      <c r="AY171" s="143" t="str">
        <f t="shared" si="35"/>
        <v/>
      </c>
      <c r="AZ171" s="143" t="str">
        <f t="shared" si="35"/>
        <v/>
      </c>
      <c r="BA171" s="143" t="str">
        <f t="shared" si="35"/>
        <v/>
      </c>
      <c r="BB171" s="143" t="str">
        <f t="shared" si="35"/>
        <v/>
      </c>
      <c r="BC171" s="143" t="str">
        <f t="shared" si="35"/>
        <v/>
      </c>
      <c r="BD171" s="143" t="str">
        <f t="shared" si="35"/>
        <v/>
      </c>
      <c r="BF171" s="9">
        <f t="shared" si="38"/>
        <v>3.0046205025759841E-5</v>
      </c>
      <c r="BG171" s="9">
        <f t="shared" si="33"/>
        <v>0.99745735981836392</v>
      </c>
    </row>
    <row r="172" spans="2:59" x14ac:dyDescent="0.35">
      <c r="B172" s="3" t="s">
        <v>224</v>
      </c>
      <c r="D172" s="141">
        <v>6500</v>
      </c>
      <c r="E172" s="141">
        <v>17177</v>
      </c>
      <c r="F172" s="141">
        <v>10248</v>
      </c>
      <c r="G172" s="141">
        <v>9657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30"/>
        <v>43582</v>
      </c>
      <c r="R172" s="141">
        <v>6500</v>
      </c>
      <c r="S172" s="141">
        <v>13403</v>
      </c>
      <c r="T172" s="141">
        <v>6270</v>
      </c>
      <c r="U172" s="141">
        <v>8643</v>
      </c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31"/>
        <v>34816</v>
      </c>
      <c r="AF172" s="2">
        <f t="shared" si="37"/>
        <v>1</v>
      </c>
      <c r="AG172" s="2">
        <f t="shared" si="37"/>
        <v>0.78028759387553126</v>
      </c>
      <c r="AH172" s="2">
        <f t="shared" si="37"/>
        <v>0.61182669789227162</v>
      </c>
      <c r="AI172" s="2">
        <f t="shared" si="37"/>
        <v>0.89499844672258466</v>
      </c>
      <c r="AJ172" s="2" t="str">
        <f t="shared" si="36"/>
        <v/>
      </c>
      <c r="AK172" s="2" t="str">
        <f t="shared" si="36"/>
        <v/>
      </c>
      <c r="AL172" s="2" t="str">
        <f t="shared" si="36"/>
        <v/>
      </c>
      <c r="AM172" s="2" t="str">
        <f t="shared" si="36"/>
        <v/>
      </c>
      <c r="AN172" s="2" t="str">
        <f t="shared" si="34"/>
        <v/>
      </c>
      <c r="AO172" s="2" t="str">
        <f t="shared" si="27"/>
        <v/>
      </c>
      <c r="AP172" s="2" t="str">
        <f t="shared" si="27"/>
        <v/>
      </c>
      <c r="AQ172" s="2" t="str">
        <f t="shared" si="27"/>
        <v/>
      </c>
      <c r="AR172" s="2">
        <f t="shared" si="27"/>
        <v>0.79886191546968932</v>
      </c>
      <c r="AT172" s="143">
        <f t="shared" si="25"/>
        <v>-0.21971240612446874</v>
      </c>
      <c r="AU172" s="143">
        <f t="shared" si="26"/>
        <v>-0.16846089598325964</v>
      </c>
      <c r="AV172" s="143">
        <f t="shared" si="26"/>
        <v>0.28317174883031304</v>
      </c>
      <c r="AW172" s="143" t="str">
        <f t="shared" si="35"/>
        <v/>
      </c>
      <c r="AX172" s="143" t="str">
        <f t="shared" si="35"/>
        <v/>
      </c>
      <c r="AY172" s="143" t="str">
        <f t="shared" si="35"/>
        <v/>
      </c>
      <c r="AZ172" s="143" t="str">
        <f t="shared" si="35"/>
        <v/>
      </c>
      <c r="BA172" s="143" t="str">
        <f t="shared" si="35"/>
        <v/>
      </c>
      <c r="BB172" s="143" t="str">
        <f t="shared" si="35"/>
        <v/>
      </c>
      <c r="BC172" s="143" t="str">
        <f t="shared" si="35"/>
        <v/>
      </c>
      <c r="BD172" s="143" t="str">
        <f t="shared" si="35"/>
        <v/>
      </c>
      <c r="BF172" s="9">
        <f t="shared" si="38"/>
        <v>4.4031007415474978E-5</v>
      </c>
      <c r="BG172" s="9">
        <f t="shared" si="33"/>
        <v>0.99750139082577938</v>
      </c>
    </row>
    <row r="173" spans="2:59" x14ac:dyDescent="0.35">
      <c r="B173" s="3" t="s">
        <v>241</v>
      </c>
      <c r="D173" s="141">
        <v>100</v>
      </c>
      <c r="E173" s="141">
        <v>3070</v>
      </c>
      <c r="F173" s="141">
        <v>365</v>
      </c>
      <c r="G173" s="141">
        <v>1220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30"/>
        <v>4755</v>
      </c>
      <c r="R173" s="141">
        <v>75</v>
      </c>
      <c r="S173" s="141">
        <v>3070</v>
      </c>
      <c r="T173" s="141">
        <v>215</v>
      </c>
      <c r="U173" s="141">
        <v>1130</v>
      </c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31"/>
        <v>4490</v>
      </c>
      <c r="AF173" s="2">
        <f t="shared" si="37"/>
        <v>0.75</v>
      </c>
      <c r="AG173" s="2">
        <f t="shared" si="37"/>
        <v>1</v>
      </c>
      <c r="AH173" s="2">
        <f t="shared" si="37"/>
        <v>0.58904109589041098</v>
      </c>
      <c r="AI173" s="2">
        <f t="shared" si="37"/>
        <v>0.92622950819672134</v>
      </c>
      <c r="AJ173" s="2" t="str">
        <f t="shared" si="36"/>
        <v/>
      </c>
      <c r="AK173" s="2" t="str">
        <f t="shared" si="36"/>
        <v/>
      </c>
      <c r="AL173" s="2" t="str">
        <f t="shared" si="36"/>
        <v/>
      </c>
      <c r="AM173" s="2" t="str">
        <f t="shared" si="36"/>
        <v/>
      </c>
      <c r="AN173" s="2" t="str">
        <f t="shared" si="34"/>
        <v/>
      </c>
      <c r="AO173" s="2" t="str">
        <f t="shared" si="27"/>
        <v/>
      </c>
      <c r="AP173" s="2" t="str">
        <f t="shared" si="27"/>
        <v/>
      </c>
      <c r="AQ173" s="2" t="str">
        <f t="shared" si="27"/>
        <v/>
      </c>
      <c r="AR173" s="2">
        <f t="shared" si="27"/>
        <v>0.94426919032597267</v>
      </c>
      <c r="AT173" s="143">
        <f t="shared" si="25"/>
        <v>0.25</v>
      </c>
      <c r="AU173" s="143">
        <f t="shared" si="26"/>
        <v>-0.41095890410958902</v>
      </c>
      <c r="AV173" s="143">
        <f t="shared" si="26"/>
        <v>0.33718841230631036</v>
      </c>
      <c r="AW173" s="143" t="str">
        <f t="shared" si="35"/>
        <v/>
      </c>
      <c r="AX173" s="143" t="str">
        <f t="shared" si="35"/>
        <v/>
      </c>
      <c r="AY173" s="143" t="str">
        <f t="shared" si="35"/>
        <v/>
      </c>
      <c r="AZ173" s="143" t="str">
        <f t="shared" si="35"/>
        <v/>
      </c>
      <c r="BA173" s="143" t="str">
        <f t="shared" si="35"/>
        <v/>
      </c>
      <c r="BB173" s="143" t="str">
        <f t="shared" si="35"/>
        <v/>
      </c>
      <c r="BC173" s="143" t="str">
        <f t="shared" si="35"/>
        <v/>
      </c>
      <c r="BD173" s="143" t="str">
        <f t="shared" si="35"/>
        <v/>
      </c>
      <c r="BF173" s="9">
        <f t="shared" si="38"/>
        <v>5.6784014043969054E-6</v>
      </c>
      <c r="BG173" s="9">
        <f t="shared" si="33"/>
        <v>0.9975070692271838</v>
      </c>
    </row>
    <row r="174" spans="2:59" x14ac:dyDescent="0.35">
      <c r="B174" s="3" t="s">
        <v>242</v>
      </c>
      <c r="D174" s="141">
        <v>50</v>
      </c>
      <c r="E174" s="141">
        <v>57</v>
      </c>
      <c r="F174" s="141">
        <v>1313</v>
      </c>
      <c r="G174" s="141">
        <v>5047</v>
      </c>
      <c r="H174" s="141"/>
      <c r="I174" s="141"/>
      <c r="J174" s="141"/>
      <c r="K174" s="141"/>
      <c r="L174" s="141"/>
      <c r="M174" s="141"/>
      <c r="N174" s="141"/>
      <c r="O174" s="141"/>
      <c r="P174" s="141">
        <f t="shared" si="30"/>
        <v>6467</v>
      </c>
      <c r="R174" s="141">
        <v>15</v>
      </c>
      <c r="S174" s="141">
        <v>57</v>
      </c>
      <c r="T174" s="141">
        <v>1120</v>
      </c>
      <c r="U174" s="141">
        <v>5047</v>
      </c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31"/>
        <v>6239</v>
      </c>
      <c r="AF174" s="2">
        <f t="shared" si="37"/>
        <v>0.3</v>
      </c>
      <c r="AG174" s="2">
        <f t="shared" si="37"/>
        <v>1</v>
      </c>
      <c r="AH174" s="2">
        <f t="shared" si="37"/>
        <v>0.85300837776085303</v>
      </c>
      <c r="AI174" s="2">
        <f t="shared" si="37"/>
        <v>1</v>
      </c>
      <c r="AJ174" s="2" t="str">
        <f t="shared" si="36"/>
        <v/>
      </c>
      <c r="AK174" s="2" t="str">
        <f t="shared" si="36"/>
        <v/>
      </c>
      <c r="AL174" s="2" t="str">
        <f t="shared" si="36"/>
        <v/>
      </c>
      <c r="AM174" s="2" t="str">
        <f t="shared" si="36"/>
        <v/>
      </c>
      <c r="AN174" s="2" t="str">
        <f t="shared" si="34"/>
        <v/>
      </c>
      <c r="AO174" s="2" t="str">
        <f t="shared" si="27"/>
        <v/>
      </c>
      <c r="AP174" s="2" t="str">
        <f t="shared" si="27"/>
        <v/>
      </c>
      <c r="AQ174" s="2" t="str">
        <f t="shared" si="27"/>
        <v/>
      </c>
      <c r="AR174" s="2">
        <f t="shared" si="27"/>
        <v>0.96474408535642497</v>
      </c>
      <c r="AT174" s="143">
        <f t="shared" ref="AT174:AT237" si="39">+IFERROR(AG174-AF174,"")</f>
        <v>0.7</v>
      </c>
      <c r="AU174" s="143">
        <f t="shared" ref="AU174:AV237" si="40">+IFERROR(AH174-AG174,"")</f>
        <v>-0.14699162223914697</v>
      </c>
      <c r="AV174" s="143">
        <f t="shared" si="40"/>
        <v>0.14699162223914697</v>
      </c>
      <c r="AW174" s="143" t="str">
        <f t="shared" si="35"/>
        <v/>
      </c>
      <c r="AX174" s="143" t="str">
        <f t="shared" si="35"/>
        <v/>
      </c>
      <c r="AY174" s="143" t="str">
        <f t="shared" si="35"/>
        <v/>
      </c>
      <c r="AZ174" s="143" t="str">
        <f t="shared" si="35"/>
        <v/>
      </c>
      <c r="BA174" s="143" t="str">
        <f t="shared" si="35"/>
        <v/>
      </c>
      <c r="BB174" s="143" t="str">
        <f t="shared" si="35"/>
        <v/>
      </c>
      <c r="BC174" s="143" t="str">
        <f t="shared" si="35"/>
        <v/>
      </c>
      <c r="BD174" s="143" t="str">
        <f t="shared" si="35"/>
        <v/>
      </c>
      <c r="BF174" s="9">
        <f t="shared" si="38"/>
        <v>7.8903221296285736E-6</v>
      </c>
      <c r="BG174" s="9">
        <f t="shared" si="33"/>
        <v>0.99751495954931346</v>
      </c>
    </row>
    <row r="175" spans="2:59" x14ac:dyDescent="0.35">
      <c r="B175" s="3" t="s">
        <v>237</v>
      </c>
      <c r="D175" s="141">
        <v>65538</v>
      </c>
      <c r="E175" s="141">
        <v>56462</v>
      </c>
      <c r="F175" s="141">
        <v>115504</v>
      </c>
      <c r="G175" s="141">
        <v>104447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30"/>
        <v>341951</v>
      </c>
      <c r="R175" s="141">
        <v>20936</v>
      </c>
      <c r="S175" s="141">
        <v>7774</v>
      </c>
      <c r="T175" s="141">
        <v>22418</v>
      </c>
      <c r="U175" s="141">
        <v>24440</v>
      </c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31"/>
        <v>75568</v>
      </c>
      <c r="AF175" s="2">
        <f t="shared" si="37"/>
        <v>0.31944825902529828</v>
      </c>
      <c r="AG175" s="2">
        <f t="shared" si="37"/>
        <v>0.13768552300662393</v>
      </c>
      <c r="AH175" s="2">
        <f t="shared" si="37"/>
        <v>0.19408851641501593</v>
      </c>
      <c r="AI175" s="2">
        <f t="shared" si="37"/>
        <v>0.23399427460817449</v>
      </c>
      <c r="AJ175" s="2" t="str">
        <f t="shared" si="36"/>
        <v/>
      </c>
      <c r="AK175" s="2" t="str">
        <f t="shared" si="36"/>
        <v/>
      </c>
      <c r="AL175" s="2" t="str">
        <f t="shared" si="36"/>
        <v/>
      </c>
      <c r="AM175" s="2" t="str">
        <f t="shared" si="36"/>
        <v/>
      </c>
      <c r="AN175" s="2" t="str">
        <f t="shared" si="34"/>
        <v/>
      </c>
      <c r="AO175" s="2" t="str">
        <f t="shared" si="27"/>
        <v/>
      </c>
      <c r="AP175" s="2" t="str">
        <f t="shared" si="27"/>
        <v/>
      </c>
      <c r="AQ175" s="2" t="str">
        <f t="shared" si="27"/>
        <v/>
      </c>
      <c r="AR175" s="2">
        <f t="shared" si="27"/>
        <v>0.22099072674155068</v>
      </c>
      <c r="AT175" s="143">
        <f t="shared" si="39"/>
        <v>-0.18176273601867435</v>
      </c>
      <c r="AU175" s="143">
        <f t="shared" si="40"/>
        <v>5.6402993408391999E-2</v>
      </c>
      <c r="AV175" s="143">
        <f t="shared" si="40"/>
        <v>3.9905758193158558E-2</v>
      </c>
      <c r="AW175" s="143" t="str">
        <f t="shared" si="35"/>
        <v/>
      </c>
      <c r="AX175" s="143" t="str">
        <f t="shared" si="35"/>
        <v/>
      </c>
      <c r="AY175" s="143" t="str">
        <f t="shared" si="35"/>
        <v/>
      </c>
      <c r="AZ175" s="143" t="str">
        <f t="shared" si="35"/>
        <v/>
      </c>
      <c r="BA175" s="143" t="str">
        <f t="shared" si="35"/>
        <v/>
      </c>
      <c r="BB175" s="143" t="str">
        <f t="shared" si="35"/>
        <v/>
      </c>
      <c r="BC175" s="143" t="str">
        <f t="shared" si="35"/>
        <v/>
      </c>
      <c r="BD175" s="143" t="str">
        <f t="shared" si="35"/>
        <v/>
      </c>
      <c r="BF175" s="9">
        <f t="shared" si="38"/>
        <v>9.5569139716584716E-5</v>
      </c>
      <c r="BG175" s="9">
        <f t="shared" si="33"/>
        <v>0.99761052868903</v>
      </c>
    </row>
    <row r="176" spans="2:59" x14ac:dyDescent="0.35">
      <c r="B176" s="3" t="s">
        <v>191</v>
      </c>
      <c r="D176" s="141">
        <v>5119</v>
      </c>
      <c r="E176" s="141">
        <v>4115</v>
      </c>
      <c r="F176" s="141">
        <v>6731</v>
      </c>
      <c r="G176" s="141">
        <v>5360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30"/>
        <v>21325</v>
      </c>
      <c r="R176" s="141">
        <v>3323</v>
      </c>
      <c r="S176" s="141">
        <v>1840</v>
      </c>
      <c r="T176" s="141">
        <v>4566</v>
      </c>
      <c r="U176" s="141">
        <v>3267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31"/>
        <v>12996</v>
      </c>
      <c r="AF176" s="2">
        <f t="shared" si="37"/>
        <v>0.64915022465325256</v>
      </c>
      <c r="AG176" s="2">
        <f t="shared" si="37"/>
        <v>0.44714459295261239</v>
      </c>
      <c r="AH176" s="2">
        <f t="shared" si="37"/>
        <v>0.67835388500965677</v>
      </c>
      <c r="AI176" s="2">
        <f t="shared" si="37"/>
        <v>0.60951492537313434</v>
      </c>
      <c r="AJ176" s="2" t="str">
        <f t="shared" si="36"/>
        <v/>
      </c>
      <c r="AK176" s="2" t="str">
        <f t="shared" si="36"/>
        <v/>
      </c>
      <c r="AL176" s="2" t="str">
        <f t="shared" si="36"/>
        <v/>
      </c>
      <c r="AM176" s="2" t="str">
        <f t="shared" si="36"/>
        <v/>
      </c>
      <c r="AN176" s="2" t="str">
        <f t="shared" si="34"/>
        <v/>
      </c>
      <c r="AO176" s="2" t="str">
        <f t="shared" si="27"/>
        <v/>
      </c>
      <c r="AP176" s="2" t="str">
        <f t="shared" si="27"/>
        <v/>
      </c>
      <c r="AQ176" s="2" t="str">
        <f t="shared" si="27"/>
        <v/>
      </c>
      <c r="AR176" s="2">
        <f t="shared" ref="AR176:AR239" si="41">+IFERROR(AD176/P176,"")</f>
        <v>0.6094255568581477</v>
      </c>
      <c r="AT176" s="143">
        <f t="shared" si="39"/>
        <v>-0.20200563170064018</v>
      </c>
      <c r="AU176" s="143">
        <f t="shared" si="40"/>
        <v>0.23120929205704438</v>
      </c>
      <c r="AV176" s="143">
        <f t="shared" si="40"/>
        <v>-6.8838959636522423E-2</v>
      </c>
      <c r="AW176" s="143" t="str">
        <f t="shared" si="35"/>
        <v/>
      </c>
      <c r="AX176" s="143" t="str">
        <f t="shared" si="35"/>
        <v/>
      </c>
      <c r="AY176" s="143" t="str">
        <f t="shared" si="35"/>
        <v/>
      </c>
      <c r="AZ176" s="143" t="str">
        <f t="shared" si="35"/>
        <v/>
      </c>
      <c r="BA176" s="143" t="str">
        <f t="shared" si="35"/>
        <v/>
      </c>
      <c r="BB176" s="143" t="str">
        <f t="shared" si="35"/>
        <v/>
      </c>
      <c r="BC176" s="143" t="str">
        <f t="shared" si="35"/>
        <v/>
      </c>
      <c r="BD176" s="143" t="str">
        <f t="shared" si="35"/>
        <v/>
      </c>
      <c r="BF176" s="9">
        <f t="shared" si="38"/>
        <v>1.6435747138428102E-5</v>
      </c>
      <c r="BG176" s="9">
        <f t="shared" si="33"/>
        <v>0.99762696443616838</v>
      </c>
    </row>
    <row r="177" spans="2:59" x14ac:dyDescent="0.35">
      <c r="B177" s="3" t="s">
        <v>264</v>
      </c>
      <c r="D177" s="141">
        <v>717</v>
      </c>
      <c r="E177" s="141">
        <v>1044</v>
      </c>
      <c r="F177" s="141">
        <v>768</v>
      </c>
      <c r="G177" s="141">
        <v>553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30"/>
        <v>3082</v>
      </c>
      <c r="R177" s="141">
        <v>553</v>
      </c>
      <c r="S177" s="141">
        <v>884</v>
      </c>
      <c r="T177" s="141">
        <v>601</v>
      </c>
      <c r="U177" s="141">
        <v>453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31"/>
        <v>2491</v>
      </c>
      <c r="AF177" s="2">
        <f t="shared" si="37"/>
        <v>0.77126917712691767</v>
      </c>
      <c r="AG177" s="2">
        <f t="shared" si="37"/>
        <v>0.84674329501915713</v>
      </c>
      <c r="AH177" s="2">
        <f t="shared" si="37"/>
        <v>0.78255208333333337</v>
      </c>
      <c r="AI177" s="2">
        <f t="shared" si="37"/>
        <v>0.81916817359855332</v>
      </c>
      <c r="AJ177" s="2" t="str">
        <f t="shared" si="36"/>
        <v/>
      </c>
      <c r="AK177" s="2" t="str">
        <f t="shared" si="36"/>
        <v/>
      </c>
      <c r="AL177" s="2" t="str">
        <f t="shared" si="36"/>
        <v/>
      </c>
      <c r="AM177" s="2" t="str">
        <f t="shared" si="36"/>
        <v/>
      </c>
      <c r="AN177" s="2" t="str">
        <f t="shared" si="34"/>
        <v/>
      </c>
      <c r="AO177" s="2" t="str">
        <f t="shared" si="34"/>
        <v/>
      </c>
      <c r="AP177" s="2" t="str">
        <f t="shared" si="34"/>
        <v/>
      </c>
      <c r="AQ177" s="2" t="str">
        <f t="shared" si="34"/>
        <v/>
      </c>
      <c r="AR177" s="2">
        <f t="shared" si="41"/>
        <v>0.80824140168721614</v>
      </c>
      <c r="AT177" s="143">
        <f t="shared" si="39"/>
        <v>7.5474117892239456E-2</v>
      </c>
      <c r="AU177" s="143">
        <f t="shared" si="40"/>
        <v>-6.4191211685823757E-2</v>
      </c>
      <c r="AV177" s="143">
        <f t="shared" si="40"/>
        <v>3.6616090265219947E-2</v>
      </c>
      <c r="AW177" s="143" t="str">
        <f t="shared" si="35"/>
        <v/>
      </c>
      <c r="AX177" s="143" t="str">
        <f t="shared" si="35"/>
        <v/>
      </c>
      <c r="AY177" s="143" t="str">
        <f t="shared" ref="AY177:BD208" si="42">+IFERROR(AL177-AK177,"")</f>
        <v/>
      </c>
      <c r="AZ177" s="143" t="str">
        <f t="shared" si="42"/>
        <v/>
      </c>
      <c r="BA177" s="143" t="str">
        <f t="shared" si="42"/>
        <v/>
      </c>
      <c r="BB177" s="143" t="str">
        <f t="shared" si="42"/>
        <v/>
      </c>
      <c r="BC177" s="143" t="str">
        <f t="shared" si="42"/>
        <v/>
      </c>
      <c r="BD177" s="143" t="str">
        <f t="shared" si="42"/>
        <v/>
      </c>
      <c r="BF177" s="9">
        <f t="shared" si="38"/>
        <v>3.1503113359360115E-6</v>
      </c>
      <c r="BG177" s="9">
        <f t="shared" si="33"/>
        <v>0.99763011474750429</v>
      </c>
    </row>
    <row r="178" spans="2:59" x14ac:dyDescent="0.35">
      <c r="B178" s="3" t="s">
        <v>253</v>
      </c>
      <c r="D178" s="141">
        <v>601</v>
      </c>
      <c r="E178" s="141">
        <v>3610</v>
      </c>
      <c r="F178" s="141">
        <v>1627</v>
      </c>
      <c r="G178" s="141">
        <v>1599</v>
      </c>
      <c r="H178" s="141"/>
      <c r="I178" s="141"/>
      <c r="J178" s="141"/>
      <c r="K178" s="141"/>
      <c r="L178" s="141"/>
      <c r="M178" s="141"/>
      <c r="N178" s="141"/>
      <c r="O178" s="141"/>
      <c r="P178" s="141">
        <f t="shared" si="30"/>
        <v>7437</v>
      </c>
      <c r="R178" s="141">
        <v>345</v>
      </c>
      <c r="S178" s="141">
        <v>3314</v>
      </c>
      <c r="T178" s="141">
        <v>1535</v>
      </c>
      <c r="U178" s="141">
        <v>960</v>
      </c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31"/>
        <v>6154</v>
      </c>
      <c r="AF178" s="2">
        <f t="shared" si="37"/>
        <v>0.57404326123128124</v>
      </c>
      <c r="AG178" s="2">
        <f t="shared" si="37"/>
        <v>0.91800554016620495</v>
      </c>
      <c r="AH178" s="2">
        <f t="shared" si="37"/>
        <v>0.94345421020282727</v>
      </c>
      <c r="AI178" s="2">
        <f t="shared" si="37"/>
        <v>0.60037523452157604</v>
      </c>
      <c r="AJ178" s="2" t="str">
        <f t="shared" si="36"/>
        <v/>
      </c>
      <c r="AK178" s="2" t="str">
        <f t="shared" si="36"/>
        <v/>
      </c>
      <c r="AL178" s="2" t="str">
        <f t="shared" si="36"/>
        <v/>
      </c>
      <c r="AM178" s="2" t="str">
        <f t="shared" si="36"/>
        <v/>
      </c>
      <c r="AN178" s="2" t="str">
        <f t="shared" si="34"/>
        <v/>
      </c>
      <c r="AO178" s="2" t="str">
        <f t="shared" si="34"/>
        <v/>
      </c>
      <c r="AP178" s="2" t="str">
        <f t="shared" si="34"/>
        <v/>
      </c>
      <c r="AQ178" s="2" t="str">
        <f t="shared" si="34"/>
        <v/>
      </c>
      <c r="AR178" s="2">
        <f t="shared" si="41"/>
        <v>0.82748420061852901</v>
      </c>
      <c r="AT178" s="143">
        <f t="shared" si="39"/>
        <v>0.3439622789349237</v>
      </c>
      <c r="AU178" s="143">
        <f t="shared" si="40"/>
        <v>2.5448670036622323E-2</v>
      </c>
      <c r="AV178" s="143">
        <f t="shared" si="40"/>
        <v>-0.34307897568125123</v>
      </c>
      <c r="AW178" s="143" t="str">
        <f t="shared" ref="AW178:BD209" si="43">+IFERROR(AJ178-AI178,"")</f>
        <v/>
      </c>
      <c r="AX178" s="143" t="str">
        <f t="shared" si="43"/>
        <v/>
      </c>
      <c r="AY178" s="143" t="str">
        <f t="shared" si="42"/>
        <v/>
      </c>
      <c r="AZ178" s="143" t="str">
        <f t="shared" si="42"/>
        <v/>
      </c>
      <c r="BA178" s="143" t="str">
        <f t="shared" si="42"/>
        <v/>
      </c>
      <c r="BB178" s="143" t="str">
        <f t="shared" si="42"/>
        <v/>
      </c>
      <c r="BC178" s="143" t="str">
        <f t="shared" si="42"/>
        <v/>
      </c>
      <c r="BD178" s="143" t="str">
        <f t="shared" si="42"/>
        <v/>
      </c>
      <c r="BF178" s="9">
        <f t="shared" si="38"/>
        <v>7.7828245529306363E-6</v>
      </c>
      <c r="BG178" s="9">
        <f t="shared" si="33"/>
        <v>0.99763789757205723</v>
      </c>
    </row>
    <row r="179" spans="2:59" x14ac:dyDescent="0.35">
      <c r="B179" s="3" t="s">
        <v>268</v>
      </c>
      <c r="D179" s="141">
        <v>234</v>
      </c>
      <c r="E179" s="141"/>
      <c r="F179" s="141">
        <v>1531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30"/>
        <v>1765</v>
      </c>
      <c r="R179" s="141">
        <v>234</v>
      </c>
      <c r="S179" s="141"/>
      <c r="T179" s="141">
        <v>1531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31"/>
        <v>1765</v>
      </c>
      <c r="AF179" s="2">
        <f t="shared" si="37"/>
        <v>1</v>
      </c>
      <c r="AG179" s="2" t="str">
        <f t="shared" si="37"/>
        <v/>
      </c>
      <c r="AH179" s="2">
        <f t="shared" si="37"/>
        <v>1</v>
      </c>
      <c r="AI179" s="2" t="str">
        <f t="shared" si="37"/>
        <v/>
      </c>
      <c r="AJ179" s="2" t="str">
        <f t="shared" si="36"/>
        <v/>
      </c>
      <c r="AK179" s="2" t="str">
        <f t="shared" si="36"/>
        <v/>
      </c>
      <c r="AL179" s="2" t="str">
        <f t="shared" si="36"/>
        <v/>
      </c>
      <c r="AM179" s="2" t="str">
        <f t="shared" si="36"/>
        <v/>
      </c>
      <c r="AN179" s="2" t="str">
        <f t="shared" si="34"/>
        <v/>
      </c>
      <c r="AO179" s="2" t="str">
        <f t="shared" si="34"/>
        <v/>
      </c>
      <c r="AP179" s="2" t="str">
        <f t="shared" si="34"/>
        <v/>
      </c>
      <c r="AQ179" s="2" t="str">
        <f t="shared" si="34"/>
        <v/>
      </c>
      <c r="AR179" s="2">
        <f t="shared" si="41"/>
        <v>1</v>
      </c>
      <c r="AT179" s="143" t="str">
        <f t="shared" si="39"/>
        <v/>
      </c>
      <c r="AU179" s="143" t="str">
        <f t="shared" si="40"/>
        <v/>
      </c>
      <c r="AV179" s="143" t="str">
        <f t="shared" si="40"/>
        <v/>
      </c>
      <c r="AW179" s="143" t="str">
        <f t="shared" si="43"/>
        <v/>
      </c>
      <c r="AX179" s="143" t="str">
        <f t="shared" si="43"/>
        <v/>
      </c>
      <c r="AY179" s="143" t="str">
        <f t="shared" si="42"/>
        <v/>
      </c>
      <c r="AZ179" s="143" t="str">
        <f t="shared" si="42"/>
        <v/>
      </c>
      <c r="BA179" s="143" t="str">
        <f t="shared" si="42"/>
        <v/>
      </c>
      <c r="BB179" s="143" t="str">
        <f t="shared" si="42"/>
        <v/>
      </c>
      <c r="BC179" s="143" t="str">
        <f t="shared" si="42"/>
        <v/>
      </c>
      <c r="BD179" s="143" t="str">
        <f t="shared" si="42"/>
        <v/>
      </c>
      <c r="BF179" s="9">
        <f t="shared" si="38"/>
        <v>2.2321555631983381E-6</v>
      </c>
      <c r="BG179" s="9">
        <f t="shared" si="33"/>
        <v>0.99764012972762039</v>
      </c>
    </row>
    <row r="180" spans="2:59" x14ac:dyDescent="0.35">
      <c r="B180" s="3" t="s">
        <v>277</v>
      </c>
      <c r="D180" s="141">
        <v>59</v>
      </c>
      <c r="E180" s="141"/>
      <c r="F180" s="141">
        <v>1580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30"/>
        <v>1639</v>
      </c>
      <c r="R180" s="141">
        <v>59</v>
      </c>
      <c r="S180" s="141"/>
      <c r="T180" s="141">
        <v>693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31"/>
        <v>752</v>
      </c>
      <c r="AF180" s="2">
        <f t="shared" si="37"/>
        <v>1</v>
      </c>
      <c r="AG180" s="2" t="str">
        <f t="shared" si="37"/>
        <v/>
      </c>
      <c r="AH180" s="2">
        <f t="shared" si="37"/>
        <v>0.43860759493670887</v>
      </c>
      <c r="AI180" s="2" t="str">
        <f t="shared" si="37"/>
        <v/>
      </c>
      <c r="AJ180" s="2" t="str">
        <f t="shared" si="36"/>
        <v/>
      </c>
      <c r="AK180" s="2" t="str">
        <f t="shared" si="36"/>
        <v/>
      </c>
      <c r="AL180" s="2" t="str">
        <f t="shared" si="36"/>
        <v/>
      </c>
      <c r="AM180" s="2" t="str">
        <f t="shared" si="36"/>
        <v/>
      </c>
      <c r="AN180" s="2" t="str">
        <f t="shared" si="34"/>
        <v/>
      </c>
      <c r="AO180" s="2" t="str">
        <f t="shared" si="34"/>
        <v/>
      </c>
      <c r="AP180" s="2" t="str">
        <f t="shared" si="34"/>
        <v/>
      </c>
      <c r="AQ180" s="2" t="str">
        <f t="shared" si="34"/>
        <v/>
      </c>
      <c r="AR180" s="2">
        <f t="shared" si="41"/>
        <v>0.45881635143380112</v>
      </c>
      <c r="AT180" s="143" t="str">
        <f t="shared" si="39"/>
        <v/>
      </c>
      <c r="AU180" s="143" t="str">
        <f t="shared" si="40"/>
        <v/>
      </c>
      <c r="AV180" s="143" t="str">
        <f t="shared" si="40"/>
        <v/>
      </c>
      <c r="AW180" s="143" t="str">
        <f t="shared" si="43"/>
        <v/>
      </c>
      <c r="AX180" s="143" t="str">
        <f t="shared" si="43"/>
        <v/>
      </c>
      <c r="AY180" s="143" t="str">
        <f t="shared" si="42"/>
        <v/>
      </c>
      <c r="AZ180" s="143" t="str">
        <f t="shared" si="42"/>
        <v/>
      </c>
      <c r="BA180" s="143" t="str">
        <f t="shared" si="42"/>
        <v/>
      </c>
      <c r="BB180" s="143" t="str">
        <f t="shared" si="42"/>
        <v/>
      </c>
      <c r="BC180" s="143" t="str">
        <f t="shared" si="42"/>
        <v/>
      </c>
      <c r="BD180" s="143" t="str">
        <f t="shared" si="42"/>
        <v/>
      </c>
      <c r="BF180" s="9">
        <f t="shared" si="38"/>
        <v>9.510373844335129E-7</v>
      </c>
      <c r="BG180" s="9">
        <f t="shared" si="33"/>
        <v>0.9976410807650048</v>
      </c>
    </row>
    <row r="181" spans="2:59" x14ac:dyDescent="0.35">
      <c r="B181" s="3" t="s">
        <v>254</v>
      </c>
      <c r="D181" s="141">
        <v>589</v>
      </c>
      <c r="E181" s="141"/>
      <c r="F181" s="141">
        <v>1051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30"/>
        <v>1640</v>
      </c>
      <c r="R181" s="141">
        <v>466</v>
      </c>
      <c r="S181" s="141"/>
      <c r="T181" s="141">
        <v>960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31"/>
        <v>1426</v>
      </c>
      <c r="AF181" s="2">
        <f t="shared" si="37"/>
        <v>0.79117147707979629</v>
      </c>
      <c r="AG181" s="2" t="str">
        <f t="shared" si="37"/>
        <v/>
      </c>
      <c r="AH181" s="2">
        <f t="shared" si="37"/>
        <v>0.91341579448144627</v>
      </c>
      <c r="AI181" s="2" t="str">
        <f t="shared" si="37"/>
        <v/>
      </c>
      <c r="AJ181" s="2" t="str">
        <f t="shared" si="36"/>
        <v/>
      </c>
      <c r="AK181" s="2" t="str">
        <f t="shared" si="36"/>
        <v/>
      </c>
      <c r="AL181" s="2" t="str">
        <f t="shared" si="36"/>
        <v/>
      </c>
      <c r="AM181" s="2" t="str">
        <f t="shared" si="36"/>
        <v/>
      </c>
      <c r="AN181" s="2" t="str">
        <f t="shared" si="34"/>
        <v/>
      </c>
      <c r="AO181" s="2" t="str">
        <f t="shared" si="34"/>
        <v/>
      </c>
      <c r="AP181" s="2" t="str">
        <f t="shared" si="34"/>
        <v/>
      </c>
      <c r="AQ181" s="2" t="str">
        <f t="shared" si="34"/>
        <v/>
      </c>
      <c r="AR181" s="2">
        <f t="shared" si="41"/>
        <v>0.86951219512195121</v>
      </c>
      <c r="AT181" s="143" t="str">
        <f t="shared" si="39"/>
        <v/>
      </c>
      <c r="AU181" s="143" t="str">
        <f t="shared" si="40"/>
        <v/>
      </c>
      <c r="AV181" s="143" t="str">
        <f t="shared" si="40"/>
        <v/>
      </c>
      <c r="AW181" s="143" t="str">
        <f t="shared" si="43"/>
        <v/>
      </c>
      <c r="AX181" s="143" t="str">
        <f t="shared" si="43"/>
        <v/>
      </c>
      <c r="AY181" s="143" t="str">
        <f t="shared" si="42"/>
        <v/>
      </c>
      <c r="AZ181" s="143" t="str">
        <f t="shared" si="42"/>
        <v/>
      </c>
      <c r="BA181" s="143" t="str">
        <f t="shared" si="42"/>
        <v/>
      </c>
      <c r="BB181" s="143" t="str">
        <f t="shared" si="42"/>
        <v/>
      </c>
      <c r="BC181" s="143" t="str">
        <f t="shared" si="42"/>
        <v/>
      </c>
      <c r="BD181" s="143" t="str">
        <f t="shared" si="42"/>
        <v/>
      </c>
      <c r="BF181" s="9">
        <f t="shared" si="38"/>
        <v>1.8034299337795073E-6</v>
      </c>
      <c r="BG181" s="9">
        <f t="shared" si="33"/>
        <v>0.99764288419493863</v>
      </c>
    </row>
    <row r="182" spans="2:59" x14ac:dyDescent="0.35">
      <c r="B182" s="3" t="s">
        <v>243</v>
      </c>
      <c r="D182" s="141">
        <v>1449</v>
      </c>
      <c r="E182" s="141">
        <v>9409</v>
      </c>
      <c r="F182" s="141">
        <v>9575</v>
      </c>
      <c r="G182" s="141">
        <v>46677</v>
      </c>
      <c r="H182" s="141"/>
      <c r="I182" s="141"/>
      <c r="J182" s="141"/>
      <c r="K182" s="141"/>
      <c r="L182" s="141"/>
      <c r="M182" s="141"/>
      <c r="N182" s="141"/>
      <c r="O182" s="141"/>
      <c r="P182" s="141">
        <f t="shared" si="30"/>
        <v>67110</v>
      </c>
      <c r="R182" s="141">
        <v>1449</v>
      </c>
      <c r="S182" s="141">
        <v>8461</v>
      </c>
      <c r="T182" s="141">
        <v>8097</v>
      </c>
      <c r="U182" s="141">
        <v>43233</v>
      </c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31"/>
        <v>61240</v>
      </c>
      <c r="AF182" s="2">
        <f t="shared" si="37"/>
        <v>1</v>
      </c>
      <c r="AG182" s="2">
        <f t="shared" si="37"/>
        <v>0.89924540333723035</v>
      </c>
      <c r="AH182" s="2">
        <f t="shared" si="37"/>
        <v>0.84563968668407308</v>
      </c>
      <c r="AI182" s="2">
        <f t="shared" si="37"/>
        <v>0.92621633781091328</v>
      </c>
      <c r="AJ182" s="2" t="str">
        <f t="shared" si="36"/>
        <v/>
      </c>
      <c r="AK182" s="2" t="str">
        <f t="shared" si="36"/>
        <v/>
      </c>
      <c r="AL182" s="2" t="str">
        <f t="shared" si="36"/>
        <v/>
      </c>
      <c r="AM182" s="2" t="str">
        <f t="shared" si="36"/>
        <v/>
      </c>
      <c r="AN182" s="2" t="str">
        <f t="shared" si="34"/>
        <v/>
      </c>
      <c r="AO182" s="2" t="str">
        <f t="shared" si="34"/>
        <v/>
      </c>
      <c r="AP182" s="2" t="str">
        <f t="shared" si="34"/>
        <v/>
      </c>
      <c r="AQ182" s="2" t="str">
        <f t="shared" si="34"/>
        <v/>
      </c>
      <c r="AR182" s="2">
        <f t="shared" si="41"/>
        <v>0.91253166443153033</v>
      </c>
      <c r="AT182" s="143">
        <f t="shared" si="39"/>
        <v>-0.10075459666276965</v>
      </c>
      <c r="AU182" s="143">
        <f t="shared" si="40"/>
        <v>-5.3605716653157276E-2</v>
      </c>
      <c r="AV182" s="143">
        <f t="shared" si="40"/>
        <v>8.0576651126840204E-2</v>
      </c>
      <c r="AW182" s="143" t="str">
        <f t="shared" si="43"/>
        <v/>
      </c>
      <c r="AX182" s="143" t="str">
        <f t="shared" si="43"/>
        <v/>
      </c>
      <c r="AY182" s="143" t="str">
        <f t="shared" si="42"/>
        <v/>
      </c>
      <c r="AZ182" s="143" t="str">
        <f t="shared" si="42"/>
        <v/>
      </c>
      <c r="BA182" s="143" t="str">
        <f t="shared" si="42"/>
        <v/>
      </c>
      <c r="BB182" s="143" t="str">
        <f t="shared" si="42"/>
        <v/>
      </c>
      <c r="BC182" s="143" t="str">
        <f t="shared" si="42"/>
        <v/>
      </c>
      <c r="BD182" s="143" t="str">
        <f t="shared" si="42"/>
        <v/>
      </c>
      <c r="BF182" s="9">
        <f t="shared" si="38"/>
        <v>7.7448842317431294E-5</v>
      </c>
      <c r="BG182" s="9">
        <f t="shared" si="33"/>
        <v>0.99772033303725605</v>
      </c>
    </row>
    <row r="183" spans="2:59" x14ac:dyDescent="0.35">
      <c r="B183" s="3" t="s">
        <v>293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30"/>
        <v>0</v>
      </c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31"/>
        <v>0</v>
      </c>
      <c r="AF183" s="2" t="str">
        <f t="shared" si="37"/>
        <v/>
      </c>
      <c r="AG183" s="2" t="str">
        <f t="shared" si="37"/>
        <v/>
      </c>
      <c r="AH183" s="2" t="str">
        <f t="shared" si="37"/>
        <v/>
      </c>
      <c r="AI183" s="2" t="str">
        <f t="shared" si="37"/>
        <v/>
      </c>
      <c r="AJ183" s="2" t="str">
        <f t="shared" si="36"/>
        <v/>
      </c>
      <c r="AK183" s="2" t="str">
        <f t="shared" si="36"/>
        <v/>
      </c>
      <c r="AL183" s="2" t="str">
        <f t="shared" si="36"/>
        <v/>
      </c>
      <c r="AM183" s="2" t="str">
        <f t="shared" si="36"/>
        <v/>
      </c>
      <c r="AN183" s="2" t="str">
        <f t="shared" si="34"/>
        <v/>
      </c>
      <c r="AO183" s="2" t="str">
        <f t="shared" si="34"/>
        <v/>
      </c>
      <c r="AP183" s="2" t="str">
        <f t="shared" si="34"/>
        <v/>
      </c>
      <c r="AQ183" s="2" t="str">
        <f t="shared" si="34"/>
        <v/>
      </c>
      <c r="AR183" s="2" t="str">
        <f t="shared" si="41"/>
        <v/>
      </c>
      <c r="AT183" s="143" t="str">
        <f t="shared" si="39"/>
        <v/>
      </c>
      <c r="AU183" s="143" t="str">
        <f t="shared" si="40"/>
        <v/>
      </c>
      <c r="AV183" s="143" t="str">
        <f t="shared" si="40"/>
        <v/>
      </c>
      <c r="AW183" s="143" t="str">
        <f t="shared" si="43"/>
        <v/>
      </c>
      <c r="AX183" s="143" t="str">
        <f t="shared" si="43"/>
        <v/>
      </c>
      <c r="AY183" s="143" t="str">
        <f t="shared" si="42"/>
        <v/>
      </c>
      <c r="AZ183" s="143" t="str">
        <f t="shared" si="42"/>
        <v/>
      </c>
      <c r="BA183" s="143" t="str">
        <f t="shared" si="42"/>
        <v/>
      </c>
      <c r="BB183" s="143" t="str">
        <f t="shared" si="42"/>
        <v/>
      </c>
      <c r="BC183" s="143" t="str">
        <f t="shared" si="42"/>
        <v/>
      </c>
      <c r="BD183" s="143" t="str">
        <f t="shared" si="42"/>
        <v/>
      </c>
      <c r="BF183" s="9">
        <f t="shared" si="38"/>
        <v>0</v>
      </c>
      <c r="BG183" s="9">
        <f t="shared" si="33"/>
        <v>0.99772033303725605</v>
      </c>
    </row>
    <row r="184" spans="2:59" x14ac:dyDescent="0.35">
      <c r="B184" s="3" t="s">
        <v>257</v>
      </c>
      <c r="D184" s="141">
        <v>54162</v>
      </c>
      <c r="E184" s="141">
        <v>81274</v>
      </c>
      <c r="F184" s="141">
        <v>85585</v>
      </c>
      <c r="G184" s="141">
        <v>70735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30"/>
        <v>291756</v>
      </c>
      <c r="R184" s="141">
        <v>31313</v>
      </c>
      <c r="S184" s="141">
        <v>45682</v>
      </c>
      <c r="T184" s="141">
        <v>58320</v>
      </c>
      <c r="U184" s="141">
        <v>52487</v>
      </c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31"/>
        <v>187802</v>
      </c>
      <c r="AF184" s="2">
        <f t="shared" si="37"/>
        <v>0.57813596248292165</v>
      </c>
      <c r="AG184" s="2">
        <f t="shared" si="37"/>
        <v>0.56207397199596432</v>
      </c>
      <c r="AH184" s="2">
        <f t="shared" si="37"/>
        <v>0.68142782029561255</v>
      </c>
      <c r="AI184" s="2">
        <f t="shared" si="37"/>
        <v>0.74202304375485972</v>
      </c>
      <c r="AJ184" s="2" t="str">
        <f t="shared" si="36"/>
        <v/>
      </c>
      <c r="AK184" s="2" t="str">
        <f t="shared" si="36"/>
        <v/>
      </c>
      <c r="AL184" s="2" t="str">
        <f t="shared" si="36"/>
        <v/>
      </c>
      <c r="AM184" s="2" t="str">
        <f t="shared" si="36"/>
        <v/>
      </c>
      <c r="AN184" s="2" t="str">
        <f t="shared" si="34"/>
        <v/>
      </c>
      <c r="AO184" s="2" t="str">
        <f t="shared" si="34"/>
        <v/>
      </c>
      <c r="AP184" s="2" t="str">
        <f t="shared" si="34"/>
        <v/>
      </c>
      <c r="AQ184" s="2" t="str">
        <f t="shared" si="34"/>
        <v/>
      </c>
      <c r="AR184" s="2">
        <f t="shared" si="41"/>
        <v>0.64369541671807951</v>
      </c>
      <c r="AT184" s="143">
        <f t="shared" si="39"/>
        <v>-1.6061990486957334E-2</v>
      </c>
      <c r="AU184" s="143">
        <f t="shared" si="40"/>
        <v>0.11935384829964824</v>
      </c>
      <c r="AV184" s="143">
        <f t="shared" si="40"/>
        <v>6.0595223459247172E-2</v>
      </c>
      <c r="AW184" s="143" t="str">
        <f t="shared" si="43"/>
        <v/>
      </c>
      <c r="AX184" s="143" t="str">
        <f t="shared" si="43"/>
        <v/>
      </c>
      <c r="AY184" s="143" t="str">
        <f t="shared" si="42"/>
        <v/>
      </c>
      <c r="AZ184" s="143" t="str">
        <f t="shared" si="42"/>
        <v/>
      </c>
      <c r="BA184" s="143" t="str">
        <f t="shared" si="42"/>
        <v/>
      </c>
      <c r="BB184" s="143" t="str">
        <f t="shared" si="42"/>
        <v/>
      </c>
      <c r="BC184" s="143" t="str">
        <f t="shared" si="42"/>
        <v/>
      </c>
      <c r="BD184" s="143" t="str">
        <f t="shared" si="42"/>
        <v/>
      </c>
      <c r="BF184" s="9">
        <f t="shared" si="38"/>
        <v>2.3750893998854069E-4</v>
      </c>
      <c r="BG184" s="9">
        <f t="shared" si="33"/>
        <v>0.99795784197724458</v>
      </c>
    </row>
    <row r="185" spans="2:59" x14ac:dyDescent="0.35">
      <c r="B185" s="3" t="s">
        <v>233</v>
      </c>
      <c r="D185" s="141">
        <v>21129</v>
      </c>
      <c r="E185" s="141">
        <v>29822</v>
      </c>
      <c r="F185" s="141">
        <v>38929</v>
      </c>
      <c r="G185" s="141">
        <v>41626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30"/>
        <v>131506</v>
      </c>
      <c r="R185" s="141">
        <v>7307</v>
      </c>
      <c r="S185" s="141">
        <v>8435</v>
      </c>
      <c r="T185" s="141">
        <v>16580</v>
      </c>
      <c r="U185" s="141">
        <v>24302</v>
      </c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31"/>
        <v>56624</v>
      </c>
      <c r="AF185" s="2">
        <f t="shared" si="37"/>
        <v>0.34582800889772353</v>
      </c>
      <c r="AG185" s="2">
        <f t="shared" si="37"/>
        <v>0.28284487961907318</v>
      </c>
      <c r="AH185" s="2">
        <f t="shared" si="37"/>
        <v>0.42590356803411339</v>
      </c>
      <c r="AI185" s="2">
        <f t="shared" si="37"/>
        <v>0.5838178061788305</v>
      </c>
      <c r="AJ185" s="2" t="str">
        <f t="shared" si="36"/>
        <v/>
      </c>
      <c r="AK185" s="2" t="str">
        <f t="shared" si="36"/>
        <v/>
      </c>
      <c r="AL185" s="2" t="str">
        <f t="shared" si="36"/>
        <v/>
      </c>
      <c r="AM185" s="2" t="str">
        <f t="shared" si="36"/>
        <v/>
      </c>
      <c r="AN185" s="2" t="str">
        <f t="shared" si="34"/>
        <v/>
      </c>
      <c r="AO185" s="2" t="str">
        <f t="shared" si="34"/>
        <v/>
      </c>
      <c r="AP185" s="2" t="str">
        <f t="shared" si="34"/>
        <v/>
      </c>
      <c r="AQ185" s="2" t="str">
        <f t="shared" si="34"/>
        <v/>
      </c>
      <c r="AR185" s="2">
        <f t="shared" si="41"/>
        <v>0.43058111416969569</v>
      </c>
      <c r="AT185" s="143">
        <f t="shared" si="39"/>
        <v>-6.2983129278650352E-2</v>
      </c>
      <c r="AU185" s="143">
        <f t="shared" si="40"/>
        <v>0.14305868841504021</v>
      </c>
      <c r="AV185" s="143">
        <f t="shared" si="40"/>
        <v>0.15791423814471711</v>
      </c>
      <c r="AW185" s="143" t="str">
        <f t="shared" si="43"/>
        <v/>
      </c>
      <c r="AX185" s="143" t="str">
        <f t="shared" si="43"/>
        <v/>
      </c>
      <c r="AY185" s="143" t="str">
        <f t="shared" si="42"/>
        <v/>
      </c>
      <c r="AZ185" s="143" t="str">
        <f t="shared" si="42"/>
        <v/>
      </c>
      <c r="BA185" s="143" t="str">
        <f t="shared" si="42"/>
        <v/>
      </c>
      <c r="BB185" s="143" t="str">
        <f t="shared" si="42"/>
        <v/>
      </c>
      <c r="BC185" s="143" t="str">
        <f t="shared" si="42"/>
        <v/>
      </c>
      <c r="BD185" s="143" t="str">
        <f t="shared" si="42"/>
        <v/>
      </c>
      <c r="BF185" s="9">
        <f t="shared" si="38"/>
        <v>7.1611091564046861E-5</v>
      </c>
      <c r="BG185" s="9">
        <f t="shared" si="33"/>
        <v>0.99802945306880864</v>
      </c>
    </row>
    <row r="186" spans="2:59" x14ac:dyDescent="0.35">
      <c r="B186" s="3" t="s">
        <v>294</v>
      </c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30"/>
        <v>0</v>
      </c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31"/>
        <v>0</v>
      </c>
      <c r="AF186" s="2" t="str">
        <f t="shared" si="37"/>
        <v/>
      </c>
      <c r="AG186" s="2" t="str">
        <f t="shared" si="37"/>
        <v/>
      </c>
      <c r="AH186" s="2" t="str">
        <f t="shared" si="37"/>
        <v/>
      </c>
      <c r="AI186" s="2" t="str">
        <f t="shared" si="37"/>
        <v/>
      </c>
      <c r="AJ186" s="2" t="str">
        <f t="shared" si="36"/>
        <v/>
      </c>
      <c r="AK186" s="2" t="str">
        <f t="shared" si="36"/>
        <v/>
      </c>
      <c r="AL186" s="2" t="str">
        <f t="shared" si="36"/>
        <v/>
      </c>
      <c r="AM186" s="2" t="str">
        <f t="shared" si="36"/>
        <v/>
      </c>
      <c r="AN186" s="2" t="str">
        <f t="shared" si="34"/>
        <v/>
      </c>
      <c r="AO186" s="2" t="str">
        <f t="shared" si="34"/>
        <v/>
      </c>
      <c r="AP186" s="2" t="str">
        <f t="shared" si="34"/>
        <v/>
      </c>
      <c r="AQ186" s="2" t="str">
        <f t="shared" si="34"/>
        <v/>
      </c>
      <c r="AR186" s="2" t="str">
        <f t="shared" si="41"/>
        <v/>
      </c>
      <c r="AT186" s="143" t="str">
        <f t="shared" si="39"/>
        <v/>
      </c>
      <c r="AU186" s="143" t="str">
        <f t="shared" si="40"/>
        <v/>
      </c>
      <c r="AV186" s="143" t="str">
        <f t="shared" si="40"/>
        <v/>
      </c>
      <c r="AW186" s="143" t="str">
        <f t="shared" si="43"/>
        <v/>
      </c>
      <c r="AX186" s="143" t="str">
        <f t="shared" si="43"/>
        <v/>
      </c>
      <c r="AY186" s="143" t="str">
        <f t="shared" si="42"/>
        <v/>
      </c>
      <c r="AZ186" s="143" t="str">
        <f t="shared" si="42"/>
        <v/>
      </c>
      <c r="BA186" s="143" t="str">
        <f t="shared" si="42"/>
        <v/>
      </c>
      <c r="BB186" s="143" t="str">
        <f t="shared" si="42"/>
        <v/>
      </c>
      <c r="BC186" s="143" t="str">
        <f t="shared" si="42"/>
        <v/>
      </c>
      <c r="BD186" s="143" t="str">
        <f t="shared" si="42"/>
        <v/>
      </c>
      <c r="BF186" s="9">
        <f t="shared" si="38"/>
        <v>0</v>
      </c>
      <c r="BG186" s="9">
        <f t="shared" si="33"/>
        <v>0.99802945306880864</v>
      </c>
    </row>
    <row r="187" spans="2:59" x14ac:dyDescent="0.35">
      <c r="B187" s="3" t="s">
        <v>295</v>
      </c>
      <c r="D187" s="141">
        <v>21609</v>
      </c>
      <c r="E187" s="141">
        <v>13135</v>
      </c>
      <c r="F187" s="141">
        <v>4249</v>
      </c>
      <c r="G187" s="141">
        <v>5957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30"/>
        <v>44950</v>
      </c>
      <c r="R187" s="141">
        <v>19809</v>
      </c>
      <c r="S187" s="141">
        <v>9894</v>
      </c>
      <c r="T187" s="141">
        <v>2270</v>
      </c>
      <c r="U187" s="141">
        <v>3772</v>
      </c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31"/>
        <v>35745</v>
      </c>
      <c r="AF187" s="2">
        <f t="shared" si="37"/>
        <v>0.91670137442732191</v>
      </c>
      <c r="AG187" s="2">
        <f t="shared" si="37"/>
        <v>0.75325466311381806</v>
      </c>
      <c r="AH187" s="2">
        <f t="shared" si="37"/>
        <v>0.53424335137679457</v>
      </c>
      <c r="AI187" s="2">
        <f t="shared" si="37"/>
        <v>0.63320463320463316</v>
      </c>
      <c r="AJ187" s="2" t="str">
        <f t="shared" si="36"/>
        <v/>
      </c>
      <c r="AK187" s="2" t="str">
        <f t="shared" si="36"/>
        <v/>
      </c>
      <c r="AL187" s="2" t="str">
        <f t="shared" si="36"/>
        <v/>
      </c>
      <c r="AM187" s="2" t="str">
        <f t="shared" si="36"/>
        <v/>
      </c>
      <c r="AN187" s="2" t="str">
        <f t="shared" si="34"/>
        <v/>
      </c>
      <c r="AO187" s="2" t="str">
        <f t="shared" si="34"/>
        <v/>
      </c>
      <c r="AP187" s="2" t="str">
        <f t="shared" si="34"/>
        <v/>
      </c>
      <c r="AQ187" s="2" t="str">
        <f t="shared" si="34"/>
        <v/>
      </c>
      <c r="AR187" s="2">
        <f t="shared" si="41"/>
        <v>0.79521690767519471</v>
      </c>
      <c r="AT187" s="143">
        <f t="shared" si="39"/>
        <v>-0.16344671131350386</v>
      </c>
      <c r="AU187" s="143">
        <f t="shared" si="40"/>
        <v>-0.21901131173702348</v>
      </c>
      <c r="AV187" s="143">
        <f t="shared" si="40"/>
        <v>9.8961281827838588E-2</v>
      </c>
      <c r="AW187" s="143" t="str">
        <f t="shared" si="43"/>
        <v/>
      </c>
      <c r="AX187" s="143" t="str">
        <f t="shared" si="43"/>
        <v/>
      </c>
      <c r="AY187" s="143" t="str">
        <f t="shared" si="42"/>
        <v/>
      </c>
      <c r="AZ187" s="143" t="str">
        <f t="shared" si="42"/>
        <v/>
      </c>
      <c r="BA187" s="143" t="str">
        <f t="shared" si="42"/>
        <v/>
      </c>
      <c r="BB187" s="143" t="str">
        <f t="shared" si="42"/>
        <v/>
      </c>
      <c r="BC187" s="143" t="str">
        <f t="shared" si="42"/>
        <v/>
      </c>
      <c r="BD187" s="143" t="str">
        <f t="shared" si="42"/>
        <v/>
      </c>
      <c r="BF187" s="9">
        <f t="shared" si="38"/>
        <v>4.5205892694914787E-5</v>
      </c>
      <c r="BG187" s="9">
        <f t="shared" si="33"/>
        <v>0.9980746589615036</v>
      </c>
    </row>
    <row r="188" spans="2:59" x14ac:dyDescent="0.35">
      <c r="B188" s="3" t="s">
        <v>245</v>
      </c>
      <c r="D188" s="141">
        <v>13522</v>
      </c>
      <c r="E188" s="141">
        <v>1236</v>
      </c>
      <c r="F188" s="141">
        <v>91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30"/>
        <v>14849</v>
      </c>
      <c r="R188" s="141">
        <v>13522</v>
      </c>
      <c r="S188" s="141">
        <v>1156</v>
      </c>
      <c r="T188" s="141">
        <v>91</v>
      </c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31"/>
        <v>14769</v>
      </c>
      <c r="AF188" s="2">
        <f t="shared" si="37"/>
        <v>1</v>
      </c>
      <c r="AG188" s="2">
        <f t="shared" si="37"/>
        <v>0.93527508090614886</v>
      </c>
      <c r="AH188" s="2">
        <f t="shared" si="37"/>
        <v>1</v>
      </c>
      <c r="AI188" s="2" t="str">
        <f t="shared" si="37"/>
        <v/>
      </c>
      <c r="AJ188" s="2" t="str">
        <f t="shared" si="36"/>
        <v/>
      </c>
      <c r="AK188" s="2" t="str">
        <f t="shared" si="36"/>
        <v/>
      </c>
      <c r="AL188" s="2" t="str">
        <f t="shared" si="36"/>
        <v/>
      </c>
      <c r="AM188" s="2" t="str">
        <f t="shared" si="36"/>
        <v/>
      </c>
      <c r="AN188" s="2" t="str">
        <f t="shared" si="34"/>
        <v/>
      </c>
      <c r="AO188" s="2" t="str">
        <f t="shared" si="34"/>
        <v/>
      </c>
      <c r="AP188" s="2" t="str">
        <f t="shared" si="34"/>
        <v/>
      </c>
      <c r="AQ188" s="2" t="str">
        <f t="shared" si="34"/>
        <v/>
      </c>
      <c r="AR188" s="2">
        <f t="shared" si="41"/>
        <v>0.99461243181359016</v>
      </c>
      <c r="AT188" s="143">
        <f t="shared" si="39"/>
        <v>-6.4724919093851141E-2</v>
      </c>
      <c r="AU188" s="143">
        <f t="shared" si="40"/>
        <v>6.4724919093851141E-2</v>
      </c>
      <c r="AV188" s="143" t="str">
        <f t="shared" si="40"/>
        <v/>
      </c>
      <c r="AW188" s="143" t="str">
        <f t="shared" si="43"/>
        <v/>
      </c>
      <c r="AX188" s="143" t="str">
        <f t="shared" si="43"/>
        <v/>
      </c>
      <c r="AY188" s="143" t="str">
        <f t="shared" si="42"/>
        <v/>
      </c>
      <c r="AZ188" s="143" t="str">
        <f t="shared" si="42"/>
        <v/>
      </c>
      <c r="BA188" s="143" t="str">
        <f t="shared" si="42"/>
        <v/>
      </c>
      <c r="BB188" s="143" t="str">
        <f t="shared" si="42"/>
        <v/>
      </c>
      <c r="BC188" s="143" t="str">
        <f t="shared" si="42"/>
        <v/>
      </c>
      <c r="BD188" s="143" t="str">
        <f t="shared" si="42"/>
        <v/>
      </c>
      <c r="BF188" s="9">
        <f t="shared" si="38"/>
        <v>1.8678020120609778E-5</v>
      </c>
      <c r="BG188" s="9">
        <f t="shared" si="33"/>
        <v>0.99809333698162417</v>
      </c>
    </row>
    <row r="189" spans="2:59" x14ac:dyDescent="0.35">
      <c r="B189" s="3" t="s">
        <v>250</v>
      </c>
      <c r="D189" s="141">
        <v>5655</v>
      </c>
      <c r="E189" s="141">
        <v>4388</v>
      </c>
      <c r="F189" s="141">
        <v>23479</v>
      </c>
      <c r="G189" s="141">
        <v>13438</v>
      </c>
      <c r="H189" s="141"/>
      <c r="I189" s="141"/>
      <c r="J189" s="141"/>
      <c r="K189" s="141"/>
      <c r="L189" s="141"/>
      <c r="M189" s="141"/>
      <c r="N189" s="141"/>
      <c r="O189" s="141"/>
      <c r="P189" s="141">
        <f t="shared" si="30"/>
        <v>46960</v>
      </c>
      <c r="R189" s="141">
        <v>411</v>
      </c>
      <c r="S189" s="141">
        <v>769</v>
      </c>
      <c r="T189" s="141">
        <v>22160</v>
      </c>
      <c r="U189" s="141">
        <v>13073</v>
      </c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31"/>
        <v>36413</v>
      </c>
      <c r="AF189" s="2">
        <f t="shared" si="37"/>
        <v>7.2679045092838193E-2</v>
      </c>
      <c r="AG189" s="2">
        <f t="shared" si="37"/>
        <v>0.17525068368277119</v>
      </c>
      <c r="AH189" s="2">
        <f t="shared" si="37"/>
        <v>0.9438221389326632</v>
      </c>
      <c r="AI189" s="2">
        <f t="shared" si="37"/>
        <v>0.97283821997321029</v>
      </c>
      <c r="AJ189" s="2" t="str">
        <f t="shared" si="36"/>
        <v/>
      </c>
      <c r="AK189" s="2" t="str">
        <f t="shared" si="36"/>
        <v/>
      </c>
      <c r="AL189" s="2" t="str">
        <f t="shared" si="36"/>
        <v/>
      </c>
      <c r="AM189" s="2" t="str">
        <f t="shared" si="36"/>
        <v/>
      </c>
      <c r="AN189" s="2" t="str">
        <f t="shared" si="34"/>
        <v/>
      </c>
      <c r="AO189" s="2" t="str">
        <f t="shared" si="34"/>
        <v/>
      </c>
      <c r="AP189" s="2" t="str">
        <f t="shared" si="34"/>
        <v/>
      </c>
      <c r="AQ189" s="2" t="str">
        <f t="shared" si="34"/>
        <v/>
      </c>
      <c r="AR189" s="2">
        <f t="shared" si="41"/>
        <v>0.77540459965928454</v>
      </c>
      <c r="AT189" s="143">
        <f t="shared" si="39"/>
        <v>0.102571638589933</v>
      </c>
      <c r="AU189" s="143">
        <f t="shared" si="40"/>
        <v>0.76857145524989201</v>
      </c>
      <c r="AV189" s="143">
        <f t="shared" si="40"/>
        <v>2.9016081040547093E-2</v>
      </c>
      <c r="AW189" s="143" t="str">
        <f t="shared" si="43"/>
        <v/>
      </c>
      <c r="AX189" s="143" t="str">
        <f t="shared" si="43"/>
        <v/>
      </c>
      <c r="AY189" s="143" t="str">
        <f t="shared" si="42"/>
        <v/>
      </c>
      <c r="AZ189" s="143" t="str">
        <f t="shared" si="42"/>
        <v/>
      </c>
      <c r="BA189" s="143" t="str">
        <f t="shared" si="42"/>
        <v/>
      </c>
      <c r="BB189" s="143" t="str">
        <f t="shared" si="42"/>
        <v/>
      </c>
      <c r="BC189" s="143" t="str">
        <f t="shared" si="42"/>
        <v/>
      </c>
      <c r="BD189" s="143" t="str">
        <f t="shared" si="42"/>
        <v/>
      </c>
      <c r="BF189" s="9">
        <f t="shared" si="38"/>
        <v>4.6050697180023281E-5</v>
      </c>
      <c r="BG189" s="9">
        <f t="shared" si="33"/>
        <v>0.99813938767880417</v>
      </c>
    </row>
    <row r="190" spans="2:59" x14ac:dyDescent="0.35">
      <c r="B190" s="3" t="s">
        <v>284</v>
      </c>
      <c r="D190" s="141">
        <v>2801</v>
      </c>
      <c r="E190" s="141">
        <v>3269</v>
      </c>
      <c r="F190" s="141">
        <v>884</v>
      </c>
      <c r="G190" s="141">
        <v>4182</v>
      </c>
      <c r="H190" s="141"/>
      <c r="I190" s="141"/>
      <c r="J190" s="141"/>
      <c r="K190" s="141"/>
      <c r="L190" s="141"/>
      <c r="M190" s="141"/>
      <c r="N190" s="141"/>
      <c r="O190" s="141"/>
      <c r="P190" s="141">
        <f t="shared" si="30"/>
        <v>11136</v>
      </c>
      <c r="R190" s="141">
        <v>561</v>
      </c>
      <c r="S190" s="141">
        <v>1725</v>
      </c>
      <c r="T190" s="141">
        <v>693</v>
      </c>
      <c r="U190" s="141">
        <v>306</v>
      </c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31"/>
        <v>3285</v>
      </c>
      <c r="AF190" s="2">
        <f t="shared" si="37"/>
        <v>0.2002856122813281</v>
      </c>
      <c r="AG190" s="2">
        <f t="shared" si="37"/>
        <v>0.52768430712756198</v>
      </c>
      <c r="AH190" s="2">
        <f t="shared" si="37"/>
        <v>0.7839366515837104</v>
      </c>
      <c r="AI190" s="2">
        <f t="shared" si="37"/>
        <v>7.3170731707317069E-2</v>
      </c>
      <c r="AJ190" s="2" t="str">
        <f t="shared" si="36"/>
        <v/>
      </c>
      <c r="AK190" s="2" t="str">
        <f t="shared" si="36"/>
        <v/>
      </c>
      <c r="AL190" s="2" t="str">
        <f t="shared" si="36"/>
        <v/>
      </c>
      <c r="AM190" s="2" t="str">
        <f t="shared" si="36"/>
        <v/>
      </c>
      <c r="AN190" s="2" t="str">
        <f t="shared" si="34"/>
        <v/>
      </c>
      <c r="AO190" s="2" t="str">
        <f t="shared" si="34"/>
        <v/>
      </c>
      <c r="AP190" s="2" t="str">
        <f t="shared" si="34"/>
        <v/>
      </c>
      <c r="AQ190" s="2" t="str">
        <f t="shared" si="34"/>
        <v/>
      </c>
      <c r="AR190" s="2">
        <f t="shared" si="41"/>
        <v>0.29498922413793105</v>
      </c>
      <c r="AT190" s="143">
        <f t="shared" si="39"/>
        <v>0.32739869484623385</v>
      </c>
      <c r="AU190" s="143">
        <f t="shared" si="40"/>
        <v>0.25625234445614842</v>
      </c>
      <c r="AV190" s="143">
        <f t="shared" si="40"/>
        <v>-0.71076591987639337</v>
      </c>
      <c r="AW190" s="143" t="str">
        <f t="shared" si="43"/>
        <v/>
      </c>
      <c r="AX190" s="143" t="str">
        <f t="shared" si="43"/>
        <v/>
      </c>
      <c r="AY190" s="143" t="str">
        <f t="shared" si="42"/>
        <v/>
      </c>
      <c r="AZ190" s="143" t="str">
        <f t="shared" si="42"/>
        <v/>
      </c>
      <c r="BA190" s="143" t="str">
        <f t="shared" si="42"/>
        <v/>
      </c>
      <c r="BB190" s="143" t="str">
        <f t="shared" si="42"/>
        <v/>
      </c>
      <c r="BC190" s="143" t="str">
        <f t="shared" si="42"/>
        <v/>
      </c>
      <c r="BD190" s="143" t="str">
        <f t="shared" si="42"/>
        <v/>
      </c>
      <c r="BF190" s="9">
        <f t="shared" si="38"/>
        <v>4.1544651700320342E-6</v>
      </c>
      <c r="BG190" s="9">
        <f t="shared" si="33"/>
        <v>0.99814354214397416</v>
      </c>
    </row>
    <row r="191" spans="2:59" x14ac:dyDescent="0.35">
      <c r="B191" s="3" t="s">
        <v>258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30"/>
        <v>0</v>
      </c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31"/>
        <v>0</v>
      </c>
      <c r="AF191" s="2" t="str">
        <f t="shared" si="37"/>
        <v/>
      </c>
      <c r="AG191" s="2" t="str">
        <f t="shared" si="37"/>
        <v/>
      </c>
      <c r="AH191" s="2" t="str">
        <f t="shared" si="37"/>
        <v/>
      </c>
      <c r="AI191" s="2" t="str">
        <f t="shared" si="37"/>
        <v/>
      </c>
      <c r="AJ191" s="2" t="str">
        <f t="shared" si="36"/>
        <v/>
      </c>
      <c r="AK191" s="2" t="str">
        <f t="shared" si="36"/>
        <v/>
      </c>
      <c r="AL191" s="2" t="str">
        <f t="shared" si="36"/>
        <v/>
      </c>
      <c r="AM191" s="2" t="str">
        <f t="shared" si="36"/>
        <v/>
      </c>
      <c r="AN191" s="2" t="str">
        <f t="shared" si="34"/>
        <v/>
      </c>
      <c r="AO191" s="2" t="str">
        <f t="shared" si="34"/>
        <v/>
      </c>
      <c r="AP191" s="2" t="str">
        <f t="shared" si="34"/>
        <v/>
      </c>
      <c r="AQ191" s="2" t="str">
        <f t="shared" si="34"/>
        <v/>
      </c>
      <c r="AR191" s="2" t="str">
        <f t="shared" si="41"/>
        <v/>
      </c>
      <c r="AT191" s="143" t="str">
        <f t="shared" si="39"/>
        <v/>
      </c>
      <c r="AU191" s="143" t="str">
        <f t="shared" si="40"/>
        <v/>
      </c>
      <c r="AV191" s="143" t="str">
        <f t="shared" si="40"/>
        <v/>
      </c>
      <c r="AW191" s="143" t="str">
        <f t="shared" si="43"/>
        <v/>
      </c>
      <c r="AX191" s="143" t="str">
        <f t="shared" si="43"/>
        <v/>
      </c>
      <c r="AY191" s="143" t="str">
        <f t="shared" si="42"/>
        <v/>
      </c>
      <c r="AZ191" s="143" t="str">
        <f t="shared" si="42"/>
        <v/>
      </c>
      <c r="BA191" s="143" t="str">
        <f t="shared" si="42"/>
        <v/>
      </c>
      <c r="BB191" s="143" t="str">
        <f t="shared" si="42"/>
        <v/>
      </c>
      <c r="BC191" s="143" t="str">
        <f t="shared" si="42"/>
        <v/>
      </c>
      <c r="BD191" s="143" t="str">
        <f t="shared" si="42"/>
        <v/>
      </c>
      <c r="BF191" s="9">
        <f t="shared" si="38"/>
        <v>0</v>
      </c>
      <c r="BG191" s="9">
        <f t="shared" si="33"/>
        <v>0.99814354214397416</v>
      </c>
    </row>
    <row r="192" spans="2:59" x14ac:dyDescent="0.35">
      <c r="B192" s="3" t="s">
        <v>263</v>
      </c>
      <c r="D192" s="141">
        <v>738</v>
      </c>
      <c r="E192" s="141"/>
      <c r="F192" s="141">
        <v>48</v>
      </c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30"/>
        <v>786</v>
      </c>
      <c r="R192" s="141">
        <v>738</v>
      </c>
      <c r="S192" s="141"/>
      <c r="T192" s="141">
        <v>48</v>
      </c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31"/>
        <v>786</v>
      </c>
      <c r="AF192" s="2">
        <f t="shared" si="37"/>
        <v>1</v>
      </c>
      <c r="AG192" s="2" t="str">
        <f t="shared" si="37"/>
        <v/>
      </c>
      <c r="AH192" s="2">
        <f t="shared" si="37"/>
        <v>1</v>
      </c>
      <c r="AI192" s="2" t="str">
        <f t="shared" si="37"/>
        <v/>
      </c>
      <c r="AJ192" s="2" t="str">
        <f t="shared" si="36"/>
        <v/>
      </c>
      <c r="AK192" s="2" t="str">
        <f t="shared" si="36"/>
        <v/>
      </c>
      <c r="AL192" s="2" t="str">
        <f t="shared" si="36"/>
        <v/>
      </c>
      <c r="AM192" s="2" t="str">
        <f t="shared" si="36"/>
        <v/>
      </c>
      <c r="AN192" s="2" t="str">
        <f t="shared" si="34"/>
        <v/>
      </c>
      <c r="AO192" s="2" t="str">
        <f t="shared" si="34"/>
        <v/>
      </c>
      <c r="AP192" s="2" t="str">
        <f t="shared" si="34"/>
        <v/>
      </c>
      <c r="AQ192" s="2" t="str">
        <f t="shared" si="34"/>
        <v/>
      </c>
      <c r="AR192" s="2">
        <f t="shared" si="41"/>
        <v>1</v>
      </c>
      <c r="AT192" s="143" t="str">
        <f t="shared" si="39"/>
        <v/>
      </c>
      <c r="AU192" s="143" t="str">
        <f t="shared" si="40"/>
        <v/>
      </c>
      <c r="AV192" s="143" t="str">
        <f t="shared" si="40"/>
        <v/>
      </c>
      <c r="AW192" s="143" t="str">
        <f t="shared" si="43"/>
        <v/>
      </c>
      <c r="AX192" s="143" t="str">
        <f t="shared" si="43"/>
        <v/>
      </c>
      <c r="AY192" s="143" t="str">
        <f t="shared" si="42"/>
        <v/>
      </c>
      <c r="AZ192" s="143" t="str">
        <f t="shared" si="42"/>
        <v/>
      </c>
      <c r="BA192" s="143" t="str">
        <f t="shared" si="42"/>
        <v/>
      </c>
      <c r="BB192" s="143" t="str">
        <f t="shared" si="42"/>
        <v/>
      </c>
      <c r="BC192" s="143" t="str">
        <f t="shared" si="42"/>
        <v/>
      </c>
      <c r="BD192" s="143" t="str">
        <f t="shared" si="42"/>
        <v/>
      </c>
      <c r="BF192" s="9">
        <f t="shared" si="38"/>
        <v>9.9403641511268777E-7</v>
      </c>
      <c r="BG192" s="9">
        <f t="shared" si="33"/>
        <v>0.99814453618038923</v>
      </c>
    </row>
    <row r="193" spans="2:59" x14ac:dyDescent="0.35">
      <c r="B193" s="3" t="s">
        <v>296</v>
      </c>
      <c r="D193" s="141">
        <v>7179</v>
      </c>
      <c r="E193" s="141">
        <v>17029</v>
      </c>
      <c r="F193" s="141">
        <v>19406</v>
      </c>
      <c r="G193" s="141">
        <v>39936</v>
      </c>
      <c r="H193" s="141"/>
      <c r="I193" s="141"/>
      <c r="J193" s="141"/>
      <c r="K193" s="141"/>
      <c r="L193" s="141"/>
      <c r="M193" s="141"/>
      <c r="N193" s="141"/>
      <c r="O193" s="141"/>
      <c r="P193" s="141">
        <f t="shared" si="30"/>
        <v>83550</v>
      </c>
      <c r="R193" s="141">
        <v>6780</v>
      </c>
      <c r="S193" s="141">
        <v>16016</v>
      </c>
      <c r="T193" s="141">
        <v>14049</v>
      </c>
      <c r="U193" s="141">
        <v>37493</v>
      </c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31"/>
        <v>74338</v>
      </c>
      <c r="AF193" s="2">
        <f t="shared" si="37"/>
        <v>0.94442122858336819</v>
      </c>
      <c r="AG193" s="2">
        <f t="shared" si="37"/>
        <v>0.94051324211638965</v>
      </c>
      <c r="AH193" s="2">
        <f t="shared" si="37"/>
        <v>0.72395135525095333</v>
      </c>
      <c r="AI193" s="2">
        <f t="shared" si="37"/>
        <v>0.9388271233974359</v>
      </c>
      <c r="AJ193" s="2" t="str">
        <f t="shared" si="36"/>
        <v/>
      </c>
      <c r="AK193" s="2" t="str">
        <f t="shared" si="36"/>
        <v/>
      </c>
      <c r="AL193" s="2" t="str">
        <f t="shared" si="36"/>
        <v/>
      </c>
      <c r="AM193" s="2" t="str">
        <f t="shared" si="36"/>
        <v/>
      </c>
      <c r="AN193" s="2" t="str">
        <f t="shared" si="34"/>
        <v/>
      </c>
      <c r="AO193" s="2" t="str">
        <f t="shared" si="34"/>
        <v/>
      </c>
      <c r="AP193" s="2" t="str">
        <f t="shared" si="34"/>
        <v/>
      </c>
      <c r="AQ193" s="2" t="str">
        <f t="shared" si="34"/>
        <v/>
      </c>
      <c r="AR193" s="2">
        <f t="shared" si="41"/>
        <v>0.88974266906044286</v>
      </c>
      <c r="AT193" s="143">
        <f t="shared" si="39"/>
        <v>-3.9079864669785414E-3</v>
      </c>
      <c r="AU193" s="143">
        <f t="shared" si="40"/>
        <v>-0.21656188686543631</v>
      </c>
      <c r="AV193" s="143">
        <f t="shared" si="40"/>
        <v>0.21487576814648257</v>
      </c>
      <c r="AW193" s="143" t="str">
        <f t="shared" si="43"/>
        <v/>
      </c>
      <c r="AX193" s="143" t="str">
        <f t="shared" si="43"/>
        <v/>
      </c>
      <c r="AY193" s="143" t="str">
        <f t="shared" si="42"/>
        <v/>
      </c>
      <c r="AZ193" s="143" t="str">
        <f t="shared" si="42"/>
        <v/>
      </c>
      <c r="BA193" s="143" t="str">
        <f t="shared" si="42"/>
        <v/>
      </c>
      <c r="BB193" s="143" t="str">
        <f t="shared" si="42"/>
        <v/>
      </c>
      <c r="BC193" s="143" t="str">
        <f t="shared" si="42"/>
        <v/>
      </c>
      <c r="BD193" s="143" t="str">
        <f t="shared" si="42"/>
        <v/>
      </c>
      <c r="BF193" s="9">
        <f t="shared" si="38"/>
        <v>9.4013586547896918E-5</v>
      </c>
      <c r="BG193" s="9">
        <f t="shared" si="33"/>
        <v>0.99823854976693716</v>
      </c>
    </row>
    <row r="194" spans="2:59" x14ac:dyDescent="0.35">
      <c r="B194" s="3" t="s">
        <v>297</v>
      </c>
      <c r="D194" s="141">
        <v>396</v>
      </c>
      <c r="E194" s="141">
        <v>223</v>
      </c>
      <c r="F194" s="141">
        <v>312</v>
      </c>
      <c r="G194" s="141">
        <v>250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30"/>
        <v>1181</v>
      </c>
      <c r="R194" s="141">
        <v>297</v>
      </c>
      <c r="S194" s="141">
        <v>198</v>
      </c>
      <c r="T194" s="141">
        <v>312</v>
      </c>
      <c r="U194" s="141">
        <v>250</v>
      </c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31"/>
        <v>1057</v>
      </c>
      <c r="AF194" s="2">
        <f t="shared" si="37"/>
        <v>0.75</v>
      </c>
      <c r="AG194" s="2">
        <f t="shared" si="37"/>
        <v>0.88789237668161436</v>
      </c>
      <c r="AH194" s="2">
        <f t="shared" si="37"/>
        <v>1</v>
      </c>
      <c r="AI194" s="2">
        <f t="shared" si="37"/>
        <v>1</v>
      </c>
      <c r="AJ194" s="2" t="str">
        <f t="shared" si="36"/>
        <v/>
      </c>
      <c r="AK194" s="2" t="str">
        <f t="shared" si="36"/>
        <v/>
      </c>
      <c r="AL194" s="2" t="str">
        <f t="shared" si="36"/>
        <v/>
      </c>
      <c r="AM194" s="2" t="str">
        <f t="shared" si="36"/>
        <v/>
      </c>
      <c r="AN194" s="2" t="str">
        <f t="shared" si="34"/>
        <v/>
      </c>
      <c r="AO194" s="2" t="str">
        <f t="shared" si="34"/>
        <v/>
      </c>
      <c r="AP194" s="2" t="str">
        <f t="shared" si="34"/>
        <v/>
      </c>
      <c r="AQ194" s="2" t="str">
        <f t="shared" si="34"/>
        <v/>
      </c>
      <c r="AR194" s="2">
        <f t="shared" si="41"/>
        <v>0.89500423370025406</v>
      </c>
      <c r="AT194" s="143">
        <f t="shared" si="39"/>
        <v>0.13789237668161436</v>
      </c>
      <c r="AU194" s="143">
        <f t="shared" si="40"/>
        <v>0.11210762331838564</v>
      </c>
      <c r="AV194" s="143">
        <f t="shared" si="40"/>
        <v>0</v>
      </c>
      <c r="AW194" s="143" t="str">
        <f t="shared" si="43"/>
        <v/>
      </c>
      <c r="AX194" s="143" t="str">
        <f t="shared" si="43"/>
        <v/>
      </c>
      <c r="AY194" s="143" t="str">
        <f t="shared" si="42"/>
        <v/>
      </c>
      <c r="AZ194" s="143" t="str">
        <f t="shared" si="42"/>
        <v/>
      </c>
      <c r="BA194" s="143" t="str">
        <f t="shared" si="42"/>
        <v/>
      </c>
      <c r="BB194" s="143" t="str">
        <f t="shared" si="42"/>
        <v/>
      </c>
      <c r="BC194" s="143" t="str">
        <f t="shared" si="42"/>
        <v/>
      </c>
      <c r="BD194" s="143" t="str">
        <f t="shared" si="42"/>
        <v/>
      </c>
      <c r="BF194" s="9">
        <f t="shared" si="38"/>
        <v>1.3367639831731691E-6</v>
      </c>
      <c r="BG194" s="9">
        <f t="shared" si="33"/>
        <v>0.99823988653092033</v>
      </c>
    </row>
    <row r="195" spans="2:59" x14ac:dyDescent="0.35">
      <c r="B195" s="3" t="s">
        <v>298</v>
      </c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30"/>
        <v>0</v>
      </c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31"/>
        <v>0</v>
      </c>
      <c r="AF195" s="2" t="str">
        <f t="shared" si="37"/>
        <v/>
      </c>
      <c r="AG195" s="2" t="str">
        <f t="shared" si="37"/>
        <v/>
      </c>
      <c r="AH195" s="2" t="str">
        <f t="shared" si="37"/>
        <v/>
      </c>
      <c r="AI195" s="2" t="str">
        <f t="shared" si="37"/>
        <v/>
      </c>
      <c r="AJ195" s="2" t="str">
        <f t="shared" si="36"/>
        <v/>
      </c>
      <c r="AK195" s="2" t="str">
        <f t="shared" si="36"/>
        <v/>
      </c>
      <c r="AL195" s="2" t="str">
        <f t="shared" si="36"/>
        <v/>
      </c>
      <c r="AM195" s="2" t="str">
        <f t="shared" si="36"/>
        <v/>
      </c>
      <c r="AN195" s="2" t="str">
        <f t="shared" si="34"/>
        <v/>
      </c>
      <c r="AO195" s="2" t="str">
        <f t="shared" si="34"/>
        <v/>
      </c>
      <c r="AP195" s="2" t="str">
        <f t="shared" si="34"/>
        <v/>
      </c>
      <c r="AQ195" s="2" t="str">
        <f t="shared" si="34"/>
        <v/>
      </c>
      <c r="AR195" s="2" t="str">
        <f t="shared" si="41"/>
        <v/>
      </c>
      <c r="AT195" s="143" t="str">
        <f t="shared" si="39"/>
        <v/>
      </c>
      <c r="AU195" s="143" t="str">
        <f t="shared" si="40"/>
        <v/>
      </c>
      <c r="AV195" s="143" t="str">
        <f t="shared" si="40"/>
        <v/>
      </c>
      <c r="AW195" s="143" t="str">
        <f t="shared" si="43"/>
        <v/>
      </c>
      <c r="AX195" s="143" t="str">
        <f t="shared" si="43"/>
        <v/>
      </c>
      <c r="AY195" s="143" t="str">
        <f t="shared" si="42"/>
        <v/>
      </c>
      <c r="AZ195" s="143" t="str">
        <f t="shared" si="42"/>
        <v/>
      </c>
      <c r="BA195" s="143" t="str">
        <f t="shared" si="42"/>
        <v/>
      </c>
      <c r="BB195" s="143" t="str">
        <f t="shared" si="42"/>
        <v/>
      </c>
      <c r="BC195" s="143" t="str">
        <f t="shared" si="42"/>
        <v/>
      </c>
      <c r="BD195" s="143" t="str">
        <f t="shared" si="42"/>
        <v/>
      </c>
      <c r="BF195" s="9">
        <f t="shared" si="38"/>
        <v>0</v>
      </c>
      <c r="BG195" s="9">
        <f t="shared" si="33"/>
        <v>0.99823988653092033</v>
      </c>
    </row>
    <row r="196" spans="2:59" x14ac:dyDescent="0.35">
      <c r="B196" s="3" t="s">
        <v>299</v>
      </c>
      <c r="D196" s="141">
        <v>254</v>
      </c>
      <c r="E196" s="141"/>
      <c r="F196" s="141">
        <v>2430</v>
      </c>
      <c r="G196" s="141">
        <v>315</v>
      </c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55" si="44">+SUM(D196:O196)</f>
        <v>2999</v>
      </c>
      <c r="R196" s="141">
        <v>114</v>
      </c>
      <c r="S196" s="141"/>
      <c r="T196" s="141">
        <v>2405</v>
      </c>
      <c r="U196" s="141">
        <v>315</v>
      </c>
      <c r="V196" s="141"/>
      <c r="W196" s="141"/>
      <c r="X196" s="141"/>
      <c r="Y196" s="141"/>
      <c r="Z196" s="141"/>
      <c r="AA196" s="141"/>
      <c r="AB196" s="141"/>
      <c r="AC196" s="141"/>
      <c r="AD196" s="141">
        <f t="shared" ref="AD196:AD255" si="45">+SUM(R196:AC196)</f>
        <v>2834</v>
      </c>
      <c r="AF196" s="2">
        <f t="shared" si="37"/>
        <v>0.44881889763779526</v>
      </c>
      <c r="AG196" s="2" t="str">
        <f t="shared" si="37"/>
        <v/>
      </c>
      <c r="AH196" s="2">
        <f t="shared" si="37"/>
        <v>0.98971193415637859</v>
      </c>
      <c r="AI196" s="2">
        <f t="shared" si="37"/>
        <v>1</v>
      </c>
      <c r="AJ196" s="2" t="str">
        <f t="shared" si="36"/>
        <v/>
      </c>
      <c r="AK196" s="2" t="str">
        <f t="shared" si="36"/>
        <v/>
      </c>
      <c r="AL196" s="2" t="str">
        <f t="shared" si="36"/>
        <v/>
      </c>
      <c r="AM196" s="2" t="str">
        <f t="shared" si="36"/>
        <v/>
      </c>
      <c r="AN196" s="2" t="str">
        <f t="shared" si="34"/>
        <v/>
      </c>
      <c r="AO196" s="2" t="str">
        <f t="shared" si="34"/>
        <v/>
      </c>
      <c r="AP196" s="2" t="str">
        <f t="shared" si="34"/>
        <v/>
      </c>
      <c r="AQ196" s="2" t="str">
        <f t="shared" si="34"/>
        <v/>
      </c>
      <c r="AR196" s="2">
        <f t="shared" si="41"/>
        <v>0.94498166055351784</v>
      </c>
      <c r="AT196" s="143" t="str">
        <f t="shared" si="39"/>
        <v/>
      </c>
      <c r="AU196" s="143" t="str">
        <f t="shared" si="40"/>
        <v/>
      </c>
      <c r="AV196" s="143">
        <f t="shared" si="40"/>
        <v>1.0288065843621408E-2</v>
      </c>
      <c r="AW196" s="143" t="str">
        <f t="shared" si="43"/>
        <v/>
      </c>
      <c r="AX196" s="143" t="str">
        <f t="shared" si="43"/>
        <v/>
      </c>
      <c r="AY196" s="143" t="str">
        <f t="shared" si="42"/>
        <v/>
      </c>
      <c r="AZ196" s="143" t="str">
        <f t="shared" si="42"/>
        <v/>
      </c>
      <c r="BA196" s="143" t="str">
        <f t="shared" si="42"/>
        <v/>
      </c>
      <c r="BB196" s="143" t="str">
        <f t="shared" si="42"/>
        <v/>
      </c>
      <c r="BC196" s="143" t="str">
        <f t="shared" si="42"/>
        <v/>
      </c>
      <c r="BD196" s="143" t="str">
        <f t="shared" si="42"/>
        <v/>
      </c>
      <c r="BF196" s="9">
        <f t="shared" ref="BF196:BF255" si="46">+AD196/$AD$256</f>
        <v>3.5840956748465102E-6</v>
      </c>
      <c r="BG196" s="9">
        <f t="shared" si="33"/>
        <v>0.99824347062659513</v>
      </c>
    </row>
    <row r="197" spans="2:59" x14ac:dyDescent="0.35">
      <c r="B197" s="3" t="s">
        <v>283</v>
      </c>
      <c r="D197" s="141">
        <v>11917</v>
      </c>
      <c r="E197" s="141">
        <v>16643</v>
      </c>
      <c r="F197" s="141">
        <v>39554</v>
      </c>
      <c r="G197" s="141">
        <v>13423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44"/>
        <v>81537</v>
      </c>
      <c r="R197" s="141">
        <v>11917</v>
      </c>
      <c r="S197" s="141">
        <v>14512</v>
      </c>
      <c r="T197" s="141">
        <v>25185</v>
      </c>
      <c r="U197" s="141">
        <v>3523</v>
      </c>
      <c r="V197" s="141"/>
      <c r="W197" s="141"/>
      <c r="X197" s="141"/>
      <c r="Y197" s="141"/>
      <c r="Z197" s="141"/>
      <c r="AA197" s="141"/>
      <c r="AB197" s="141"/>
      <c r="AC197" s="141"/>
      <c r="AD197" s="141">
        <f t="shared" si="45"/>
        <v>55137</v>
      </c>
      <c r="AF197" s="2">
        <f t="shared" si="37"/>
        <v>1</v>
      </c>
      <c r="AG197" s="2">
        <f t="shared" si="37"/>
        <v>0.87195818061647534</v>
      </c>
      <c r="AH197" s="2">
        <f t="shared" si="37"/>
        <v>0.6367244779289073</v>
      </c>
      <c r="AI197" s="2">
        <f t="shared" si="37"/>
        <v>0.26245995679058332</v>
      </c>
      <c r="AJ197" s="2" t="str">
        <f t="shared" si="36"/>
        <v/>
      </c>
      <c r="AK197" s="2" t="str">
        <f t="shared" si="36"/>
        <v/>
      </c>
      <c r="AL197" s="2" t="str">
        <f t="shared" si="36"/>
        <v/>
      </c>
      <c r="AM197" s="2" t="str">
        <f t="shared" si="36"/>
        <v/>
      </c>
      <c r="AN197" s="2" t="str">
        <f t="shared" si="34"/>
        <v/>
      </c>
      <c r="AO197" s="2" t="str">
        <f t="shared" si="34"/>
        <v/>
      </c>
      <c r="AP197" s="2" t="str">
        <f t="shared" si="34"/>
        <v/>
      </c>
      <c r="AQ197" s="2" t="str">
        <f t="shared" si="34"/>
        <v/>
      </c>
      <c r="AR197" s="2">
        <f t="shared" si="41"/>
        <v>0.6762206115015269</v>
      </c>
      <c r="AT197" s="143">
        <f t="shared" si="39"/>
        <v>-0.12804181938352466</v>
      </c>
      <c r="AU197" s="143">
        <f t="shared" si="40"/>
        <v>-0.23523370268756805</v>
      </c>
      <c r="AV197" s="143">
        <f t="shared" si="40"/>
        <v>-0.37426452113832398</v>
      </c>
      <c r="AW197" s="143" t="str">
        <f t="shared" si="43"/>
        <v/>
      </c>
      <c r="AX197" s="143" t="str">
        <f t="shared" si="43"/>
        <v/>
      </c>
      <c r="AY197" s="143" t="str">
        <f t="shared" si="42"/>
        <v/>
      </c>
      <c r="AZ197" s="143" t="str">
        <f t="shared" si="42"/>
        <v/>
      </c>
      <c r="BA197" s="143" t="str">
        <f t="shared" si="42"/>
        <v/>
      </c>
      <c r="BB197" s="143" t="str">
        <f t="shared" si="42"/>
        <v/>
      </c>
      <c r="BC197" s="143" t="str">
        <f t="shared" si="42"/>
        <v/>
      </c>
      <c r="BD197" s="143" t="str">
        <f t="shared" si="42"/>
        <v/>
      </c>
      <c r="BF197" s="9">
        <f t="shared" si="46"/>
        <v>6.9730516310519415E-5</v>
      </c>
      <c r="BG197" s="9">
        <f t="shared" si="33"/>
        <v>0.99831320114290567</v>
      </c>
    </row>
    <row r="198" spans="2:59" x14ac:dyDescent="0.35">
      <c r="B198" s="3" t="s">
        <v>248</v>
      </c>
      <c r="D198" s="141">
        <v>230</v>
      </c>
      <c r="E198" s="141">
        <v>13300</v>
      </c>
      <c r="F198" s="141">
        <v>301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4"/>
        <v>13831</v>
      </c>
      <c r="R198" s="141">
        <v>230</v>
      </c>
      <c r="S198" s="141">
        <v>13300</v>
      </c>
      <c r="T198" s="141">
        <v>301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5"/>
        <v>13831</v>
      </c>
      <c r="AF198" s="2">
        <f t="shared" si="37"/>
        <v>1</v>
      </c>
      <c r="AG198" s="2">
        <f t="shared" si="37"/>
        <v>1</v>
      </c>
      <c r="AH198" s="2">
        <f t="shared" si="37"/>
        <v>1</v>
      </c>
      <c r="AI198" s="2" t="str">
        <f t="shared" si="37"/>
        <v/>
      </c>
      <c r="AJ198" s="2" t="str">
        <f t="shared" si="36"/>
        <v/>
      </c>
      <c r="AK198" s="2" t="str">
        <f t="shared" si="36"/>
        <v/>
      </c>
      <c r="AL198" s="2" t="str">
        <f t="shared" si="36"/>
        <v/>
      </c>
      <c r="AM198" s="2" t="str">
        <f t="shared" si="36"/>
        <v/>
      </c>
      <c r="AN198" s="2" t="str">
        <f t="shared" si="34"/>
        <v/>
      </c>
      <c r="AO198" s="2" t="str">
        <f t="shared" si="34"/>
        <v/>
      </c>
      <c r="AP198" s="2" t="str">
        <f t="shared" si="34"/>
        <v/>
      </c>
      <c r="AQ198" s="2" t="str">
        <f t="shared" si="34"/>
        <v/>
      </c>
      <c r="AR198" s="2">
        <f t="shared" si="41"/>
        <v>1</v>
      </c>
      <c r="AT198" s="143">
        <f t="shared" si="39"/>
        <v>0</v>
      </c>
      <c r="AU198" s="143">
        <f t="shared" si="40"/>
        <v>0</v>
      </c>
      <c r="AV198" s="143" t="str">
        <f t="shared" si="40"/>
        <v/>
      </c>
      <c r="AW198" s="143" t="str">
        <f t="shared" si="43"/>
        <v/>
      </c>
      <c r="AX198" s="143" t="str">
        <f t="shared" si="43"/>
        <v/>
      </c>
      <c r="AY198" s="143" t="str">
        <f t="shared" si="42"/>
        <v/>
      </c>
      <c r="AZ198" s="143" t="str">
        <f t="shared" si="42"/>
        <v/>
      </c>
      <c r="BA198" s="143" t="str">
        <f t="shared" si="42"/>
        <v/>
      </c>
      <c r="BB198" s="143" t="str">
        <f t="shared" si="42"/>
        <v/>
      </c>
      <c r="BC198" s="143" t="str">
        <f t="shared" si="42"/>
        <v/>
      </c>
      <c r="BD198" s="143" t="str">
        <f t="shared" si="42"/>
        <v/>
      </c>
      <c r="BF198" s="9">
        <f t="shared" si="46"/>
        <v>1.7491752744813719E-5</v>
      </c>
      <c r="BG198" s="9">
        <f t="shared" ref="BG198:BG255" si="47">+BF198+BG197</f>
        <v>0.99833069289565046</v>
      </c>
    </row>
    <row r="199" spans="2:59" x14ac:dyDescent="0.35">
      <c r="B199" s="3" t="s">
        <v>259</v>
      </c>
      <c r="D199" s="141">
        <v>2775</v>
      </c>
      <c r="E199" s="141">
        <v>2343</v>
      </c>
      <c r="F199" s="141">
        <v>4065</v>
      </c>
      <c r="G199" s="141">
        <v>277</v>
      </c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4"/>
        <v>9460</v>
      </c>
      <c r="R199" s="141">
        <v>2775</v>
      </c>
      <c r="S199" s="141">
        <v>2343</v>
      </c>
      <c r="T199" s="141">
        <v>4065</v>
      </c>
      <c r="U199" s="141">
        <v>277</v>
      </c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5"/>
        <v>9460</v>
      </c>
      <c r="AF199" s="2">
        <f t="shared" si="37"/>
        <v>1</v>
      </c>
      <c r="AG199" s="2">
        <f t="shared" si="37"/>
        <v>1</v>
      </c>
      <c r="AH199" s="2">
        <f t="shared" si="37"/>
        <v>1</v>
      </c>
      <c r="AI199" s="2">
        <f t="shared" si="37"/>
        <v>1</v>
      </c>
      <c r="AJ199" s="2" t="str">
        <f t="shared" si="36"/>
        <v/>
      </c>
      <c r="AK199" s="2" t="str">
        <f t="shared" si="36"/>
        <v/>
      </c>
      <c r="AL199" s="2" t="str">
        <f t="shared" si="36"/>
        <v/>
      </c>
      <c r="AM199" s="2" t="str">
        <f t="shared" si="36"/>
        <v/>
      </c>
      <c r="AN199" s="2" t="str">
        <f t="shared" si="34"/>
        <v/>
      </c>
      <c r="AO199" s="2" t="str">
        <f t="shared" si="34"/>
        <v/>
      </c>
      <c r="AP199" s="2" t="str">
        <f t="shared" si="34"/>
        <v/>
      </c>
      <c r="AQ199" s="2" t="str">
        <f t="shared" si="34"/>
        <v/>
      </c>
      <c r="AR199" s="2">
        <f t="shared" si="41"/>
        <v>1</v>
      </c>
      <c r="AT199" s="143">
        <f t="shared" si="39"/>
        <v>0</v>
      </c>
      <c r="AU199" s="143">
        <f t="shared" si="40"/>
        <v>0</v>
      </c>
      <c r="AV199" s="143">
        <f t="shared" si="40"/>
        <v>0</v>
      </c>
      <c r="AW199" s="143" t="str">
        <f t="shared" si="43"/>
        <v/>
      </c>
      <c r="AX199" s="143" t="str">
        <f t="shared" si="43"/>
        <v/>
      </c>
      <c r="AY199" s="143" t="str">
        <f t="shared" si="42"/>
        <v/>
      </c>
      <c r="AZ199" s="143" t="str">
        <f t="shared" si="42"/>
        <v/>
      </c>
      <c r="BA199" s="143" t="str">
        <f t="shared" si="42"/>
        <v/>
      </c>
      <c r="BB199" s="143" t="str">
        <f t="shared" si="42"/>
        <v/>
      </c>
      <c r="BC199" s="143" t="str">
        <f t="shared" si="42"/>
        <v/>
      </c>
      <c r="BD199" s="143" t="str">
        <f t="shared" si="42"/>
        <v/>
      </c>
      <c r="BF199" s="9">
        <f t="shared" si="46"/>
        <v>1.1963847947793926E-5</v>
      </c>
      <c r="BG199" s="9">
        <f t="shared" si="47"/>
        <v>0.99834265674359823</v>
      </c>
    </row>
    <row r="200" spans="2:59" x14ac:dyDescent="0.35">
      <c r="B200" s="3" t="s">
        <v>282</v>
      </c>
      <c r="D200" s="141">
        <v>19355</v>
      </c>
      <c r="E200" s="141">
        <v>19806</v>
      </c>
      <c r="F200" s="141">
        <v>27492</v>
      </c>
      <c r="G200" s="141">
        <v>23717</v>
      </c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4"/>
        <v>90370</v>
      </c>
      <c r="R200" s="141">
        <v>14707</v>
      </c>
      <c r="S200" s="141">
        <v>15832</v>
      </c>
      <c r="T200" s="141">
        <v>19677</v>
      </c>
      <c r="U200" s="141">
        <v>18478</v>
      </c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5"/>
        <v>68694</v>
      </c>
      <c r="AF200" s="2">
        <f t="shared" si="37"/>
        <v>0.75985533453887888</v>
      </c>
      <c r="AG200" s="2">
        <f t="shared" si="37"/>
        <v>0.79935373119256792</v>
      </c>
      <c r="AH200" s="2">
        <f t="shared" si="37"/>
        <v>0.71573548668703624</v>
      </c>
      <c r="AI200" s="2">
        <f t="shared" si="37"/>
        <v>0.77910359657629547</v>
      </c>
      <c r="AJ200" s="2" t="str">
        <f t="shared" si="36"/>
        <v/>
      </c>
      <c r="AK200" s="2" t="str">
        <f t="shared" si="36"/>
        <v/>
      </c>
      <c r="AL200" s="2" t="str">
        <f t="shared" si="36"/>
        <v/>
      </c>
      <c r="AM200" s="2" t="str">
        <f t="shared" si="36"/>
        <v/>
      </c>
      <c r="AN200" s="2" t="str">
        <f t="shared" si="34"/>
        <v/>
      </c>
      <c r="AO200" s="2" t="str">
        <f t="shared" si="34"/>
        <v/>
      </c>
      <c r="AP200" s="2" t="str">
        <f t="shared" si="34"/>
        <v/>
      </c>
      <c r="AQ200" s="2" t="str">
        <f t="shared" si="34"/>
        <v/>
      </c>
      <c r="AR200" s="2">
        <f t="shared" si="41"/>
        <v>0.76014163992475381</v>
      </c>
      <c r="AT200" s="143">
        <f t="shared" si="39"/>
        <v>3.9498396653689039E-2</v>
      </c>
      <c r="AU200" s="143">
        <f t="shared" si="40"/>
        <v>-8.361824450553168E-2</v>
      </c>
      <c r="AV200" s="143">
        <f t="shared" si="40"/>
        <v>6.3368109889259228E-2</v>
      </c>
      <c r="AW200" s="143" t="str">
        <f t="shared" si="43"/>
        <v/>
      </c>
      <c r="AX200" s="143" t="str">
        <f t="shared" si="43"/>
        <v/>
      </c>
      <c r="AY200" s="143" t="str">
        <f t="shared" si="42"/>
        <v/>
      </c>
      <c r="AZ200" s="143" t="str">
        <f t="shared" si="42"/>
        <v/>
      </c>
      <c r="BA200" s="143" t="str">
        <f t="shared" si="42"/>
        <v/>
      </c>
      <c r="BB200" s="143" t="str">
        <f t="shared" si="42"/>
        <v/>
      </c>
      <c r="BC200" s="143" t="str">
        <f t="shared" si="42"/>
        <v/>
      </c>
      <c r="BD200" s="143" t="str">
        <f t="shared" si="42"/>
        <v/>
      </c>
      <c r="BF200" s="9">
        <f t="shared" si="46"/>
        <v>8.6875747455153907E-5</v>
      </c>
      <c r="BG200" s="9">
        <f t="shared" si="47"/>
        <v>0.99842953249105337</v>
      </c>
    </row>
    <row r="201" spans="2:59" x14ac:dyDescent="0.35">
      <c r="B201" s="3" t="s">
        <v>300</v>
      </c>
      <c r="D201" s="141"/>
      <c r="E201" s="141"/>
      <c r="F201" s="141"/>
      <c r="G201" s="141">
        <v>6015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4"/>
        <v>6015</v>
      </c>
      <c r="R201" s="141"/>
      <c r="S201" s="141"/>
      <c r="T201" s="141"/>
      <c r="U201" s="141">
        <v>6015</v>
      </c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5"/>
        <v>6015</v>
      </c>
      <c r="AF201" s="2" t="str">
        <f t="shared" si="37"/>
        <v/>
      </c>
      <c r="AG201" s="2" t="str">
        <f t="shared" si="37"/>
        <v/>
      </c>
      <c r="AH201" s="2" t="str">
        <f t="shared" si="37"/>
        <v/>
      </c>
      <c r="AI201" s="2">
        <f t="shared" si="37"/>
        <v>1</v>
      </c>
      <c r="AJ201" s="2" t="str">
        <f t="shared" si="36"/>
        <v/>
      </c>
      <c r="AK201" s="2" t="str">
        <f t="shared" si="36"/>
        <v/>
      </c>
      <c r="AL201" s="2" t="str">
        <f t="shared" si="36"/>
        <v/>
      </c>
      <c r="AM201" s="2" t="str">
        <f t="shared" si="36"/>
        <v/>
      </c>
      <c r="AN201" s="2" t="str">
        <f t="shared" si="34"/>
        <v/>
      </c>
      <c r="AO201" s="2" t="str">
        <f t="shared" si="34"/>
        <v/>
      </c>
      <c r="AP201" s="2" t="str">
        <f t="shared" si="34"/>
        <v/>
      </c>
      <c r="AQ201" s="2" t="str">
        <f t="shared" si="34"/>
        <v/>
      </c>
      <c r="AR201" s="2">
        <f t="shared" si="41"/>
        <v>1</v>
      </c>
      <c r="AT201" s="143" t="str">
        <f t="shared" si="39"/>
        <v/>
      </c>
      <c r="AU201" s="143" t="str">
        <f t="shared" si="40"/>
        <v/>
      </c>
      <c r="AV201" s="143" t="str">
        <f t="shared" si="40"/>
        <v/>
      </c>
      <c r="AW201" s="143" t="str">
        <f t="shared" si="43"/>
        <v/>
      </c>
      <c r="AX201" s="143" t="str">
        <f t="shared" si="43"/>
        <v/>
      </c>
      <c r="AY201" s="143" t="str">
        <f t="shared" si="42"/>
        <v/>
      </c>
      <c r="AZ201" s="143" t="str">
        <f t="shared" si="42"/>
        <v/>
      </c>
      <c r="BA201" s="143" t="str">
        <f t="shared" si="42"/>
        <v/>
      </c>
      <c r="BB201" s="143" t="str">
        <f t="shared" si="42"/>
        <v/>
      </c>
      <c r="BC201" s="143" t="str">
        <f t="shared" si="42"/>
        <v/>
      </c>
      <c r="BD201" s="143" t="str">
        <f t="shared" si="42"/>
        <v/>
      </c>
      <c r="BF201" s="9">
        <f t="shared" si="46"/>
        <v>7.6070343980951868E-6</v>
      </c>
      <c r="BG201" s="9">
        <f t="shared" si="47"/>
        <v>0.99843713952545143</v>
      </c>
    </row>
    <row r="202" spans="2:59" x14ac:dyDescent="0.35">
      <c r="B202" s="3" t="s">
        <v>256</v>
      </c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4"/>
        <v>0</v>
      </c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5"/>
        <v>0</v>
      </c>
      <c r="AF202" s="2" t="str">
        <f t="shared" si="37"/>
        <v/>
      </c>
      <c r="AG202" s="2" t="str">
        <f t="shared" si="37"/>
        <v/>
      </c>
      <c r="AH202" s="2" t="str">
        <f t="shared" si="37"/>
        <v/>
      </c>
      <c r="AI202" s="2" t="str">
        <f t="shared" si="37"/>
        <v/>
      </c>
      <c r="AJ202" s="2" t="str">
        <f t="shared" si="36"/>
        <v/>
      </c>
      <c r="AK202" s="2" t="str">
        <f t="shared" si="36"/>
        <v/>
      </c>
      <c r="AL202" s="2" t="str">
        <f t="shared" si="36"/>
        <v/>
      </c>
      <c r="AM202" s="2" t="str">
        <f t="shared" si="36"/>
        <v/>
      </c>
      <c r="AN202" s="2" t="str">
        <f t="shared" si="34"/>
        <v/>
      </c>
      <c r="AO202" s="2" t="str">
        <f t="shared" si="34"/>
        <v/>
      </c>
      <c r="AP202" s="2" t="str">
        <f t="shared" si="34"/>
        <v/>
      </c>
      <c r="AQ202" s="2" t="str">
        <f t="shared" si="34"/>
        <v/>
      </c>
      <c r="AR202" s="2" t="str">
        <f t="shared" si="41"/>
        <v/>
      </c>
      <c r="AT202" s="143" t="str">
        <f t="shared" si="39"/>
        <v/>
      </c>
      <c r="AU202" s="143" t="str">
        <f t="shared" si="40"/>
        <v/>
      </c>
      <c r="AV202" s="143" t="str">
        <f t="shared" si="40"/>
        <v/>
      </c>
      <c r="AW202" s="143" t="str">
        <f t="shared" si="43"/>
        <v/>
      </c>
      <c r="AX202" s="143" t="str">
        <f t="shared" si="43"/>
        <v/>
      </c>
      <c r="AY202" s="143" t="str">
        <f t="shared" si="42"/>
        <v/>
      </c>
      <c r="AZ202" s="143" t="str">
        <f t="shared" si="42"/>
        <v/>
      </c>
      <c r="BA202" s="143" t="str">
        <f t="shared" si="42"/>
        <v/>
      </c>
      <c r="BB202" s="143" t="str">
        <f t="shared" si="42"/>
        <v/>
      </c>
      <c r="BC202" s="143" t="str">
        <f t="shared" si="42"/>
        <v/>
      </c>
      <c r="BD202" s="143" t="str">
        <f t="shared" si="42"/>
        <v/>
      </c>
      <c r="BF202" s="9">
        <f t="shared" si="46"/>
        <v>0</v>
      </c>
      <c r="BG202" s="9">
        <f t="shared" si="47"/>
        <v>0.99843713952545143</v>
      </c>
    </row>
    <row r="203" spans="2:59" x14ac:dyDescent="0.35">
      <c r="B203" s="3" t="s">
        <v>301</v>
      </c>
      <c r="D203" s="141">
        <v>742</v>
      </c>
      <c r="E203" s="141"/>
      <c r="F203" s="141">
        <v>724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4"/>
        <v>1466</v>
      </c>
      <c r="R203" s="141">
        <v>555</v>
      </c>
      <c r="S203" s="141"/>
      <c r="T203" s="141">
        <v>502</v>
      </c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5"/>
        <v>1057</v>
      </c>
      <c r="AF203" s="2">
        <f t="shared" si="37"/>
        <v>0.74797843665768193</v>
      </c>
      <c r="AG203" s="2" t="str">
        <f t="shared" si="37"/>
        <v/>
      </c>
      <c r="AH203" s="2">
        <f t="shared" si="37"/>
        <v>0.6933701657458563</v>
      </c>
      <c r="AI203" s="2" t="str">
        <f t="shared" si="37"/>
        <v/>
      </c>
      <c r="AJ203" s="2" t="str">
        <f t="shared" si="36"/>
        <v/>
      </c>
      <c r="AK203" s="2" t="str">
        <f t="shared" si="36"/>
        <v/>
      </c>
      <c r="AL203" s="2" t="str">
        <f t="shared" si="36"/>
        <v/>
      </c>
      <c r="AM203" s="2" t="str">
        <f t="shared" si="36"/>
        <v/>
      </c>
      <c r="AN203" s="2" t="str">
        <f t="shared" si="34"/>
        <v/>
      </c>
      <c r="AO203" s="2" t="str">
        <f t="shared" si="34"/>
        <v/>
      </c>
      <c r="AP203" s="2" t="str">
        <f t="shared" si="34"/>
        <v/>
      </c>
      <c r="AQ203" s="2" t="str">
        <f t="shared" si="34"/>
        <v/>
      </c>
      <c r="AR203" s="2">
        <f t="shared" si="41"/>
        <v>0.72100954979536158</v>
      </c>
      <c r="AT203" s="143" t="str">
        <f t="shared" si="39"/>
        <v/>
      </c>
      <c r="AU203" s="143" t="str">
        <f t="shared" si="40"/>
        <v/>
      </c>
      <c r="AV203" s="143" t="str">
        <f t="shared" si="40"/>
        <v/>
      </c>
      <c r="AW203" s="143" t="str">
        <f t="shared" si="43"/>
        <v/>
      </c>
      <c r="AX203" s="143" t="str">
        <f t="shared" si="43"/>
        <v/>
      </c>
      <c r="AY203" s="143" t="str">
        <f t="shared" si="42"/>
        <v/>
      </c>
      <c r="AZ203" s="143" t="str">
        <f t="shared" si="42"/>
        <v/>
      </c>
      <c r="BA203" s="143" t="str">
        <f t="shared" si="42"/>
        <v/>
      </c>
      <c r="BB203" s="143" t="str">
        <f t="shared" si="42"/>
        <v/>
      </c>
      <c r="BC203" s="143" t="str">
        <f t="shared" si="42"/>
        <v/>
      </c>
      <c r="BD203" s="143" t="str">
        <f t="shared" si="42"/>
        <v/>
      </c>
      <c r="BF203" s="9">
        <f t="shared" si="46"/>
        <v>1.3367639831731691E-6</v>
      </c>
      <c r="BG203" s="9">
        <f t="shared" si="47"/>
        <v>0.99843847628943461</v>
      </c>
    </row>
    <row r="204" spans="2:59" x14ac:dyDescent="0.35">
      <c r="B204" s="3" t="s">
        <v>251</v>
      </c>
      <c r="D204" s="141">
        <v>112434</v>
      </c>
      <c r="E204" s="141">
        <v>135492</v>
      </c>
      <c r="F204" s="141">
        <v>204320</v>
      </c>
      <c r="G204" s="141">
        <v>191683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4"/>
        <v>643929</v>
      </c>
      <c r="R204" s="141">
        <v>75461</v>
      </c>
      <c r="S204" s="141">
        <v>94166</v>
      </c>
      <c r="T204" s="141">
        <v>144332</v>
      </c>
      <c r="U204" s="141">
        <v>141637</v>
      </c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5"/>
        <v>455596</v>
      </c>
      <c r="AF204" s="2">
        <f t="shared" si="37"/>
        <v>0.67115819058291981</v>
      </c>
      <c r="AG204" s="2">
        <f t="shared" si="37"/>
        <v>0.69499306232102265</v>
      </c>
      <c r="AH204" s="2">
        <f t="shared" si="37"/>
        <v>0.7064017227877839</v>
      </c>
      <c r="AI204" s="2">
        <f t="shared" si="37"/>
        <v>0.73891268396258403</v>
      </c>
      <c r="AJ204" s="2" t="str">
        <f t="shared" si="36"/>
        <v/>
      </c>
      <c r="AK204" s="2" t="str">
        <f t="shared" si="36"/>
        <v/>
      </c>
      <c r="AL204" s="2" t="str">
        <f t="shared" si="36"/>
        <v/>
      </c>
      <c r="AM204" s="2" t="str">
        <f t="shared" si="36"/>
        <v/>
      </c>
      <c r="AN204" s="2" t="str">
        <f t="shared" si="34"/>
        <v/>
      </c>
      <c r="AO204" s="2" t="str">
        <f t="shared" si="34"/>
        <v/>
      </c>
      <c r="AP204" s="2" t="str">
        <f t="shared" si="34"/>
        <v/>
      </c>
      <c r="AQ204" s="2" t="str">
        <f t="shared" si="34"/>
        <v/>
      </c>
      <c r="AR204" s="2">
        <f t="shared" si="41"/>
        <v>0.70752520852454226</v>
      </c>
      <c r="AT204" s="143">
        <f t="shared" si="39"/>
        <v>2.3834871738102836E-2</v>
      </c>
      <c r="AU204" s="143">
        <f t="shared" si="40"/>
        <v>1.1408660466761256E-2</v>
      </c>
      <c r="AV204" s="143">
        <f t="shared" si="40"/>
        <v>3.2510961174800124E-2</v>
      </c>
      <c r="AW204" s="143" t="str">
        <f t="shared" si="43"/>
        <v/>
      </c>
      <c r="AX204" s="143" t="str">
        <f t="shared" si="43"/>
        <v/>
      </c>
      <c r="AY204" s="143" t="str">
        <f t="shared" si="42"/>
        <v/>
      </c>
      <c r="AZ204" s="143" t="str">
        <f t="shared" si="42"/>
        <v/>
      </c>
      <c r="BA204" s="143" t="str">
        <f t="shared" si="42"/>
        <v/>
      </c>
      <c r="BB204" s="143" t="str">
        <f t="shared" si="42"/>
        <v/>
      </c>
      <c r="BC204" s="143" t="str">
        <f t="shared" si="42"/>
        <v/>
      </c>
      <c r="BD204" s="143" t="str">
        <f t="shared" si="42"/>
        <v/>
      </c>
      <c r="BF204" s="9">
        <f t="shared" si="46"/>
        <v>5.7618195239145047E-4</v>
      </c>
      <c r="BG204" s="9">
        <f t="shared" si="47"/>
        <v>0.999014658241826</v>
      </c>
    </row>
    <row r="205" spans="2:59" x14ac:dyDescent="0.35">
      <c r="B205" s="3" t="s">
        <v>278</v>
      </c>
      <c r="D205" s="141"/>
      <c r="E205" s="141"/>
      <c r="F205" s="141"/>
      <c r="G205" s="141">
        <v>1147</v>
      </c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4"/>
        <v>1147</v>
      </c>
      <c r="R205" s="141"/>
      <c r="S205" s="141"/>
      <c r="T205" s="141"/>
      <c r="U205" s="141">
        <v>1147</v>
      </c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5"/>
        <v>1147</v>
      </c>
      <c r="AF205" s="2" t="str">
        <f t="shared" si="37"/>
        <v/>
      </c>
      <c r="AG205" s="2" t="str">
        <f t="shared" si="37"/>
        <v/>
      </c>
      <c r="AH205" s="2" t="str">
        <f t="shared" si="37"/>
        <v/>
      </c>
      <c r="AI205" s="2">
        <f t="shared" si="37"/>
        <v>1</v>
      </c>
      <c r="AJ205" s="2" t="str">
        <f t="shared" si="36"/>
        <v/>
      </c>
      <c r="AK205" s="2" t="str">
        <f t="shared" si="36"/>
        <v/>
      </c>
      <c r="AL205" s="2" t="str">
        <f t="shared" si="36"/>
        <v/>
      </c>
      <c r="AM205" s="2" t="str">
        <f t="shared" si="36"/>
        <v/>
      </c>
      <c r="AN205" s="2" t="str">
        <f t="shared" si="36"/>
        <v/>
      </c>
      <c r="AO205" s="2" t="str">
        <f t="shared" si="36"/>
        <v/>
      </c>
      <c r="AP205" s="2" t="str">
        <f t="shared" si="36"/>
        <v/>
      </c>
      <c r="AQ205" s="2" t="str">
        <f t="shared" si="36"/>
        <v/>
      </c>
      <c r="AR205" s="2">
        <f t="shared" si="41"/>
        <v>1</v>
      </c>
      <c r="AT205" s="143" t="str">
        <f t="shared" si="39"/>
        <v/>
      </c>
      <c r="AU205" s="143" t="str">
        <f t="shared" si="40"/>
        <v/>
      </c>
      <c r="AV205" s="143" t="str">
        <f t="shared" si="40"/>
        <v/>
      </c>
      <c r="AW205" s="143" t="str">
        <f t="shared" si="43"/>
        <v/>
      </c>
      <c r="AX205" s="143" t="str">
        <f t="shared" si="43"/>
        <v/>
      </c>
      <c r="AY205" s="143" t="str">
        <f t="shared" si="42"/>
        <v/>
      </c>
      <c r="AZ205" s="143" t="str">
        <f t="shared" si="42"/>
        <v/>
      </c>
      <c r="BA205" s="143" t="str">
        <f t="shared" si="42"/>
        <v/>
      </c>
      <c r="BB205" s="143" t="str">
        <f t="shared" si="42"/>
        <v/>
      </c>
      <c r="BC205" s="143" t="str">
        <f t="shared" si="42"/>
        <v/>
      </c>
      <c r="BD205" s="143" t="str">
        <f t="shared" si="42"/>
        <v/>
      </c>
      <c r="BF205" s="9">
        <f t="shared" si="46"/>
        <v>1.4505849467356906E-6</v>
      </c>
      <c r="BG205" s="9">
        <f t="shared" si="47"/>
        <v>0.99901610882677272</v>
      </c>
    </row>
    <row r="206" spans="2:59" x14ac:dyDescent="0.35">
      <c r="B206" s="3" t="s">
        <v>260</v>
      </c>
      <c r="D206" s="141">
        <v>15</v>
      </c>
      <c r="E206" s="141"/>
      <c r="F206" s="141">
        <v>45</v>
      </c>
      <c r="G206" s="141">
        <v>60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4"/>
        <v>120</v>
      </c>
      <c r="R206" s="141">
        <v>15</v>
      </c>
      <c r="S206" s="141"/>
      <c r="T206" s="141">
        <v>45</v>
      </c>
      <c r="U206" s="141">
        <v>60</v>
      </c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5"/>
        <v>120</v>
      </c>
      <c r="AF206" s="2">
        <f t="shared" si="37"/>
        <v>1</v>
      </c>
      <c r="AG206" s="2" t="str">
        <f t="shared" si="37"/>
        <v/>
      </c>
      <c r="AH206" s="2">
        <f t="shared" si="37"/>
        <v>1</v>
      </c>
      <c r="AI206" s="2">
        <f t="shared" si="37"/>
        <v>1</v>
      </c>
      <c r="AJ206" s="2" t="str">
        <f t="shared" si="36"/>
        <v/>
      </c>
      <c r="AK206" s="2" t="str">
        <f t="shared" si="36"/>
        <v/>
      </c>
      <c r="AL206" s="2" t="str">
        <f t="shared" si="36"/>
        <v/>
      </c>
      <c r="AM206" s="2" t="str">
        <f t="shared" si="36"/>
        <v/>
      </c>
      <c r="AN206" s="2" t="str">
        <f t="shared" si="36"/>
        <v/>
      </c>
      <c r="AO206" s="2" t="str">
        <f t="shared" si="36"/>
        <v/>
      </c>
      <c r="AP206" s="2" t="str">
        <f t="shared" si="36"/>
        <v/>
      </c>
      <c r="AQ206" s="2" t="str">
        <f t="shared" si="36"/>
        <v/>
      </c>
      <c r="AR206" s="2">
        <f t="shared" si="41"/>
        <v>1</v>
      </c>
      <c r="AT206" s="143" t="str">
        <f t="shared" si="39"/>
        <v/>
      </c>
      <c r="AU206" s="143" t="str">
        <f t="shared" si="40"/>
        <v/>
      </c>
      <c r="AV206" s="143">
        <f t="shared" si="40"/>
        <v>0</v>
      </c>
      <c r="AW206" s="143" t="str">
        <f t="shared" si="43"/>
        <v/>
      </c>
      <c r="AX206" s="143" t="str">
        <f t="shared" si="43"/>
        <v/>
      </c>
      <c r="AY206" s="143" t="str">
        <f t="shared" si="42"/>
        <v/>
      </c>
      <c r="AZ206" s="143" t="str">
        <f t="shared" si="42"/>
        <v/>
      </c>
      <c r="BA206" s="143" t="str">
        <f t="shared" si="42"/>
        <v/>
      </c>
      <c r="BB206" s="143" t="str">
        <f t="shared" si="42"/>
        <v/>
      </c>
      <c r="BC206" s="143" t="str">
        <f t="shared" si="42"/>
        <v/>
      </c>
      <c r="BD206" s="143" t="str">
        <f t="shared" si="42"/>
        <v/>
      </c>
      <c r="BF206" s="9">
        <f t="shared" si="46"/>
        <v>1.5176128475002865E-7</v>
      </c>
      <c r="BG206" s="9">
        <f t="shared" si="47"/>
        <v>0.99901626058805748</v>
      </c>
    </row>
    <row r="207" spans="2:59" x14ac:dyDescent="0.35">
      <c r="B207" s="3" t="s">
        <v>302</v>
      </c>
      <c r="D207" s="141">
        <v>2497</v>
      </c>
      <c r="E207" s="141">
        <v>877</v>
      </c>
      <c r="F207" s="141">
        <v>1064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4"/>
        <v>4438</v>
      </c>
      <c r="R207" s="141">
        <v>2109</v>
      </c>
      <c r="S207" s="141">
        <v>424</v>
      </c>
      <c r="T207" s="141">
        <v>1064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5"/>
        <v>3597</v>
      </c>
      <c r="AF207" s="2">
        <f t="shared" si="37"/>
        <v>0.84461353624349222</v>
      </c>
      <c r="AG207" s="2">
        <f t="shared" si="37"/>
        <v>0.48346636259977194</v>
      </c>
      <c r="AH207" s="2">
        <f t="shared" si="37"/>
        <v>1</v>
      </c>
      <c r="AI207" s="2" t="str">
        <f t="shared" si="37"/>
        <v/>
      </c>
      <c r="AJ207" s="2" t="str">
        <f t="shared" si="36"/>
        <v/>
      </c>
      <c r="AK207" s="2" t="str">
        <f t="shared" si="36"/>
        <v/>
      </c>
      <c r="AL207" s="2" t="str">
        <f t="shared" si="36"/>
        <v/>
      </c>
      <c r="AM207" s="2" t="str">
        <f t="shared" si="36"/>
        <v/>
      </c>
      <c r="AN207" s="2" t="str">
        <f t="shared" si="36"/>
        <v/>
      </c>
      <c r="AO207" s="2" t="str">
        <f t="shared" si="36"/>
        <v/>
      </c>
      <c r="AP207" s="2" t="str">
        <f t="shared" si="36"/>
        <v/>
      </c>
      <c r="AQ207" s="2" t="str">
        <f t="shared" si="36"/>
        <v/>
      </c>
      <c r="AR207" s="2">
        <f t="shared" si="41"/>
        <v>0.81050022532672372</v>
      </c>
      <c r="AT207" s="143">
        <f t="shared" si="39"/>
        <v>-0.36114717364372029</v>
      </c>
      <c r="AU207" s="143">
        <f t="shared" si="40"/>
        <v>0.51653363740022806</v>
      </c>
      <c r="AV207" s="143" t="str">
        <f t="shared" si="40"/>
        <v/>
      </c>
      <c r="AW207" s="143" t="str">
        <f t="shared" si="43"/>
        <v/>
      </c>
      <c r="AX207" s="143" t="str">
        <f t="shared" si="43"/>
        <v/>
      </c>
      <c r="AY207" s="143" t="str">
        <f t="shared" si="42"/>
        <v/>
      </c>
      <c r="AZ207" s="143" t="str">
        <f t="shared" si="42"/>
        <v/>
      </c>
      <c r="BA207" s="143" t="str">
        <f t="shared" si="42"/>
        <v/>
      </c>
      <c r="BB207" s="143" t="str">
        <f t="shared" si="42"/>
        <v/>
      </c>
      <c r="BC207" s="143" t="str">
        <f t="shared" si="42"/>
        <v/>
      </c>
      <c r="BD207" s="143" t="str">
        <f t="shared" si="42"/>
        <v/>
      </c>
      <c r="BF207" s="9">
        <f t="shared" si="46"/>
        <v>4.5490445103821091E-6</v>
      </c>
      <c r="BG207" s="9">
        <f t="shared" si="47"/>
        <v>0.9990208096325679</v>
      </c>
    </row>
    <row r="208" spans="2:59" x14ac:dyDescent="0.35">
      <c r="B208" s="3" t="s">
        <v>267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4"/>
        <v>0</v>
      </c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5"/>
        <v>0</v>
      </c>
      <c r="AF208" s="2" t="str">
        <f t="shared" si="37"/>
        <v/>
      </c>
      <c r="AG208" s="2" t="str">
        <f t="shared" si="37"/>
        <v/>
      </c>
      <c r="AH208" s="2" t="str">
        <f t="shared" si="37"/>
        <v/>
      </c>
      <c r="AI208" s="2" t="str">
        <f t="shared" si="37"/>
        <v/>
      </c>
      <c r="AJ208" s="2" t="str">
        <f t="shared" si="36"/>
        <v/>
      </c>
      <c r="AK208" s="2" t="str">
        <f t="shared" si="36"/>
        <v/>
      </c>
      <c r="AL208" s="2" t="str">
        <f t="shared" si="36"/>
        <v/>
      </c>
      <c r="AM208" s="2" t="str">
        <f t="shared" si="36"/>
        <v/>
      </c>
      <c r="AN208" s="2" t="str">
        <f t="shared" si="36"/>
        <v/>
      </c>
      <c r="AO208" s="2" t="str">
        <f t="shared" si="36"/>
        <v/>
      </c>
      <c r="AP208" s="2" t="str">
        <f t="shared" si="36"/>
        <v/>
      </c>
      <c r="AQ208" s="2" t="str">
        <f t="shared" si="36"/>
        <v/>
      </c>
      <c r="AR208" s="2" t="str">
        <f t="shared" si="41"/>
        <v/>
      </c>
      <c r="AT208" s="143" t="str">
        <f t="shared" si="39"/>
        <v/>
      </c>
      <c r="AU208" s="143" t="str">
        <f t="shared" si="40"/>
        <v/>
      </c>
      <c r="AV208" s="143" t="str">
        <f t="shared" si="40"/>
        <v/>
      </c>
      <c r="AW208" s="143" t="str">
        <f t="shared" si="43"/>
        <v/>
      </c>
      <c r="AX208" s="143" t="str">
        <f t="shared" si="43"/>
        <v/>
      </c>
      <c r="AY208" s="143" t="str">
        <f t="shared" si="42"/>
        <v/>
      </c>
      <c r="AZ208" s="143" t="str">
        <f t="shared" si="42"/>
        <v/>
      </c>
      <c r="BA208" s="143" t="str">
        <f t="shared" si="42"/>
        <v/>
      </c>
      <c r="BB208" s="143" t="str">
        <f t="shared" si="42"/>
        <v/>
      </c>
      <c r="BC208" s="143" t="str">
        <f t="shared" si="42"/>
        <v/>
      </c>
      <c r="BD208" s="143" t="str">
        <f t="shared" si="42"/>
        <v/>
      </c>
      <c r="BF208" s="9">
        <f t="shared" si="46"/>
        <v>0</v>
      </c>
      <c r="BG208" s="9">
        <f t="shared" si="47"/>
        <v>0.9990208096325679</v>
      </c>
    </row>
    <row r="209" spans="2:59" x14ac:dyDescent="0.35">
      <c r="B209" s="3" t="s">
        <v>303</v>
      </c>
      <c r="D209" s="141">
        <v>735</v>
      </c>
      <c r="E209" s="141"/>
      <c r="F209" s="141"/>
      <c r="G209" s="141">
        <v>10445</v>
      </c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4"/>
        <v>11180</v>
      </c>
      <c r="R209" s="141">
        <v>735</v>
      </c>
      <c r="S209" s="141"/>
      <c r="T209" s="141"/>
      <c r="U209" s="141">
        <v>8620</v>
      </c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5"/>
        <v>9355</v>
      </c>
      <c r="AF209" s="2">
        <f t="shared" si="37"/>
        <v>1</v>
      </c>
      <c r="AG209" s="2" t="str">
        <f t="shared" si="37"/>
        <v/>
      </c>
      <c r="AH209" s="2" t="str">
        <f t="shared" si="37"/>
        <v/>
      </c>
      <c r="AI209" s="2">
        <f t="shared" si="37"/>
        <v>0.82527525131641932</v>
      </c>
      <c r="AJ209" s="2" t="str">
        <f t="shared" si="36"/>
        <v/>
      </c>
      <c r="AK209" s="2" t="str">
        <f t="shared" si="36"/>
        <v/>
      </c>
      <c r="AL209" s="2" t="str">
        <f t="shared" si="36"/>
        <v/>
      </c>
      <c r="AM209" s="2" t="str">
        <f t="shared" si="36"/>
        <v/>
      </c>
      <c r="AN209" s="2" t="str">
        <f t="shared" si="36"/>
        <v/>
      </c>
      <c r="AO209" s="2" t="str">
        <f t="shared" si="36"/>
        <v/>
      </c>
      <c r="AP209" s="2" t="str">
        <f t="shared" si="36"/>
        <v/>
      </c>
      <c r="AQ209" s="2" t="str">
        <f t="shared" si="36"/>
        <v/>
      </c>
      <c r="AR209" s="2">
        <f t="shared" si="41"/>
        <v>0.83676207513416812</v>
      </c>
      <c r="AT209" s="143" t="str">
        <f t="shared" si="39"/>
        <v/>
      </c>
      <c r="AU209" s="143" t="str">
        <f t="shared" si="40"/>
        <v/>
      </c>
      <c r="AV209" s="143" t="str">
        <f t="shared" si="40"/>
        <v/>
      </c>
      <c r="AW209" s="143" t="str">
        <f t="shared" si="43"/>
        <v/>
      </c>
      <c r="AX209" s="143" t="str">
        <f t="shared" si="43"/>
        <v/>
      </c>
      <c r="AY209" s="143" t="str">
        <f t="shared" si="43"/>
        <v/>
      </c>
      <c r="AZ209" s="143" t="str">
        <f t="shared" si="43"/>
        <v/>
      </c>
      <c r="BA209" s="143" t="str">
        <f t="shared" si="43"/>
        <v/>
      </c>
      <c r="BB209" s="143" t="str">
        <f t="shared" si="43"/>
        <v/>
      </c>
      <c r="BC209" s="143" t="str">
        <f t="shared" si="43"/>
        <v/>
      </c>
      <c r="BD209" s="143" t="str">
        <f t="shared" si="43"/>
        <v/>
      </c>
      <c r="BF209" s="9">
        <f t="shared" si="46"/>
        <v>1.1831056823637651E-5</v>
      </c>
      <c r="BG209" s="9">
        <f t="shared" si="47"/>
        <v>0.99903264068939157</v>
      </c>
    </row>
    <row r="210" spans="2:59" x14ac:dyDescent="0.35">
      <c r="B210" s="3" t="s">
        <v>304</v>
      </c>
      <c r="D210" s="141">
        <v>1257</v>
      </c>
      <c r="E210" s="141">
        <v>1242</v>
      </c>
      <c r="F210" s="141">
        <v>23542</v>
      </c>
      <c r="G210" s="141">
        <v>24528</v>
      </c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4"/>
        <v>50569</v>
      </c>
      <c r="R210" s="141">
        <v>1257</v>
      </c>
      <c r="S210" s="141">
        <v>920</v>
      </c>
      <c r="T210" s="141">
        <v>16994</v>
      </c>
      <c r="U210" s="141">
        <v>21140</v>
      </c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5"/>
        <v>40311</v>
      </c>
      <c r="AF210" s="2">
        <f t="shared" si="37"/>
        <v>1</v>
      </c>
      <c r="AG210" s="2">
        <f t="shared" si="37"/>
        <v>0.7407407407407407</v>
      </c>
      <c r="AH210" s="2">
        <f t="shared" si="37"/>
        <v>0.72185880553903659</v>
      </c>
      <c r="AI210" s="2">
        <f t="shared" si="37"/>
        <v>0.86187214611872143</v>
      </c>
      <c r="AJ210" s="2" t="str">
        <f t="shared" si="36"/>
        <v/>
      </c>
      <c r="AK210" s="2" t="str">
        <f t="shared" si="36"/>
        <v/>
      </c>
      <c r="AL210" s="2" t="str">
        <f t="shared" si="36"/>
        <v/>
      </c>
      <c r="AM210" s="2" t="str">
        <f t="shared" si="36"/>
        <v/>
      </c>
      <c r="AN210" s="2" t="str">
        <f t="shared" si="36"/>
        <v/>
      </c>
      <c r="AO210" s="2" t="str">
        <f t="shared" si="36"/>
        <v/>
      </c>
      <c r="AP210" s="2" t="str">
        <f t="shared" si="36"/>
        <v/>
      </c>
      <c r="AQ210" s="2" t="str">
        <f t="shared" si="36"/>
        <v/>
      </c>
      <c r="AR210" s="2">
        <f t="shared" si="41"/>
        <v>0.79714845063181006</v>
      </c>
      <c r="AT210" s="143">
        <f t="shared" si="39"/>
        <v>-0.2592592592592593</v>
      </c>
      <c r="AU210" s="143">
        <f t="shared" si="40"/>
        <v>-1.8881935201704114E-2</v>
      </c>
      <c r="AV210" s="143">
        <f t="shared" si="40"/>
        <v>0.14001334057968484</v>
      </c>
      <c r="AW210" s="143" t="str">
        <f t="shared" ref="AW210:BD211" si="48">+IFERROR(AJ210-AI210,"")</f>
        <v/>
      </c>
      <c r="AX210" s="143" t="str">
        <f t="shared" si="48"/>
        <v/>
      </c>
      <c r="AY210" s="143" t="str">
        <f t="shared" si="48"/>
        <v/>
      </c>
      <c r="AZ210" s="143" t="str">
        <f t="shared" si="48"/>
        <v/>
      </c>
      <c r="BA210" s="143" t="str">
        <f t="shared" si="48"/>
        <v/>
      </c>
      <c r="BB210" s="143" t="str">
        <f t="shared" si="48"/>
        <v/>
      </c>
      <c r="BC210" s="143" t="str">
        <f t="shared" si="48"/>
        <v/>
      </c>
      <c r="BD210" s="143" t="str">
        <f t="shared" si="48"/>
        <v/>
      </c>
      <c r="BF210" s="9">
        <f t="shared" si="46"/>
        <v>5.0980409579653379E-5</v>
      </c>
      <c r="BG210" s="9">
        <f t="shared" si="47"/>
        <v>0.9990836210989712</v>
      </c>
    </row>
    <row r="211" spans="2:59" x14ac:dyDescent="0.35">
      <c r="B211" s="3" t="s">
        <v>280</v>
      </c>
      <c r="D211" s="141"/>
      <c r="E211" s="141"/>
      <c r="F211" s="141">
        <v>2642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4"/>
        <v>2642</v>
      </c>
      <c r="R211" s="141"/>
      <c r="S211" s="141"/>
      <c r="T211" s="141">
        <v>2642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5"/>
        <v>2642</v>
      </c>
      <c r="AF211" s="2" t="str">
        <f t="shared" si="37"/>
        <v/>
      </c>
      <c r="AG211" s="2" t="str">
        <f t="shared" si="37"/>
        <v/>
      </c>
      <c r="AH211" s="2">
        <f t="shared" si="37"/>
        <v>1</v>
      </c>
      <c r="AI211" s="2" t="str">
        <f t="shared" si="37"/>
        <v/>
      </c>
      <c r="AJ211" s="2" t="str">
        <f t="shared" si="36"/>
        <v/>
      </c>
      <c r="AK211" s="2" t="str">
        <f t="shared" si="36"/>
        <v/>
      </c>
      <c r="AL211" s="2" t="str">
        <f t="shared" si="36"/>
        <v/>
      </c>
      <c r="AM211" s="2" t="str">
        <f t="shared" si="36"/>
        <v/>
      </c>
      <c r="AN211" s="2" t="str">
        <f t="shared" si="36"/>
        <v/>
      </c>
      <c r="AO211" s="2" t="str">
        <f t="shared" si="36"/>
        <v/>
      </c>
      <c r="AP211" s="2" t="str">
        <f t="shared" si="36"/>
        <v/>
      </c>
      <c r="AQ211" s="2" t="str">
        <f t="shared" ref="AQ211:AR255" si="49">+IFERROR(AC211/O211,"")</f>
        <v/>
      </c>
      <c r="AR211" s="2">
        <f t="shared" si="41"/>
        <v>1</v>
      </c>
      <c r="AT211" s="143" t="str">
        <f t="shared" si="39"/>
        <v/>
      </c>
      <c r="AU211" s="143" t="str">
        <f t="shared" si="40"/>
        <v/>
      </c>
      <c r="AV211" s="143" t="str">
        <f t="shared" si="40"/>
        <v/>
      </c>
      <c r="AW211" s="143" t="str">
        <f t="shared" si="48"/>
        <v/>
      </c>
      <c r="AX211" s="143" t="str">
        <f t="shared" si="48"/>
        <v/>
      </c>
      <c r="AY211" s="143" t="str">
        <f t="shared" si="48"/>
        <v/>
      </c>
      <c r="AZ211" s="143" t="str">
        <f t="shared" si="48"/>
        <v/>
      </c>
      <c r="BA211" s="143" t="str">
        <f t="shared" si="48"/>
        <v/>
      </c>
      <c r="BB211" s="143" t="str">
        <f t="shared" si="48"/>
        <v/>
      </c>
      <c r="BC211" s="143" t="str">
        <f t="shared" si="48"/>
        <v/>
      </c>
      <c r="BD211" s="143" t="str">
        <f t="shared" si="48"/>
        <v/>
      </c>
      <c r="BF211" s="9">
        <f t="shared" si="46"/>
        <v>3.3412776192464645E-6</v>
      </c>
      <c r="BG211" s="9">
        <f t="shared" si="47"/>
        <v>0.99908696237659045</v>
      </c>
    </row>
    <row r="212" spans="2:59" x14ac:dyDescent="0.35">
      <c r="B212" s="3" t="s">
        <v>274</v>
      </c>
      <c r="D212" s="141"/>
      <c r="E212" s="141"/>
      <c r="F212" s="141">
        <v>-16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4"/>
        <v>-16</v>
      </c>
      <c r="R212" s="141"/>
      <c r="S212" s="141"/>
      <c r="T212" s="141">
        <v>-41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5"/>
        <v>-41</v>
      </c>
      <c r="AF212" s="2" t="str">
        <f t="shared" si="37"/>
        <v/>
      </c>
      <c r="AG212" s="2" t="str">
        <f t="shared" si="37"/>
        <v/>
      </c>
      <c r="AH212" s="2">
        <f t="shared" si="37"/>
        <v>2.5625</v>
      </c>
      <c r="AI212" s="2" t="str">
        <f t="shared" si="37"/>
        <v/>
      </c>
      <c r="AJ212" s="2" t="str">
        <f t="shared" si="37"/>
        <v/>
      </c>
      <c r="AK212" s="2" t="str">
        <f t="shared" si="37"/>
        <v/>
      </c>
      <c r="AL212" s="2" t="str">
        <f t="shared" si="37"/>
        <v/>
      </c>
      <c r="AM212" s="2" t="str">
        <f t="shared" si="37"/>
        <v/>
      </c>
      <c r="AN212" s="2" t="str">
        <f t="shared" si="37"/>
        <v/>
      </c>
      <c r="AO212" s="2" t="str">
        <f t="shared" si="37"/>
        <v/>
      </c>
      <c r="AP212" s="2" t="str">
        <f t="shared" si="37"/>
        <v/>
      </c>
      <c r="AQ212" s="2" t="str">
        <f t="shared" si="49"/>
        <v/>
      </c>
      <c r="AR212" s="2">
        <f t="shared" si="41"/>
        <v>2.5625</v>
      </c>
      <c r="AT212" s="143" t="str">
        <f t="shared" si="39"/>
        <v/>
      </c>
      <c r="AU212" s="143" t="str">
        <f t="shared" si="40"/>
        <v/>
      </c>
      <c r="AV212" s="143" t="str">
        <f t="shared" si="40"/>
        <v/>
      </c>
      <c r="AW212" s="143"/>
      <c r="AX212" s="143"/>
      <c r="AY212" s="143"/>
      <c r="AZ212" s="143"/>
      <c r="BA212" s="143"/>
      <c r="BB212" s="143"/>
      <c r="BC212" s="143"/>
      <c r="BD212" s="143" t="str">
        <f>+IFERROR(AQ212-AP212,"")</f>
        <v/>
      </c>
      <c r="BF212" s="9">
        <f t="shared" si="46"/>
        <v>-5.1851772289593127E-8</v>
      </c>
      <c r="BG212" s="9">
        <f t="shared" si="47"/>
        <v>0.99908691052481813</v>
      </c>
    </row>
    <row r="213" spans="2:59" x14ac:dyDescent="0.35">
      <c r="B213" s="3" t="s">
        <v>305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4"/>
        <v>0</v>
      </c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5"/>
        <v>0</v>
      </c>
      <c r="AF213" s="2" t="str">
        <f t="shared" si="37"/>
        <v/>
      </c>
      <c r="AG213" s="2" t="str">
        <f t="shared" si="37"/>
        <v/>
      </c>
      <c r="AH213" s="2" t="str">
        <f t="shared" si="37"/>
        <v/>
      </c>
      <c r="AI213" s="2" t="str">
        <f t="shared" si="37"/>
        <v/>
      </c>
      <c r="AJ213" s="2" t="str">
        <f t="shared" si="37"/>
        <v/>
      </c>
      <c r="AK213" s="2" t="str">
        <f t="shared" si="37"/>
        <v/>
      </c>
      <c r="AL213" s="2" t="str">
        <f t="shared" si="37"/>
        <v/>
      </c>
      <c r="AM213" s="2" t="str">
        <f t="shared" si="37"/>
        <v/>
      </c>
      <c r="AN213" s="2" t="str">
        <f t="shared" si="37"/>
        <v/>
      </c>
      <c r="AO213" s="2" t="str">
        <f t="shared" si="37"/>
        <v/>
      </c>
      <c r="AP213" s="2" t="str">
        <f t="shared" si="37"/>
        <v/>
      </c>
      <c r="AQ213" s="2" t="str">
        <f t="shared" si="49"/>
        <v/>
      </c>
      <c r="AR213" s="2" t="str">
        <f t="shared" si="41"/>
        <v/>
      </c>
      <c r="AT213" s="143" t="str">
        <f t="shared" si="39"/>
        <v/>
      </c>
      <c r="AU213" s="143" t="str">
        <f t="shared" si="40"/>
        <v/>
      </c>
      <c r="AV213" s="143" t="str">
        <f t="shared" si="40"/>
        <v/>
      </c>
      <c r="AW213" s="143" t="str">
        <f t="shared" ref="AW213:BC213" si="50">+IFERROR(AJ213-AI213,"")</f>
        <v/>
      </c>
      <c r="AX213" s="143" t="str">
        <f t="shared" si="50"/>
        <v/>
      </c>
      <c r="AY213" s="143" t="str">
        <f t="shared" si="50"/>
        <v/>
      </c>
      <c r="AZ213" s="143" t="str">
        <f t="shared" si="50"/>
        <v/>
      </c>
      <c r="BA213" s="143" t="str">
        <f t="shared" si="50"/>
        <v/>
      </c>
      <c r="BB213" s="143" t="str">
        <f t="shared" si="50"/>
        <v/>
      </c>
      <c r="BC213" s="143" t="str">
        <f t="shared" si="50"/>
        <v/>
      </c>
      <c r="BD213" s="143" t="str">
        <f>+IFERROR(AQ213-AP213,"")</f>
        <v/>
      </c>
      <c r="BF213" s="9">
        <f t="shared" si="46"/>
        <v>0</v>
      </c>
      <c r="BG213" s="9">
        <f t="shared" si="47"/>
        <v>0.99908691052481813</v>
      </c>
    </row>
    <row r="214" spans="2:59" x14ac:dyDescent="0.35">
      <c r="B214" s="3" t="s">
        <v>296</v>
      </c>
      <c r="D214" s="141">
        <v>7179</v>
      </c>
      <c r="E214" s="141">
        <v>17029</v>
      </c>
      <c r="F214" s="141">
        <v>19406</v>
      </c>
      <c r="G214" s="141">
        <v>39936</v>
      </c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4"/>
        <v>83550</v>
      </c>
      <c r="R214" s="141">
        <v>6780</v>
      </c>
      <c r="S214" s="141">
        <v>16016</v>
      </c>
      <c r="T214" s="141">
        <v>14049</v>
      </c>
      <c r="U214" s="141">
        <v>37493</v>
      </c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5"/>
        <v>74338</v>
      </c>
      <c r="AF214" s="2">
        <f t="shared" si="37"/>
        <v>0.94442122858336819</v>
      </c>
      <c r="AG214" s="2">
        <f t="shared" si="37"/>
        <v>0.94051324211638965</v>
      </c>
      <c r="AH214" s="2">
        <f t="shared" si="37"/>
        <v>0.72395135525095333</v>
      </c>
      <c r="AI214" s="2">
        <f t="shared" si="37"/>
        <v>0.9388271233974359</v>
      </c>
      <c r="AJ214" s="2" t="str">
        <f t="shared" si="37"/>
        <v/>
      </c>
      <c r="AK214" s="2" t="str">
        <f t="shared" si="37"/>
        <v/>
      </c>
      <c r="AL214" s="2" t="str">
        <f t="shared" si="37"/>
        <v/>
      </c>
      <c r="AM214" s="2" t="str">
        <f t="shared" si="37"/>
        <v/>
      </c>
      <c r="AN214" s="2" t="str">
        <f t="shared" si="37"/>
        <v/>
      </c>
      <c r="AO214" s="2" t="str">
        <f t="shared" ref="AO214:AP255" si="51">+IFERROR(AA214/M214,"")</f>
        <v/>
      </c>
      <c r="AP214" s="2" t="str">
        <f t="shared" si="51"/>
        <v/>
      </c>
      <c r="AQ214" s="2" t="str">
        <f t="shared" si="49"/>
        <v/>
      </c>
      <c r="AR214" s="2">
        <f t="shared" si="41"/>
        <v>0.88974266906044286</v>
      </c>
      <c r="AT214" s="143">
        <f t="shared" si="39"/>
        <v>-3.9079864669785414E-3</v>
      </c>
      <c r="AU214" s="143">
        <f t="shared" si="40"/>
        <v>-0.21656188686543631</v>
      </c>
      <c r="AV214" s="143">
        <f t="shared" si="40"/>
        <v>0.21487576814648257</v>
      </c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6"/>
        <v>9.4013586547896918E-5</v>
      </c>
      <c r="BG214" s="9">
        <f t="shared" si="47"/>
        <v>0.99918092411136605</v>
      </c>
    </row>
    <row r="215" spans="2:59" x14ac:dyDescent="0.35">
      <c r="B215" s="3" t="s">
        <v>298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4"/>
        <v>0</v>
      </c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5"/>
        <v>0</v>
      </c>
      <c r="AF215" s="2" t="str">
        <f t="shared" ref="AF215:AN243" si="52">+IFERROR(R215/D215,"")</f>
        <v/>
      </c>
      <c r="AG215" s="2" t="str">
        <f t="shared" si="52"/>
        <v/>
      </c>
      <c r="AH215" s="2" t="str">
        <f t="shared" si="52"/>
        <v/>
      </c>
      <c r="AI215" s="2" t="str">
        <f t="shared" si="52"/>
        <v/>
      </c>
      <c r="AJ215" s="2" t="str">
        <f t="shared" si="52"/>
        <v/>
      </c>
      <c r="AK215" s="2" t="str">
        <f t="shared" si="52"/>
        <v/>
      </c>
      <c r="AL215" s="2" t="str">
        <f t="shared" si="52"/>
        <v/>
      </c>
      <c r="AM215" s="2" t="str">
        <f t="shared" si="52"/>
        <v/>
      </c>
      <c r="AN215" s="2" t="str">
        <f t="shared" si="52"/>
        <v/>
      </c>
      <c r="AO215" s="2" t="str">
        <f t="shared" si="51"/>
        <v/>
      </c>
      <c r="AP215" s="2" t="str">
        <f t="shared" si="51"/>
        <v/>
      </c>
      <c r="AQ215" s="2" t="str">
        <f t="shared" si="49"/>
        <v/>
      </c>
      <c r="AR215" s="2" t="str">
        <f t="shared" si="41"/>
        <v/>
      </c>
      <c r="AT215" s="143" t="str">
        <f t="shared" si="39"/>
        <v/>
      </c>
      <c r="AU215" s="143" t="str">
        <f t="shared" si="40"/>
        <v/>
      </c>
      <c r="AV215" s="143" t="str">
        <f t="shared" si="40"/>
        <v/>
      </c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6"/>
        <v>0</v>
      </c>
      <c r="BG215" s="9">
        <f t="shared" si="47"/>
        <v>0.99918092411136605</v>
      </c>
    </row>
    <row r="216" spans="2:59" x14ac:dyDescent="0.35">
      <c r="B216" s="3" t="s">
        <v>292</v>
      </c>
      <c r="D216" s="141">
        <v>29423</v>
      </c>
      <c r="E216" s="141">
        <v>31699</v>
      </c>
      <c r="F216" s="141">
        <v>26860</v>
      </c>
      <c r="G216" s="141">
        <v>47050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4"/>
        <v>135032</v>
      </c>
      <c r="R216" s="141">
        <v>11892</v>
      </c>
      <c r="S216" s="141">
        <v>27994</v>
      </c>
      <c r="T216" s="141">
        <v>17574</v>
      </c>
      <c r="U216" s="141">
        <v>38988</v>
      </c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5"/>
        <v>96448</v>
      </c>
      <c r="AF216" s="2">
        <f t="shared" si="52"/>
        <v>0.40417360568262922</v>
      </c>
      <c r="AG216" s="2">
        <f t="shared" si="52"/>
        <v>0.88311934130414205</v>
      </c>
      <c r="AH216" s="2">
        <f t="shared" si="52"/>
        <v>0.65428145941921068</v>
      </c>
      <c r="AI216" s="2">
        <f t="shared" si="52"/>
        <v>0.82865037194473967</v>
      </c>
      <c r="AJ216" s="2" t="str">
        <f t="shared" si="52"/>
        <v/>
      </c>
      <c r="AK216" s="2" t="str">
        <f t="shared" si="52"/>
        <v/>
      </c>
      <c r="AL216" s="2" t="str">
        <f t="shared" si="52"/>
        <v/>
      </c>
      <c r="AM216" s="2" t="str">
        <f t="shared" si="52"/>
        <v/>
      </c>
      <c r="AN216" s="2" t="str">
        <f t="shared" si="52"/>
        <v/>
      </c>
      <c r="AO216" s="2" t="str">
        <f t="shared" si="51"/>
        <v/>
      </c>
      <c r="AP216" s="2" t="str">
        <f t="shared" si="51"/>
        <v/>
      </c>
      <c r="AQ216" s="2" t="str">
        <f t="shared" si="49"/>
        <v/>
      </c>
      <c r="AR216" s="2">
        <f t="shared" si="41"/>
        <v>0.71426032347887913</v>
      </c>
      <c r="AT216" s="143">
        <f t="shared" si="39"/>
        <v>0.47894573562151282</v>
      </c>
      <c r="AU216" s="143">
        <f t="shared" si="40"/>
        <v>-0.22883788188493137</v>
      </c>
      <c r="AV216" s="143">
        <f t="shared" si="40"/>
        <v>0.174368912525529</v>
      </c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6"/>
        <v>1.2197560326308969E-4</v>
      </c>
      <c r="BG216" s="9">
        <f t="shared" si="47"/>
        <v>0.99930289971462916</v>
      </c>
    </row>
    <row r="217" spans="2:59" x14ac:dyDescent="0.35">
      <c r="B217" s="3" t="s">
        <v>300</v>
      </c>
      <c r="D217" s="141"/>
      <c r="E217" s="141"/>
      <c r="F217" s="141"/>
      <c r="G217" s="141">
        <v>6015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4"/>
        <v>6015</v>
      </c>
      <c r="R217" s="141"/>
      <c r="S217" s="141"/>
      <c r="T217" s="141"/>
      <c r="U217" s="141">
        <v>6015</v>
      </c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5"/>
        <v>6015</v>
      </c>
      <c r="AF217" s="2" t="str">
        <f t="shared" si="52"/>
        <v/>
      </c>
      <c r="AG217" s="2" t="str">
        <f t="shared" si="52"/>
        <v/>
      </c>
      <c r="AH217" s="2" t="str">
        <f t="shared" si="52"/>
        <v/>
      </c>
      <c r="AI217" s="2">
        <f t="shared" si="52"/>
        <v>1</v>
      </c>
      <c r="AJ217" s="2" t="str">
        <f t="shared" si="52"/>
        <v/>
      </c>
      <c r="AK217" s="2" t="str">
        <f t="shared" si="52"/>
        <v/>
      </c>
      <c r="AL217" s="2" t="str">
        <f t="shared" si="52"/>
        <v/>
      </c>
      <c r="AM217" s="2" t="str">
        <f t="shared" si="52"/>
        <v/>
      </c>
      <c r="AN217" s="2" t="str">
        <f t="shared" si="52"/>
        <v/>
      </c>
      <c r="AO217" s="2" t="str">
        <f t="shared" si="51"/>
        <v/>
      </c>
      <c r="AP217" s="2" t="str">
        <f t="shared" si="51"/>
        <v/>
      </c>
      <c r="AQ217" s="2" t="str">
        <f t="shared" si="49"/>
        <v/>
      </c>
      <c r="AR217" s="2">
        <f t="shared" si="41"/>
        <v>1</v>
      </c>
      <c r="AT217" s="143" t="str">
        <f t="shared" si="39"/>
        <v/>
      </c>
      <c r="AU217" s="143" t="str">
        <f t="shared" si="40"/>
        <v/>
      </c>
      <c r="AV217" s="143" t="str">
        <f t="shared" si="40"/>
        <v/>
      </c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6"/>
        <v>7.6070343980951868E-6</v>
      </c>
      <c r="BG217" s="9">
        <f t="shared" si="47"/>
        <v>0.99931050674902722</v>
      </c>
    </row>
    <row r="218" spans="2:59" x14ac:dyDescent="0.35">
      <c r="B218" s="3" t="s">
        <v>455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4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5"/>
        <v>0</v>
      </c>
      <c r="AF218" s="2" t="str">
        <f t="shared" si="52"/>
        <v/>
      </c>
      <c r="AG218" s="2" t="str">
        <f t="shared" si="52"/>
        <v/>
      </c>
      <c r="AH218" s="2" t="str">
        <f t="shared" si="52"/>
        <v/>
      </c>
      <c r="AI218" s="2" t="str">
        <f t="shared" si="52"/>
        <v/>
      </c>
      <c r="AJ218" s="2" t="str">
        <f t="shared" si="52"/>
        <v/>
      </c>
      <c r="AK218" s="2" t="str">
        <f t="shared" si="52"/>
        <v/>
      </c>
      <c r="AL218" s="2" t="str">
        <f t="shared" si="52"/>
        <v/>
      </c>
      <c r="AM218" s="2" t="str">
        <f t="shared" si="52"/>
        <v/>
      </c>
      <c r="AN218" s="2" t="str">
        <f t="shared" si="52"/>
        <v/>
      </c>
      <c r="AO218" s="2" t="str">
        <f t="shared" si="51"/>
        <v/>
      </c>
      <c r="AP218" s="2" t="str">
        <f t="shared" si="51"/>
        <v/>
      </c>
      <c r="AQ218" s="2" t="str">
        <f t="shared" si="49"/>
        <v/>
      </c>
      <c r="AR218" s="2" t="str">
        <f t="shared" si="41"/>
        <v/>
      </c>
      <c r="AT218" s="143" t="str">
        <f t="shared" si="39"/>
        <v/>
      </c>
      <c r="AU218" s="143" t="str">
        <f t="shared" si="40"/>
        <v/>
      </c>
      <c r="AV218" s="143" t="str">
        <f t="shared" si="40"/>
        <v/>
      </c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6"/>
        <v>0</v>
      </c>
      <c r="BG218" s="9">
        <f t="shared" si="47"/>
        <v>0.99931050674902722</v>
      </c>
    </row>
    <row r="219" spans="2:59" x14ac:dyDescent="0.35">
      <c r="B219" s="3" t="s">
        <v>302</v>
      </c>
      <c r="D219" s="141">
        <v>2497</v>
      </c>
      <c r="E219" s="141">
        <v>877</v>
      </c>
      <c r="F219" s="141">
        <v>1064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4"/>
        <v>4438</v>
      </c>
      <c r="R219" s="141">
        <v>2109</v>
      </c>
      <c r="S219" s="141">
        <v>424</v>
      </c>
      <c r="T219" s="141">
        <v>1064</v>
      </c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5"/>
        <v>3597</v>
      </c>
      <c r="AF219" s="2">
        <f t="shared" si="52"/>
        <v>0.84461353624349222</v>
      </c>
      <c r="AG219" s="2">
        <f t="shared" si="52"/>
        <v>0.48346636259977194</v>
      </c>
      <c r="AH219" s="2">
        <f t="shared" si="52"/>
        <v>1</v>
      </c>
      <c r="AI219" s="2" t="str">
        <f t="shared" si="52"/>
        <v/>
      </c>
      <c r="AJ219" s="2" t="str">
        <f t="shared" si="52"/>
        <v/>
      </c>
      <c r="AK219" s="2" t="str">
        <f t="shared" si="52"/>
        <v/>
      </c>
      <c r="AL219" s="2" t="str">
        <f t="shared" si="52"/>
        <v/>
      </c>
      <c r="AM219" s="2" t="str">
        <f t="shared" si="52"/>
        <v/>
      </c>
      <c r="AN219" s="2" t="str">
        <f t="shared" si="52"/>
        <v/>
      </c>
      <c r="AO219" s="2" t="str">
        <f t="shared" si="51"/>
        <v/>
      </c>
      <c r="AP219" s="2" t="str">
        <f t="shared" si="51"/>
        <v/>
      </c>
      <c r="AQ219" s="2" t="str">
        <f t="shared" si="49"/>
        <v/>
      </c>
      <c r="AR219" s="2">
        <f t="shared" si="41"/>
        <v>0.81050022532672372</v>
      </c>
      <c r="AT219" s="143">
        <f t="shared" si="39"/>
        <v>-0.36114717364372029</v>
      </c>
      <c r="AU219" s="143">
        <f t="shared" si="40"/>
        <v>0.51653363740022806</v>
      </c>
      <c r="AV219" s="143" t="str">
        <f t="shared" si="40"/>
        <v/>
      </c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6"/>
        <v>4.5490445103821091E-6</v>
      </c>
      <c r="BG219" s="9">
        <f t="shared" si="47"/>
        <v>0.99931505579353763</v>
      </c>
    </row>
    <row r="220" spans="2:59" x14ac:dyDescent="0.35">
      <c r="B220" s="3" t="s">
        <v>456</v>
      </c>
      <c r="D220" s="141">
        <v>799</v>
      </c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4"/>
        <v>799</v>
      </c>
      <c r="R220" s="141">
        <v>799</v>
      </c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5"/>
        <v>799</v>
      </c>
      <c r="AF220" s="2">
        <f t="shared" si="52"/>
        <v>1</v>
      </c>
      <c r="AG220" s="2" t="str">
        <f t="shared" si="52"/>
        <v/>
      </c>
      <c r="AH220" s="2" t="str">
        <f t="shared" si="52"/>
        <v/>
      </c>
      <c r="AI220" s="2" t="str">
        <f t="shared" si="52"/>
        <v/>
      </c>
      <c r="AJ220" s="2" t="str">
        <f t="shared" si="52"/>
        <v/>
      </c>
      <c r="AK220" s="2" t="str">
        <f t="shared" si="52"/>
        <v/>
      </c>
      <c r="AL220" s="2" t="str">
        <f t="shared" si="52"/>
        <v/>
      </c>
      <c r="AM220" s="2" t="str">
        <f t="shared" si="52"/>
        <v/>
      </c>
      <c r="AN220" s="2" t="str">
        <f t="shared" si="52"/>
        <v/>
      </c>
      <c r="AO220" s="2" t="str">
        <f t="shared" si="51"/>
        <v/>
      </c>
      <c r="AP220" s="2" t="str">
        <f t="shared" si="51"/>
        <v/>
      </c>
      <c r="AQ220" s="2" t="str">
        <f t="shared" si="49"/>
        <v/>
      </c>
      <c r="AR220" s="2">
        <f t="shared" si="41"/>
        <v>1</v>
      </c>
      <c r="AT220" s="143" t="str">
        <f t="shared" si="39"/>
        <v/>
      </c>
      <c r="AU220" s="143" t="str">
        <f t="shared" si="40"/>
        <v/>
      </c>
      <c r="AV220" s="143" t="str">
        <f t="shared" si="40"/>
        <v/>
      </c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6"/>
        <v>1.0104772209606074E-6</v>
      </c>
      <c r="BG220" s="9">
        <f t="shared" si="47"/>
        <v>0.99931606627075864</v>
      </c>
    </row>
    <row r="221" spans="2:59" x14ac:dyDescent="0.35">
      <c r="B221" s="3" t="s">
        <v>290</v>
      </c>
      <c r="D221" s="141">
        <v>41991</v>
      </c>
      <c r="E221" s="141">
        <v>63170</v>
      </c>
      <c r="F221" s="141">
        <v>87994</v>
      </c>
      <c r="G221" s="141">
        <v>64810</v>
      </c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4"/>
        <v>257965</v>
      </c>
      <c r="R221" s="141">
        <v>23973</v>
      </c>
      <c r="S221" s="141">
        <v>47668</v>
      </c>
      <c r="T221" s="141">
        <v>69137</v>
      </c>
      <c r="U221" s="141">
        <v>43585</v>
      </c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5"/>
        <v>184363</v>
      </c>
      <c r="AF221" s="2">
        <f t="shared" si="52"/>
        <v>0.57090805172536974</v>
      </c>
      <c r="AG221" s="2">
        <f t="shared" si="52"/>
        <v>0.75459870191546619</v>
      </c>
      <c r="AH221" s="2">
        <f t="shared" si="52"/>
        <v>0.78570129781576015</v>
      </c>
      <c r="AI221" s="2">
        <f t="shared" si="52"/>
        <v>0.67250424317234991</v>
      </c>
      <c r="AJ221" s="2" t="str">
        <f t="shared" si="52"/>
        <v/>
      </c>
      <c r="AK221" s="2" t="str">
        <f t="shared" si="52"/>
        <v/>
      </c>
      <c r="AL221" s="2" t="str">
        <f t="shared" si="52"/>
        <v/>
      </c>
      <c r="AM221" s="2" t="str">
        <f t="shared" si="52"/>
        <v/>
      </c>
      <c r="AN221" s="2" t="str">
        <f t="shared" si="52"/>
        <v/>
      </c>
      <c r="AO221" s="2" t="str">
        <f t="shared" si="51"/>
        <v/>
      </c>
      <c r="AP221" s="2" t="str">
        <f t="shared" si="51"/>
        <v/>
      </c>
      <c r="AQ221" s="2" t="str">
        <f t="shared" si="49"/>
        <v/>
      </c>
      <c r="AR221" s="2">
        <f t="shared" si="41"/>
        <v>0.7146822243327583</v>
      </c>
      <c r="AT221" s="143">
        <f t="shared" si="39"/>
        <v>0.18369065019009645</v>
      </c>
      <c r="AU221" s="143">
        <f t="shared" si="40"/>
        <v>3.1102595900293961E-2</v>
      </c>
      <c r="AV221" s="143">
        <f t="shared" si="40"/>
        <v>-0.11319705464341023</v>
      </c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6"/>
        <v>2.3315971450307943E-4</v>
      </c>
      <c r="BG221" s="9">
        <f t="shared" si="47"/>
        <v>0.99954922598526175</v>
      </c>
    </row>
    <row r="222" spans="2:59" x14ac:dyDescent="0.35">
      <c r="B222" s="3" t="s">
        <v>457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4"/>
        <v>0</v>
      </c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5"/>
        <v>0</v>
      </c>
      <c r="AF222" s="2" t="str">
        <f t="shared" si="52"/>
        <v/>
      </c>
      <c r="AG222" s="2" t="str">
        <f t="shared" si="52"/>
        <v/>
      </c>
      <c r="AH222" s="2" t="str">
        <f t="shared" si="52"/>
        <v/>
      </c>
      <c r="AI222" s="2" t="str">
        <f t="shared" si="52"/>
        <v/>
      </c>
      <c r="AJ222" s="2" t="str">
        <f t="shared" si="52"/>
        <v/>
      </c>
      <c r="AK222" s="2" t="str">
        <f t="shared" si="52"/>
        <v/>
      </c>
      <c r="AL222" s="2" t="str">
        <f t="shared" si="52"/>
        <v/>
      </c>
      <c r="AM222" s="2" t="str">
        <f t="shared" si="52"/>
        <v/>
      </c>
      <c r="AN222" s="2" t="str">
        <f t="shared" si="52"/>
        <v/>
      </c>
      <c r="AO222" s="2" t="str">
        <f t="shared" si="51"/>
        <v/>
      </c>
      <c r="AP222" s="2" t="str">
        <f t="shared" si="51"/>
        <v/>
      </c>
      <c r="AQ222" s="2" t="str">
        <f t="shared" si="49"/>
        <v/>
      </c>
      <c r="AR222" s="2" t="str">
        <f t="shared" si="41"/>
        <v/>
      </c>
      <c r="AT222" s="143" t="str">
        <f t="shared" si="39"/>
        <v/>
      </c>
      <c r="AU222" s="143" t="str">
        <f t="shared" si="40"/>
        <v/>
      </c>
      <c r="AV222" s="143" t="str">
        <f t="shared" si="40"/>
        <v/>
      </c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6"/>
        <v>0</v>
      </c>
      <c r="BG222" s="9">
        <f t="shared" si="47"/>
        <v>0.99954922598526175</v>
      </c>
    </row>
    <row r="223" spans="2:59" x14ac:dyDescent="0.35">
      <c r="B223" s="3" t="s">
        <v>297</v>
      </c>
      <c r="D223" s="141">
        <v>396</v>
      </c>
      <c r="E223" s="141">
        <v>223</v>
      </c>
      <c r="F223" s="141">
        <v>312</v>
      </c>
      <c r="G223" s="141">
        <v>250</v>
      </c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4"/>
        <v>1181</v>
      </c>
      <c r="R223" s="141">
        <v>297</v>
      </c>
      <c r="S223" s="141">
        <v>198</v>
      </c>
      <c r="T223" s="141">
        <v>312</v>
      </c>
      <c r="U223" s="141">
        <v>250</v>
      </c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5"/>
        <v>1057</v>
      </c>
      <c r="AF223" s="2">
        <f t="shared" si="52"/>
        <v>0.75</v>
      </c>
      <c r="AG223" s="2">
        <f t="shared" si="52"/>
        <v>0.88789237668161436</v>
      </c>
      <c r="AH223" s="2">
        <f t="shared" si="52"/>
        <v>1</v>
      </c>
      <c r="AI223" s="2">
        <f t="shared" si="52"/>
        <v>1</v>
      </c>
      <c r="AJ223" s="2" t="str">
        <f t="shared" si="52"/>
        <v/>
      </c>
      <c r="AK223" s="2" t="str">
        <f t="shared" si="52"/>
        <v/>
      </c>
      <c r="AL223" s="2" t="str">
        <f t="shared" si="52"/>
        <v/>
      </c>
      <c r="AM223" s="2" t="str">
        <f t="shared" si="52"/>
        <v/>
      </c>
      <c r="AN223" s="2" t="str">
        <f t="shared" si="52"/>
        <v/>
      </c>
      <c r="AO223" s="2" t="str">
        <f t="shared" si="51"/>
        <v/>
      </c>
      <c r="AP223" s="2" t="str">
        <f t="shared" si="51"/>
        <v/>
      </c>
      <c r="AQ223" s="2" t="str">
        <f t="shared" si="49"/>
        <v/>
      </c>
      <c r="AR223" s="2">
        <f t="shared" si="41"/>
        <v>0.89500423370025406</v>
      </c>
      <c r="AT223" s="143">
        <f t="shared" si="39"/>
        <v>0.13789237668161436</v>
      </c>
      <c r="AU223" s="143">
        <f t="shared" si="40"/>
        <v>0.11210762331838564</v>
      </c>
      <c r="AV223" s="143">
        <f t="shared" si="40"/>
        <v>0</v>
      </c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6"/>
        <v>1.3367639831731691E-6</v>
      </c>
      <c r="BG223" s="9">
        <f t="shared" si="47"/>
        <v>0.99955056274924492</v>
      </c>
    </row>
    <row r="224" spans="2:59" x14ac:dyDescent="0.35">
      <c r="B224" s="3" t="s">
        <v>303</v>
      </c>
      <c r="D224" s="141">
        <v>735</v>
      </c>
      <c r="E224" s="141"/>
      <c r="F224" s="141"/>
      <c r="G224" s="141">
        <v>10445</v>
      </c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4"/>
        <v>11180</v>
      </c>
      <c r="R224" s="141">
        <v>735</v>
      </c>
      <c r="S224" s="141"/>
      <c r="T224" s="141"/>
      <c r="U224" s="141">
        <v>8620</v>
      </c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5"/>
        <v>9355</v>
      </c>
      <c r="AF224" s="2">
        <f t="shared" si="52"/>
        <v>1</v>
      </c>
      <c r="AG224" s="2" t="str">
        <f t="shared" si="52"/>
        <v/>
      </c>
      <c r="AH224" s="2" t="str">
        <f t="shared" si="52"/>
        <v/>
      </c>
      <c r="AI224" s="2">
        <f t="shared" si="52"/>
        <v>0.82527525131641932</v>
      </c>
      <c r="AJ224" s="2" t="str">
        <f t="shared" si="52"/>
        <v/>
      </c>
      <c r="AK224" s="2" t="str">
        <f t="shared" si="52"/>
        <v/>
      </c>
      <c r="AL224" s="2" t="str">
        <f t="shared" si="52"/>
        <v/>
      </c>
      <c r="AM224" s="2" t="str">
        <f t="shared" si="52"/>
        <v/>
      </c>
      <c r="AN224" s="2" t="str">
        <f t="shared" si="52"/>
        <v/>
      </c>
      <c r="AO224" s="2" t="str">
        <f t="shared" si="51"/>
        <v/>
      </c>
      <c r="AP224" s="2" t="str">
        <f t="shared" si="51"/>
        <v/>
      </c>
      <c r="AQ224" s="2" t="str">
        <f t="shared" si="49"/>
        <v/>
      </c>
      <c r="AR224" s="2">
        <f t="shared" si="41"/>
        <v>0.83676207513416812</v>
      </c>
      <c r="AT224" s="143" t="str">
        <f t="shared" si="39"/>
        <v/>
      </c>
      <c r="AU224" s="143" t="str">
        <f t="shared" si="40"/>
        <v/>
      </c>
      <c r="AV224" s="143" t="str">
        <f t="shared" si="40"/>
        <v/>
      </c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6"/>
        <v>1.1831056823637651E-5</v>
      </c>
      <c r="BG224" s="9">
        <f t="shared" si="47"/>
        <v>0.99956239380606859</v>
      </c>
    </row>
    <row r="225" spans="2:59" x14ac:dyDescent="0.35">
      <c r="B225" s="3" t="s">
        <v>293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4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5"/>
        <v>0</v>
      </c>
      <c r="AF225" s="2" t="str">
        <f t="shared" si="52"/>
        <v/>
      </c>
      <c r="AG225" s="2" t="str">
        <f t="shared" si="52"/>
        <v/>
      </c>
      <c r="AH225" s="2" t="str">
        <f t="shared" si="52"/>
        <v/>
      </c>
      <c r="AI225" s="2" t="str">
        <f t="shared" si="52"/>
        <v/>
      </c>
      <c r="AJ225" s="2" t="str">
        <f t="shared" si="52"/>
        <v/>
      </c>
      <c r="AK225" s="2" t="str">
        <f t="shared" si="52"/>
        <v/>
      </c>
      <c r="AL225" s="2" t="str">
        <f t="shared" si="52"/>
        <v/>
      </c>
      <c r="AM225" s="2" t="str">
        <f t="shared" si="52"/>
        <v/>
      </c>
      <c r="AN225" s="2" t="str">
        <f t="shared" si="52"/>
        <v/>
      </c>
      <c r="AO225" s="2" t="str">
        <f t="shared" si="51"/>
        <v/>
      </c>
      <c r="AP225" s="2" t="str">
        <f t="shared" si="51"/>
        <v/>
      </c>
      <c r="AQ225" s="2" t="str">
        <f t="shared" si="49"/>
        <v/>
      </c>
      <c r="AR225" s="2" t="str">
        <f t="shared" si="41"/>
        <v/>
      </c>
      <c r="AT225" s="143" t="str">
        <f t="shared" si="39"/>
        <v/>
      </c>
      <c r="AU225" s="143" t="str">
        <f t="shared" si="40"/>
        <v/>
      </c>
      <c r="AV225" s="143" t="str">
        <f t="shared" si="40"/>
        <v/>
      </c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6"/>
        <v>0</v>
      </c>
      <c r="BG225" s="9">
        <f t="shared" si="47"/>
        <v>0.99956239380606859</v>
      </c>
    </row>
    <row r="226" spans="2:59" x14ac:dyDescent="0.35">
      <c r="B226" s="3" t="s">
        <v>458</v>
      </c>
      <c r="D226" s="141">
        <v>16112</v>
      </c>
      <c r="E226" s="141">
        <v>1416</v>
      </c>
      <c r="F226" s="141">
        <v>4302</v>
      </c>
      <c r="G226" s="141">
        <v>1118</v>
      </c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4"/>
        <v>22948</v>
      </c>
      <c r="R226" s="141">
        <v>13077</v>
      </c>
      <c r="S226" s="141">
        <v>418</v>
      </c>
      <c r="T226" s="141">
        <v>2092</v>
      </c>
      <c r="U226" s="141">
        <v>1118</v>
      </c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5"/>
        <v>16705</v>
      </c>
      <c r="AF226" s="2">
        <f t="shared" si="52"/>
        <v>0.81163108242303872</v>
      </c>
      <c r="AG226" s="2">
        <f t="shared" si="52"/>
        <v>0.29519774011299438</v>
      </c>
      <c r="AH226" s="2">
        <f t="shared" si="52"/>
        <v>0.48628544862854484</v>
      </c>
      <c r="AI226" s="2">
        <f t="shared" si="52"/>
        <v>1</v>
      </c>
      <c r="AJ226" s="2" t="str">
        <f t="shared" si="52"/>
        <v/>
      </c>
      <c r="AK226" s="2" t="str">
        <f t="shared" si="52"/>
        <v/>
      </c>
      <c r="AL226" s="2" t="str">
        <f t="shared" si="52"/>
        <v/>
      </c>
      <c r="AM226" s="2" t="str">
        <f t="shared" si="52"/>
        <v/>
      </c>
      <c r="AN226" s="2" t="str">
        <f t="shared" si="52"/>
        <v/>
      </c>
      <c r="AO226" s="2" t="str">
        <f t="shared" si="51"/>
        <v/>
      </c>
      <c r="AP226" s="2" t="str">
        <f t="shared" si="51"/>
        <v/>
      </c>
      <c r="AQ226" s="2" t="str">
        <f t="shared" si="49"/>
        <v/>
      </c>
      <c r="AR226" s="2">
        <f t="shared" si="41"/>
        <v>0.72795014816105974</v>
      </c>
      <c r="AT226" s="143">
        <f t="shared" si="39"/>
        <v>-0.51643334231004434</v>
      </c>
      <c r="AU226" s="143">
        <f t="shared" si="40"/>
        <v>0.19108770851555046</v>
      </c>
      <c r="AV226" s="143">
        <f t="shared" si="40"/>
        <v>0.51371455137145516</v>
      </c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6"/>
        <v>2.1126435514576907E-5</v>
      </c>
      <c r="BG226" s="9">
        <f t="shared" si="47"/>
        <v>0.99958352024158315</v>
      </c>
    </row>
    <row r="227" spans="2:59" x14ac:dyDescent="0.35">
      <c r="B227" s="3" t="s">
        <v>301</v>
      </c>
      <c r="D227" s="141">
        <v>742</v>
      </c>
      <c r="E227" s="141"/>
      <c r="F227" s="141">
        <v>724</v>
      </c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4"/>
        <v>1466</v>
      </c>
      <c r="R227" s="141">
        <v>555</v>
      </c>
      <c r="S227" s="141"/>
      <c r="T227" s="141">
        <v>502</v>
      </c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5"/>
        <v>1057</v>
      </c>
      <c r="AF227" s="2">
        <f t="shared" si="52"/>
        <v>0.74797843665768193</v>
      </c>
      <c r="AG227" s="2" t="str">
        <f t="shared" si="52"/>
        <v/>
      </c>
      <c r="AH227" s="2">
        <f t="shared" si="52"/>
        <v>0.6933701657458563</v>
      </c>
      <c r="AI227" s="2" t="str">
        <f t="shared" si="52"/>
        <v/>
      </c>
      <c r="AJ227" s="2" t="str">
        <f t="shared" si="52"/>
        <v/>
      </c>
      <c r="AK227" s="2" t="str">
        <f t="shared" si="52"/>
        <v/>
      </c>
      <c r="AL227" s="2" t="str">
        <f t="shared" si="52"/>
        <v/>
      </c>
      <c r="AM227" s="2" t="str">
        <f t="shared" si="52"/>
        <v/>
      </c>
      <c r="AN227" s="2" t="str">
        <f t="shared" si="52"/>
        <v/>
      </c>
      <c r="AO227" s="2" t="str">
        <f t="shared" si="51"/>
        <v/>
      </c>
      <c r="AP227" s="2" t="str">
        <f t="shared" si="51"/>
        <v/>
      </c>
      <c r="AQ227" s="2" t="str">
        <f t="shared" si="49"/>
        <v/>
      </c>
      <c r="AR227" s="2">
        <f t="shared" si="41"/>
        <v>0.72100954979536158</v>
      </c>
      <c r="AT227" s="143" t="str">
        <f t="shared" si="39"/>
        <v/>
      </c>
      <c r="AU227" s="143" t="str">
        <f t="shared" si="40"/>
        <v/>
      </c>
      <c r="AV227" s="143" t="str">
        <f t="shared" si="40"/>
        <v/>
      </c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6"/>
        <v>1.3367639831731691E-6</v>
      </c>
      <c r="BG227" s="9">
        <f t="shared" si="47"/>
        <v>0.99958485700556632</v>
      </c>
    </row>
    <row r="228" spans="2:59" x14ac:dyDescent="0.35">
      <c r="B228" s="3" t="s">
        <v>295</v>
      </c>
      <c r="D228" s="141">
        <v>21609</v>
      </c>
      <c r="E228" s="141">
        <v>13135</v>
      </c>
      <c r="F228" s="141">
        <v>4249</v>
      </c>
      <c r="G228" s="141">
        <v>5957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4"/>
        <v>44950</v>
      </c>
      <c r="R228" s="141">
        <v>19809</v>
      </c>
      <c r="S228" s="141">
        <v>9894</v>
      </c>
      <c r="T228" s="141">
        <v>2270</v>
      </c>
      <c r="U228" s="141">
        <v>3772</v>
      </c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5"/>
        <v>35745</v>
      </c>
      <c r="AF228" s="2">
        <f t="shared" si="52"/>
        <v>0.91670137442732191</v>
      </c>
      <c r="AG228" s="2">
        <f t="shared" si="52"/>
        <v>0.75325466311381806</v>
      </c>
      <c r="AH228" s="2">
        <f t="shared" si="52"/>
        <v>0.53424335137679457</v>
      </c>
      <c r="AI228" s="2">
        <f t="shared" si="52"/>
        <v>0.63320463320463316</v>
      </c>
      <c r="AJ228" s="2" t="str">
        <f t="shared" si="52"/>
        <v/>
      </c>
      <c r="AK228" s="2" t="str">
        <f t="shared" si="52"/>
        <v/>
      </c>
      <c r="AL228" s="2" t="str">
        <f t="shared" si="52"/>
        <v/>
      </c>
      <c r="AM228" s="2" t="str">
        <f t="shared" si="52"/>
        <v/>
      </c>
      <c r="AN228" s="2" t="str">
        <f t="shared" si="52"/>
        <v/>
      </c>
      <c r="AO228" s="2" t="str">
        <f t="shared" si="51"/>
        <v/>
      </c>
      <c r="AP228" s="2" t="str">
        <f t="shared" si="51"/>
        <v/>
      </c>
      <c r="AQ228" s="2" t="str">
        <f t="shared" si="49"/>
        <v/>
      </c>
      <c r="AR228" s="2">
        <f t="shared" si="41"/>
        <v>0.79521690767519471</v>
      </c>
      <c r="AT228" s="143">
        <f t="shared" si="39"/>
        <v>-0.16344671131350386</v>
      </c>
      <c r="AU228" s="143">
        <f t="shared" si="40"/>
        <v>-0.21901131173702348</v>
      </c>
      <c r="AV228" s="143">
        <f t="shared" si="40"/>
        <v>9.8961281827838588E-2</v>
      </c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6"/>
        <v>4.5205892694914787E-5</v>
      </c>
      <c r="BG228" s="9">
        <f t="shared" si="47"/>
        <v>0.99963006289826128</v>
      </c>
    </row>
    <row r="229" spans="2:59" x14ac:dyDescent="0.35">
      <c r="B229" s="3" t="s">
        <v>459</v>
      </c>
      <c r="D229" s="141">
        <v>2887</v>
      </c>
      <c r="E229" s="141">
        <v>2905</v>
      </c>
      <c r="F229" s="141">
        <v>4545</v>
      </c>
      <c r="G229" s="141">
        <v>3713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4"/>
        <v>14050</v>
      </c>
      <c r="R229" s="141">
        <v>1814</v>
      </c>
      <c r="S229" s="141">
        <v>1743</v>
      </c>
      <c r="T229" s="141">
        <v>3104</v>
      </c>
      <c r="U229" s="141">
        <v>2132</v>
      </c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5"/>
        <v>8793</v>
      </c>
      <c r="AF229" s="2">
        <f t="shared" si="52"/>
        <v>0.628333910633876</v>
      </c>
      <c r="AG229" s="2">
        <f t="shared" si="52"/>
        <v>0.6</v>
      </c>
      <c r="AH229" s="2">
        <f t="shared" si="52"/>
        <v>0.68294829482948294</v>
      </c>
      <c r="AI229" s="2">
        <f t="shared" si="52"/>
        <v>0.57419876110961487</v>
      </c>
      <c r="AJ229" s="2" t="str">
        <f t="shared" si="52"/>
        <v/>
      </c>
      <c r="AK229" s="2" t="str">
        <f t="shared" si="52"/>
        <v/>
      </c>
      <c r="AL229" s="2" t="str">
        <f t="shared" si="52"/>
        <v/>
      </c>
      <c r="AM229" s="2" t="str">
        <f t="shared" si="52"/>
        <v/>
      </c>
      <c r="AN229" s="2" t="str">
        <f t="shared" si="52"/>
        <v/>
      </c>
      <c r="AO229" s="2" t="str">
        <f t="shared" si="51"/>
        <v/>
      </c>
      <c r="AP229" s="2" t="str">
        <f t="shared" si="51"/>
        <v/>
      </c>
      <c r="AQ229" s="2" t="str">
        <f t="shared" si="49"/>
        <v/>
      </c>
      <c r="AR229" s="2">
        <f t="shared" si="41"/>
        <v>0.62583629893238435</v>
      </c>
      <c r="AT229" s="143">
        <f t="shared" si="39"/>
        <v>-2.8333910633876025E-2</v>
      </c>
      <c r="AU229" s="143">
        <f t="shared" si="40"/>
        <v>8.294829482948296E-2</v>
      </c>
      <c r="AV229" s="143">
        <f t="shared" si="40"/>
        <v>-0.10874953371986806</v>
      </c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6"/>
        <v>1.1120308140058349E-5</v>
      </c>
      <c r="BG229" s="9">
        <f t="shared" si="47"/>
        <v>0.99964118320640138</v>
      </c>
    </row>
    <row r="230" spans="2:59" x14ac:dyDescent="0.35">
      <c r="B230" s="3" t="s">
        <v>305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4"/>
        <v>0</v>
      </c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5"/>
        <v>0</v>
      </c>
      <c r="AF230" s="2" t="str">
        <f t="shared" si="52"/>
        <v/>
      </c>
      <c r="AG230" s="2" t="str">
        <f t="shared" si="52"/>
        <v/>
      </c>
      <c r="AH230" s="2" t="str">
        <f t="shared" si="52"/>
        <v/>
      </c>
      <c r="AI230" s="2" t="str">
        <f t="shared" si="52"/>
        <v/>
      </c>
      <c r="AJ230" s="2" t="str">
        <f t="shared" si="52"/>
        <v/>
      </c>
      <c r="AK230" s="2" t="str">
        <f t="shared" si="52"/>
        <v/>
      </c>
      <c r="AL230" s="2" t="str">
        <f t="shared" si="52"/>
        <v/>
      </c>
      <c r="AM230" s="2" t="str">
        <f t="shared" si="52"/>
        <v/>
      </c>
      <c r="AN230" s="2" t="str">
        <f t="shared" si="52"/>
        <v/>
      </c>
      <c r="AO230" s="2" t="str">
        <f t="shared" si="51"/>
        <v/>
      </c>
      <c r="AP230" s="2" t="str">
        <f t="shared" si="51"/>
        <v/>
      </c>
      <c r="AQ230" s="2" t="str">
        <f t="shared" si="49"/>
        <v/>
      </c>
      <c r="AR230" s="2" t="str">
        <f t="shared" si="41"/>
        <v/>
      </c>
      <c r="AT230" s="143" t="str">
        <f t="shared" si="39"/>
        <v/>
      </c>
      <c r="AU230" s="143" t="str">
        <f t="shared" si="40"/>
        <v/>
      </c>
      <c r="AV230" s="143" t="str">
        <f t="shared" si="40"/>
        <v/>
      </c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6"/>
        <v>0</v>
      </c>
      <c r="BG230" s="9">
        <f t="shared" si="47"/>
        <v>0.99964118320640138</v>
      </c>
    </row>
    <row r="231" spans="2:59" x14ac:dyDescent="0.35">
      <c r="B231" s="3" t="s">
        <v>299</v>
      </c>
      <c r="D231" s="141">
        <v>254</v>
      </c>
      <c r="E231" s="141"/>
      <c r="F231" s="141">
        <v>2430</v>
      </c>
      <c r="G231" s="141">
        <v>315</v>
      </c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4"/>
        <v>2999</v>
      </c>
      <c r="R231" s="141">
        <v>114</v>
      </c>
      <c r="S231" s="141"/>
      <c r="T231" s="141">
        <v>2405</v>
      </c>
      <c r="U231" s="141">
        <v>315</v>
      </c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5"/>
        <v>2834</v>
      </c>
      <c r="AF231" s="2">
        <f t="shared" si="52"/>
        <v>0.44881889763779526</v>
      </c>
      <c r="AG231" s="2" t="str">
        <f t="shared" si="52"/>
        <v/>
      </c>
      <c r="AH231" s="2">
        <f t="shared" si="52"/>
        <v>0.98971193415637859</v>
      </c>
      <c r="AI231" s="2">
        <f t="shared" si="52"/>
        <v>1</v>
      </c>
      <c r="AJ231" s="2" t="str">
        <f t="shared" si="52"/>
        <v/>
      </c>
      <c r="AK231" s="2" t="str">
        <f t="shared" si="52"/>
        <v/>
      </c>
      <c r="AL231" s="2" t="str">
        <f t="shared" si="52"/>
        <v/>
      </c>
      <c r="AM231" s="2" t="str">
        <f t="shared" si="52"/>
        <v/>
      </c>
      <c r="AN231" s="2" t="str">
        <f t="shared" si="52"/>
        <v/>
      </c>
      <c r="AO231" s="2" t="str">
        <f t="shared" si="51"/>
        <v/>
      </c>
      <c r="AP231" s="2" t="str">
        <f t="shared" si="51"/>
        <v/>
      </c>
      <c r="AQ231" s="2" t="str">
        <f t="shared" si="49"/>
        <v/>
      </c>
      <c r="AR231" s="2">
        <f t="shared" si="41"/>
        <v>0.94498166055351784</v>
      </c>
      <c r="AT231" s="143" t="str">
        <f t="shared" si="39"/>
        <v/>
      </c>
      <c r="AU231" s="143" t="str">
        <f t="shared" si="40"/>
        <v/>
      </c>
      <c r="AV231" s="143">
        <f t="shared" si="40"/>
        <v>1.0288065843621408E-2</v>
      </c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6"/>
        <v>3.5840956748465102E-6</v>
      </c>
      <c r="BG231" s="9">
        <f t="shared" si="47"/>
        <v>0.99964476730207619</v>
      </c>
    </row>
    <row r="232" spans="2:59" x14ac:dyDescent="0.35">
      <c r="B232" s="3" t="s">
        <v>294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4"/>
        <v>0</v>
      </c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5"/>
        <v>0</v>
      </c>
      <c r="AF232" s="2" t="str">
        <f t="shared" si="52"/>
        <v/>
      </c>
      <c r="AG232" s="2" t="str">
        <f t="shared" si="52"/>
        <v/>
      </c>
      <c r="AH232" s="2" t="str">
        <f t="shared" si="52"/>
        <v/>
      </c>
      <c r="AI232" s="2" t="str">
        <f t="shared" si="52"/>
        <v/>
      </c>
      <c r="AJ232" s="2" t="str">
        <f t="shared" si="52"/>
        <v/>
      </c>
      <c r="AK232" s="2" t="str">
        <f t="shared" si="52"/>
        <v/>
      </c>
      <c r="AL232" s="2" t="str">
        <f t="shared" si="52"/>
        <v/>
      </c>
      <c r="AM232" s="2" t="str">
        <f t="shared" si="52"/>
        <v/>
      </c>
      <c r="AN232" s="2" t="str">
        <f t="shared" si="52"/>
        <v/>
      </c>
      <c r="AO232" s="2" t="str">
        <f t="shared" si="51"/>
        <v/>
      </c>
      <c r="AP232" s="2" t="str">
        <f t="shared" si="51"/>
        <v/>
      </c>
      <c r="AQ232" s="2" t="str">
        <f t="shared" si="49"/>
        <v/>
      </c>
      <c r="AR232" s="2" t="str">
        <f t="shared" si="41"/>
        <v/>
      </c>
      <c r="AT232" s="143" t="str">
        <f t="shared" si="39"/>
        <v/>
      </c>
      <c r="AU232" s="143" t="str">
        <f t="shared" si="40"/>
        <v/>
      </c>
      <c r="AV232" s="143" t="str">
        <f t="shared" si="40"/>
        <v/>
      </c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6"/>
        <v>0</v>
      </c>
      <c r="BG232" s="9">
        <f t="shared" si="47"/>
        <v>0.99964476730207619</v>
      </c>
    </row>
    <row r="233" spans="2:59" x14ac:dyDescent="0.35">
      <c r="B233" s="3" t="s">
        <v>304</v>
      </c>
      <c r="D233" s="141">
        <v>1257</v>
      </c>
      <c r="E233" s="141">
        <v>1242</v>
      </c>
      <c r="F233" s="141">
        <v>23542</v>
      </c>
      <c r="G233" s="141">
        <v>24528</v>
      </c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4"/>
        <v>50569</v>
      </c>
      <c r="R233" s="141">
        <v>1257</v>
      </c>
      <c r="S233" s="141">
        <v>920</v>
      </c>
      <c r="T233" s="141">
        <v>16994</v>
      </c>
      <c r="U233" s="141">
        <v>21140</v>
      </c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5"/>
        <v>40311</v>
      </c>
      <c r="AF233" s="2">
        <f t="shared" si="52"/>
        <v>1</v>
      </c>
      <c r="AG233" s="2">
        <f t="shared" si="52"/>
        <v>0.7407407407407407</v>
      </c>
      <c r="AH233" s="2">
        <f t="shared" si="52"/>
        <v>0.72185880553903659</v>
      </c>
      <c r="AI233" s="2">
        <f t="shared" si="52"/>
        <v>0.86187214611872143</v>
      </c>
      <c r="AJ233" s="2" t="str">
        <f t="shared" si="52"/>
        <v/>
      </c>
      <c r="AK233" s="2" t="str">
        <f t="shared" si="52"/>
        <v/>
      </c>
      <c r="AL233" s="2" t="str">
        <f t="shared" si="52"/>
        <v/>
      </c>
      <c r="AM233" s="2" t="str">
        <f t="shared" si="52"/>
        <v/>
      </c>
      <c r="AN233" s="2" t="str">
        <f t="shared" si="52"/>
        <v/>
      </c>
      <c r="AO233" s="2" t="str">
        <f t="shared" si="51"/>
        <v/>
      </c>
      <c r="AP233" s="2" t="str">
        <f t="shared" si="51"/>
        <v/>
      </c>
      <c r="AQ233" s="2" t="str">
        <f t="shared" si="49"/>
        <v/>
      </c>
      <c r="AR233" s="2">
        <f t="shared" si="41"/>
        <v>0.79714845063181006</v>
      </c>
      <c r="AT233" s="143">
        <f t="shared" si="39"/>
        <v>-0.2592592592592593</v>
      </c>
      <c r="AU233" s="143">
        <f t="shared" si="40"/>
        <v>-1.8881935201704114E-2</v>
      </c>
      <c r="AV233" s="143">
        <f t="shared" si="40"/>
        <v>0.14001334057968484</v>
      </c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6"/>
        <v>5.0980409579653379E-5</v>
      </c>
      <c r="BG233" s="9">
        <f t="shared" si="47"/>
        <v>0.99969574771165581</v>
      </c>
    </row>
    <row r="234" spans="2:59" x14ac:dyDescent="0.35">
      <c r="B234" s="3" t="s">
        <v>291</v>
      </c>
      <c r="D234" s="141">
        <v>1418</v>
      </c>
      <c r="E234" s="141">
        <v>3896</v>
      </c>
      <c r="F234" s="141">
        <v>4457</v>
      </c>
      <c r="G234" s="141">
        <v>7721</v>
      </c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4"/>
        <v>17492</v>
      </c>
      <c r="R234" s="141">
        <v>611</v>
      </c>
      <c r="S234" s="141">
        <v>1523</v>
      </c>
      <c r="T234" s="141">
        <v>1835</v>
      </c>
      <c r="U234" s="141">
        <v>578</v>
      </c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5"/>
        <v>4547</v>
      </c>
      <c r="AF234" s="2">
        <f t="shared" si="52"/>
        <v>0.4308885754583921</v>
      </c>
      <c r="AG234" s="2">
        <f t="shared" si="52"/>
        <v>0.39091375770020537</v>
      </c>
      <c r="AH234" s="2">
        <f t="shared" si="52"/>
        <v>0.4117119138433924</v>
      </c>
      <c r="AI234" s="2">
        <f t="shared" si="52"/>
        <v>7.486076933039762E-2</v>
      </c>
      <c r="AJ234" s="2" t="str">
        <f t="shared" si="52"/>
        <v/>
      </c>
      <c r="AK234" s="2" t="str">
        <f t="shared" si="52"/>
        <v/>
      </c>
      <c r="AL234" s="2" t="str">
        <f t="shared" si="52"/>
        <v/>
      </c>
      <c r="AM234" s="2" t="str">
        <f t="shared" si="52"/>
        <v/>
      </c>
      <c r="AN234" s="2" t="str">
        <f t="shared" si="52"/>
        <v/>
      </c>
      <c r="AO234" s="2" t="str">
        <f t="shared" si="51"/>
        <v/>
      </c>
      <c r="AP234" s="2" t="str">
        <f t="shared" si="51"/>
        <v/>
      </c>
      <c r="AQ234" s="2" t="str">
        <f t="shared" si="49"/>
        <v/>
      </c>
      <c r="AR234" s="2">
        <f t="shared" si="41"/>
        <v>0.25994740452778414</v>
      </c>
      <c r="AT234" s="143">
        <f t="shared" si="39"/>
        <v>-3.9974817758186731E-2</v>
      </c>
      <c r="AU234" s="143">
        <f t="shared" si="40"/>
        <v>2.079815614318703E-2</v>
      </c>
      <c r="AV234" s="143">
        <f t="shared" si="40"/>
        <v>-0.3368511445129948</v>
      </c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6"/>
        <v>5.7504880146531693E-6</v>
      </c>
      <c r="BG234" s="9">
        <f t="shared" si="47"/>
        <v>0.99970149819967047</v>
      </c>
    </row>
    <row r="235" spans="2:59" x14ac:dyDescent="0.35">
      <c r="B235" s="3" t="s">
        <v>460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4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5"/>
        <v>0</v>
      </c>
      <c r="AF235" s="2" t="str">
        <f t="shared" si="52"/>
        <v/>
      </c>
      <c r="AG235" s="2" t="str">
        <f t="shared" si="52"/>
        <v/>
      </c>
      <c r="AH235" s="2" t="str">
        <f t="shared" si="52"/>
        <v/>
      </c>
      <c r="AI235" s="2" t="str">
        <f t="shared" si="52"/>
        <v/>
      </c>
      <c r="AJ235" s="2" t="str">
        <f t="shared" si="52"/>
        <v/>
      </c>
      <c r="AK235" s="2" t="str">
        <f t="shared" si="52"/>
        <v/>
      </c>
      <c r="AL235" s="2" t="str">
        <f t="shared" si="52"/>
        <v/>
      </c>
      <c r="AM235" s="2" t="str">
        <f t="shared" si="52"/>
        <v/>
      </c>
      <c r="AN235" s="2" t="str">
        <f t="shared" si="52"/>
        <v/>
      </c>
      <c r="AO235" s="2" t="str">
        <f t="shared" si="51"/>
        <v/>
      </c>
      <c r="AP235" s="2" t="str">
        <f t="shared" si="51"/>
        <v/>
      </c>
      <c r="AQ235" s="2" t="str">
        <f t="shared" si="49"/>
        <v/>
      </c>
      <c r="AR235" s="2" t="str">
        <f t="shared" si="41"/>
        <v/>
      </c>
      <c r="AT235" s="143" t="str">
        <f t="shared" si="39"/>
        <v/>
      </c>
      <c r="AU235" s="143" t="str">
        <f t="shared" si="40"/>
        <v/>
      </c>
      <c r="AV235" s="143" t="str">
        <f t="shared" si="40"/>
        <v/>
      </c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6"/>
        <v>0</v>
      </c>
      <c r="BG235" s="9">
        <f t="shared" si="47"/>
        <v>0.99970149819967047</v>
      </c>
    </row>
    <row r="236" spans="2:59" x14ac:dyDescent="0.35">
      <c r="B236" s="3" t="s">
        <v>461</v>
      </c>
      <c r="D236" s="141">
        <v>3260</v>
      </c>
      <c r="E236" s="141">
        <v>9290</v>
      </c>
      <c r="F236" s="141">
        <v>4125</v>
      </c>
      <c r="G236" s="141">
        <v>12425</v>
      </c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4"/>
        <v>29100</v>
      </c>
      <c r="R236" s="141">
        <v>3260</v>
      </c>
      <c r="S236" s="141">
        <v>9290</v>
      </c>
      <c r="T236" s="141">
        <v>4125</v>
      </c>
      <c r="U236" s="141">
        <v>12075</v>
      </c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5"/>
        <v>28750</v>
      </c>
      <c r="AF236" s="2">
        <f t="shared" si="52"/>
        <v>1</v>
      </c>
      <c r="AG236" s="2">
        <f t="shared" si="52"/>
        <v>1</v>
      </c>
      <c r="AH236" s="2">
        <f t="shared" si="52"/>
        <v>1</v>
      </c>
      <c r="AI236" s="2">
        <f t="shared" si="52"/>
        <v>0.971830985915493</v>
      </c>
      <c r="AJ236" s="2" t="str">
        <f t="shared" si="52"/>
        <v/>
      </c>
      <c r="AK236" s="2" t="str">
        <f t="shared" si="52"/>
        <v/>
      </c>
      <c r="AL236" s="2" t="str">
        <f t="shared" si="52"/>
        <v/>
      </c>
      <c r="AM236" s="2" t="str">
        <f t="shared" si="52"/>
        <v/>
      </c>
      <c r="AN236" s="2" t="str">
        <f t="shared" si="52"/>
        <v/>
      </c>
      <c r="AO236" s="2" t="str">
        <f t="shared" si="51"/>
        <v/>
      </c>
      <c r="AP236" s="2" t="str">
        <f t="shared" si="51"/>
        <v/>
      </c>
      <c r="AQ236" s="2" t="str">
        <f t="shared" si="49"/>
        <v/>
      </c>
      <c r="AR236" s="2">
        <f t="shared" si="41"/>
        <v>0.98797250859106533</v>
      </c>
      <c r="AT236" s="143">
        <f t="shared" si="39"/>
        <v>0</v>
      </c>
      <c r="AU236" s="143">
        <f t="shared" si="40"/>
        <v>0</v>
      </c>
      <c r="AV236" s="143">
        <f t="shared" si="40"/>
        <v>-2.8169014084507005E-2</v>
      </c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6"/>
        <v>3.6359474471361033E-5</v>
      </c>
      <c r="BG236" s="9">
        <f t="shared" si="47"/>
        <v>0.99973785767414181</v>
      </c>
    </row>
    <row r="237" spans="2:59" x14ac:dyDescent="0.35">
      <c r="B237" s="3" t="s">
        <v>462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44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45"/>
        <v>0</v>
      </c>
      <c r="AF237" s="2" t="str">
        <f t="shared" si="52"/>
        <v/>
      </c>
      <c r="AG237" s="2" t="str">
        <f t="shared" si="52"/>
        <v/>
      </c>
      <c r="AH237" s="2" t="str">
        <f t="shared" si="52"/>
        <v/>
      </c>
      <c r="AI237" s="2" t="str">
        <f t="shared" si="52"/>
        <v/>
      </c>
      <c r="AJ237" s="2" t="str">
        <f t="shared" si="52"/>
        <v/>
      </c>
      <c r="AK237" s="2" t="str">
        <f t="shared" si="52"/>
        <v/>
      </c>
      <c r="AL237" s="2" t="str">
        <f t="shared" si="52"/>
        <v/>
      </c>
      <c r="AM237" s="2" t="str">
        <f t="shared" si="52"/>
        <v/>
      </c>
      <c r="AN237" s="2" t="str">
        <f t="shared" si="52"/>
        <v/>
      </c>
      <c r="AO237" s="2" t="str">
        <f t="shared" si="51"/>
        <v/>
      </c>
      <c r="AP237" s="2" t="str">
        <f t="shared" si="51"/>
        <v/>
      </c>
      <c r="AQ237" s="2" t="str">
        <f t="shared" si="49"/>
        <v/>
      </c>
      <c r="AR237" s="2" t="str">
        <f t="shared" si="41"/>
        <v/>
      </c>
      <c r="AT237" s="143" t="str">
        <f t="shared" si="39"/>
        <v/>
      </c>
      <c r="AU237" s="143" t="str">
        <f t="shared" si="40"/>
        <v/>
      </c>
      <c r="AV237" s="143" t="str">
        <f t="shared" si="40"/>
        <v/>
      </c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46"/>
        <v>0</v>
      </c>
      <c r="BG237" s="9">
        <f t="shared" si="47"/>
        <v>0.99973785767414181</v>
      </c>
    </row>
    <row r="238" spans="2:59" x14ac:dyDescent="0.35">
      <c r="B238" s="3" t="s">
        <v>463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44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45"/>
        <v>0</v>
      </c>
      <c r="AF238" s="2" t="str">
        <f t="shared" si="52"/>
        <v/>
      </c>
      <c r="AG238" s="2" t="str">
        <f t="shared" si="52"/>
        <v/>
      </c>
      <c r="AH238" s="2" t="str">
        <f t="shared" si="52"/>
        <v/>
      </c>
      <c r="AI238" s="2" t="str">
        <f t="shared" si="52"/>
        <v/>
      </c>
      <c r="AJ238" s="2" t="str">
        <f t="shared" si="52"/>
        <v/>
      </c>
      <c r="AK238" s="2" t="str">
        <f t="shared" si="52"/>
        <v/>
      </c>
      <c r="AL238" s="2" t="str">
        <f t="shared" si="52"/>
        <v/>
      </c>
      <c r="AM238" s="2" t="str">
        <f t="shared" si="52"/>
        <v/>
      </c>
      <c r="AN238" s="2" t="str">
        <f t="shared" si="52"/>
        <v/>
      </c>
      <c r="AO238" s="2" t="str">
        <f t="shared" si="51"/>
        <v/>
      </c>
      <c r="AP238" s="2" t="str">
        <f t="shared" si="51"/>
        <v/>
      </c>
      <c r="AQ238" s="2" t="str">
        <f t="shared" si="49"/>
        <v/>
      </c>
      <c r="AR238" s="2" t="str">
        <f t="shared" si="41"/>
        <v/>
      </c>
      <c r="AT238" s="143" t="str">
        <f t="shared" ref="AT238:AT256" si="53">+IFERROR(AG238-AF238,"")</f>
        <v/>
      </c>
      <c r="AU238" s="143" t="str">
        <f t="shared" ref="AU238:AV256" si="54">+IFERROR(AH238-AG238,"")</f>
        <v/>
      </c>
      <c r="AV238" s="143" t="str">
        <f t="shared" si="54"/>
        <v/>
      </c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46"/>
        <v>0</v>
      </c>
      <c r="BG238" s="9">
        <f t="shared" si="47"/>
        <v>0.99973785767414181</v>
      </c>
    </row>
    <row r="239" spans="2:59" x14ac:dyDescent="0.35">
      <c r="B239" s="3" t="s">
        <v>464</v>
      </c>
      <c r="D239" s="141">
        <v>770</v>
      </c>
      <c r="E239" s="141"/>
      <c r="F239" s="141">
        <v>858</v>
      </c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44"/>
        <v>1628</v>
      </c>
      <c r="R239" s="141">
        <v>770</v>
      </c>
      <c r="S239" s="141"/>
      <c r="T239" s="141">
        <v>163</v>
      </c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45"/>
        <v>933</v>
      </c>
      <c r="AF239" s="2">
        <f t="shared" si="52"/>
        <v>1</v>
      </c>
      <c r="AG239" s="2" t="str">
        <f t="shared" si="52"/>
        <v/>
      </c>
      <c r="AH239" s="2">
        <f t="shared" si="52"/>
        <v>0.18997668997668998</v>
      </c>
      <c r="AI239" s="2" t="str">
        <f t="shared" si="52"/>
        <v/>
      </c>
      <c r="AJ239" s="2" t="str">
        <f t="shared" si="52"/>
        <v/>
      </c>
      <c r="AK239" s="2" t="str">
        <f t="shared" si="52"/>
        <v/>
      </c>
      <c r="AL239" s="2" t="str">
        <f t="shared" si="52"/>
        <v/>
      </c>
      <c r="AM239" s="2" t="str">
        <f t="shared" si="52"/>
        <v/>
      </c>
      <c r="AN239" s="2" t="str">
        <f t="shared" si="52"/>
        <v/>
      </c>
      <c r="AO239" s="2" t="str">
        <f t="shared" si="51"/>
        <v/>
      </c>
      <c r="AP239" s="2" t="str">
        <f t="shared" si="51"/>
        <v/>
      </c>
      <c r="AQ239" s="2" t="str">
        <f t="shared" si="49"/>
        <v/>
      </c>
      <c r="AR239" s="2">
        <f t="shared" si="41"/>
        <v>0.57309582309582308</v>
      </c>
      <c r="AT239" s="143" t="str">
        <f t="shared" si="53"/>
        <v/>
      </c>
      <c r="AU239" s="143" t="str">
        <f t="shared" si="54"/>
        <v/>
      </c>
      <c r="AV239" s="143" t="str">
        <f t="shared" si="54"/>
        <v/>
      </c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46"/>
        <v>1.1799439889314728E-6</v>
      </c>
      <c r="BG239" s="9">
        <f t="shared" si="47"/>
        <v>0.99973903761813077</v>
      </c>
    </row>
    <row r="240" spans="2:59" x14ac:dyDescent="0.35">
      <c r="B240" s="3" t="s">
        <v>465</v>
      </c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44"/>
        <v>0</v>
      </c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45"/>
        <v>0</v>
      </c>
      <c r="AF240" s="2" t="str">
        <f t="shared" si="52"/>
        <v/>
      </c>
      <c r="AG240" s="2" t="str">
        <f t="shared" si="52"/>
        <v/>
      </c>
      <c r="AH240" s="2" t="str">
        <f t="shared" si="52"/>
        <v/>
      </c>
      <c r="AI240" s="2" t="str">
        <f t="shared" si="52"/>
        <v/>
      </c>
      <c r="AJ240" s="2" t="str">
        <f t="shared" si="52"/>
        <v/>
      </c>
      <c r="AK240" s="2" t="str">
        <f t="shared" si="52"/>
        <v/>
      </c>
      <c r="AL240" s="2" t="str">
        <f t="shared" si="52"/>
        <v/>
      </c>
      <c r="AM240" s="2" t="str">
        <f t="shared" si="52"/>
        <v/>
      </c>
      <c r="AN240" s="2" t="str">
        <f t="shared" si="52"/>
        <v/>
      </c>
      <c r="AO240" s="2" t="str">
        <f t="shared" si="51"/>
        <v/>
      </c>
      <c r="AP240" s="2" t="str">
        <f t="shared" si="51"/>
        <v/>
      </c>
      <c r="AQ240" s="2" t="str">
        <f t="shared" si="49"/>
        <v/>
      </c>
      <c r="AR240" s="2" t="str">
        <f t="shared" si="49"/>
        <v/>
      </c>
      <c r="AT240" s="143" t="str">
        <f t="shared" si="53"/>
        <v/>
      </c>
      <c r="AU240" s="143" t="str">
        <f t="shared" si="54"/>
        <v/>
      </c>
      <c r="AV240" s="143" t="str">
        <f t="shared" si="54"/>
        <v/>
      </c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46"/>
        <v>0</v>
      </c>
      <c r="BG240" s="9">
        <f t="shared" si="47"/>
        <v>0.99973903761813077</v>
      </c>
    </row>
    <row r="241" spans="2:59" x14ac:dyDescent="0.35">
      <c r="B241" s="3" t="s">
        <v>466</v>
      </c>
      <c r="D241" s="141">
        <v>864</v>
      </c>
      <c r="E241" s="141">
        <v>760</v>
      </c>
      <c r="F241" s="141">
        <v>1705</v>
      </c>
      <c r="G241" s="141">
        <v>8614</v>
      </c>
      <c r="H241" s="141"/>
      <c r="I241" s="141"/>
      <c r="J241" s="141"/>
      <c r="K241" s="141"/>
      <c r="L241" s="141"/>
      <c r="M241" s="141"/>
      <c r="N241" s="141"/>
      <c r="O241" s="141"/>
      <c r="P241" s="141">
        <f t="shared" si="44"/>
        <v>11943</v>
      </c>
      <c r="R241" s="141">
        <v>864</v>
      </c>
      <c r="S241" s="141">
        <v>760</v>
      </c>
      <c r="T241" s="141">
        <v>1705</v>
      </c>
      <c r="U241" s="141">
        <v>8415</v>
      </c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45"/>
        <v>11744</v>
      </c>
      <c r="AF241" s="2">
        <f t="shared" si="52"/>
        <v>1</v>
      </c>
      <c r="AG241" s="2">
        <f t="shared" si="52"/>
        <v>1</v>
      </c>
      <c r="AH241" s="2">
        <f t="shared" si="52"/>
        <v>1</v>
      </c>
      <c r="AI241" s="2">
        <f t="shared" si="52"/>
        <v>0.97689807290457398</v>
      </c>
      <c r="AJ241" s="2" t="str">
        <f t="shared" si="52"/>
        <v/>
      </c>
      <c r="AK241" s="2" t="str">
        <f t="shared" si="52"/>
        <v/>
      </c>
      <c r="AL241" s="2" t="str">
        <f t="shared" si="52"/>
        <v/>
      </c>
      <c r="AM241" s="2" t="str">
        <f t="shared" si="52"/>
        <v/>
      </c>
      <c r="AN241" s="2" t="str">
        <f t="shared" si="52"/>
        <v/>
      </c>
      <c r="AO241" s="2" t="str">
        <f t="shared" si="51"/>
        <v/>
      </c>
      <c r="AP241" s="2" t="str">
        <f t="shared" si="51"/>
        <v/>
      </c>
      <c r="AQ241" s="2" t="str">
        <f t="shared" si="49"/>
        <v/>
      </c>
      <c r="AR241" s="2">
        <f t="shared" si="49"/>
        <v>0.98333751988612572</v>
      </c>
      <c r="AT241" s="143">
        <f t="shared" si="53"/>
        <v>0</v>
      </c>
      <c r="AU241" s="143">
        <f t="shared" si="54"/>
        <v>0</v>
      </c>
      <c r="AV241" s="143">
        <f t="shared" si="54"/>
        <v>-2.3101927095426023E-2</v>
      </c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46"/>
        <v>1.4852371067536138E-5</v>
      </c>
      <c r="BG241" s="9">
        <f t="shared" si="47"/>
        <v>0.99975388998919834</v>
      </c>
    </row>
    <row r="242" spans="2:59" x14ac:dyDescent="0.35">
      <c r="B242" s="3" t="s">
        <v>467</v>
      </c>
      <c r="D242" s="141">
        <v>98323</v>
      </c>
      <c r="E242" s="141">
        <v>95975</v>
      </c>
      <c r="F242" s="141">
        <v>75289</v>
      </c>
      <c r="G242" s="141"/>
      <c r="H242" s="141"/>
      <c r="I242" s="141"/>
      <c r="J242" s="141"/>
      <c r="K242" s="141"/>
      <c r="L242" s="141"/>
      <c r="M242" s="141"/>
      <c r="N242" s="141"/>
      <c r="O242" s="141"/>
      <c r="P242" s="141">
        <f t="shared" si="44"/>
        <v>269587</v>
      </c>
      <c r="R242" s="141">
        <v>70985</v>
      </c>
      <c r="S242" s="141">
        <v>68579</v>
      </c>
      <c r="T242" s="141">
        <v>52773</v>
      </c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45"/>
        <v>192337</v>
      </c>
      <c r="AF242" s="2">
        <f t="shared" si="52"/>
        <v>0.72195722262339435</v>
      </c>
      <c r="AG242" s="2">
        <f t="shared" si="52"/>
        <v>0.71455066423547797</v>
      </c>
      <c r="AH242" s="2">
        <f t="shared" si="52"/>
        <v>0.70093904820093245</v>
      </c>
      <c r="AI242" s="2" t="str">
        <f t="shared" si="52"/>
        <v/>
      </c>
      <c r="AJ242" s="2" t="str">
        <f t="shared" si="52"/>
        <v/>
      </c>
      <c r="AK242" s="2" t="str">
        <f t="shared" si="52"/>
        <v/>
      </c>
      <c r="AL242" s="2" t="str">
        <f t="shared" si="52"/>
        <v/>
      </c>
      <c r="AM242" s="2" t="str">
        <f t="shared" si="52"/>
        <v/>
      </c>
      <c r="AN242" s="2" t="str">
        <f t="shared" si="52"/>
        <v/>
      </c>
      <c r="AO242" s="2" t="str">
        <f t="shared" si="51"/>
        <v/>
      </c>
      <c r="AP242" s="2" t="str">
        <f t="shared" si="51"/>
        <v/>
      </c>
      <c r="AQ242" s="2" t="str">
        <f t="shared" si="49"/>
        <v/>
      </c>
      <c r="AR242" s="2">
        <f t="shared" si="49"/>
        <v>0.71345057439713344</v>
      </c>
      <c r="AT242" s="143">
        <f t="shared" si="53"/>
        <v>-7.4065583879163732E-3</v>
      </c>
      <c r="AU242" s="143">
        <f t="shared" si="54"/>
        <v>-1.3611616034545526E-2</v>
      </c>
      <c r="AV242" s="143" t="str">
        <f t="shared" si="54"/>
        <v/>
      </c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46"/>
        <v>2.4324425187471885E-4</v>
      </c>
      <c r="BG242" s="9">
        <f t="shared" si="47"/>
        <v>0.99999713424107306</v>
      </c>
    </row>
    <row r="243" spans="2:59" x14ac:dyDescent="0.35">
      <c r="B243" s="3" t="s">
        <v>468</v>
      </c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44"/>
        <v>0</v>
      </c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45"/>
        <v>0</v>
      </c>
      <c r="AF243" s="2" t="str">
        <f t="shared" si="52"/>
        <v/>
      </c>
      <c r="AG243" s="2" t="str">
        <f t="shared" si="52"/>
        <v/>
      </c>
      <c r="AH243" s="2" t="str">
        <f t="shared" si="52"/>
        <v/>
      </c>
      <c r="AI243" s="2" t="str">
        <f t="shared" ref="AI243:AN255" si="55">+IFERROR(U243/G243,"")</f>
        <v/>
      </c>
      <c r="AJ243" s="2" t="str">
        <f t="shared" si="55"/>
        <v/>
      </c>
      <c r="AK243" s="2" t="str">
        <f t="shared" si="55"/>
        <v/>
      </c>
      <c r="AL243" s="2" t="str">
        <f t="shared" si="55"/>
        <v/>
      </c>
      <c r="AM243" s="2" t="str">
        <f t="shared" si="55"/>
        <v/>
      </c>
      <c r="AN243" s="2" t="str">
        <f t="shared" si="55"/>
        <v/>
      </c>
      <c r="AO243" s="2" t="str">
        <f t="shared" si="51"/>
        <v/>
      </c>
      <c r="AP243" s="2" t="str">
        <f t="shared" si="51"/>
        <v/>
      </c>
      <c r="AQ243" s="2" t="str">
        <f t="shared" si="49"/>
        <v/>
      </c>
      <c r="AR243" s="2" t="str">
        <f t="shared" si="49"/>
        <v/>
      </c>
      <c r="AT243" s="143" t="str">
        <f t="shared" si="53"/>
        <v/>
      </c>
      <c r="AU243" s="143" t="str">
        <f t="shared" si="54"/>
        <v/>
      </c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46"/>
        <v>0</v>
      </c>
      <c r="BG243" s="9">
        <f t="shared" si="47"/>
        <v>0.99999713424107306</v>
      </c>
    </row>
    <row r="244" spans="2:59" x14ac:dyDescent="0.35">
      <c r="B244" s="3" t="s">
        <v>469</v>
      </c>
      <c r="D244" s="141"/>
      <c r="E244" s="141"/>
      <c r="F244" s="141"/>
      <c r="G244" s="141">
        <v>2657</v>
      </c>
      <c r="H244" s="141"/>
      <c r="I244" s="141"/>
      <c r="J244" s="141"/>
      <c r="K244" s="141"/>
      <c r="L244" s="141"/>
      <c r="M244" s="141"/>
      <c r="N244" s="141"/>
      <c r="O244" s="141"/>
      <c r="P244" s="141">
        <f t="shared" si="44"/>
        <v>2657</v>
      </c>
      <c r="R244" s="141"/>
      <c r="S244" s="141"/>
      <c r="T244" s="141"/>
      <c r="U244" s="141">
        <v>2266</v>
      </c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45"/>
        <v>2266</v>
      </c>
      <c r="AF244" s="2" t="str">
        <f t="shared" ref="AF244:AR256" si="56">+IFERROR(R244/D244,"")</f>
        <v/>
      </c>
      <c r="AG244" s="2" t="str">
        <f t="shared" si="56"/>
        <v/>
      </c>
      <c r="AH244" s="2" t="str">
        <f t="shared" si="56"/>
        <v/>
      </c>
      <c r="AI244" s="2">
        <f t="shared" si="55"/>
        <v>0.85284155062100109</v>
      </c>
      <c r="AJ244" s="2" t="str">
        <f t="shared" si="55"/>
        <v/>
      </c>
      <c r="AK244" s="2" t="str">
        <f t="shared" si="55"/>
        <v/>
      </c>
      <c r="AL244" s="2" t="str">
        <f t="shared" si="55"/>
        <v/>
      </c>
      <c r="AM244" s="2" t="str">
        <f t="shared" si="55"/>
        <v/>
      </c>
      <c r="AN244" s="2" t="str">
        <f t="shared" si="55"/>
        <v/>
      </c>
      <c r="AO244" s="2" t="str">
        <f t="shared" si="51"/>
        <v/>
      </c>
      <c r="AP244" s="2" t="str">
        <f t="shared" si="51"/>
        <v/>
      </c>
      <c r="AQ244" s="2" t="str">
        <f t="shared" si="49"/>
        <v/>
      </c>
      <c r="AR244" s="2">
        <f t="shared" si="49"/>
        <v>0.85284155062100109</v>
      </c>
      <c r="AT244" s="143" t="str">
        <f t="shared" si="53"/>
        <v/>
      </c>
      <c r="AU244" s="143" t="str">
        <f t="shared" si="54"/>
        <v/>
      </c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46"/>
        <v>2.8657589270297079E-6</v>
      </c>
      <c r="BG244" s="9">
        <f t="shared" si="47"/>
        <v>1</v>
      </c>
    </row>
    <row r="245" spans="2:59" x14ac:dyDescent="0.35">
      <c r="B245" s="3" t="s">
        <v>470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44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45"/>
        <v>0</v>
      </c>
      <c r="AF245" s="2" t="str">
        <f t="shared" si="56"/>
        <v/>
      </c>
      <c r="AG245" s="2" t="str">
        <f t="shared" si="56"/>
        <v/>
      </c>
      <c r="AH245" s="2" t="str">
        <f t="shared" si="56"/>
        <v/>
      </c>
      <c r="AI245" s="2" t="str">
        <f t="shared" si="55"/>
        <v/>
      </c>
      <c r="AJ245" s="2" t="str">
        <f t="shared" si="55"/>
        <v/>
      </c>
      <c r="AK245" s="2" t="str">
        <f t="shared" si="55"/>
        <v/>
      </c>
      <c r="AL245" s="2" t="str">
        <f t="shared" si="55"/>
        <v/>
      </c>
      <c r="AM245" s="2" t="str">
        <f t="shared" si="55"/>
        <v/>
      </c>
      <c r="AN245" s="2" t="str">
        <f t="shared" si="55"/>
        <v/>
      </c>
      <c r="AO245" s="2" t="str">
        <f t="shared" si="51"/>
        <v/>
      </c>
      <c r="AP245" s="2" t="str">
        <f t="shared" si="51"/>
        <v/>
      </c>
      <c r="AQ245" s="2" t="str">
        <f t="shared" si="49"/>
        <v/>
      </c>
      <c r="AR245" s="2" t="str">
        <f t="shared" si="49"/>
        <v/>
      </c>
      <c r="AT245" s="143" t="str">
        <f t="shared" si="53"/>
        <v/>
      </c>
      <c r="AU245" s="143" t="str">
        <f t="shared" si="54"/>
        <v/>
      </c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46"/>
        <v>0</v>
      </c>
      <c r="BG245" s="9">
        <f t="shared" si="47"/>
        <v>1</v>
      </c>
    </row>
    <row r="246" spans="2:59" x14ac:dyDescent="0.35">
      <c r="B246" s="3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44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45"/>
        <v>0</v>
      </c>
      <c r="AF246" s="2" t="str">
        <f t="shared" si="56"/>
        <v/>
      </c>
      <c r="AG246" s="2" t="str">
        <f t="shared" si="56"/>
        <v/>
      </c>
      <c r="AH246" s="2" t="str">
        <f t="shared" si="56"/>
        <v/>
      </c>
      <c r="AI246" s="2" t="str">
        <f t="shared" si="55"/>
        <v/>
      </c>
      <c r="AJ246" s="2" t="str">
        <f t="shared" si="55"/>
        <v/>
      </c>
      <c r="AK246" s="2" t="str">
        <f t="shared" si="55"/>
        <v/>
      </c>
      <c r="AL246" s="2" t="str">
        <f t="shared" si="55"/>
        <v/>
      </c>
      <c r="AM246" s="2" t="str">
        <f t="shared" si="55"/>
        <v/>
      </c>
      <c r="AN246" s="2" t="str">
        <f t="shared" si="55"/>
        <v/>
      </c>
      <c r="AO246" s="2" t="str">
        <f t="shared" si="51"/>
        <v/>
      </c>
      <c r="AP246" s="2" t="str">
        <f t="shared" si="51"/>
        <v/>
      </c>
      <c r="AQ246" s="2" t="str">
        <f t="shared" si="49"/>
        <v/>
      </c>
      <c r="AR246" s="2" t="str">
        <f t="shared" si="49"/>
        <v/>
      </c>
      <c r="AT246" s="143" t="str">
        <f t="shared" si="53"/>
        <v/>
      </c>
      <c r="AU246" s="143" t="str">
        <f t="shared" si="54"/>
        <v/>
      </c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46"/>
        <v>0</v>
      </c>
      <c r="BG246" s="9">
        <f t="shared" si="47"/>
        <v>1</v>
      </c>
    </row>
    <row r="247" spans="2:59" x14ac:dyDescent="0.35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44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45"/>
        <v>0</v>
      </c>
      <c r="AF247" s="2" t="str">
        <f t="shared" si="56"/>
        <v/>
      </c>
      <c r="AG247" s="2" t="str">
        <f t="shared" si="56"/>
        <v/>
      </c>
      <c r="AH247" s="2" t="str">
        <f t="shared" si="56"/>
        <v/>
      </c>
      <c r="AI247" s="2" t="str">
        <f t="shared" si="55"/>
        <v/>
      </c>
      <c r="AJ247" s="2" t="str">
        <f t="shared" si="55"/>
        <v/>
      </c>
      <c r="AK247" s="2" t="str">
        <f t="shared" si="55"/>
        <v/>
      </c>
      <c r="AL247" s="2" t="str">
        <f t="shared" si="55"/>
        <v/>
      </c>
      <c r="AM247" s="2" t="str">
        <f t="shared" si="55"/>
        <v/>
      </c>
      <c r="AN247" s="2" t="str">
        <f t="shared" si="55"/>
        <v/>
      </c>
      <c r="AO247" s="2" t="str">
        <f t="shared" si="51"/>
        <v/>
      </c>
      <c r="AP247" s="2" t="str">
        <f t="shared" si="51"/>
        <v/>
      </c>
      <c r="AQ247" s="2" t="str">
        <f t="shared" si="49"/>
        <v/>
      </c>
      <c r="AR247" s="2" t="str">
        <f t="shared" si="49"/>
        <v/>
      </c>
      <c r="AT247" s="143" t="str">
        <f t="shared" si="53"/>
        <v/>
      </c>
      <c r="AU247" s="143" t="str">
        <f t="shared" si="54"/>
        <v/>
      </c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46"/>
        <v>0</v>
      </c>
      <c r="BG247" s="9">
        <f t="shared" si="47"/>
        <v>1</v>
      </c>
    </row>
    <row r="248" spans="2:59" x14ac:dyDescent="0.35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44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45"/>
        <v>0</v>
      </c>
      <c r="AF248" s="2" t="str">
        <f t="shared" si="56"/>
        <v/>
      </c>
      <c r="AG248" s="2" t="str">
        <f t="shared" si="56"/>
        <v/>
      </c>
      <c r="AH248" s="2" t="str">
        <f t="shared" si="56"/>
        <v/>
      </c>
      <c r="AI248" s="2" t="str">
        <f t="shared" si="55"/>
        <v/>
      </c>
      <c r="AJ248" s="2" t="str">
        <f t="shared" si="55"/>
        <v/>
      </c>
      <c r="AK248" s="2" t="str">
        <f t="shared" si="55"/>
        <v/>
      </c>
      <c r="AL248" s="2" t="str">
        <f t="shared" si="55"/>
        <v/>
      </c>
      <c r="AM248" s="2" t="str">
        <f t="shared" si="55"/>
        <v/>
      </c>
      <c r="AN248" s="2" t="str">
        <f t="shared" si="55"/>
        <v/>
      </c>
      <c r="AO248" s="2" t="str">
        <f t="shared" si="51"/>
        <v/>
      </c>
      <c r="AP248" s="2" t="str">
        <f t="shared" si="51"/>
        <v/>
      </c>
      <c r="AQ248" s="2" t="str">
        <f t="shared" si="49"/>
        <v/>
      </c>
      <c r="AR248" s="2" t="str">
        <f t="shared" si="49"/>
        <v/>
      </c>
      <c r="AT248" s="143" t="str">
        <f t="shared" si="53"/>
        <v/>
      </c>
      <c r="AU248" s="143" t="str">
        <f t="shared" si="54"/>
        <v/>
      </c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46"/>
        <v>0</v>
      </c>
      <c r="BG248" s="9">
        <f t="shared" si="47"/>
        <v>1</v>
      </c>
    </row>
    <row r="249" spans="2:59" x14ac:dyDescent="0.35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44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45"/>
        <v>0</v>
      </c>
      <c r="AF249" s="2" t="str">
        <f t="shared" si="56"/>
        <v/>
      </c>
      <c r="AG249" s="2" t="str">
        <f t="shared" si="56"/>
        <v/>
      </c>
      <c r="AH249" s="2" t="str">
        <f t="shared" si="56"/>
        <v/>
      </c>
      <c r="AI249" s="2" t="str">
        <f t="shared" si="55"/>
        <v/>
      </c>
      <c r="AJ249" s="2" t="str">
        <f t="shared" si="55"/>
        <v/>
      </c>
      <c r="AK249" s="2" t="str">
        <f t="shared" si="55"/>
        <v/>
      </c>
      <c r="AL249" s="2" t="str">
        <f t="shared" si="55"/>
        <v/>
      </c>
      <c r="AM249" s="2" t="str">
        <f t="shared" si="55"/>
        <v/>
      </c>
      <c r="AN249" s="2" t="str">
        <f t="shared" si="55"/>
        <v/>
      </c>
      <c r="AO249" s="2" t="str">
        <f t="shared" si="51"/>
        <v/>
      </c>
      <c r="AP249" s="2" t="str">
        <f t="shared" si="51"/>
        <v/>
      </c>
      <c r="AQ249" s="2" t="str">
        <f t="shared" si="49"/>
        <v/>
      </c>
      <c r="AR249" s="2" t="str">
        <f t="shared" si="49"/>
        <v/>
      </c>
      <c r="AT249" s="143" t="str">
        <f t="shared" si="53"/>
        <v/>
      </c>
      <c r="AU249" s="143" t="str">
        <f t="shared" si="54"/>
        <v/>
      </c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46"/>
        <v>0</v>
      </c>
      <c r="BG249" s="9">
        <f t="shared" si="47"/>
        <v>1</v>
      </c>
    </row>
    <row r="250" spans="2:59" x14ac:dyDescent="0.35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44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45"/>
        <v>0</v>
      </c>
      <c r="AF250" s="2" t="str">
        <f t="shared" si="56"/>
        <v/>
      </c>
      <c r="AG250" s="2" t="str">
        <f t="shared" si="56"/>
        <v/>
      </c>
      <c r="AH250" s="2" t="str">
        <f t="shared" si="56"/>
        <v/>
      </c>
      <c r="AI250" s="2" t="str">
        <f t="shared" si="55"/>
        <v/>
      </c>
      <c r="AJ250" s="2" t="str">
        <f t="shared" si="55"/>
        <v/>
      </c>
      <c r="AK250" s="2" t="str">
        <f t="shared" si="55"/>
        <v/>
      </c>
      <c r="AL250" s="2" t="str">
        <f t="shared" si="55"/>
        <v/>
      </c>
      <c r="AM250" s="2" t="str">
        <f t="shared" si="55"/>
        <v/>
      </c>
      <c r="AN250" s="2" t="str">
        <f t="shared" si="55"/>
        <v/>
      </c>
      <c r="AO250" s="2" t="str">
        <f t="shared" si="51"/>
        <v/>
      </c>
      <c r="AP250" s="2" t="str">
        <f t="shared" si="51"/>
        <v/>
      </c>
      <c r="AQ250" s="2" t="str">
        <f t="shared" si="49"/>
        <v/>
      </c>
      <c r="AR250" s="2" t="str">
        <f t="shared" si="49"/>
        <v/>
      </c>
      <c r="AT250" s="143" t="str">
        <f t="shared" si="53"/>
        <v/>
      </c>
      <c r="AU250" s="143" t="str">
        <f t="shared" si="54"/>
        <v/>
      </c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46"/>
        <v>0</v>
      </c>
      <c r="BG250" s="9">
        <f t="shared" si="47"/>
        <v>1</v>
      </c>
    </row>
    <row r="251" spans="2:59" x14ac:dyDescent="0.35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44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45"/>
        <v>0</v>
      </c>
      <c r="AF251" s="2" t="str">
        <f t="shared" si="56"/>
        <v/>
      </c>
      <c r="AG251" s="2" t="str">
        <f t="shared" si="56"/>
        <v/>
      </c>
      <c r="AH251" s="2" t="str">
        <f t="shared" si="56"/>
        <v/>
      </c>
      <c r="AI251" s="2" t="str">
        <f t="shared" si="55"/>
        <v/>
      </c>
      <c r="AJ251" s="2" t="str">
        <f t="shared" si="55"/>
        <v/>
      </c>
      <c r="AK251" s="2" t="str">
        <f t="shared" si="55"/>
        <v/>
      </c>
      <c r="AL251" s="2" t="str">
        <f t="shared" si="55"/>
        <v/>
      </c>
      <c r="AM251" s="2" t="str">
        <f t="shared" si="55"/>
        <v/>
      </c>
      <c r="AN251" s="2" t="str">
        <f t="shared" si="55"/>
        <v/>
      </c>
      <c r="AO251" s="2" t="str">
        <f t="shared" si="51"/>
        <v/>
      </c>
      <c r="AP251" s="2" t="str">
        <f t="shared" si="51"/>
        <v/>
      </c>
      <c r="AQ251" s="2" t="str">
        <f t="shared" si="49"/>
        <v/>
      </c>
      <c r="AR251" s="2" t="str">
        <f t="shared" si="49"/>
        <v/>
      </c>
      <c r="AT251" s="143" t="str">
        <f t="shared" si="53"/>
        <v/>
      </c>
      <c r="AU251" s="143" t="str">
        <f t="shared" si="54"/>
        <v/>
      </c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46"/>
        <v>0</v>
      </c>
      <c r="BG251" s="9">
        <f t="shared" si="47"/>
        <v>1</v>
      </c>
    </row>
    <row r="252" spans="2:59" x14ac:dyDescent="0.35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44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45"/>
        <v>0</v>
      </c>
      <c r="AF252" s="2" t="str">
        <f t="shared" si="56"/>
        <v/>
      </c>
      <c r="AG252" s="2" t="str">
        <f t="shared" si="56"/>
        <v/>
      </c>
      <c r="AH252" s="2" t="str">
        <f t="shared" si="56"/>
        <v/>
      </c>
      <c r="AI252" s="2" t="str">
        <f t="shared" si="55"/>
        <v/>
      </c>
      <c r="AJ252" s="2" t="str">
        <f t="shared" si="55"/>
        <v/>
      </c>
      <c r="AK252" s="2" t="str">
        <f t="shared" si="55"/>
        <v/>
      </c>
      <c r="AL252" s="2" t="str">
        <f t="shared" si="55"/>
        <v/>
      </c>
      <c r="AM252" s="2" t="str">
        <f t="shared" si="55"/>
        <v/>
      </c>
      <c r="AN252" s="2" t="str">
        <f t="shared" si="55"/>
        <v/>
      </c>
      <c r="AO252" s="2" t="str">
        <f t="shared" si="51"/>
        <v/>
      </c>
      <c r="AP252" s="2" t="str">
        <f t="shared" si="51"/>
        <v/>
      </c>
      <c r="AQ252" s="2" t="str">
        <f t="shared" si="49"/>
        <v/>
      </c>
      <c r="AR252" s="2" t="str">
        <f t="shared" si="49"/>
        <v/>
      </c>
      <c r="AT252" s="143" t="str">
        <f t="shared" si="53"/>
        <v/>
      </c>
      <c r="AU252" s="143" t="str">
        <f t="shared" si="54"/>
        <v/>
      </c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46"/>
        <v>0</v>
      </c>
      <c r="BG252" s="9">
        <f t="shared" si="47"/>
        <v>1</v>
      </c>
    </row>
    <row r="253" spans="2:59" x14ac:dyDescent="0.35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44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45"/>
        <v>0</v>
      </c>
      <c r="AF253" s="2" t="str">
        <f t="shared" si="56"/>
        <v/>
      </c>
      <c r="AG253" s="2" t="str">
        <f t="shared" si="56"/>
        <v/>
      </c>
      <c r="AH253" s="2" t="str">
        <f t="shared" si="56"/>
        <v/>
      </c>
      <c r="AI253" s="2" t="str">
        <f t="shared" si="55"/>
        <v/>
      </c>
      <c r="AJ253" s="2" t="str">
        <f t="shared" si="55"/>
        <v/>
      </c>
      <c r="AK253" s="2" t="str">
        <f t="shared" si="55"/>
        <v/>
      </c>
      <c r="AL253" s="2" t="str">
        <f t="shared" si="55"/>
        <v/>
      </c>
      <c r="AM253" s="2" t="str">
        <f t="shared" si="55"/>
        <v/>
      </c>
      <c r="AN253" s="2" t="str">
        <f t="shared" si="55"/>
        <v/>
      </c>
      <c r="AO253" s="2" t="str">
        <f t="shared" si="51"/>
        <v/>
      </c>
      <c r="AP253" s="2" t="str">
        <f t="shared" si="51"/>
        <v/>
      </c>
      <c r="AQ253" s="2" t="str">
        <f t="shared" si="49"/>
        <v/>
      </c>
      <c r="AR253" s="2" t="str">
        <f t="shared" si="49"/>
        <v/>
      </c>
      <c r="AT253" s="143" t="str">
        <f t="shared" si="53"/>
        <v/>
      </c>
      <c r="AU253" s="143" t="str">
        <f t="shared" si="54"/>
        <v/>
      </c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46"/>
        <v>0</v>
      </c>
      <c r="BG253" s="9">
        <f t="shared" si="47"/>
        <v>1</v>
      </c>
    </row>
    <row r="254" spans="2:59" x14ac:dyDescent="0.35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44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45"/>
        <v>0</v>
      </c>
      <c r="AF254" s="2" t="str">
        <f t="shared" si="56"/>
        <v/>
      </c>
      <c r="AG254" s="2" t="str">
        <f t="shared" si="56"/>
        <v/>
      </c>
      <c r="AH254" s="2" t="str">
        <f t="shared" si="56"/>
        <v/>
      </c>
      <c r="AI254" s="2" t="str">
        <f t="shared" si="55"/>
        <v/>
      </c>
      <c r="AJ254" s="2" t="str">
        <f t="shared" si="55"/>
        <v/>
      </c>
      <c r="AK254" s="2" t="str">
        <f t="shared" si="55"/>
        <v/>
      </c>
      <c r="AL254" s="2" t="str">
        <f t="shared" si="55"/>
        <v/>
      </c>
      <c r="AM254" s="2" t="str">
        <f t="shared" si="55"/>
        <v/>
      </c>
      <c r="AN254" s="2" t="str">
        <f t="shared" si="55"/>
        <v/>
      </c>
      <c r="AO254" s="2" t="str">
        <f t="shared" si="51"/>
        <v/>
      </c>
      <c r="AP254" s="2" t="str">
        <f t="shared" si="51"/>
        <v/>
      </c>
      <c r="AQ254" s="2" t="str">
        <f t="shared" si="49"/>
        <v/>
      </c>
      <c r="AR254" s="2" t="str">
        <f t="shared" si="49"/>
        <v/>
      </c>
      <c r="AT254" s="143" t="str">
        <f t="shared" si="53"/>
        <v/>
      </c>
      <c r="AU254" s="143" t="str">
        <f t="shared" si="54"/>
        <v/>
      </c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46"/>
        <v>0</v>
      </c>
      <c r="BG254" s="9">
        <f t="shared" si="47"/>
        <v>1</v>
      </c>
    </row>
    <row r="255" spans="2:59" x14ac:dyDescent="0.35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44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45"/>
        <v>0</v>
      </c>
      <c r="AF255" s="2" t="str">
        <f t="shared" si="56"/>
        <v/>
      </c>
      <c r="AG255" s="2" t="str">
        <f t="shared" si="56"/>
        <v/>
      </c>
      <c r="AH255" s="2" t="str">
        <f t="shared" si="56"/>
        <v/>
      </c>
      <c r="AI255" s="2" t="str">
        <f t="shared" si="55"/>
        <v/>
      </c>
      <c r="AJ255" s="2" t="str">
        <f t="shared" si="55"/>
        <v/>
      </c>
      <c r="AK255" s="2" t="str">
        <f t="shared" si="55"/>
        <v/>
      </c>
      <c r="AL255" s="2" t="str">
        <f t="shared" si="55"/>
        <v/>
      </c>
      <c r="AM255" s="2" t="str">
        <f t="shared" si="55"/>
        <v/>
      </c>
      <c r="AN255" s="2" t="str">
        <f t="shared" si="55"/>
        <v/>
      </c>
      <c r="AO255" s="2" t="str">
        <f t="shared" si="51"/>
        <v/>
      </c>
      <c r="AP255" s="2" t="str">
        <f t="shared" si="51"/>
        <v/>
      </c>
      <c r="AQ255" s="2" t="str">
        <f t="shared" si="49"/>
        <v/>
      </c>
      <c r="AR255" s="2" t="str">
        <f t="shared" si="49"/>
        <v/>
      </c>
      <c r="AT255" s="143" t="str">
        <f t="shared" si="53"/>
        <v/>
      </c>
      <c r="AU255" s="143" t="str">
        <f t="shared" si="54"/>
        <v/>
      </c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46"/>
        <v>0</v>
      </c>
      <c r="BG255" s="9">
        <f t="shared" si="47"/>
        <v>1</v>
      </c>
    </row>
    <row r="256" spans="2:59" s="17" customFormat="1" x14ac:dyDescent="0.35">
      <c r="B256" s="3" t="s">
        <v>286</v>
      </c>
      <c r="D256" s="144">
        <f>+SUM(D5:D255)</f>
        <v>268713371</v>
      </c>
      <c r="E256" s="144">
        <f t="shared" ref="E256:P256" si="57">+SUM(E5:E255)</f>
        <v>254253791</v>
      </c>
      <c r="F256" s="144">
        <f t="shared" si="57"/>
        <v>285687449</v>
      </c>
      <c r="G256" s="144">
        <f t="shared" si="57"/>
        <v>286122657</v>
      </c>
      <c r="H256" s="144">
        <f t="shared" si="57"/>
        <v>0</v>
      </c>
      <c r="I256" s="144">
        <f t="shared" si="57"/>
        <v>0</v>
      </c>
      <c r="J256" s="144">
        <f t="shared" si="57"/>
        <v>0</v>
      </c>
      <c r="K256" s="144">
        <f t="shared" si="57"/>
        <v>0</v>
      </c>
      <c r="L256" s="144">
        <f t="shared" si="57"/>
        <v>0</v>
      </c>
      <c r="M256" s="144">
        <f t="shared" si="57"/>
        <v>0</v>
      </c>
      <c r="N256" s="144">
        <f t="shared" si="57"/>
        <v>0</v>
      </c>
      <c r="O256" s="144">
        <f t="shared" si="57"/>
        <v>0</v>
      </c>
      <c r="P256" s="144">
        <f t="shared" si="57"/>
        <v>1094777268</v>
      </c>
      <c r="R256" s="144">
        <f>+SUM(R5:R255)</f>
        <v>193598873</v>
      </c>
      <c r="S256" s="144">
        <f t="shared" ref="S256:AD256" si="58">+SUM(S5:S255)</f>
        <v>184280707</v>
      </c>
      <c r="T256" s="144">
        <f t="shared" si="58"/>
        <v>205941408</v>
      </c>
      <c r="U256" s="144">
        <f t="shared" si="58"/>
        <v>206894511</v>
      </c>
      <c r="V256" s="144">
        <f t="shared" si="58"/>
        <v>0</v>
      </c>
      <c r="W256" s="144">
        <f t="shared" si="58"/>
        <v>0</v>
      </c>
      <c r="X256" s="144">
        <f t="shared" si="58"/>
        <v>0</v>
      </c>
      <c r="Y256" s="144">
        <f t="shared" si="58"/>
        <v>0</v>
      </c>
      <c r="Z256" s="144">
        <f t="shared" si="58"/>
        <v>0</v>
      </c>
      <c r="AA256" s="144">
        <f t="shared" si="58"/>
        <v>0</v>
      </c>
      <c r="AB256" s="144">
        <f t="shared" si="58"/>
        <v>0</v>
      </c>
      <c r="AC256" s="144">
        <f t="shared" si="58"/>
        <v>0</v>
      </c>
      <c r="AD256" s="144">
        <f t="shared" si="58"/>
        <v>790715499</v>
      </c>
      <c r="AF256" s="7">
        <f t="shared" si="56"/>
        <v>0.72046609470728573</v>
      </c>
      <c r="AG256" s="7">
        <f t="shared" si="56"/>
        <v>0.72479040047037091</v>
      </c>
      <c r="AH256" s="7">
        <f t="shared" si="56"/>
        <v>0.7208626375462508</v>
      </c>
      <c r="AI256" s="7">
        <f t="shared" si="56"/>
        <v>0.72309726593934154</v>
      </c>
      <c r="AJ256" s="7" t="str">
        <f t="shared" si="56"/>
        <v/>
      </c>
      <c r="AK256" s="7" t="str">
        <f t="shared" si="56"/>
        <v/>
      </c>
      <c r="AL256" s="7" t="str">
        <f t="shared" si="56"/>
        <v/>
      </c>
      <c r="AM256" s="7" t="str">
        <f t="shared" si="56"/>
        <v/>
      </c>
      <c r="AN256" s="7" t="str">
        <f t="shared" si="56"/>
        <v/>
      </c>
      <c r="AO256" s="7" t="str">
        <f t="shared" si="56"/>
        <v/>
      </c>
      <c r="AP256" s="7" t="str">
        <f t="shared" si="56"/>
        <v/>
      </c>
      <c r="AQ256" s="2" t="str">
        <f t="shared" si="56"/>
        <v/>
      </c>
      <c r="AR256" s="7">
        <f t="shared" si="56"/>
        <v>0.72226152488946271</v>
      </c>
      <c r="AT256" s="7">
        <f t="shared" si="53"/>
        <v>4.3243057630851789E-3</v>
      </c>
      <c r="AU256" s="7">
        <f t="shared" si="54"/>
        <v>-3.9277629241201151E-3</v>
      </c>
      <c r="AV256" s="7">
        <f t="shared" ref="AV256:BD256" si="59">+IFERROR(AI256-AH256,"")</f>
        <v>2.2346283930907429E-3</v>
      </c>
      <c r="AW256" s="7" t="str">
        <f t="shared" si="59"/>
        <v/>
      </c>
      <c r="AX256" s="7" t="str">
        <f t="shared" si="59"/>
        <v/>
      </c>
      <c r="AY256" s="7" t="str">
        <f t="shared" si="59"/>
        <v/>
      </c>
      <c r="AZ256" s="7" t="str">
        <f t="shared" si="59"/>
        <v/>
      </c>
      <c r="BA256" s="7" t="str">
        <f t="shared" si="59"/>
        <v/>
      </c>
      <c r="BB256" s="7" t="str">
        <f t="shared" si="59"/>
        <v/>
      </c>
      <c r="BC256" s="2" t="str">
        <f t="shared" si="59"/>
        <v/>
      </c>
      <c r="BD256" s="7" t="str">
        <f t="shared" si="59"/>
        <v/>
      </c>
      <c r="BF256" s="10">
        <f>+AD256/$AD$256</f>
        <v>1</v>
      </c>
      <c r="BG256" s="10"/>
    </row>
    <row r="257" spans="5:19" x14ac:dyDescent="0.35">
      <c r="E257" s="147"/>
      <c r="S257" s="147"/>
    </row>
    <row r="258" spans="5:19" x14ac:dyDescent="0.35">
      <c r="E258" s="147"/>
      <c r="S258" s="147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5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63.36328125" style="154" customWidth="1"/>
    <col min="3" max="3" width="1.1796875" style="154" customWidth="1"/>
    <col min="4" max="5" width="16.54296875" style="154" hidden="1" customWidth="1" outlineLevel="1"/>
    <col min="6" max="6" width="16.54296875" style="154" bestFit="1" customWidth="1" outlineLevel="1"/>
    <col min="7" max="7" width="16.54296875" style="154" customWidth="1" outlineLevel="1"/>
    <col min="8" max="12" width="16.54296875" style="154" hidden="1" customWidth="1" outlineLevel="1"/>
    <col min="13" max="13" width="15.453125" style="154" hidden="1" customWidth="1" outlineLevel="1"/>
    <col min="14" max="15" width="16.54296875" style="154" hidden="1" customWidth="1" outlineLevel="1"/>
    <col min="16" max="16" width="16.54296875" style="154" bestFit="1" customWidth="1" outlineLevel="1"/>
    <col min="17" max="17" width="0.90625" style="154" customWidth="1"/>
    <col min="18" max="19" width="11.90625" style="154" hidden="1" customWidth="1" outlineLevel="1"/>
    <col min="20" max="20" width="11.90625" style="154" bestFit="1" customWidth="1" outlineLevel="1"/>
    <col min="21" max="21" width="10.08984375" style="154" customWidth="1" outlineLevel="1"/>
    <col min="22" max="29" width="11.90625" style="154" hidden="1" customWidth="1" outlineLevel="1"/>
    <col min="30" max="30" width="11.90625" style="154" bestFit="1" customWidth="1" outlineLevel="1"/>
    <col min="31" max="31" width="1.6328125" style="154" customWidth="1"/>
    <col min="32" max="54" width="11.54296875" style="154" customWidth="1"/>
    <col min="55" max="16384" width="11.54296875" style="154"/>
  </cols>
  <sheetData>
    <row r="1" spans="2:30" ht="23" customHeight="1" x14ac:dyDescent="0.35"/>
    <row r="2" spans="2:30" x14ac:dyDescent="0.35">
      <c r="D2" s="253" t="s">
        <v>306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R2" s="257" t="s">
        <v>307</v>
      </c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</row>
    <row r="3" spans="2:30" ht="5" customHeight="1" x14ac:dyDescent="0.35"/>
    <row r="4" spans="2:30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44</v>
      </c>
    </row>
    <row r="5" spans="2:30" x14ac:dyDescent="0.35">
      <c r="B5" s="3" t="s">
        <v>88</v>
      </c>
      <c r="D5" s="141">
        <v>17487169</v>
      </c>
      <c r="E5" s="141">
        <v>18517978</v>
      </c>
      <c r="F5" s="141">
        <v>24159770</v>
      </c>
      <c r="G5" s="141">
        <v>20972341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81137258</v>
      </c>
      <c r="R5" s="145">
        <v>197333</v>
      </c>
      <c r="S5" s="145">
        <v>206773</v>
      </c>
      <c r="T5" s="145">
        <v>298656</v>
      </c>
      <c r="U5" s="145">
        <v>283210</v>
      </c>
      <c r="V5" s="145"/>
      <c r="W5" s="145"/>
      <c r="X5" s="145"/>
      <c r="Y5" s="145"/>
      <c r="Z5" s="145"/>
      <c r="AA5" s="145"/>
      <c r="AB5" s="145"/>
      <c r="AC5" s="145"/>
      <c r="AD5" s="145">
        <f t="shared" ref="AD5:AD68" si="1">+SUM(R5:AC5)</f>
        <v>985972</v>
      </c>
    </row>
    <row r="6" spans="2:30" x14ac:dyDescent="0.35">
      <c r="B6" s="3" t="s">
        <v>98</v>
      </c>
      <c r="D6" s="141">
        <v>4438757</v>
      </c>
      <c r="E6" s="141">
        <v>4183009</v>
      </c>
      <c r="F6" s="141">
        <v>4803186</v>
      </c>
      <c r="G6" s="141">
        <v>4694408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18119360</v>
      </c>
      <c r="R6" s="145">
        <v>15526</v>
      </c>
      <c r="S6" s="145">
        <v>15470</v>
      </c>
      <c r="T6" s="145">
        <v>16366</v>
      </c>
      <c r="U6" s="145">
        <v>15212</v>
      </c>
      <c r="V6" s="145"/>
      <c r="W6" s="145"/>
      <c r="X6" s="145"/>
      <c r="Y6" s="145"/>
      <c r="Z6" s="145"/>
      <c r="AA6" s="145"/>
      <c r="AB6" s="145"/>
      <c r="AC6" s="145"/>
      <c r="AD6" s="145">
        <f t="shared" si="1"/>
        <v>62574</v>
      </c>
    </row>
    <row r="7" spans="2:30" x14ac:dyDescent="0.35">
      <c r="B7" s="3" t="s">
        <v>91</v>
      </c>
      <c r="D7" s="141">
        <v>17879694</v>
      </c>
      <c r="E7" s="141">
        <v>17889587</v>
      </c>
      <c r="F7" s="141">
        <v>20931091</v>
      </c>
      <c r="G7" s="141">
        <v>18893727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75594099</v>
      </c>
      <c r="R7" s="145">
        <v>97629</v>
      </c>
      <c r="S7" s="145">
        <v>96618</v>
      </c>
      <c r="T7" s="145">
        <v>109303</v>
      </c>
      <c r="U7" s="145">
        <v>102470</v>
      </c>
      <c r="V7" s="145"/>
      <c r="W7" s="145"/>
      <c r="X7" s="145"/>
      <c r="Y7" s="145"/>
      <c r="Z7" s="145"/>
      <c r="AA7" s="145"/>
      <c r="AB7" s="145"/>
      <c r="AC7" s="145"/>
      <c r="AD7" s="145">
        <f t="shared" si="1"/>
        <v>406020</v>
      </c>
    </row>
    <row r="8" spans="2:30" x14ac:dyDescent="0.35">
      <c r="B8" s="3" t="s">
        <v>97</v>
      </c>
      <c r="D8" s="141">
        <v>1601462</v>
      </c>
      <c r="E8" s="141">
        <v>1650086</v>
      </c>
      <c r="F8" s="141">
        <v>1243593</v>
      </c>
      <c r="G8" s="141">
        <v>1247363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5742504</v>
      </c>
      <c r="R8" s="145">
        <v>6418</v>
      </c>
      <c r="S8" s="145">
        <v>6152</v>
      </c>
      <c r="T8" s="145">
        <v>5711</v>
      </c>
      <c r="U8" s="145">
        <v>5306</v>
      </c>
      <c r="V8" s="145"/>
      <c r="W8" s="145"/>
      <c r="X8" s="145"/>
      <c r="Y8" s="145"/>
      <c r="Z8" s="145"/>
      <c r="AA8" s="145"/>
      <c r="AB8" s="145"/>
      <c r="AC8" s="145"/>
      <c r="AD8" s="145">
        <f t="shared" si="1"/>
        <v>23587</v>
      </c>
    </row>
    <row r="9" spans="2:30" x14ac:dyDescent="0.35">
      <c r="B9" s="3" t="s">
        <v>87</v>
      </c>
      <c r="D9" s="141">
        <v>9344358</v>
      </c>
      <c r="E9" s="141">
        <v>9041475</v>
      </c>
      <c r="F9" s="141">
        <v>9753941</v>
      </c>
      <c r="G9" s="141">
        <v>8835895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36975669</v>
      </c>
      <c r="R9" s="145">
        <v>101176</v>
      </c>
      <c r="S9" s="145">
        <v>99587</v>
      </c>
      <c r="T9" s="145">
        <v>109087</v>
      </c>
      <c r="U9" s="145">
        <v>100693</v>
      </c>
      <c r="V9" s="145"/>
      <c r="W9" s="145"/>
      <c r="X9" s="145"/>
      <c r="Y9" s="145"/>
      <c r="Z9" s="145"/>
      <c r="AA9" s="145"/>
      <c r="AB9" s="145"/>
      <c r="AC9" s="145"/>
      <c r="AD9" s="145">
        <f t="shared" si="1"/>
        <v>410543</v>
      </c>
    </row>
    <row r="10" spans="2:30" x14ac:dyDescent="0.35">
      <c r="B10" s="3" t="s">
        <v>90</v>
      </c>
      <c r="D10" s="141">
        <v>10519936</v>
      </c>
      <c r="E10" s="141">
        <v>9472550</v>
      </c>
      <c r="F10" s="141">
        <v>11172357</v>
      </c>
      <c r="G10" s="141">
        <v>10342838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41507681</v>
      </c>
      <c r="R10" s="145">
        <v>143169</v>
      </c>
      <c r="S10" s="145">
        <v>132213</v>
      </c>
      <c r="T10" s="145">
        <v>152855</v>
      </c>
      <c r="U10" s="145">
        <v>143603</v>
      </c>
      <c r="V10" s="145"/>
      <c r="W10" s="145"/>
      <c r="X10" s="145"/>
      <c r="Y10" s="145"/>
      <c r="Z10" s="145"/>
      <c r="AA10" s="145"/>
      <c r="AB10" s="145"/>
      <c r="AC10" s="145"/>
      <c r="AD10" s="145">
        <f t="shared" si="1"/>
        <v>571840</v>
      </c>
    </row>
    <row r="11" spans="2:30" x14ac:dyDescent="0.35">
      <c r="B11" s="3" t="s">
        <v>89</v>
      </c>
      <c r="D11" s="141">
        <v>9069843</v>
      </c>
      <c r="E11" s="141">
        <v>8698772</v>
      </c>
      <c r="F11" s="141">
        <v>12611598</v>
      </c>
      <c r="G11" s="141">
        <v>13097739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43477952</v>
      </c>
      <c r="R11" s="145">
        <v>99980</v>
      </c>
      <c r="S11" s="145">
        <v>96830</v>
      </c>
      <c r="T11" s="145">
        <v>115781</v>
      </c>
      <c r="U11" s="145">
        <v>119605</v>
      </c>
      <c r="V11" s="145"/>
      <c r="W11" s="145"/>
      <c r="X11" s="145"/>
      <c r="Y11" s="145"/>
      <c r="Z11" s="145"/>
      <c r="AA11" s="145"/>
      <c r="AB11" s="145"/>
      <c r="AC11" s="145"/>
      <c r="AD11" s="145">
        <f t="shared" si="1"/>
        <v>432196</v>
      </c>
    </row>
    <row r="12" spans="2:30" x14ac:dyDescent="0.35">
      <c r="B12" s="3" t="s">
        <v>92</v>
      </c>
      <c r="D12" s="141">
        <v>4623035</v>
      </c>
      <c r="E12" s="141">
        <v>4174803</v>
      </c>
      <c r="F12" s="141">
        <v>4552614</v>
      </c>
      <c r="G12" s="141">
        <v>3940659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17291111</v>
      </c>
      <c r="R12" s="145">
        <v>17501</v>
      </c>
      <c r="S12" s="145">
        <v>15551</v>
      </c>
      <c r="T12" s="145">
        <v>16301</v>
      </c>
      <c r="U12" s="145">
        <v>14131</v>
      </c>
      <c r="V12" s="145"/>
      <c r="W12" s="145"/>
      <c r="X12" s="145"/>
      <c r="Y12" s="145"/>
      <c r="Z12" s="145"/>
      <c r="AA12" s="145"/>
      <c r="AB12" s="145"/>
      <c r="AC12" s="145"/>
      <c r="AD12" s="145">
        <f t="shared" si="1"/>
        <v>63484</v>
      </c>
    </row>
    <row r="13" spans="2:30" x14ac:dyDescent="0.35">
      <c r="B13" s="3" t="s">
        <v>121</v>
      </c>
      <c r="D13" s="141">
        <v>418152</v>
      </c>
      <c r="E13" s="141">
        <v>450825</v>
      </c>
      <c r="F13" s="141">
        <v>501005</v>
      </c>
      <c r="G13" s="141">
        <v>463699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1833681</v>
      </c>
      <c r="R13" s="145">
        <v>632</v>
      </c>
      <c r="S13" s="145">
        <v>568</v>
      </c>
      <c r="T13" s="145">
        <v>592</v>
      </c>
      <c r="U13" s="145">
        <v>622</v>
      </c>
      <c r="V13" s="145"/>
      <c r="W13" s="145"/>
      <c r="X13" s="145"/>
      <c r="Y13" s="145"/>
      <c r="Z13" s="145"/>
      <c r="AA13" s="145"/>
      <c r="AB13" s="145"/>
      <c r="AC13" s="145"/>
      <c r="AD13" s="145">
        <f t="shared" si="1"/>
        <v>2414</v>
      </c>
    </row>
    <row r="14" spans="2:30" x14ac:dyDescent="0.35">
      <c r="B14" s="3" t="s">
        <v>106</v>
      </c>
      <c r="D14" s="141">
        <v>2089033</v>
      </c>
      <c r="E14" s="141">
        <v>1743552</v>
      </c>
      <c r="F14" s="141">
        <v>2026747</v>
      </c>
      <c r="G14" s="141">
        <v>2087273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7946605</v>
      </c>
      <c r="R14" s="145">
        <v>13887</v>
      </c>
      <c r="S14" s="145">
        <v>12663</v>
      </c>
      <c r="T14" s="145">
        <v>13917</v>
      </c>
      <c r="U14" s="145">
        <v>13371</v>
      </c>
      <c r="V14" s="145"/>
      <c r="W14" s="145"/>
      <c r="X14" s="145"/>
      <c r="Y14" s="145"/>
      <c r="Z14" s="145"/>
      <c r="AA14" s="145"/>
      <c r="AB14" s="145"/>
      <c r="AC14" s="145"/>
      <c r="AD14" s="145">
        <f t="shared" si="1"/>
        <v>53838</v>
      </c>
    </row>
    <row r="15" spans="2:30" x14ac:dyDescent="0.35">
      <c r="B15" s="3" t="s">
        <v>93</v>
      </c>
      <c r="D15" s="141">
        <v>4096127</v>
      </c>
      <c r="E15" s="141">
        <v>3929537</v>
      </c>
      <c r="F15" s="141">
        <v>4380805</v>
      </c>
      <c r="G15" s="141">
        <v>4159582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16566051</v>
      </c>
      <c r="R15" s="145">
        <v>116468</v>
      </c>
      <c r="S15" s="145">
        <v>115901</v>
      </c>
      <c r="T15" s="145">
        <v>128226</v>
      </c>
      <c r="U15" s="145">
        <v>122617</v>
      </c>
      <c r="V15" s="145"/>
      <c r="W15" s="145"/>
      <c r="X15" s="145"/>
      <c r="Y15" s="145"/>
      <c r="Z15" s="145"/>
      <c r="AA15" s="145"/>
      <c r="AB15" s="145"/>
      <c r="AC15" s="145"/>
      <c r="AD15" s="145">
        <f t="shared" si="1"/>
        <v>483212</v>
      </c>
    </row>
    <row r="16" spans="2:30" x14ac:dyDescent="0.35">
      <c r="B16" s="3" t="s">
        <v>96</v>
      </c>
      <c r="D16" s="141">
        <v>4006221</v>
      </c>
      <c r="E16" s="141">
        <v>4037145</v>
      </c>
      <c r="F16" s="141">
        <v>4360920</v>
      </c>
      <c r="G16" s="141">
        <v>4176564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16580850</v>
      </c>
      <c r="R16" s="145">
        <v>16143</v>
      </c>
      <c r="S16" s="145">
        <v>16152</v>
      </c>
      <c r="T16" s="145">
        <v>17419</v>
      </c>
      <c r="U16" s="145">
        <v>15956</v>
      </c>
      <c r="V16" s="145"/>
      <c r="W16" s="145"/>
      <c r="X16" s="145"/>
      <c r="Y16" s="145"/>
      <c r="Z16" s="145"/>
      <c r="AA16" s="145"/>
      <c r="AB16" s="145"/>
      <c r="AC16" s="145"/>
      <c r="AD16" s="145">
        <f t="shared" si="1"/>
        <v>65670</v>
      </c>
    </row>
    <row r="17" spans="2:30" x14ac:dyDescent="0.35">
      <c r="B17" s="3" t="s">
        <v>152</v>
      </c>
      <c r="D17" s="141">
        <v>2713481</v>
      </c>
      <c r="E17" s="141">
        <v>2332563</v>
      </c>
      <c r="F17" s="141">
        <v>1506315</v>
      </c>
      <c r="G17" s="141">
        <v>1361040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7913399</v>
      </c>
      <c r="R17" s="145">
        <v>12347</v>
      </c>
      <c r="S17" s="145">
        <v>10267</v>
      </c>
      <c r="T17" s="145">
        <v>5742</v>
      </c>
      <c r="U17" s="145">
        <v>4953</v>
      </c>
      <c r="V17" s="145"/>
      <c r="W17" s="145"/>
      <c r="X17" s="145"/>
      <c r="Y17" s="145"/>
      <c r="Z17" s="145"/>
      <c r="AA17" s="145"/>
      <c r="AB17" s="145"/>
      <c r="AC17" s="145"/>
      <c r="AD17" s="145">
        <f t="shared" si="1"/>
        <v>33309</v>
      </c>
    </row>
    <row r="18" spans="2:30" x14ac:dyDescent="0.35">
      <c r="B18" s="3" t="s">
        <v>194</v>
      </c>
      <c r="D18" s="141">
        <v>1077436</v>
      </c>
      <c r="E18" s="141">
        <v>1115411</v>
      </c>
      <c r="F18" s="141">
        <v>1159577</v>
      </c>
      <c r="G18" s="141">
        <v>1291788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4644212</v>
      </c>
      <c r="R18" s="145">
        <v>789</v>
      </c>
      <c r="S18" s="145">
        <v>650</v>
      </c>
      <c r="T18" s="145">
        <v>600</v>
      </c>
      <c r="U18" s="145">
        <v>830</v>
      </c>
      <c r="V18" s="145"/>
      <c r="W18" s="145"/>
      <c r="X18" s="145"/>
      <c r="Y18" s="145"/>
      <c r="Z18" s="145"/>
      <c r="AA18" s="145"/>
      <c r="AB18" s="145"/>
      <c r="AC18" s="145"/>
      <c r="AD18" s="145">
        <f t="shared" si="1"/>
        <v>2869</v>
      </c>
    </row>
    <row r="19" spans="2:30" x14ac:dyDescent="0.35">
      <c r="B19" s="3" t="s">
        <v>99</v>
      </c>
      <c r="D19" s="141">
        <v>3031331</v>
      </c>
      <c r="E19" s="141">
        <v>3347179</v>
      </c>
      <c r="F19" s="141">
        <v>4099751</v>
      </c>
      <c r="G19" s="141">
        <v>3277182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13755443</v>
      </c>
      <c r="R19" s="145">
        <v>13903</v>
      </c>
      <c r="S19" s="145">
        <v>15266</v>
      </c>
      <c r="T19" s="145">
        <v>18995</v>
      </c>
      <c r="U19" s="145">
        <v>14335</v>
      </c>
      <c r="V19" s="145"/>
      <c r="W19" s="145"/>
      <c r="X19" s="145"/>
      <c r="Y19" s="145"/>
      <c r="Z19" s="145"/>
      <c r="AA19" s="145"/>
      <c r="AB19" s="145"/>
      <c r="AC19" s="145"/>
      <c r="AD19" s="145">
        <f t="shared" si="1"/>
        <v>62499</v>
      </c>
    </row>
    <row r="20" spans="2:30" x14ac:dyDescent="0.35">
      <c r="B20" s="3" t="s">
        <v>108</v>
      </c>
      <c r="D20" s="141">
        <v>1042101</v>
      </c>
      <c r="E20" s="141">
        <v>952838</v>
      </c>
      <c r="F20" s="141">
        <v>1113140</v>
      </c>
      <c r="G20" s="141">
        <v>879433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3987512</v>
      </c>
      <c r="R20" s="145">
        <v>3314</v>
      </c>
      <c r="S20" s="145">
        <v>3138</v>
      </c>
      <c r="T20" s="145">
        <v>3623</v>
      </c>
      <c r="U20" s="145">
        <v>3041</v>
      </c>
      <c r="V20" s="145"/>
      <c r="W20" s="145"/>
      <c r="X20" s="145"/>
      <c r="Y20" s="145"/>
      <c r="Z20" s="145"/>
      <c r="AA20" s="145"/>
      <c r="AB20" s="145"/>
      <c r="AC20" s="145"/>
      <c r="AD20" s="145">
        <f t="shared" si="1"/>
        <v>13116</v>
      </c>
    </row>
    <row r="21" spans="2:30" x14ac:dyDescent="0.35">
      <c r="B21" s="3" t="s">
        <v>94</v>
      </c>
      <c r="D21" s="141">
        <v>2621754</v>
      </c>
      <c r="E21" s="141">
        <v>2568997</v>
      </c>
      <c r="F21" s="141">
        <v>2854985</v>
      </c>
      <c r="G21" s="141">
        <v>2772503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10818239</v>
      </c>
      <c r="R21" s="145">
        <v>17858</v>
      </c>
      <c r="S21" s="145">
        <v>16355</v>
      </c>
      <c r="T21" s="145">
        <v>18882</v>
      </c>
      <c r="U21" s="145">
        <v>17775</v>
      </c>
      <c r="V21" s="145"/>
      <c r="W21" s="145"/>
      <c r="X21" s="145"/>
      <c r="Y21" s="145"/>
      <c r="Z21" s="145"/>
      <c r="AA21" s="145"/>
      <c r="AB21" s="145"/>
      <c r="AC21" s="145"/>
      <c r="AD21" s="145">
        <f t="shared" si="1"/>
        <v>70870</v>
      </c>
    </row>
    <row r="22" spans="2:30" x14ac:dyDescent="0.35">
      <c r="B22" s="3" t="s">
        <v>101</v>
      </c>
      <c r="D22" s="141">
        <v>2370122</v>
      </c>
      <c r="E22" s="141">
        <v>1943603</v>
      </c>
      <c r="F22" s="141">
        <v>2259941</v>
      </c>
      <c r="G22" s="141">
        <v>2251049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8824715</v>
      </c>
      <c r="R22" s="145">
        <v>2621</v>
      </c>
      <c r="S22" s="145">
        <v>2363</v>
      </c>
      <c r="T22" s="145">
        <v>2588</v>
      </c>
      <c r="U22" s="145">
        <v>2460</v>
      </c>
      <c r="V22" s="145"/>
      <c r="W22" s="145"/>
      <c r="X22" s="145"/>
      <c r="Y22" s="145"/>
      <c r="Z22" s="145"/>
      <c r="AA22" s="145"/>
      <c r="AB22" s="145"/>
      <c r="AC22" s="145"/>
      <c r="AD22" s="145">
        <f t="shared" si="1"/>
        <v>10032</v>
      </c>
    </row>
    <row r="23" spans="2:30" x14ac:dyDescent="0.35">
      <c r="B23" s="3" t="s">
        <v>102</v>
      </c>
      <c r="D23" s="141">
        <v>568560</v>
      </c>
      <c r="E23" s="141">
        <v>488049</v>
      </c>
      <c r="F23" s="141">
        <v>559848</v>
      </c>
      <c r="G23" s="141">
        <v>544670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2161127</v>
      </c>
      <c r="R23" s="145">
        <v>2218</v>
      </c>
      <c r="S23" s="145">
        <v>2057</v>
      </c>
      <c r="T23" s="145">
        <v>2205</v>
      </c>
      <c r="U23" s="145">
        <v>1937</v>
      </c>
      <c r="V23" s="145"/>
      <c r="W23" s="145"/>
      <c r="X23" s="145"/>
      <c r="Y23" s="145"/>
      <c r="Z23" s="145"/>
      <c r="AA23" s="145"/>
      <c r="AB23" s="145"/>
      <c r="AC23" s="145"/>
      <c r="AD23" s="145">
        <f t="shared" si="1"/>
        <v>8417</v>
      </c>
    </row>
    <row r="24" spans="2:30" x14ac:dyDescent="0.35">
      <c r="B24" s="3" t="s">
        <v>95</v>
      </c>
      <c r="D24" s="141">
        <v>2582683</v>
      </c>
      <c r="E24" s="141">
        <v>2168000</v>
      </c>
      <c r="F24" s="141">
        <v>2726270</v>
      </c>
      <c r="G24" s="141">
        <v>2771197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10248150</v>
      </c>
      <c r="R24" s="145">
        <v>7413</v>
      </c>
      <c r="S24" s="145">
        <v>8344</v>
      </c>
      <c r="T24" s="145">
        <v>8570</v>
      </c>
      <c r="U24" s="145">
        <v>8641</v>
      </c>
      <c r="V24" s="145"/>
      <c r="W24" s="145"/>
      <c r="X24" s="145"/>
      <c r="Y24" s="145"/>
      <c r="Z24" s="145"/>
      <c r="AA24" s="145"/>
      <c r="AB24" s="145"/>
      <c r="AC24" s="145"/>
      <c r="AD24" s="145">
        <f t="shared" si="1"/>
        <v>32968</v>
      </c>
    </row>
    <row r="25" spans="2:30" x14ac:dyDescent="0.35">
      <c r="B25" s="3" t="s">
        <v>105</v>
      </c>
      <c r="D25" s="141">
        <v>1084968</v>
      </c>
      <c r="E25" s="141">
        <v>1000378</v>
      </c>
      <c r="F25" s="141">
        <v>1230378</v>
      </c>
      <c r="G25" s="141">
        <v>1037770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4353494</v>
      </c>
      <c r="R25" s="145">
        <v>4484</v>
      </c>
      <c r="S25" s="145">
        <v>4379</v>
      </c>
      <c r="T25" s="145">
        <v>5161</v>
      </c>
      <c r="U25" s="145">
        <v>4581</v>
      </c>
      <c r="V25" s="145"/>
      <c r="W25" s="145"/>
      <c r="X25" s="145"/>
      <c r="Y25" s="145"/>
      <c r="Z25" s="145"/>
      <c r="AA25" s="145"/>
      <c r="AB25" s="145"/>
      <c r="AC25" s="145"/>
      <c r="AD25" s="145">
        <f t="shared" si="1"/>
        <v>18605</v>
      </c>
    </row>
    <row r="26" spans="2:30" x14ac:dyDescent="0.35">
      <c r="B26" s="3" t="s">
        <v>104</v>
      </c>
      <c r="D26" s="141">
        <v>1487724</v>
      </c>
      <c r="E26" s="141">
        <v>1322723</v>
      </c>
      <c r="F26" s="141">
        <v>1614243</v>
      </c>
      <c r="G26" s="141">
        <v>1451685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5876375</v>
      </c>
      <c r="R26" s="145">
        <v>6640</v>
      </c>
      <c r="S26" s="145">
        <v>6193</v>
      </c>
      <c r="T26" s="145">
        <v>7152</v>
      </c>
      <c r="U26" s="145">
        <v>6669</v>
      </c>
      <c r="V26" s="145"/>
      <c r="W26" s="145"/>
      <c r="X26" s="145"/>
      <c r="Y26" s="145"/>
      <c r="Z26" s="145"/>
      <c r="AA26" s="145"/>
      <c r="AB26" s="145"/>
      <c r="AC26" s="145"/>
      <c r="AD26" s="145">
        <f t="shared" si="1"/>
        <v>26654</v>
      </c>
    </row>
    <row r="27" spans="2:30" x14ac:dyDescent="0.35">
      <c r="B27" s="3" t="s">
        <v>130</v>
      </c>
      <c r="D27" s="141">
        <v>1572181</v>
      </c>
      <c r="E27" s="141">
        <v>2283736</v>
      </c>
      <c r="F27" s="141">
        <v>3259709</v>
      </c>
      <c r="G27" s="141">
        <v>1481760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8597386</v>
      </c>
      <c r="R27" s="145">
        <v>1988</v>
      </c>
      <c r="S27" s="145">
        <v>2505</v>
      </c>
      <c r="T27" s="145">
        <v>2594</v>
      </c>
      <c r="U27" s="145">
        <v>1871</v>
      </c>
      <c r="V27" s="145"/>
      <c r="W27" s="145"/>
      <c r="X27" s="145"/>
      <c r="Y27" s="145"/>
      <c r="Z27" s="145"/>
      <c r="AA27" s="145"/>
      <c r="AB27" s="145"/>
      <c r="AC27" s="145"/>
      <c r="AD27" s="145">
        <f t="shared" si="1"/>
        <v>8958</v>
      </c>
    </row>
    <row r="28" spans="2:30" x14ac:dyDescent="0.35">
      <c r="B28" s="3" t="s">
        <v>110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5">
        <v>1251</v>
      </c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>
        <f t="shared" si="1"/>
        <v>1251</v>
      </c>
    </row>
    <row r="29" spans="2:30" x14ac:dyDescent="0.35">
      <c r="B29" s="3" t="s">
        <v>132</v>
      </c>
      <c r="D29" s="141">
        <v>171806</v>
      </c>
      <c r="E29" s="141">
        <v>259888</v>
      </c>
      <c r="F29" s="141">
        <v>891716</v>
      </c>
      <c r="G29" s="141">
        <v>732274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2055684</v>
      </c>
      <c r="R29" s="145">
        <v>522</v>
      </c>
      <c r="S29" s="145">
        <v>692</v>
      </c>
      <c r="T29" s="145">
        <v>1549</v>
      </c>
      <c r="U29" s="145">
        <v>1283</v>
      </c>
      <c r="V29" s="145"/>
      <c r="W29" s="145"/>
      <c r="X29" s="145"/>
      <c r="Y29" s="145"/>
      <c r="Z29" s="145"/>
      <c r="AA29" s="145"/>
      <c r="AB29" s="145"/>
      <c r="AC29" s="145"/>
      <c r="AD29" s="145">
        <f t="shared" si="1"/>
        <v>4046</v>
      </c>
    </row>
    <row r="30" spans="2:30" x14ac:dyDescent="0.35">
      <c r="B30" s="3" t="s">
        <v>111</v>
      </c>
      <c r="D30" s="141">
        <v>138868</v>
      </c>
      <c r="E30" s="141">
        <v>130515</v>
      </c>
      <c r="F30" s="141">
        <v>137672</v>
      </c>
      <c r="G30" s="141">
        <v>136689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543744</v>
      </c>
      <c r="R30" s="145">
        <v>135</v>
      </c>
      <c r="S30" s="145">
        <v>124</v>
      </c>
      <c r="T30" s="145">
        <v>153</v>
      </c>
      <c r="U30" s="145">
        <v>158</v>
      </c>
      <c r="V30" s="145"/>
      <c r="W30" s="145"/>
      <c r="X30" s="145"/>
      <c r="Y30" s="145"/>
      <c r="Z30" s="145"/>
      <c r="AA30" s="145"/>
      <c r="AB30" s="145"/>
      <c r="AC30" s="145"/>
      <c r="AD30" s="145">
        <f t="shared" si="1"/>
        <v>570</v>
      </c>
    </row>
    <row r="31" spans="2:30" x14ac:dyDescent="0.35">
      <c r="B31" s="3" t="s">
        <v>103</v>
      </c>
      <c r="D31" s="141">
        <v>2167808</v>
      </c>
      <c r="E31" s="141">
        <v>2052013</v>
      </c>
      <c r="F31" s="141">
        <v>2216509</v>
      </c>
      <c r="G31" s="141">
        <v>2119295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8555625</v>
      </c>
      <c r="R31" s="145">
        <v>56515</v>
      </c>
      <c r="S31" s="145">
        <v>52308</v>
      </c>
      <c r="T31" s="145">
        <v>56745</v>
      </c>
      <c r="U31" s="145">
        <v>54389</v>
      </c>
      <c r="V31" s="145"/>
      <c r="W31" s="145"/>
      <c r="X31" s="145"/>
      <c r="Y31" s="145"/>
      <c r="Z31" s="145"/>
      <c r="AA31" s="145"/>
      <c r="AB31" s="145"/>
      <c r="AC31" s="145"/>
      <c r="AD31" s="145">
        <f t="shared" si="1"/>
        <v>219957</v>
      </c>
    </row>
    <row r="32" spans="2:30" x14ac:dyDescent="0.35">
      <c r="B32" s="3" t="s">
        <v>125</v>
      </c>
      <c r="D32" s="141">
        <v>3611530</v>
      </c>
      <c r="E32" s="141">
        <v>1696890</v>
      </c>
      <c r="F32" s="141">
        <v>2339951</v>
      </c>
      <c r="G32" s="141">
        <v>3327308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10975679</v>
      </c>
      <c r="R32" s="145">
        <v>70956</v>
      </c>
      <c r="S32" s="145">
        <v>4724</v>
      </c>
      <c r="T32" s="145">
        <v>6162</v>
      </c>
      <c r="U32" s="145">
        <v>16472</v>
      </c>
      <c r="V32" s="145"/>
      <c r="W32" s="145"/>
      <c r="X32" s="145"/>
      <c r="Y32" s="145"/>
      <c r="Z32" s="145"/>
      <c r="AA32" s="145"/>
      <c r="AB32" s="145"/>
      <c r="AC32" s="145"/>
      <c r="AD32" s="145">
        <f t="shared" si="1"/>
        <v>98314</v>
      </c>
    </row>
    <row r="33" spans="2:30" x14ac:dyDescent="0.35">
      <c r="B33" s="3" t="s">
        <v>171</v>
      </c>
      <c r="D33" s="141">
        <v>92369</v>
      </c>
      <c r="E33" s="141">
        <v>85852</v>
      </c>
      <c r="F33" s="141">
        <v>68366</v>
      </c>
      <c r="G33" s="141">
        <v>85411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331998</v>
      </c>
      <c r="R33" s="145">
        <v>425</v>
      </c>
      <c r="S33" s="145">
        <v>384</v>
      </c>
      <c r="T33" s="145">
        <v>354</v>
      </c>
      <c r="U33" s="145">
        <v>366</v>
      </c>
      <c r="V33" s="145"/>
      <c r="W33" s="145"/>
      <c r="X33" s="145"/>
      <c r="Y33" s="145"/>
      <c r="Z33" s="145"/>
      <c r="AA33" s="145"/>
      <c r="AB33" s="145"/>
      <c r="AC33" s="145"/>
      <c r="AD33" s="145">
        <f t="shared" si="1"/>
        <v>1529</v>
      </c>
    </row>
    <row r="34" spans="2:30" x14ac:dyDescent="0.35">
      <c r="B34" s="3" t="s">
        <v>135</v>
      </c>
      <c r="D34" s="141">
        <v>3896499</v>
      </c>
      <c r="E34" s="141">
        <v>3722369</v>
      </c>
      <c r="F34" s="141">
        <v>5069536</v>
      </c>
      <c r="G34" s="141">
        <v>5624218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18312622</v>
      </c>
      <c r="R34" s="145">
        <v>9974</v>
      </c>
      <c r="S34" s="145">
        <v>10498</v>
      </c>
      <c r="T34" s="145">
        <v>12467</v>
      </c>
      <c r="U34" s="145">
        <v>12779</v>
      </c>
      <c r="V34" s="145"/>
      <c r="W34" s="145"/>
      <c r="X34" s="145"/>
      <c r="Y34" s="145"/>
      <c r="Z34" s="145"/>
      <c r="AA34" s="145"/>
      <c r="AB34" s="145"/>
      <c r="AC34" s="145"/>
      <c r="AD34" s="145">
        <f t="shared" si="1"/>
        <v>45718</v>
      </c>
    </row>
    <row r="35" spans="2:30" x14ac:dyDescent="0.35">
      <c r="B35" s="3" t="s">
        <v>109</v>
      </c>
      <c r="D35" s="141">
        <v>1304487</v>
      </c>
      <c r="E35" s="141">
        <v>1426866</v>
      </c>
      <c r="F35" s="141">
        <v>1326162</v>
      </c>
      <c r="G35" s="141">
        <v>1271956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5329471</v>
      </c>
      <c r="R35" s="145">
        <v>2945</v>
      </c>
      <c r="S35" s="145">
        <v>2752</v>
      </c>
      <c r="T35" s="145">
        <v>2895</v>
      </c>
      <c r="U35" s="145">
        <v>2845</v>
      </c>
      <c r="V35" s="145"/>
      <c r="W35" s="145"/>
      <c r="X35" s="145"/>
      <c r="Y35" s="145"/>
      <c r="Z35" s="145"/>
      <c r="AA35" s="145"/>
      <c r="AB35" s="145"/>
      <c r="AC35" s="145"/>
      <c r="AD35" s="145">
        <f t="shared" si="1"/>
        <v>11437</v>
      </c>
    </row>
    <row r="36" spans="2:30" x14ac:dyDescent="0.35">
      <c r="B36" s="3" t="s">
        <v>170</v>
      </c>
      <c r="D36" s="141">
        <v>7685</v>
      </c>
      <c r="E36" s="141">
        <v>5636</v>
      </c>
      <c r="F36" s="141">
        <v>8140</v>
      </c>
      <c r="G36" s="141">
        <v>7587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29048</v>
      </c>
      <c r="R36" s="145">
        <v>108</v>
      </c>
      <c r="S36" s="145">
        <v>86</v>
      </c>
      <c r="T36" s="145">
        <v>119</v>
      </c>
      <c r="U36" s="145">
        <v>93</v>
      </c>
      <c r="V36" s="145"/>
      <c r="W36" s="145"/>
      <c r="X36" s="145"/>
      <c r="Y36" s="145"/>
      <c r="Z36" s="145"/>
      <c r="AA36" s="145"/>
      <c r="AB36" s="145"/>
      <c r="AC36" s="145"/>
      <c r="AD36" s="145">
        <f t="shared" si="1"/>
        <v>406</v>
      </c>
    </row>
    <row r="37" spans="2:30" x14ac:dyDescent="0.35">
      <c r="B37" s="3" t="s">
        <v>112</v>
      </c>
      <c r="D37" s="141">
        <v>879260</v>
      </c>
      <c r="E37" s="141">
        <v>878552</v>
      </c>
      <c r="F37" s="141">
        <v>919279</v>
      </c>
      <c r="G37" s="141">
        <v>881177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3558268</v>
      </c>
      <c r="R37" s="145">
        <v>4934</v>
      </c>
      <c r="S37" s="145">
        <v>4976</v>
      </c>
      <c r="T37" s="145">
        <v>5294</v>
      </c>
      <c r="U37" s="145">
        <v>4950</v>
      </c>
      <c r="V37" s="145"/>
      <c r="W37" s="145"/>
      <c r="X37" s="145"/>
      <c r="Y37" s="145"/>
      <c r="Z37" s="145"/>
      <c r="AA37" s="145"/>
      <c r="AB37" s="145"/>
      <c r="AC37" s="145"/>
      <c r="AD37" s="145">
        <f t="shared" si="1"/>
        <v>20154</v>
      </c>
    </row>
    <row r="38" spans="2:30" x14ac:dyDescent="0.35">
      <c r="B38" s="3" t="s">
        <v>115</v>
      </c>
      <c r="D38" s="141">
        <v>602900</v>
      </c>
      <c r="E38" s="141">
        <v>534672</v>
      </c>
      <c r="F38" s="141">
        <v>611352</v>
      </c>
      <c r="G38" s="141">
        <v>595530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2344454</v>
      </c>
      <c r="R38" s="145">
        <v>640</v>
      </c>
      <c r="S38" s="145">
        <v>599</v>
      </c>
      <c r="T38" s="145">
        <v>706</v>
      </c>
      <c r="U38" s="145">
        <v>611</v>
      </c>
      <c r="V38" s="145"/>
      <c r="W38" s="145"/>
      <c r="X38" s="145"/>
      <c r="Y38" s="145"/>
      <c r="Z38" s="145"/>
      <c r="AA38" s="145"/>
      <c r="AB38" s="145"/>
      <c r="AC38" s="145"/>
      <c r="AD38" s="145">
        <f t="shared" si="1"/>
        <v>2556</v>
      </c>
    </row>
    <row r="39" spans="2:30" x14ac:dyDescent="0.35">
      <c r="B39" s="3" t="s">
        <v>100</v>
      </c>
      <c r="D39" s="141">
        <v>10028821</v>
      </c>
      <c r="E39" s="141">
        <v>9845438</v>
      </c>
      <c r="F39" s="141">
        <v>8399422</v>
      </c>
      <c r="G39" s="141">
        <v>8872772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37146453</v>
      </c>
      <c r="R39" s="145">
        <v>18531</v>
      </c>
      <c r="S39" s="145">
        <v>20544</v>
      </c>
      <c r="T39" s="145">
        <v>22264</v>
      </c>
      <c r="U39" s="145">
        <v>21347</v>
      </c>
      <c r="V39" s="145"/>
      <c r="W39" s="145"/>
      <c r="X39" s="145"/>
      <c r="Y39" s="145"/>
      <c r="Z39" s="145"/>
      <c r="AA39" s="145"/>
      <c r="AB39" s="145"/>
      <c r="AC39" s="145"/>
      <c r="AD39" s="145">
        <f t="shared" si="1"/>
        <v>82686</v>
      </c>
    </row>
    <row r="40" spans="2:30" x14ac:dyDescent="0.35">
      <c r="B40" s="3" t="s">
        <v>117</v>
      </c>
      <c r="D40" s="141">
        <v>517922</v>
      </c>
      <c r="E40" s="141">
        <v>548568</v>
      </c>
      <c r="F40" s="141">
        <v>506745</v>
      </c>
      <c r="G40" s="141">
        <v>475484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2048719</v>
      </c>
      <c r="R40" s="145">
        <v>786</v>
      </c>
      <c r="S40" s="145">
        <v>752</v>
      </c>
      <c r="T40" s="145">
        <v>856</v>
      </c>
      <c r="U40" s="145">
        <v>803</v>
      </c>
      <c r="V40" s="145"/>
      <c r="W40" s="145"/>
      <c r="X40" s="145"/>
      <c r="Y40" s="145"/>
      <c r="Z40" s="145"/>
      <c r="AA40" s="145"/>
      <c r="AB40" s="145"/>
      <c r="AC40" s="145"/>
      <c r="AD40" s="145">
        <f t="shared" si="1"/>
        <v>3197</v>
      </c>
    </row>
    <row r="41" spans="2:30" x14ac:dyDescent="0.35">
      <c r="B41" s="3" t="s">
        <v>197</v>
      </c>
      <c r="D41" s="141">
        <v>265</v>
      </c>
      <c r="E41" s="141">
        <v>231</v>
      </c>
      <c r="F41" s="141">
        <v>956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1452</v>
      </c>
      <c r="R41" s="145">
        <v>1</v>
      </c>
      <c r="S41" s="145">
        <v>1</v>
      </c>
      <c r="T41" s="145">
        <v>1</v>
      </c>
      <c r="U41" s="145"/>
      <c r="V41" s="145"/>
      <c r="W41" s="145"/>
      <c r="X41" s="145"/>
      <c r="Y41" s="145"/>
      <c r="Z41" s="145"/>
      <c r="AA41" s="145"/>
      <c r="AB41" s="145"/>
      <c r="AC41" s="145"/>
      <c r="AD41" s="145">
        <f t="shared" si="1"/>
        <v>3</v>
      </c>
    </row>
    <row r="42" spans="2:30" x14ac:dyDescent="0.35">
      <c r="B42" s="3" t="s">
        <v>107</v>
      </c>
      <c r="D42" s="141">
        <v>431443</v>
      </c>
      <c r="E42" s="141">
        <v>398387</v>
      </c>
      <c r="F42" s="141">
        <v>406104</v>
      </c>
      <c r="G42" s="141">
        <v>471151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1707085</v>
      </c>
      <c r="R42" s="145">
        <v>1196</v>
      </c>
      <c r="S42" s="145">
        <v>1043</v>
      </c>
      <c r="T42" s="145">
        <v>1124</v>
      </c>
      <c r="U42" s="145">
        <v>1047</v>
      </c>
      <c r="V42" s="145"/>
      <c r="W42" s="145"/>
      <c r="X42" s="145"/>
      <c r="Y42" s="145"/>
      <c r="Z42" s="145"/>
      <c r="AA42" s="145"/>
      <c r="AB42" s="145"/>
      <c r="AC42" s="145"/>
      <c r="AD42" s="145">
        <f t="shared" si="1"/>
        <v>4410</v>
      </c>
    </row>
    <row r="43" spans="2:30" x14ac:dyDescent="0.35">
      <c r="B43" s="3" t="s">
        <v>128</v>
      </c>
      <c r="D43" s="141">
        <v>237298</v>
      </c>
      <c r="E43" s="141">
        <v>229695</v>
      </c>
      <c r="F43" s="141">
        <v>264939</v>
      </c>
      <c r="G43" s="141">
        <v>253092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985024</v>
      </c>
      <c r="R43" s="145">
        <v>641</v>
      </c>
      <c r="S43" s="145">
        <v>738</v>
      </c>
      <c r="T43" s="145">
        <v>756</v>
      </c>
      <c r="U43" s="145">
        <v>664</v>
      </c>
      <c r="V43" s="145"/>
      <c r="W43" s="145"/>
      <c r="X43" s="145"/>
      <c r="Y43" s="145"/>
      <c r="Z43" s="145"/>
      <c r="AA43" s="145"/>
      <c r="AB43" s="145"/>
      <c r="AC43" s="145"/>
      <c r="AD43" s="145">
        <f t="shared" si="1"/>
        <v>2799</v>
      </c>
    </row>
    <row r="44" spans="2:30" x14ac:dyDescent="0.35">
      <c r="B44" s="3" t="s">
        <v>119</v>
      </c>
      <c r="D44" s="141">
        <v>2072069</v>
      </c>
      <c r="E44" s="141">
        <v>2105398</v>
      </c>
      <c r="F44" s="141">
        <v>2353138</v>
      </c>
      <c r="G44" s="141">
        <v>2297652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8828257</v>
      </c>
      <c r="R44" s="145">
        <v>35509</v>
      </c>
      <c r="S44" s="145">
        <v>35538</v>
      </c>
      <c r="T44" s="145">
        <v>39769</v>
      </c>
      <c r="U44" s="145">
        <v>39913</v>
      </c>
      <c r="V44" s="145"/>
      <c r="W44" s="145"/>
      <c r="X44" s="145"/>
      <c r="Y44" s="145"/>
      <c r="Z44" s="145"/>
      <c r="AA44" s="145"/>
      <c r="AB44" s="145"/>
      <c r="AC44" s="145"/>
      <c r="AD44" s="145">
        <f t="shared" si="1"/>
        <v>150729</v>
      </c>
    </row>
    <row r="45" spans="2:30" x14ac:dyDescent="0.35">
      <c r="B45" s="3" t="s">
        <v>120</v>
      </c>
      <c r="D45" s="141">
        <v>849713</v>
      </c>
      <c r="E45" s="141">
        <v>805193</v>
      </c>
      <c r="F45" s="141">
        <v>870830</v>
      </c>
      <c r="G45" s="141">
        <v>798149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3323885</v>
      </c>
      <c r="R45" s="145">
        <v>2294</v>
      </c>
      <c r="S45" s="145">
        <v>2067</v>
      </c>
      <c r="T45" s="145">
        <v>2283</v>
      </c>
      <c r="U45" s="145">
        <v>2100</v>
      </c>
      <c r="V45" s="145"/>
      <c r="W45" s="145"/>
      <c r="X45" s="145"/>
      <c r="Y45" s="145"/>
      <c r="Z45" s="145"/>
      <c r="AA45" s="145"/>
      <c r="AB45" s="145"/>
      <c r="AC45" s="145"/>
      <c r="AD45" s="145">
        <f t="shared" si="1"/>
        <v>8744</v>
      </c>
    </row>
    <row r="46" spans="2:30" x14ac:dyDescent="0.35">
      <c r="B46" s="3" t="s">
        <v>113</v>
      </c>
      <c r="D46" s="141">
        <v>1809077</v>
      </c>
      <c r="E46" s="141">
        <v>1474189</v>
      </c>
      <c r="F46" s="141">
        <v>2011342</v>
      </c>
      <c r="G46" s="141">
        <v>1992622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7287230</v>
      </c>
      <c r="R46" s="145">
        <v>649</v>
      </c>
      <c r="S46" s="145">
        <v>757</v>
      </c>
      <c r="T46" s="145">
        <v>863</v>
      </c>
      <c r="U46" s="145">
        <v>841</v>
      </c>
      <c r="V46" s="145"/>
      <c r="W46" s="145"/>
      <c r="X46" s="145"/>
      <c r="Y46" s="145"/>
      <c r="Z46" s="145"/>
      <c r="AA46" s="145"/>
      <c r="AB46" s="145"/>
      <c r="AC46" s="145"/>
      <c r="AD46" s="145">
        <f t="shared" si="1"/>
        <v>3110</v>
      </c>
    </row>
    <row r="47" spans="2:30" x14ac:dyDescent="0.35">
      <c r="B47" s="3" t="s">
        <v>122</v>
      </c>
      <c r="D47" s="141">
        <v>620563</v>
      </c>
      <c r="E47" s="141">
        <v>591647</v>
      </c>
      <c r="F47" s="141">
        <v>646477</v>
      </c>
      <c r="G47" s="141">
        <v>651268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2509955</v>
      </c>
      <c r="R47" s="145">
        <v>5051</v>
      </c>
      <c r="S47" s="145">
        <v>4911</v>
      </c>
      <c r="T47" s="145">
        <v>4996</v>
      </c>
      <c r="U47" s="145">
        <v>4916</v>
      </c>
      <c r="V47" s="145"/>
      <c r="W47" s="145"/>
      <c r="X47" s="145"/>
      <c r="Y47" s="145"/>
      <c r="Z47" s="145"/>
      <c r="AA47" s="145"/>
      <c r="AB47" s="145"/>
      <c r="AC47" s="145"/>
      <c r="AD47" s="145">
        <f t="shared" si="1"/>
        <v>19874</v>
      </c>
    </row>
    <row r="48" spans="2:30" x14ac:dyDescent="0.35">
      <c r="B48" s="3" t="s">
        <v>160</v>
      </c>
      <c r="D48" s="141">
        <v>1149605</v>
      </c>
      <c r="E48" s="141">
        <v>2108704</v>
      </c>
      <c r="F48" s="141">
        <v>2359039</v>
      </c>
      <c r="G48" s="141">
        <v>1792713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7410061</v>
      </c>
      <c r="R48" s="145">
        <v>68548</v>
      </c>
      <c r="S48" s="145">
        <v>126322</v>
      </c>
      <c r="T48" s="145">
        <v>135813</v>
      </c>
      <c r="U48" s="145">
        <v>109456</v>
      </c>
      <c r="V48" s="145"/>
      <c r="W48" s="145"/>
      <c r="X48" s="145"/>
      <c r="Y48" s="145"/>
      <c r="Z48" s="145"/>
      <c r="AA48" s="145"/>
      <c r="AB48" s="145"/>
      <c r="AC48" s="145"/>
      <c r="AD48" s="145">
        <f t="shared" si="1"/>
        <v>440139</v>
      </c>
    </row>
    <row r="49" spans="2:30" x14ac:dyDescent="0.35">
      <c r="B49" s="3" t="s">
        <v>116</v>
      </c>
      <c r="D49" s="141">
        <v>575936</v>
      </c>
      <c r="E49" s="141">
        <v>544239</v>
      </c>
      <c r="F49" s="141">
        <v>617143</v>
      </c>
      <c r="G49" s="141">
        <v>587233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2324551</v>
      </c>
      <c r="R49" s="145">
        <v>5940</v>
      </c>
      <c r="S49" s="145">
        <v>5632</v>
      </c>
      <c r="T49" s="145">
        <v>6236</v>
      </c>
      <c r="U49" s="145">
        <v>5236</v>
      </c>
      <c r="V49" s="145"/>
      <c r="W49" s="145"/>
      <c r="X49" s="145"/>
      <c r="Y49" s="145"/>
      <c r="Z49" s="145"/>
      <c r="AA49" s="145"/>
      <c r="AB49" s="145"/>
      <c r="AC49" s="145"/>
      <c r="AD49" s="145">
        <f t="shared" si="1"/>
        <v>23044</v>
      </c>
    </row>
    <row r="50" spans="2:30" x14ac:dyDescent="0.35">
      <c r="B50" s="3" t="s">
        <v>138</v>
      </c>
      <c r="D50" s="141">
        <v>3827750</v>
      </c>
      <c r="E50" s="141">
        <v>5867808</v>
      </c>
      <c r="F50" s="141">
        <v>3693574</v>
      </c>
      <c r="G50" s="141">
        <v>3400443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16789575</v>
      </c>
      <c r="R50" s="145">
        <v>6609</v>
      </c>
      <c r="S50" s="145">
        <v>8039</v>
      </c>
      <c r="T50" s="145">
        <v>7300</v>
      </c>
      <c r="U50" s="145">
        <v>5540</v>
      </c>
      <c r="V50" s="145"/>
      <c r="W50" s="145"/>
      <c r="X50" s="145"/>
      <c r="Y50" s="145"/>
      <c r="Z50" s="145"/>
      <c r="AA50" s="145"/>
      <c r="AB50" s="145"/>
      <c r="AC50" s="145"/>
      <c r="AD50" s="145">
        <f t="shared" si="1"/>
        <v>27488</v>
      </c>
    </row>
    <row r="51" spans="2:30" x14ac:dyDescent="0.35">
      <c r="B51" s="3" t="s">
        <v>124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5">
        <v>2164</v>
      </c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>
        <f t="shared" si="1"/>
        <v>2164</v>
      </c>
    </row>
    <row r="52" spans="2:30" x14ac:dyDescent="0.35">
      <c r="B52" s="3" t="s">
        <v>127</v>
      </c>
      <c r="D52" s="141">
        <v>288211</v>
      </c>
      <c r="E52" s="141">
        <v>354024</v>
      </c>
      <c r="F52" s="141">
        <v>336400</v>
      </c>
      <c r="G52" s="141">
        <v>363423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1342058</v>
      </c>
      <c r="R52" s="145">
        <v>1257</v>
      </c>
      <c r="S52" s="145">
        <v>1262</v>
      </c>
      <c r="T52" s="145">
        <v>1373</v>
      </c>
      <c r="U52" s="145">
        <v>1333</v>
      </c>
      <c r="V52" s="145"/>
      <c r="W52" s="145"/>
      <c r="X52" s="145"/>
      <c r="Y52" s="145"/>
      <c r="Z52" s="145"/>
      <c r="AA52" s="145"/>
      <c r="AB52" s="145"/>
      <c r="AC52" s="145"/>
      <c r="AD52" s="145">
        <f t="shared" si="1"/>
        <v>5225</v>
      </c>
    </row>
    <row r="53" spans="2:30" x14ac:dyDescent="0.35">
      <c r="B53" s="3" t="s">
        <v>118</v>
      </c>
      <c r="D53" s="141">
        <v>592036</v>
      </c>
      <c r="E53" s="141">
        <v>530754</v>
      </c>
      <c r="F53" s="141">
        <v>559858</v>
      </c>
      <c r="G53" s="141">
        <v>563238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2245886</v>
      </c>
      <c r="R53" s="145">
        <v>3684</v>
      </c>
      <c r="S53" s="145">
        <v>3308</v>
      </c>
      <c r="T53" s="145">
        <v>3594</v>
      </c>
      <c r="U53" s="145">
        <v>3445</v>
      </c>
      <c r="V53" s="145"/>
      <c r="W53" s="145"/>
      <c r="X53" s="145"/>
      <c r="Y53" s="145"/>
      <c r="Z53" s="145"/>
      <c r="AA53" s="145"/>
      <c r="AB53" s="145"/>
      <c r="AC53" s="145"/>
      <c r="AD53" s="145">
        <f t="shared" si="1"/>
        <v>14031</v>
      </c>
    </row>
    <row r="54" spans="2:30" x14ac:dyDescent="0.35">
      <c r="B54" s="3" t="s">
        <v>137</v>
      </c>
      <c r="D54" s="141">
        <v>392129</v>
      </c>
      <c r="E54" s="141">
        <v>483224</v>
      </c>
      <c r="F54" s="141">
        <v>501761</v>
      </c>
      <c r="G54" s="141">
        <v>411009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1788123</v>
      </c>
      <c r="R54" s="145">
        <v>1698</v>
      </c>
      <c r="S54" s="145">
        <v>1951</v>
      </c>
      <c r="T54" s="145">
        <v>2240</v>
      </c>
      <c r="U54" s="145">
        <v>1673</v>
      </c>
      <c r="V54" s="145"/>
      <c r="W54" s="145"/>
      <c r="X54" s="145"/>
      <c r="Y54" s="145"/>
      <c r="Z54" s="145"/>
      <c r="AA54" s="145"/>
      <c r="AB54" s="145"/>
      <c r="AC54" s="145"/>
      <c r="AD54" s="145">
        <f t="shared" si="1"/>
        <v>7562</v>
      </c>
    </row>
    <row r="55" spans="2:30" x14ac:dyDescent="0.35">
      <c r="B55" s="3" t="s">
        <v>123</v>
      </c>
      <c r="D55" s="141">
        <v>430829</v>
      </c>
      <c r="E55" s="141">
        <v>381868</v>
      </c>
      <c r="F55" s="141">
        <v>425390</v>
      </c>
      <c r="G55" s="141">
        <v>360666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1598753</v>
      </c>
      <c r="R55" s="145">
        <v>1015</v>
      </c>
      <c r="S55" s="145">
        <v>885</v>
      </c>
      <c r="T55" s="145">
        <v>936</v>
      </c>
      <c r="U55" s="145">
        <v>956</v>
      </c>
      <c r="V55" s="145"/>
      <c r="W55" s="145"/>
      <c r="X55" s="145"/>
      <c r="Y55" s="145"/>
      <c r="Z55" s="145"/>
      <c r="AA55" s="145"/>
      <c r="AB55" s="145"/>
      <c r="AC55" s="145"/>
      <c r="AD55" s="145">
        <f t="shared" si="1"/>
        <v>3792</v>
      </c>
    </row>
    <row r="56" spans="2:30" x14ac:dyDescent="0.35">
      <c r="B56" s="3" t="s">
        <v>134</v>
      </c>
      <c r="D56" s="141">
        <v>508918</v>
      </c>
      <c r="E56" s="141">
        <v>523224</v>
      </c>
      <c r="F56" s="141">
        <v>589670</v>
      </c>
      <c r="G56" s="141">
        <v>552039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2173851</v>
      </c>
      <c r="R56" s="145">
        <v>1449</v>
      </c>
      <c r="S56" s="145">
        <v>1408</v>
      </c>
      <c r="T56" s="145">
        <v>1722</v>
      </c>
      <c r="U56" s="145">
        <v>1531</v>
      </c>
      <c r="V56" s="145"/>
      <c r="W56" s="145"/>
      <c r="X56" s="145"/>
      <c r="Y56" s="145"/>
      <c r="Z56" s="145"/>
      <c r="AA56" s="145"/>
      <c r="AB56" s="145"/>
      <c r="AC56" s="145"/>
      <c r="AD56" s="145">
        <f t="shared" si="1"/>
        <v>6110</v>
      </c>
    </row>
    <row r="57" spans="2:30" x14ac:dyDescent="0.35">
      <c r="B57" s="3" t="s">
        <v>177</v>
      </c>
      <c r="D57" s="141">
        <v>35314</v>
      </c>
      <c r="E57" s="141">
        <v>53895</v>
      </c>
      <c r="F57" s="141">
        <v>67291</v>
      </c>
      <c r="G57" s="141">
        <v>66654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223154</v>
      </c>
      <c r="R57" s="145">
        <v>97</v>
      </c>
      <c r="S57" s="145">
        <v>79</v>
      </c>
      <c r="T57" s="145">
        <v>109</v>
      </c>
      <c r="U57" s="145">
        <v>119</v>
      </c>
      <c r="V57" s="145"/>
      <c r="W57" s="145"/>
      <c r="X57" s="145"/>
      <c r="Y57" s="145"/>
      <c r="Z57" s="145"/>
      <c r="AA57" s="145"/>
      <c r="AB57" s="145"/>
      <c r="AC57" s="145"/>
      <c r="AD57" s="145">
        <f t="shared" si="1"/>
        <v>404</v>
      </c>
    </row>
    <row r="58" spans="2:30" x14ac:dyDescent="0.35">
      <c r="B58" s="3" t="s">
        <v>129</v>
      </c>
      <c r="D58" s="141">
        <v>501935</v>
      </c>
      <c r="E58" s="141">
        <v>466859</v>
      </c>
      <c r="F58" s="141">
        <v>476460</v>
      </c>
      <c r="G58" s="141">
        <v>478110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1923364</v>
      </c>
      <c r="R58" s="145">
        <v>1953</v>
      </c>
      <c r="S58" s="145">
        <v>1777</v>
      </c>
      <c r="T58" s="145">
        <v>1846</v>
      </c>
      <c r="U58" s="145">
        <v>1836</v>
      </c>
      <c r="V58" s="145"/>
      <c r="W58" s="145"/>
      <c r="X58" s="145"/>
      <c r="Y58" s="145"/>
      <c r="Z58" s="145"/>
      <c r="AA58" s="145"/>
      <c r="AB58" s="145"/>
      <c r="AC58" s="145"/>
      <c r="AD58" s="145">
        <f t="shared" si="1"/>
        <v>7412</v>
      </c>
    </row>
    <row r="59" spans="2:30" x14ac:dyDescent="0.35">
      <c r="B59" s="3" t="s">
        <v>131</v>
      </c>
      <c r="D59" s="141">
        <v>422211</v>
      </c>
      <c r="E59" s="141">
        <v>388700</v>
      </c>
      <c r="F59" s="141">
        <v>512481</v>
      </c>
      <c r="G59" s="141">
        <v>400504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1723896</v>
      </c>
      <c r="R59" s="145">
        <v>1243</v>
      </c>
      <c r="S59" s="145">
        <v>1206</v>
      </c>
      <c r="T59" s="145">
        <v>1386</v>
      </c>
      <c r="U59" s="145">
        <v>1215</v>
      </c>
      <c r="V59" s="145"/>
      <c r="W59" s="145"/>
      <c r="X59" s="145"/>
      <c r="Y59" s="145"/>
      <c r="Z59" s="145"/>
      <c r="AA59" s="145"/>
      <c r="AB59" s="145"/>
      <c r="AC59" s="145"/>
      <c r="AD59" s="145">
        <f t="shared" si="1"/>
        <v>5050</v>
      </c>
    </row>
    <row r="60" spans="2:30" x14ac:dyDescent="0.35">
      <c r="B60" s="3" t="s">
        <v>126</v>
      </c>
      <c r="D60" s="141">
        <v>521361</v>
      </c>
      <c r="E60" s="141">
        <v>730418</v>
      </c>
      <c r="F60" s="141">
        <v>477931</v>
      </c>
      <c r="G60" s="141">
        <v>513992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2243702</v>
      </c>
      <c r="R60" s="145">
        <v>496</v>
      </c>
      <c r="S60" s="145">
        <v>500</v>
      </c>
      <c r="T60" s="145">
        <v>555</v>
      </c>
      <c r="U60" s="145">
        <v>442</v>
      </c>
      <c r="V60" s="145"/>
      <c r="W60" s="145"/>
      <c r="X60" s="145"/>
      <c r="Y60" s="145"/>
      <c r="Z60" s="145"/>
      <c r="AA60" s="145"/>
      <c r="AB60" s="145"/>
      <c r="AC60" s="145"/>
      <c r="AD60" s="145">
        <f t="shared" si="1"/>
        <v>1993</v>
      </c>
    </row>
    <row r="61" spans="2:30" x14ac:dyDescent="0.35">
      <c r="B61" s="3" t="s">
        <v>133</v>
      </c>
      <c r="D61" s="141">
        <v>563035</v>
      </c>
      <c r="E61" s="141">
        <v>543576</v>
      </c>
      <c r="F61" s="141">
        <v>558005</v>
      </c>
      <c r="G61" s="141">
        <v>510818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2175434</v>
      </c>
      <c r="R61" s="145">
        <v>2118</v>
      </c>
      <c r="S61" s="145">
        <v>2142</v>
      </c>
      <c r="T61" s="145">
        <v>2335</v>
      </c>
      <c r="U61" s="145">
        <v>2182</v>
      </c>
      <c r="V61" s="145"/>
      <c r="W61" s="145"/>
      <c r="X61" s="145"/>
      <c r="Y61" s="145"/>
      <c r="Z61" s="145"/>
      <c r="AA61" s="145"/>
      <c r="AB61" s="145"/>
      <c r="AC61" s="145"/>
      <c r="AD61" s="145">
        <f t="shared" si="1"/>
        <v>8777</v>
      </c>
    </row>
    <row r="62" spans="2:30" x14ac:dyDescent="0.35">
      <c r="B62" s="3" t="s">
        <v>150</v>
      </c>
      <c r="D62" s="141">
        <v>174321</v>
      </c>
      <c r="E62" s="141">
        <v>123616</v>
      </c>
      <c r="F62" s="141">
        <v>148170</v>
      </c>
      <c r="G62" s="141">
        <v>130670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576777</v>
      </c>
      <c r="R62" s="145">
        <v>683</v>
      </c>
      <c r="S62" s="145">
        <v>515</v>
      </c>
      <c r="T62" s="145">
        <v>615</v>
      </c>
      <c r="U62" s="145">
        <v>544</v>
      </c>
      <c r="V62" s="145"/>
      <c r="W62" s="145"/>
      <c r="X62" s="145"/>
      <c r="Y62" s="145"/>
      <c r="Z62" s="145"/>
      <c r="AA62" s="145"/>
      <c r="AB62" s="145"/>
      <c r="AC62" s="145"/>
      <c r="AD62" s="145">
        <f t="shared" si="1"/>
        <v>2357</v>
      </c>
    </row>
    <row r="63" spans="2:30" x14ac:dyDescent="0.35">
      <c r="B63" s="3" t="s">
        <v>212</v>
      </c>
      <c r="D63" s="141">
        <v>269449</v>
      </c>
      <c r="E63" s="141">
        <v>558815</v>
      </c>
      <c r="F63" s="141">
        <v>685370</v>
      </c>
      <c r="G63" s="141">
        <v>3095504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4609138</v>
      </c>
      <c r="R63" s="145">
        <v>701</v>
      </c>
      <c r="S63" s="145">
        <v>1048</v>
      </c>
      <c r="T63" s="145">
        <v>1592</v>
      </c>
      <c r="U63" s="145">
        <v>3064</v>
      </c>
      <c r="V63" s="145"/>
      <c r="W63" s="145"/>
      <c r="X63" s="145"/>
      <c r="Y63" s="145"/>
      <c r="Z63" s="145"/>
      <c r="AA63" s="145"/>
      <c r="AB63" s="145"/>
      <c r="AC63" s="145"/>
      <c r="AD63" s="145">
        <f t="shared" si="1"/>
        <v>6405</v>
      </c>
    </row>
    <row r="64" spans="2:30" x14ac:dyDescent="0.35">
      <c r="B64" s="3" t="s">
        <v>140</v>
      </c>
      <c r="D64" s="141">
        <v>56141</v>
      </c>
      <c r="E64" s="141">
        <v>70281</v>
      </c>
      <c r="F64" s="141">
        <v>76291</v>
      </c>
      <c r="G64" s="141">
        <v>55199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257912</v>
      </c>
      <c r="R64" s="145">
        <v>248</v>
      </c>
      <c r="S64" s="145">
        <v>254</v>
      </c>
      <c r="T64" s="145">
        <v>299</v>
      </c>
      <c r="U64" s="145">
        <v>214</v>
      </c>
      <c r="V64" s="145"/>
      <c r="W64" s="145"/>
      <c r="X64" s="145"/>
      <c r="Y64" s="145"/>
      <c r="Z64" s="145"/>
      <c r="AA64" s="145"/>
      <c r="AB64" s="145"/>
      <c r="AC64" s="145"/>
      <c r="AD64" s="145">
        <f t="shared" si="1"/>
        <v>1015</v>
      </c>
    </row>
    <row r="65" spans="2:30" x14ac:dyDescent="0.35">
      <c r="B65" s="3" t="s">
        <v>145</v>
      </c>
      <c r="D65" s="141">
        <v>854759</v>
      </c>
      <c r="E65" s="141">
        <v>702597</v>
      </c>
      <c r="F65" s="141">
        <v>240552</v>
      </c>
      <c r="G65" s="141">
        <v>215585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2013493</v>
      </c>
      <c r="R65" s="145">
        <v>1390</v>
      </c>
      <c r="S65" s="145">
        <v>1173</v>
      </c>
      <c r="T65" s="145">
        <v>690</v>
      </c>
      <c r="U65" s="145">
        <v>573</v>
      </c>
      <c r="V65" s="145"/>
      <c r="W65" s="145"/>
      <c r="X65" s="145"/>
      <c r="Y65" s="145"/>
      <c r="Z65" s="145"/>
      <c r="AA65" s="145"/>
      <c r="AB65" s="145"/>
      <c r="AC65" s="145"/>
      <c r="AD65" s="145">
        <f t="shared" si="1"/>
        <v>3826</v>
      </c>
    </row>
    <row r="66" spans="2:30" x14ac:dyDescent="0.35">
      <c r="B66" s="3" t="s">
        <v>164</v>
      </c>
      <c r="D66" s="141">
        <v>109273</v>
      </c>
      <c r="E66" s="141">
        <v>118908</v>
      </c>
      <c r="F66" s="141">
        <v>121120</v>
      </c>
      <c r="G66" s="141">
        <v>103110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452411</v>
      </c>
      <c r="R66" s="145">
        <v>415</v>
      </c>
      <c r="S66" s="145">
        <v>363</v>
      </c>
      <c r="T66" s="145">
        <v>402</v>
      </c>
      <c r="U66" s="145">
        <v>331</v>
      </c>
      <c r="V66" s="145"/>
      <c r="W66" s="145"/>
      <c r="X66" s="145"/>
      <c r="Y66" s="145"/>
      <c r="Z66" s="145"/>
      <c r="AA66" s="145"/>
      <c r="AB66" s="145"/>
      <c r="AC66" s="145"/>
      <c r="AD66" s="145">
        <f t="shared" si="1"/>
        <v>1511</v>
      </c>
    </row>
    <row r="67" spans="2:30" x14ac:dyDescent="0.35">
      <c r="B67" s="3" t="s">
        <v>144</v>
      </c>
      <c r="D67" s="141">
        <v>754433</v>
      </c>
      <c r="E67" s="141">
        <v>2171115</v>
      </c>
      <c r="F67" s="141">
        <v>2444432</v>
      </c>
      <c r="G67" s="141">
        <v>815543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6185523</v>
      </c>
      <c r="R67" s="145">
        <v>7221</v>
      </c>
      <c r="S67" s="145">
        <v>12471</v>
      </c>
      <c r="T67" s="145">
        <v>18118</v>
      </c>
      <c r="U67" s="145">
        <v>9990</v>
      </c>
      <c r="V67" s="145"/>
      <c r="W67" s="145"/>
      <c r="X67" s="145"/>
      <c r="Y67" s="145"/>
      <c r="Z67" s="145"/>
      <c r="AA67" s="145"/>
      <c r="AB67" s="145"/>
      <c r="AC67" s="145"/>
      <c r="AD67" s="145">
        <f t="shared" si="1"/>
        <v>47800</v>
      </c>
    </row>
    <row r="68" spans="2:30" x14ac:dyDescent="0.35">
      <c r="B68" s="3" t="s">
        <v>146</v>
      </c>
      <c r="D68" s="141">
        <v>188102</v>
      </c>
      <c r="E68" s="141">
        <v>150463</v>
      </c>
      <c r="F68" s="141">
        <v>199209</v>
      </c>
      <c r="G68" s="141">
        <v>225373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763147</v>
      </c>
      <c r="R68" s="145">
        <v>535</v>
      </c>
      <c r="S68" s="145">
        <v>491</v>
      </c>
      <c r="T68" s="145">
        <v>573</v>
      </c>
      <c r="U68" s="145">
        <v>569</v>
      </c>
      <c r="V68" s="145"/>
      <c r="W68" s="145"/>
      <c r="X68" s="145"/>
      <c r="Y68" s="145"/>
      <c r="Z68" s="145"/>
      <c r="AA68" s="145"/>
      <c r="AB68" s="145"/>
      <c r="AC68" s="145"/>
      <c r="AD68" s="145">
        <f t="shared" si="1"/>
        <v>2168</v>
      </c>
    </row>
    <row r="69" spans="2:30" x14ac:dyDescent="0.35">
      <c r="B69" s="3" t="s">
        <v>143</v>
      </c>
      <c r="D69" s="141">
        <v>266106</v>
      </c>
      <c r="E69" s="141">
        <v>224101</v>
      </c>
      <c r="F69" s="141">
        <v>179498</v>
      </c>
      <c r="G69" s="141">
        <v>238302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1" si="2">+SUM(D69:O69)</f>
        <v>908007</v>
      </c>
      <c r="R69" s="145">
        <v>1514</v>
      </c>
      <c r="S69" s="145">
        <v>1344</v>
      </c>
      <c r="T69" s="145">
        <v>1220</v>
      </c>
      <c r="U69" s="145">
        <v>1175</v>
      </c>
      <c r="V69" s="145"/>
      <c r="W69" s="145"/>
      <c r="X69" s="145"/>
      <c r="Y69" s="145"/>
      <c r="Z69" s="145"/>
      <c r="AA69" s="145"/>
      <c r="AB69" s="145"/>
      <c r="AC69" s="145"/>
      <c r="AD69" s="145">
        <f t="shared" ref="AD69:AD131" si="3">+SUM(R69:AC69)</f>
        <v>5253</v>
      </c>
    </row>
    <row r="70" spans="2:30" x14ac:dyDescent="0.35">
      <c r="B70" s="3" t="s">
        <v>139</v>
      </c>
      <c r="D70" s="141">
        <v>223985</v>
      </c>
      <c r="E70" s="141">
        <v>208140</v>
      </c>
      <c r="F70" s="141">
        <v>253557</v>
      </c>
      <c r="G70" s="141">
        <v>215449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901131</v>
      </c>
      <c r="R70" s="145">
        <v>2723</v>
      </c>
      <c r="S70" s="145">
        <v>2648</v>
      </c>
      <c r="T70" s="145">
        <v>3124</v>
      </c>
      <c r="U70" s="145">
        <v>2832</v>
      </c>
      <c r="V70" s="145"/>
      <c r="W70" s="145"/>
      <c r="X70" s="145"/>
      <c r="Y70" s="145"/>
      <c r="Z70" s="145"/>
      <c r="AA70" s="145"/>
      <c r="AB70" s="145"/>
      <c r="AC70" s="145"/>
      <c r="AD70" s="145">
        <f t="shared" si="3"/>
        <v>11327</v>
      </c>
    </row>
    <row r="71" spans="2:30" x14ac:dyDescent="0.35">
      <c r="B71" s="3" t="s">
        <v>136</v>
      </c>
      <c r="D71" s="141">
        <v>96111</v>
      </c>
      <c r="E71" s="141">
        <v>140850</v>
      </c>
      <c r="F71" s="141">
        <v>149774</v>
      </c>
      <c r="G71" s="141">
        <v>99040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485775</v>
      </c>
      <c r="R71" s="145">
        <v>174</v>
      </c>
      <c r="S71" s="145">
        <v>198</v>
      </c>
      <c r="T71" s="145">
        <v>187</v>
      </c>
      <c r="U71" s="145">
        <v>169</v>
      </c>
      <c r="V71" s="145"/>
      <c r="W71" s="145"/>
      <c r="X71" s="145"/>
      <c r="Y71" s="145"/>
      <c r="Z71" s="145"/>
      <c r="AA71" s="145"/>
      <c r="AB71" s="145"/>
      <c r="AC71" s="145"/>
      <c r="AD71" s="145">
        <f t="shared" si="3"/>
        <v>728</v>
      </c>
    </row>
    <row r="72" spans="2:30" x14ac:dyDescent="0.35">
      <c r="B72" s="3" t="s">
        <v>166</v>
      </c>
      <c r="D72" s="141">
        <v>443968</v>
      </c>
      <c r="E72" s="141">
        <v>354813</v>
      </c>
      <c r="F72" s="141">
        <v>327711</v>
      </c>
      <c r="G72" s="141">
        <v>309519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1436011</v>
      </c>
      <c r="R72" s="145">
        <v>1267</v>
      </c>
      <c r="S72" s="145">
        <v>1130</v>
      </c>
      <c r="T72" s="145">
        <v>1059</v>
      </c>
      <c r="U72" s="145">
        <v>952</v>
      </c>
      <c r="V72" s="145"/>
      <c r="W72" s="145"/>
      <c r="X72" s="145"/>
      <c r="Y72" s="145"/>
      <c r="Z72" s="145"/>
      <c r="AA72" s="145"/>
      <c r="AB72" s="145"/>
      <c r="AC72" s="145"/>
      <c r="AD72" s="145">
        <f t="shared" si="3"/>
        <v>4408</v>
      </c>
    </row>
    <row r="73" spans="2:30" x14ac:dyDescent="0.35">
      <c r="B73" s="3" t="s">
        <v>201</v>
      </c>
      <c r="D73" s="141">
        <v>129471</v>
      </c>
      <c r="E73" s="141">
        <v>33418</v>
      </c>
      <c r="F73" s="141">
        <v>136032</v>
      </c>
      <c r="G73" s="141">
        <v>80456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379377</v>
      </c>
      <c r="R73" s="145">
        <v>574</v>
      </c>
      <c r="S73" s="145">
        <v>58</v>
      </c>
      <c r="T73" s="145">
        <v>605</v>
      </c>
      <c r="U73" s="145">
        <v>316</v>
      </c>
      <c r="V73" s="145"/>
      <c r="W73" s="145"/>
      <c r="X73" s="145"/>
      <c r="Y73" s="145"/>
      <c r="Z73" s="145"/>
      <c r="AA73" s="145"/>
      <c r="AB73" s="145"/>
      <c r="AC73" s="145"/>
      <c r="AD73" s="145">
        <f t="shared" si="3"/>
        <v>1553</v>
      </c>
    </row>
    <row r="74" spans="2:30" x14ac:dyDescent="0.35">
      <c r="B74" s="3" t="s">
        <v>148</v>
      </c>
      <c r="D74" s="141">
        <v>797247</v>
      </c>
      <c r="E74" s="141">
        <v>912563</v>
      </c>
      <c r="F74" s="141">
        <v>861336</v>
      </c>
      <c r="G74" s="141">
        <v>1858897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4430043</v>
      </c>
      <c r="R74" s="145">
        <v>555</v>
      </c>
      <c r="S74" s="145">
        <v>628</v>
      </c>
      <c r="T74" s="145">
        <v>638</v>
      </c>
      <c r="U74" s="145">
        <v>1029</v>
      </c>
      <c r="V74" s="145"/>
      <c r="W74" s="145"/>
      <c r="X74" s="145"/>
      <c r="Y74" s="145"/>
      <c r="Z74" s="145"/>
      <c r="AA74" s="145"/>
      <c r="AB74" s="145"/>
      <c r="AC74" s="145"/>
      <c r="AD74" s="145">
        <f t="shared" si="3"/>
        <v>2850</v>
      </c>
    </row>
    <row r="75" spans="2:30" x14ac:dyDescent="0.35">
      <c r="B75" s="3" t="s">
        <v>141</v>
      </c>
      <c r="D75" s="141">
        <v>251883</v>
      </c>
      <c r="E75" s="141">
        <v>195371</v>
      </c>
      <c r="F75" s="141">
        <v>214810</v>
      </c>
      <c r="G75" s="141">
        <v>208598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870662</v>
      </c>
      <c r="R75" s="145">
        <v>1873</v>
      </c>
      <c r="S75" s="145">
        <v>1705</v>
      </c>
      <c r="T75" s="145">
        <v>1895</v>
      </c>
      <c r="U75" s="145">
        <v>1669</v>
      </c>
      <c r="V75" s="145"/>
      <c r="W75" s="145"/>
      <c r="X75" s="145"/>
      <c r="Y75" s="145"/>
      <c r="Z75" s="145"/>
      <c r="AA75" s="145"/>
      <c r="AB75" s="145"/>
      <c r="AC75" s="145"/>
      <c r="AD75" s="145">
        <f t="shared" si="3"/>
        <v>7142</v>
      </c>
    </row>
    <row r="76" spans="2:30" x14ac:dyDescent="0.35">
      <c r="B76" s="3" t="s">
        <v>142</v>
      </c>
      <c r="D76" s="141">
        <v>250654</v>
      </c>
      <c r="E76" s="141">
        <v>252154</v>
      </c>
      <c r="F76" s="141">
        <v>231682</v>
      </c>
      <c r="G76" s="141">
        <v>213949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948439</v>
      </c>
      <c r="R76" s="145">
        <v>2075</v>
      </c>
      <c r="S76" s="145">
        <v>2191</v>
      </c>
      <c r="T76" s="145">
        <v>2208</v>
      </c>
      <c r="U76" s="145">
        <v>2106</v>
      </c>
      <c r="V76" s="145"/>
      <c r="W76" s="145"/>
      <c r="X76" s="145"/>
      <c r="Y76" s="145"/>
      <c r="Z76" s="145"/>
      <c r="AA76" s="145"/>
      <c r="AB76" s="145"/>
      <c r="AC76" s="145"/>
      <c r="AD76" s="145">
        <f t="shared" si="3"/>
        <v>8580</v>
      </c>
    </row>
    <row r="77" spans="2:30" x14ac:dyDescent="0.35">
      <c r="B77" s="3" t="s">
        <v>149</v>
      </c>
      <c r="D77" s="141">
        <v>91229</v>
      </c>
      <c r="E77" s="141">
        <v>107359</v>
      </c>
      <c r="F77" s="141">
        <v>96949</v>
      </c>
      <c r="G77" s="141">
        <v>98952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394489</v>
      </c>
      <c r="R77" s="145">
        <v>503</v>
      </c>
      <c r="S77" s="145">
        <v>471</v>
      </c>
      <c r="T77" s="145">
        <v>481</v>
      </c>
      <c r="U77" s="145">
        <v>447</v>
      </c>
      <c r="V77" s="145"/>
      <c r="W77" s="145"/>
      <c r="X77" s="145"/>
      <c r="Y77" s="145"/>
      <c r="Z77" s="145"/>
      <c r="AA77" s="145"/>
      <c r="AB77" s="145"/>
      <c r="AC77" s="145"/>
      <c r="AD77" s="145">
        <f t="shared" si="3"/>
        <v>1902</v>
      </c>
    </row>
    <row r="78" spans="2:30" x14ac:dyDescent="0.35">
      <c r="B78" s="3" t="s">
        <v>158</v>
      </c>
      <c r="D78" s="141">
        <v>198701</v>
      </c>
      <c r="E78" s="141">
        <v>227696</v>
      </c>
      <c r="F78" s="141">
        <v>223344</v>
      </c>
      <c r="G78" s="141">
        <v>217649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867390</v>
      </c>
      <c r="R78" s="145">
        <v>1283</v>
      </c>
      <c r="S78" s="145">
        <v>1265</v>
      </c>
      <c r="T78" s="145">
        <v>1320</v>
      </c>
      <c r="U78" s="145">
        <v>1218</v>
      </c>
      <c r="V78" s="145"/>
      <c r="W78" s="145"/>
      <c r="X78" s="145"/>
      <c r="Y78" s="145"/>
      <c r="Z78" s="145"/>
      <c r="AA78" s="145"/>
      <c r="AB78" s="145"/>
      <c r="AC78" s="145"/>
      <c r="AD78" s="145">
        <f t="shared" si="3"/>
        <v>5086</v>
      </c>
    </row>
    <row r="79" spans="2:30" x14ac:dyDescent="0.35">
      <c r="B79" s="3" t="s">
        <v>147</v>
      </c>
      <c r="D79" s="141">
        <v>214336</v>
      </c>
      <c r="E79" s="141">
        <v>194095</v>
      </c>
      <c r="F79" s="141">
        <v>246636</v>
      </c>
      <c r="G79" s="141">
        <v>213920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868987</v>
      </c>
      <c r="R79" s="145">
        <v>348</v>
      </c>
      <c r="S79" s="145">
        <v>256</v>
      </c>
      <c r="T79" s="145">
        <v>354</v>
      </c>
      <c r="U79" s="145">
        <v>286</v>
      </c>
      <c r="V79" s="145"/>
      <c r="W79" s="145"/>
      <c r="X79" s="145"/>
      <c r="Y79" s="145"/>
      <c r="Z79" s="145"/>
      <c r="AA79" s="145"/>
      <c r="AB79" s="145"/>
      <c r="AC79" s="145"/>
      <c r="AD79" s="145">
        <f t="shared" si="3"/>
        <v>1244</v>
      </c>
    </row>
    <row r="80" spans="2:30" x14ac:dyDescent="0.35">
      <c r="B80" s="3" t="s">
        <v>172</v>
      </c>
      <c r="D80" s="141">
        <v>46210</v>
      </c>
      <c r="E80" s="141">
        <v>77860</v>
      </c>
      <c r="F80" s="141">
        <v>52059</v>
      </c>
      <c r="G80" s="141">
        <v>47613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223742</v>
      </c>
      <c r="R80" s="145">
        <v>111</v>
      </c>
      <c r="S80" s="145">
        <v>151</v>
      </c>
      <c r="T80" s="145">
        <v>114</v>
      </c>
      <c r="U80" s="145">
        <v>104</v>
      </c>
      <c r="V80" s="145"/>
      <c r="W80" s="145"/>
      <c r="X80" s="145"/>
      <c r="Y80" s="145"/>
      <c r="Z80" s="145"/>
      <c r="AA80" s="145"/>
      <c r="AB80" s="145"/>
      <c r="AC80" s="145"/>
      <c r="AD80" s="145">
        <f t="shared" si="3"/>
        <v>480</v>
      </c>
    </row>
    <row r="81" spans="2:30" x14ac:dyDescent="0.35">
      <c r="B81" s="3" t="s">
        <v>165</v>
      </c>
      <c r="D81" s="141">
        <v>193376</v>
      </c>
      <c r="E81" s="141">
        <v>197013</v>
      </c>
      <c r="F81" s="141">
        <v>275935</v>
      </c>
      <c r="G81" s="141">
        <v>522079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1188403</v>
      </c>
      <c r="R81" s="145">
        <v>6629</v>
      </c>
      <c r="S81" s="145">
        <v>6955</v>
      </c>
      <c r="T81" s="145">
        <v>9181</v>
      </c>
      <c r="U81" s="145">
        <v>14182</v>
      </c>
      <c r="V81" s="145"/>
      <c r="W81" s="145"/>
      <c r="X81" s="145"/>
      <c r="Y81" s="145"/>
      <c r="Z81" s="145"/>
      <c r="AA81" s="145"/>
      <c r="AB81" s="145"/>
      <c r="AC81" s="145"/>
      <c r="AD81" s="145">
        <f t="shared" si="3"/>
        <v>36947</v>
      </c>
    </row>
    <row r="82" spans="2:30" x14ac:dyDescent="0.35">
      <c r="B82" s="3" t="s">
        <v>154</v>
      </c>
      <c r="D82" s="141">
        <v>135044</v>
      </c>
      <c r="E82" s="141">
        <v>116023</v>
      </c>
      <c r="F82" s="141">
        <v>136434</v>
      </c>
      <c r="G82" s="141">
        <v>120561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508062</v>
      </c>
      <c r="R82" s="145">
        <v>483</v>
      </c>
      <c r="S82" s="145">
        <v>460</v>
      </c>
      <c r="T82" s="145">
        <v>474</v>
      </c>
      <c r="U82" s="145">
        <v>449</v>
      </c>
      <c r="V82" s="145"/>
      <c r="W82" s="145"/>
      <c r="X82" s="145"/>
      <c r="Y82" s="145"/>
      <c r="Z82" s="145"/>
      <c r="AA82" s="145"/>
      <c r="AB82" s="145"/>
      <c r="AC82" s="145"/>
      <c r="AD82" s="145">
        <f t="shared" si="3"/>
        <v>1866</v>
      </c>
    </row>
    <row r="83" spans="2:30" x14ac:dyDescent="0.35">
      <c r="B83" s="3" t="s">
        <v>169</v>
      </c>
      <c r="D83" s="141">
        <v>90274</v>
      </c>
      <c r="E83" s="141">
        <v>69064</v>
      </c>
      <c r="F83" s="141">
        <v>85749</v>
      </c>
      <c r="G83" s="141">
        <v>90822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335909</v>
      </c>
      <c r="R83" s="145">
        <v>575</v>
      </c>
      <c r="S83" s="145">
        <v>524</v>
      </c>
      <c r="T83" s="145">
        <v>704</v>
      </c>
      <c r="U83" s="145">
        <v>674</v>
      </c>
      <c r="V83" s="145"/>
      <c r="W83" s="145"/>
      <c r="X83" s="145"/>
      <c r="Y83" s="145"/>
      <c r="Z83" s="145"/>
      <c r="AA83" s="145"/>
      <c r="AB83" s="145"/>
      <c r="AC83" s="145"/>
      <c r="AD83" s="145">
        <f t="shared" si="3"/>
        <v>2477</v>
      </c>
    </row>
    <row r="84" spans="2:30" x14ac:dyDescent="0.35">
      <c r="B84" s="3" t="s">
        <v>196</v>
      </c>
      <c r="D84" s="141">
        <v>54024</v>
      </c>
      <c r="E84" s="141">
        <v>40112</v>
      </c>
      <c r="F84" s="141">
        <v>65769</v>
      </c>
      <c r="G84" s="141">
        <v>33479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193384</v>
      </c>
      <c r="R84" s="145">
        <v>159</v>
      </c>
      <c r="S84" s="145">
        <v>211</v>
      </c>
      <c r="T84" s="145">
        <v>320</v>
      </c>
      <c r="U84" s="145">
        <v>168</v>
      </c>
      <c r="V84" s="145"/>
      <c r="W84" s="145"/>
      <c r="X84" s="145"/>
      <c r="Y84" s="145"/>
      <c r="Z84" s="145"/>
      <c r="AA84" s="145"/>
      <c r="AB84" s="145"/>
      <c r="AC84" s="145"/>
      <c r="AD84" s="145">
        <f t="shared" si="3"/>
        <v>858</v>
      </c>
    </row>
    <row r="85" spans="2:30" x14ac:dyDescent="0.35">
      <c r="B85" s="3" t="s">
        <v>163</v>
      </c>
      <c r="D85" s="141">
        <v>66300</v>
      </c>
      <c r="E85" s="141">
        <v>64945</v>
      </c>
      <c r="F85" s="141">
        <v>86245</v>
      </c>
      <c r="G85" s="141">
        <v>69741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287231</v>
      </c>
      <c r="R85" s="145">
        <v>359</v>
      </c>
      <c r="S85" s="145">
        <v>402</v>
      </c>
      <c r="T85" s="145">
        <v>529</v>
      </c>
      <c r="U85" s="145">
        <v>439</v>
      </c>
      <c r="V85" s="145"/>
      <c r="W85" s="145"/>
      <c r="X85" s="145"/>
      <c r="Y85" s="145"/>
      <c r="Z85" s="145"/>
      <c r="AA85" s="145"/>
      <c r="AB85" s="145"/>
      <c r="AC85" s="145"/>
      <c r="AD85" s="145">
        <f t="shared" si="3"/>
        <v>1729</v>
      </c>
    </row>
    <row r="86" spans="2:30" x14ac:dyDescent="0.35">
      <c r="B86" s="3" t="s">
        <v>156</v>
      </c>
      <c r="D86" s="141">
        <v>660968</v>
      </c>
      <c r="E86" s="141">
        <v>422113</v>
      </c>
      <c r="F86" s="141">
        <v>394677</v>
      </c>
      <c r="G86" s="141">
        <v>320145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1797903</v>
      </c>
      <c r="R86" s="145">
        <v>1799</v>
      </c>
      <c r="S86" s="145">
        <v>1112</v>
      </c>
      <c r="T86" s="145">
        <v>947</v>
      </c>
      <c r="U86" s="145">
        <v>784</v>
      </c>
      <c r="V86" s="145"/>
      <c r="W86" s="145"/>
      <c r="X86" s="145"/>
      <c r="Y86" s="145"/>
      <c r="Z86" s="145"/>
      <c r="AA86" s="145"/>
      <c r="AB86" s="145"/>
      <c r="AC86" s="145"/>
      <c r="AD86" s="145">
        <f t="shared" si="3"/>
        <v>4642</v>
      </c>
    </row>
    <row r="87" spans="2:30" x14ac:dyDescent="0.35">
      <c r="B87" s="3" t="s">
        <v>159</v>
      </c>
      <c r="D87" s="141">
        <v>88627</v>
      </c>
      <c r="E87" s="141">
        <v>77775</v>
      </c>
      <c r="F87" s="141">
        <v>88334</v>
      </c>
      <c r="G87" s="141">
        <v>59864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314600</v>
      </c>
      <c r="R87" s="145">
        <v>150</v>
      </c>
      <c r="S87" s="145">
        <v>132</v>
      </c>
      <c r="T87" s="145">
        <v>135</v>
      </c>
      <c r="U87" s="145">
        <v>104</v>
      </c>
      <c r="V87" s="145"/>
      <c r="W87" s="145"/>
      <c r="X87" s="145"/>
      <c r="Y87" s="145"/>
      <c r="Z87" s="145"/>
      <c r="AA87" s="145"/>
      <c r="AB87" s="145"/>
      <c r="AC87" s="145"/>
      <c r="AD87" s="145">
        <f t="shared" si="3"/>
        <v>521</v>
      </c>
    </row>
    <row r="88" spans="2:30" x14ac:dyDescent="0.35">
      <c r="B88" s="3" t="s">
        <v>168</v>
      </c>
      <c r="D88" s="141">
        <v>102906</v>
      </c>
      <c r="E88" s="141">
        <v>97044</v>
      </c>
      <c r="F88" s="141">
        <v>125028</v>
      </c>
      <c r="G88" s="141">
        <v>121277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446255</v>
      </c>
      <c r="R88" s="145">
        <v>566</v>
      </c>
      <c r="S88" s="145">
        <v>570</v>
      </c>
      <c r="T88" s="145">
        <v>593</v>
      </c>
      <c r="U88" s="145">
        <v>580</v>
      </c>
      <c r="V88" s="145"/>
      <c r="W88" s="145"/>
      <c r="X88" s="145"/>
      <c r="Y88" s="145"/>
      <c r="Z88" s="145"/>
      <c r="AA88" s="145"/>
      <c r="AB88" s="145"/>
      <c r="AC88" s="145"/>
      <c r="AD88" s="145">
        <f t="shared" si="3"/>
        <v>2309</v>
      </c>
    </row>
    <row r="89" spans="2:30" x14ac:dyDescent="0.35">
      <c r="B89" s="3" t="s">
        <v>167</v>
      </c>
      <c r="D89" s="141">
        <v>42460</v>
      </c>
      <c r="E89" s="141">
        <v>38567</v>
      </c>
      <c r="F89" s="141">
        <v>55504</v>
      </c>
      <c r="G89" s="141">
        <v>47547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184078</v>
      </c>
      <c r="R89" s="145">
        <v>109</v>
      </c>
      <c r="S89" s="145">
        <v>103</v>
      </c>
      <c r="T89" s="145">
        <v>103</v>
      </c>
      <c r="U89" s="145">
        <v>106</v>
      </c>
      <c r="V89" s="145"/>
      <c r="W89" s="145"/>
      <c r="X89" s="145"/>
      <c r="Y89" s="145"/>
      <c r="Z89" s="145"/>
      <c r="AA89" s="145"/>
      <c r="AB89" s="145"/>
      <c r="AC89" s="145"/>
      <c r="AD89" s="145">
        <f t="shared" si="3"/>
        <v>421</v>
      </c>
    </row>
    <row r="90" spans="2:30" x14ac:dyDescent="0.35">
      <c r="B90" s="3" t="s">
        <v>153</v>
      </c>
      <c r="D90" s="141">
        <v>28024</v>
      </c>
      <c r="E90" s="141">
        <v>24860</v>
      </c>
      <c r="F90" s="141">
        <v>53499</v>
      </c>
      <c r="G90" s="141">
        <v>41155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147538</v>
      </c>
      <c r="R90" s="145">
        <v>172</v>
      </c>
      <c r="S90" s="145">
        <v>152</v>
      </c>
      <c r="T90" s="145">
        <v>261</v>
      </c>
      <c r="U90" s="145">
        <v>253</v>
      </c>
      <c r="V90" s="145"/>
      <c r="W90" s="145"/>
      <c r="X90" s="145"/>
      <c r="Y90" s="145"/>
      <c r="Z90" s="145"/>
      <c r="AA90" s="145"/>
      <c r="AB90" s="145"/>
      <c r="AC90" s="145"/>
      <c r="AD90" s="145">
        <f t="shared" si="3"/>
        <v>838</v>
      </c>
    </row>
    <row r="91" spans="2:30" x14ac:dyDescent="0.35">
      <c r="B91" s="3" t="s">
        <v>155</v>
      </c>
      <c r="D91" s="141">
        <v>87009</v>
      </c>
      <c r="E91" s="141">
        <v>85828</v>
      </c>
      <c r="F91" s="141">
        <v>80053</v>
      </c>
      <c r="G91" s="141">
        <v>87691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340581</v>
      </c>
      <c r="R91" s="145">
        <v>353</v>
      </c>
      <c r="S91" s="145">
        <v>338</v>
      </c>
      <c r="T91" s="145">
        <v>329</v>
      </c>
      <c r="U91" s="145">
        <v>357</v>
      </c>
      <c r="V91" s="145"/>
      <c r="W91" s="145"/>
      <c r="X91" s="145"/>
      <c r="Y91" s="145"/>
      <c r="Z91" s="145"/>
      <c r="AA91" s="145"/>
      <c r="AB91" s="145"/>
      <c r="AC91" s="145"/>
      <c r="AD91" s="145">
        <f t="shared" si="3"/>
        <v>1377</v>
      </c>
    </row>
    <row r="92" spans="2:30" x14ac:dyDescent="0.35">
      <c r="B92" s="3" t="s">
        <v>252</v>
      </c>
      <c r="D92" s="141">
        <v>56628</v>
      </c>
      <c r="E92" s="141">
        <v>49984</v>
      </c>
      <c r="F92" s="141">
        <v>59731</v>
      </c>
      <c r="G92" s="141">
        <v>34876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201219</v>
      </c>
      <c r="R92" s="145">
        <v>44</v>
      </c>
      <c r="S92" s="145">
        <v>39</v>
      </c>
      <c r="T92" s="145">
        <v>49</v>
      </c>
      <c r="U92" s="145">
        <v>31</v>
      </c>
      <c r="V92" s="145"/>
      <c r="W92" s="145"/>
      <c r="X92" s="145"/>
      <c r="Y92" s="145"/>
      <c r="Z92" s="145"/>
      <c r="AA92" s="145"/>
      <c r="AB92" s="145"/>
      <c r="AC92" s="145"/>
      <c r="AD92" s="145">
        <f t="shared" si="3"/>
        <v>163</v>
      </c>
    </row>
    <row r="93" spans="2:30" x14ac:dyDescent="0.35">
      <c r="B93" s="3" t="s">
        <v>151</v>
      </c>
      <c r="D93" s="141">
        <v>9345</v>
      </c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9345</v>
      </c>
      <c r="R93" s="145">
        <v>76</v>
      </c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>
        <f t="shared" si="3"/>
        <v>76</v>
      </c>
    </row>
    <row r="94" spans="2:30" x14ac:dyDescent="0.35">
      <c r="B94" s="3" t="s">
        <v>161</v>
      </c>
      <c r="D94" s="141">
        <v>345673</v>
      </c>
      <c r="E94" s="141">
        <v>412003</v>
      </c>
      <c r="F94" s="141">
        <v>472966</v>
      </c>
      <c r="G94" s="141">
        <v>488754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1719396</v>
      </c>
      <c r="R94" s="145">
        <v>1133</v>
      </c>
      <c r="S94" s="145">
        <v>1338</v>
      </c>
      <c r="T94" s="145">
        <v>2103</v>
      </c>
      <c r="U94" s="145">
        <v>2634</v>
      </c>
      <c r="V94" s="145"/>
      <c r="W94" s="145"/>
      <c r="X94" s="145"/>
      <c r="Y94" s="145"/>
      <c r="Z94" s="145"/>
      <c r="AA94" s="145"/>
      <c r="AB94" s="145"/>
      <c r="AC94" s="145"/>
      <c r="AD94" s="145">
        <f t="shared" si="3"/>
        <v>7208</v>
      </c>
    </row>
    <row r="95" spans="2:30" x14ac:dyDescent="0.35">
      <c r="B95" s="3" t="s">
        <v>157</v>
      </c>
      <c r="D95" s="141">
        <v>56822</v>
      </c>
      <c r="E95" s="141">
        <v>69549</v>
      </c>
      <c r="F95" s="141">
        <v>56317</v>
      </c>
      <c r="G95" s="141">
        <v>58336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241024</v>
      </c>
      <c r="R95" s="145">
        <v>114</v>
      </c>
      <c r="S95" s="145">
        <v>142</v>
      </c>
      <c r="T95" s="145">
        <v>123</v>
      </c>
      <c r="U95" s="145">
        <v>100</v>
      </c>
      <c r="V95" s="145"/>
      <c r="W95" s="145"/>
      <c r="X95" s="145"/>
      <c r="Y95" s="145"/>
      <c r="Z95" s="145"/>
      <c r="AA95" s="145"/>
      <c r="AB95" s="145"/>
      <c r="AC95" s="145"/>
      <c r="AD95" s="145">
        <f t="shared" si="3"/>
        <v>479</v>
      </c>
    </row>
    <row r="96" spans="2:30" x14ac:dyDescent="0.35">
      <c r="B96" s="3" t="s">
        <v>185</v>
      </c>
      <c r="D96" s="141">
        <v>40423</v>
      </c>
      <c r="E96" s="141">
        <v>27738</v>
      </c>
      <c r="F96" s="141">
        <v>28861</v>
      </c>
      <c r="G96" s="141">
        <v>28129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125151</v>
      </c>
      <c r="R96" s="145">
        <v>100</v>
      </c>
      <c r="S96" s="145">
        <v>104</v>
      </c>
      <c r="T96" s="145">
        <v>84</v>
      </c>
      <c r="U96" s="145">
        <v>85</v>
      </c>
      <c r="V96" s="145"/>
      <c r="W96" s="145"/>
      <c r="X96" s="145"/>
      <c r="Y96" s="145"/>
      <c r="Z96" s="145"/>
      <c r="AA96" s="145"/>
      <c r="AB96" s="145"/>
      <c r="AC96" s="145"/>
      <c r="AD96" s="145">
        <f t="shared" si="3"/>
        <v>373</v>
      </c>
    </row>
    <row r="97" spans="2:30" x14ac:dyDescent="0.35">
      <c r="B97" s="3" t="s">
        <v>162</v>
      </c>
      <c r="D97" s="141">
        <v>78437</v>
      </c>
      <c r="E97" s="141">
        <v>48530</v>
      </c>
      <c r="F97" s="141">
        <v>96890</v>
      </c>
      <c r="G97" s="141">
        <v>62440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286297</v>
      </c>
      <c r="R97" s="145">
        <v>172</v>
      </c>
      <c r="S97" s="145">
        <v>138</v>
      </c>
      <c r="T97" s="145">
        <v>155</v>
      </c>
      <c r="U97" s="145">
        <v>133</v>
      </c>
      <c r="V97" s="145"/>
      <c r="W97" s="145"/>
      <c r="X97" s="145"/>
      <c r="Y97" s="145"/>
      <c r="Z97" s="145"/>
      <c r="AA97" s="145"/>
      <c r="AB97" s="145"/>
      <c r="AC97" s="145"/>
      <c r="AD97" s="145">
        <f t="shared" si="3"/>
        <v>598</v>
      </c>
    </row>
    <row r="98" spans="2:30" x14ac:dyDescent="0.35">
      <c r="B98" s="3" t="s">
        <v>216</v>
      </c>
      <c r="D98" s="141">
        <v>11516</v>
      </c>
      <c r="E98" s="141">
        <v>4968</v>
      </c>
      <c r="F98" s="141">
        <v>9211</v>
      </c>
      <c r="G98" s="141">
        <v>6792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32487</v>
      </c>
      <c r="R98" s="145">
        <v>56</v>
      </c>
      <c r="S98" s="145">
        <v>71</v>
      </c>
      <c r="T98" s="145">
        <v>46</v>
      </c>
      <c r="U98" s="145">
        <v>44</v>
      </c>
      <c r="V98" s="145"/>
      <c r="W98" s="145"/>
      <c r="X98" s="145"/>
      <c r="Y98" s="145"/>
      <c r="Z98" s="145"/>
      <c r="AA98" s="145"/>
      <c r="AB98" s="145"/>
      <c r="AC98" s="145"/>
      <c r="AD98" s="145">
        <f t="shared" si="3"/>
        <v>217</v>
      </c>
    </row>
    <row r="99" spans="2:30" x14ac:dyDescent="0.35">
      <c r="B99" s="3" t="s">
        <v>175</v>
      </c>
      <c r="D99" s="141">
        <v>137736</v>
      </c>
      <c r="E99" s="141">
        <v>79370</v>
      </c>
      <c r="F99" s="141">
        <v>128957</v>
      </c>
      <c r="G99" s="141">
        <v>104454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450517</v>
      </c>
      <c r="R99" s="145">
        <v>367</v>
      </c>
      <c r="S99" s="145">
        <v>289</v>
      </c>
      <c r="T99" s="145">
        <v>400</v>
      </c>
      <c r="U99" s="145">
        <v>388</v>
      </c>
      <c r="V99" s="145"/>
      <c r="W99" s="145"/>
      <c r="X99" s="145"/>
      <c r="Y99" s="145"/>
      <c r="Z99" s="145"/>
      <c r="AA99" s="145"/>
      <c r="AB99" s="145"/>
      <c r="AC99" s="145"/>
      <c r="AD99" s="145">
        <f t="shared" si="3"/>
        <v>1444</v>
      </c>
    </row>
    <row r="100" spans="2:30" x14ac:dyDescent="0.35">
      <c r="B100" s="3" t="s">
        <v>114</v>
      </c>
      <c r="D100" s="141">
        <v>96994</v>
      </c>
      <c r="E100" s="141">
        <v>81551</v>
      </c>
      <c r="F100" s="141">
        <v>105821</v>
      </c>
      <c r="G100" s="141">
        <v>91803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376169</v>
      </c>
      <c r="R100" s="145">
        <v>351</v>
      </c>
      <c r="S100" s="145">
        <v>315</v>
      </c>
      <c r="T100" s="145">
        <v>326</v>
      </c>
      <c r="U100" s="145">
        <v>315</v>
      </c>
      <c r="V100" s="145"/>
      <c r="W100" s="145"/>
      <c r="X100" s="145"/>
      <c r="Y100" s="145"/>
      <c r="Z100" s="145"/>
      <c r="AA100" s="145"/>
      <c r="AB100" s="145"/>
      <c r="AC100" s="145"/>
      <c r="AD100" s="145">
        <f t="shared" si="3"/>
        <v>1307</v>
      </c>
    </row>
    <row r="101" spans="2:30" x14ac:dyDescent="0.35">
      <c r="B101" s="3" t="s">
        <v>179</v>
      </c>
      <c r="D101" s="141">
        <v>54026</v>
      </c>
      <c r="E101" s="141">
        <v>46861</v>
      </c>
      <c r="F101" s="141">
        <v>49045</v>
      </c>
      <c r="G101" s="141">
        <v>39746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189678</v>
      </c>
      <c r="R101" s="145">
        <v>741</v>
      </c>
      <c r="S101" s="145">
        <v>730</v>
      </c>
      <c r="T101" s="145">
        <v>726</v>
      </c>
      <c r="U101" s="145">
        <v>712</v>
      </c>
      <c r="V101" s="145"/>
      <c r="W101" s="145"/>
      <c r="X101" s="145"/>
      <c r="Y101" s="145"/>
      <c r="Z101" s="145"/>
      <c r="AA101" s="145"/>
      <c r="AB101" s="145"/>
      <c r="AC101" s="145"/>
      <c r="AD101" s="145">
        <f t="shared" si="3"/>
        <v>2909</v>
      </c>
    </row>
    <row r="102" spans="2:30" x14ac:dyDescent="0.35">
      <c r="B102" s="3" t="s">
        <v>173</v>
      </c>
      <c r="D102" s="141">
        <v>107917</v>
      </c>
      <c r="E102" s="141">
        <v>109643</v>
      </c>
      <c r="F102" s="141">
        <v>129728</v>
      </c>
      <c r="G102" s="141">
        <v>120036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467324</v>
      </c>
      <c r="R102" s="145">
        <v>709</v>
      </c>
      <c r="S102" s="145">
        <v>752</v>
      </c>
      <c r="T102" s="145">
        <v>920</v>
      </c>
      <c r="U102" s="145">
        <v>854</v>
      </c>
      <c r="V102" s="145"/>
      <c r="W102" s="145"/>
      <c r="X102" s="145"/>
      <c r="Y102" s="145"/>
      <c r="Z102" s="145"/>
      <c r="AA102" s="145"/>
      <c r="AB102" s="145"/>
      <c r="AC102" s="145"/>
      <c r="AD102" s="145">
        <f t="shared" si="3"/>
        <v>3235</v>
      </c>
    </row>
    <row r="103" spans="2:30" x14ac:dyDescent="0.35">
      <c r="B103" s="3" t="s">
        <v>221</v>
      </c>
      <c r="D103" s="141">
        <v>4119</v>
      </c>
      <c r="E103" s="141">
        <v>6132</v>
      </c>
      <c r="F103" s="141">
        <v>4836</v>
      </c>
      <c r="G103" s="141">
        <v>5939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21026</v>
      </c>
      <c r="R103" s="145">
        <v>24</v>
      </c>
      <c r="S103" s="145">
        <v>43</v>
      </c>
      <c r="T103" s="145">
        <v>38</v>
      </c>
      <c r="U103" s="145">
        <v>22</v>
      </c>
      <c r="V103" s="145"/>
      <c r="W103" s="145"/>
      <c r="X103" s="145"/>
      <c r="Y103" s="145"/>
      <c r="Z103" s="145"/>
      <c r="AA103" s="145"/>
      <c r="AB103" s="145"/>
      <c r="AC103" s="145"/>
      <c r="AD103" s="145">
        <f t="shared" si="3"/>
        <v>127</v>
      </c>
    </row>
    <row r="104" spans="2:30" x14ac:dyDescent="0.35">
      <c r="B104" s="3" t="s">
        <v>184</v>
      </c>
      <c r="D104" s="141">
        <v>50573</v>
      </c>
      <c r="E104" s="141">
        <v>27032</v>
      </c>
      <c r="F104" s="141">
        <v>33458</v>
      </c>
      <c r="G104" s="141">
        <v>24937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136000</v>
      </c>
      <c r="R104" s="145">
        <v>86</v>
      </c>
      <c r="S104" s="145">
        <v>61</v>
      </c>
      <c r="T104" s="145">
        <v>81</v>
      </c>
      <c r="U104" s="145">
        <v>70</v>
      </c>
      <c r="V104" s="145"/>
      <c r="W104" s="145"/>
      <c r="X104" s="145"/>
      <c r="Y104" s="145"/>
      <c r="Z104" s="145"/>
      <c r="AA104" s="145"/>
      <c r="AB104" s="145"/>
      <c r="AC104" s="145"/>
      <c r="AD104" s="145">
        <f t="shared" si="3"/>
        <v>298</v>
      </c>
    </row>
    <row r="105" spans="2:30" x14ac:dyDescent="0.35">
      <c r="B105" s="3" t="s">
        <v>182</v>
      </c>
      <c r="D105" s="141">
        <v>67850</v>
      </c>
      <c r="E105" s="141">
        <v>43593</v>
      </c>
      <c r="F105" s="141">
        <v>53120</v>
      </c>
      <c r="G105" s="141">
        <v>65365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229928</v>
      </c>
      <c r="R105" s="145">
        <v>174</v>
      </c>
      <c r="S105" s="145">
        <v>145</v>
      </c>
      <c r="T105" s="145">
        <v>155</v>
      </c>
      <c r="U105" s="145">
        <v>144</v>
      </c>
      <c r="V105" s="145"/>
      <c r="W105" s="145"/>
      <c r="X105" s="145"/>
      <c r="Y105" s="145"/>
      <c r="Z105" s="145"/>
      <c r="AA105" s="145"/>
      <c r="AB105" s="145"/>
      <c r="AC105" s="145"/>
      <c r="AD105" s="145">
        <f t="shared" si="3"/>
        <v>618</v>
      </c>
    </row>
    <row r="106" spans="2:30" x14ac:dyDescent="0.35">
      <c r="B106" s="3" t="s">
        <v>249</v>
      </c>
      <c r="D106" s="141">
        <v>1950</v>
      </c>
      <c r="E106" s="141">
        <v>882</v>
      </c>
      <c r="F106" s="141">
        <v>1600</v>
      </c>
      <c r="G106" s="141">
        <v>1120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5552</v>
      </c>
      <c r="R106" s="145">
        <v>4</v>
      </c>
      <c r="S106" s="145">
        <v>3</v>
      </c>
      <c r="T106" s="145">
        <v>2</v>
      </c>
      <c r="U106" s="145">
        <v>1</v>
      </c>
      <c r="V106" s="145"/>
      <c r="W106" s="145"/>
      <c r="X106" s="145"/>
      <c r="Y106" s="145"/>
      <c r="Z106" s="145"/>
      <c r="AA106" s="145"/>
      <c r="AB106" s="145"/>
      <c r="AC106" s="145"/>
      <c r="AD106" s="145">
        <f t="shared" si="3"/>
        <v>10</v>
      </c>
    </row>
    <row r="107" spans="2:30" x14ac:dyDescent="0.35">
      <c r="B107" s="3" t="s">
        <v>199</v>
      </c>
      <c r="D107" s="141">
        <v>6850</v>
      </c>
      <c r="E107" s="141">
        <v>12687</v>
      </c>
      <c r="F107" s="141">
        <v>6685</v>
      </c>
      <c r="G107" s="141">
        <v>11279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37501</v>
      </c>
      <c r="R107" s="145">
        <v>32</v>
      </c>
      <c r="S107" s="145">
        <v>26</v>
      </c>
      <c r="T107" s="145">
        <v>29</v>
      </c>
      <c r="U107" s="145">
        <v>27</v>
      </c>
      <c r="V107" s="145"/>
      <c r="W107" s="145"/>
      <c r="X107" s="145"/>
      <c r="Y107" s="145"/>
      <c r="Z107" s="145"/>
      <c r="AA107" s="145"/>
      <c r="AB107" s="145"/>
      <c r="AC107" s="145"/>
      <c r="AD107" s="145">
        <f t="shared" si="3"/>
        <v>114</v>
      </c>
    </row>
    <row r="108" spans="2:30" x14ac:dyDescent="0.35">
      <c r="B108" s="3" t="s">
        <v>174</v>
      </c>
      <c r="D108" s="141">
        <v>205169</v>
      </c>
      <c r="E108" s="141">
        <v>174883</v>
      </c>
      <c r="F108" s="141">
        <v>174594</v>
      </c>
      <c r="G108" s="141">
        <v>158333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712979</v>
      </c>
      <c r="R108" s="145">
        <v>1460</v>
      </c>
      <c r="S108" s="145">
        <v>1433</v>
      </c>
      <c r="T108" s="145">
        <v>1083</v>
      </c>
      <c r="U108" s="145">
        <v>1005</v>
      </c>
      <c r="V108" s="145"/>
      <c r="W108" s="145"/>
      <c r="X108" s="145"/>
      <c r="Y108" s="145"/>
      <c r="Z108" s="145"/>
      <c r="AA108" s="145"/>
      <c r="AB108" s="145"/>
      <c r="AC108" s="145"/>
      <c r="AD108" s="145">
        <f t="shared" si="3"/>
        <v>4981</v>
      </c>
    </row>
    <row r="109" spans="2:30" x14ac:dyDescent="0.35">
      <c r="B109" s="3" t="s">
        <v>193</v>
      </c>
      <c r="D109" s="141">
        <v>28907</v>
      </c>
      <c r="E109" s="141">
        <v>62996</v>
      </c>
      <c r="F109" s="141">
        <v>29957</v>
      </c>
      <c r="G109" s="141">
        <v>31587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153447</v>
      </c>
      <c r="R109" s="145">
        <v>40</v>
      </c>
      <c r="S109" s="145">
        <v>53</v>
      </c>
      <c r="T109" s="145">
        <v>51</v>
      </c>
      <c r="U109" s="145">
        <v>41</v>
      </c>
      <c r="V109" s="145"/>
      <c r="W109" s="145"/>
      <c r="X109" s="145"/>
      <c r="Y109" s="145"/>
      <c r="Z109" s="145"/>
      <c r="AA109" s="145"/>
      <c r="AB109" s="145"/>
      <c r="AC109" s="145"/>
      <c r="AD109" s="145">
        <f t="shared" si="3"/>
        <v>185</v>
      </c>
    </row>
    <row r="110" spans="2:30" x14ac:dyDescent="0.35">
      <c r="B110" s="3" t="s">
        <v>189</v>
      </c>
      <c r="D110" s="141">
        <v>33473</v>
      </c>
      <c r="E110" s="141">
        <v>54410</v>
      </c>
      <c r="F110" s="141">
        <v>39869</v>
      </c>
      <c r="G110" s="141">
        <v>36340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164092</v>
      </c>
      <c r="R110" s="145">
        <v>130</v>
      </c>
      <c r="S110" s="145">
        <v>141</v>
      </c>
      <c r="T110" s="145">
        <v>128</v>
      </c>
      <c r="U110" s="145">
        <v>122</v>
      </c>
      <c r="V110" s="145"/>
      <c r="W110" s="145"/>
      <c r="X110" s="145"/>
      <c r="Y110" s="145"/>
      <c r="Z110" s="145"/>
      <c r="AA110" s="145"/>
      <c r="AB110" s="145"/>
      <c r="AC110" s="145"/>
      <c r="AD110" s="145">
        <f t="shared" si="3"/>
        <v>521</v>
      </c>
    </row>
    <row r="111" spans="2:30" x14ac:dyDescent="0.35">
      <c r="B111" s="3" t="s">
        <v>187</v>
      </c>
      <c r="D111" s="141">
        <v>70087</v>
      </c>
      <c r="E111" s="141">
        <v>54174</v>
      </c>
      <c r="F111" s="141">
        <v>50797</v>
      </c>
      <c r="G111" s="141">
        <v>86759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261817</v>
      </c>
      <c r="R111" s="145">
        <v>109</v>
      </c>
      <c r="S111" s="145">
        <v>104</v>
      </c>
      <c r="T111" s="145">
        <v>122</v>
      </c>
      <c r="U111" s="145">
        <v>123</v>
      </c>
      <c r="V111" s="145"/>
      <c r="W111" s="145"/>
      <c r="X111" s="145"/>
      <c r="Y111" s="145"/>
      <c r="Z111" s="145"/>
      <c r="AA111" s="145"/>
      <c r="AB111" s="145"/>
      <c r="AC111" s="145"/>
      <c r="AD111" s="145">
        <f t="shared" si="3"/>
        <v>458</v>
      </c>
    </row>
    <row r="112" spans="2:30" x14ac:dyDescent="0.35">
      <c r="B112" s="3" t="s">
        <v>178</v>
      </c>
      <c r="D112" s="141">
        <v>166354</v>
      </c>
      <c r="E112" s="141">
        <v>142343</v>
      </c>
      <c r="F112" s="141">
        <v>117071</v>
      </c>
      <c r="G112" s="141">
        <v>93964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519732</v>
      </c>
      <c r="R112" s="145">
        <v>5823</v>
      </c>
      <c r="S112" s="145">
        <v>4743</v>
      </c>
      <c r="T112" s="145">
        <v>4045</v>
      </c>
      <c r="U112" s="145">
        <v>3358</v>
      </c>
      <c r="V112" s="145"/>
      <c r="W112" s="145"/>
      <c r="X112" s="145"/>
      <c r="Y112" s="145"/>
      <c r="Z112" s="145"/>
      <c r="AA112" s="145"/>
      <c r="AB112" s="145"/>
      <c r="AC112" s="145"/>
      <c r="AD112" s="145">
        <f t="shared" si="3"/>
        <v>17969</v>
      </c>
    </row>
    <row r="113" spans="2:30" x14ac:dyDescent="0.35">
      <c r="B113" s="3" t="s">
        <v>181</v>
      </c>
      <c r="D113" s="141">
        <v>265001</v>
      </c>
      <c r="E113" s="141">
        <v>259740</v>
      </c>
      <c r="F113" s="141">
        <v>266124</v>
      </c>
      <c r="G113" s="141">
        <v>190909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981774</v>
      </c>
      <c r="R113" s="145">
        <v>350</v>
      </c>
      <c r="S113" s="145">
        <v>310</v>
      </c>
      <c r="T113" s="145">
        <v>274</v>
      </c>
      <c r="U113" s="145">
        <v>257</v>
      </c>
      <c r="V113" s="145"/>
      <c r="W113" s="145"/>
      <c r="X113" s="145"/>
      <c r="Y113" s="145"/>
      <c r="Z113" s="145"/>
      <c r="AA113" s="145"/>
      <c r="AB113" s="145"/>
      <c r="AC113" s="145"/>
      <c r="AD113" s="145">
        <f t="shared" si="3"/>
        <v>1191</v>
      </c>
    </row>
    <row r="114" spans="2:30" x14ac:dyDescent="0.35">
      <c r="B114" s="3" t="s">
        <v>198</v>
      </c>
      <c r="D114" s="141">
        <v>99139</v>
      </c>
      <c r="E114" s="141">
        <v>74167</v>
      </c>
      <c r="F114" s="141">
        <v>70279</v>
      </c>
      <c r="G114" s="141">
        <v>58689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302274</v>
      </c>
      <c r="R114" s="145">
        <v>927</v>
      </c>
      <c r="S114" s="145">
        <v>931</v>
      </c>
      <c r="T114" s="145">
        <v>958</v>
      </c>
      <c r="U114" s="145">
        <v>883</v>
      </c>
      <c r="V114" s="145"/>
      <c r="W114" s="145"/>
      <c r="X114" s="145"/>
      <c r="Y114" s="145"/>
      <c r="Z114" s="145"/>
      <c r="AA114" s="145"/>
      <c r="AB114" s="145"/>
      <c r="AC114" s="145"/>
      <c r="AD114" s="145">
        <f t="shared" si="3"/>
        <v>3699</v>
      </c>
    </row>
    <row r="115" spans="2:30" x14ac:dyDescent="0.35">
      <c r="B115" s="3" t="s">
        <v>186</v>
      </c>
      <c r="D115" s="141">
        <v>73810</v>
      </c>
      <c r="E115" s="141">
        <v>48291</v>
      </c>
      <c r="F115" s="141">
        <v>41812</v>
      </c>
      <c r="G115" s="141">
        <v>25622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189535</v>
      </c>
      <c r="R115" s="145">
        <v>98</v>
      </c>
      <c r="S115" s="145">
        <v>129</v>
      </c>
      <c r="T115" s="145">
        <v>117</v>
      </c>
      <c r="U115" s="145">
        <v>97</v>
      </c>
      <c r="V115" s="145"/>
      <c r="W115" s="145"/>
      <c r="X115" s="145"/>
      <c r="Y115" s="145"/>
      <c r="Z115" s="145"/>
      <c r="AA115" s="145"/>
      <c r="AB115" s="145"/>
      <c r="AC115" s="145"/>
      <c r="AD115" s="145">
        <f t="shared" si="3"/>
        <v>441</v>
      </c>
    </row>
    <row r="116" spans="2:30" x14ac:dyDescent="0.35">
      <c r="B116" s="3" t="s">
        <v>190</v>
      </c>
      <c r="D116" s="141">
        <v>94323</v>
      </c>
      <c r="E116" s="141">
        <v>73712</v>
      </c>
      <c r="F116" s="141">
        <v>79955</v>
      </c>
      <c r="G116" s="141">
        <v>97535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345525</v>
      </c>
      <c r="R116" s="145">
        <v>1054</v>
      </c>
      <c r="S116" s="145">
        <v>791</v>
      </c>
      <c r="T116" s="145">
        <v>881</v>
      </c>
      <c r="U116" s="145">
        <v>954</v>
      </c>
      <c r="V116" s="145"/>
      <c r="W116" s="145"/>
      <c r="X116" s="145"/>
      <c r="Y116" s="145"/>
      <c r="Z116" s="145"/>
      <c r="AA116" s="145"/>
      <c r="AB116" s="145"/>
      <c r="AC116" s="145"/>
      <c r="AD116" s="145">
        <f t="shared" si="3"/>
        <v>3680</v>
      </c>
    </row>
    <row r="117" spans="2:30" x14ac:dyDescent="0.35">
      <c r="B117" s="3" t="s">
        <v>183</v>
      </c>
      <c r="D117" s="141">
        <v>51100</v>
      </c>
      <c r="E117" s="141">
        <v>36737</v>
      </c>
      <c r="F117" s="141">
        <v>38975</v>
      </c>
      <c r="G117" s="141">
        <v>22180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148992</v>
      </c>
      <c r="R117" s="145">
        <v>120</v>
      </c>
      <c r="S117" s="145">
        <v>116</v>
      </c>
      <c r="T117" s="145">
        <v>51</v>
      </c>
      <c r="U117" s="145">
        <v>43</v>
      </c>
      <c r="V117" s="145"/>
      <c r="W117" s="145"/>
      <c r="X117" s="145"/>
      <c r="Y117" s="145"/>
      <c r="Z117" s="145"/>
      <c r="AA117" s="145"/>
      <c r="AB117" s="145"/>
      <c r="AC117" s="145"/>
      <c r="AD117" s="145">
        <f t="shared" si="3"/>
        <v>330</v>
      </c>
    </row>
    <row r="118" spans="2:30" x14ac:dyDescent="0.35">
      <c r="B118" s="3" t="s">
        <v>192</v>
      </c>
      <c r="D118" s="141">
        <v>34681</v>
      </c>
      <c r="E118" s="141">
        <v>72665</v>
      </c>
      <c r="F118" s="141">
        <v>58301</v>
      </c>
      <c r="G118" s="141">
        <v>46343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211990</v>
      </c>
      <c r="R118" s="145">
        <v>268</v>
      </c>
      <c r="S118" s="145">
        <v>548</v>
      </c>
      <c r="T118" s="145">
        <v>459</v>
      </c>
      <c r="U118" s="145">
        <v>353</v>
      </c>
      <c r="V118" s="145"/>
      <c r="W118" s="145"/>
      <c r="X118" s="145"/>
      <c r="Y118" s="145"/>
      <c r="Z118" s="145"/>
      <c r="AA118" s="145"/>
      <c r="AB118" s="145"/>
      <c r="AC118" s="145"/>
      <c r="AD118" s="145">
        <f t="shared" si="3"/>
        <v>1628</v>
      </c>
    </row>
    <row r="119" spans="2:30" x14ac:dyDescent="0.35">
      <c r="B119" s="3" t="s">
        <v>188</v>
      </c>
      <c r="D119" s="141">
        <v>6254</v>
      </c>
      <c r="E119" s="141">
        <v>13091</v>
      </c>
      <c r="F119" s="141">
        <v>9099</v>
      </c>
      <c r="G119" s="141">
        <v>2221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30665</v>
      </c>
      <c r="R119" s="145">
        <v>19</v>
      </c>
      <c r="S119" s="145">
        <v>21</v>
      </c>
      <c r="T119" s="145">
        <v>22</v>
      </c>
      <c r="U119" s="145">
        <v>10</v>
      </c>
      <c r="V119" s="145"/>
      <c r="W119" s="145"/>
      <c r="X119" s="145"/>
      <c r="Y119" s="145"/>
      <c r="Z119" s="145"/>
      <c r="AA119" s="145"/>
      <c r="AB119" s="145"/>
      <c r="AC119" s="145"/>
      <c r="AD119" s="145">
        <f t="shared" si="3"/>
        <v>72</v>
      </c>
    </row>
    <row r="120" spans="2:30" x14ac:dyDescent="0.35">
      <c r="B120" s="3" t="s">
        <v>176</v>
      </c>
      <c r="D120" s="141">
        <v>273150</v>
      </c>
      <c r="E120" s="141">
        <v>256021</v>
      </c>
      <c r="F120" s="141">
        <v>282503</v>
      </c>
      <c r="G120" s="141">
        <v>274233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1085907</v>
      </c>
      <c r="R120" s="145">
        <v>27646</v>
      </c>
      <c r="S120" s="145">
        <v>26202</v>
      </c>
      <c r="T120" s="145">
        <v>28990</v>
      </c>
      <c r="U120" s="145">
        <v>27738</v>
      </c>
      <c r="V120" s="145"/>
      <c r="W120" s="145"/>
      <c r="X120" s="145"/>
      <c r="Y120" s="145"/>
      <c r="Z120" s="145"/>
      <c r="AA120" s="145"/>
      <c r="AB120" s="145"/>
      <c r="AC120" s="145"/>
      <c r="AD120" s="145">
        <f t="shared" si="3"/>
        <v>110576</v>
      </c>
    </row>
    <row r="121" spans="2:30" x14ac:dyDescent="0.35">
      <c r="B121" s="3" t="s">
        <v>231</v>
      </c>
      <c r="D121" s="141">
        <v>85032</v>
      </c>
      <c r="E121" s="141">
        <v>290536</v>
      </c>
      <c r="F121" s="141">
        <v>287041</v>
      </c>
      <c r="G121" s="141">
        <v>77658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740267</v>
      </c>
      <c r="R121" s="145">
        <v>578</v>
      </c>
      <c r="S121" s="145">
        <v>1213</v>
      </c>
      <c r="T121" s="145">
        <v>1164</v>
      </c>
      <c r="U121" s="145">
        <v>643</v>
      </c>
      <c r="V121" s="145"/>
      <c r="W121" s="145"/>
      <c r="X121" s="145"/>
      <c r="Y121" s="145"/>
      <c r="Z121" s="145"/>
      <c r="AA121" s="145"/>
      <c r="AB121" s="145"/>
      <c r="AC121" s="145"/>
      <c r="AD121" s="145">
        <f t="shared" si="3"/>
        <v>3598</v>
      </c>
    </row>
    <row r="122" spans="2:30" x14ac:dyDescent="0.35">
      <c r="B122" s="3" t="s">
        <v>195</v>
      </c>
      <c r="D122" s="141">
        <v>42233</v>
      </c>
      <c r="E122" s="141">
        <v>29730</v>
      </c>
      <c r="F122" s="141">
        <v>22498</v>
      </c>
      <c r="G122" s="141">
        <v>25090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119551</v>
      </c>
      <c r="R122" s="145">
        <v>647</v>
      </c>
      <c r="S122" s="145">
        <v>545</v>
      </c>
      <c r="T122" s="145">
        <v>451</v>
      </c>
      <c r="U122" s="145">
        <v>449</v>
      </c>
      <c r="V122" s="145"/>
      <c r="W122" s="145"/>
      <c r="X122" s="145"/>
      <c r="Y122" s="145"/>
      <c r="Z122" s="145"/>
      <c r="AA122" s="145"/>
      <c r="AB122" s="145"/>
      <c r="AC122" s="145"/>
      <c r="AD122" s="145">
        <f t="shared" si="3"/>
        <v>2092</v>
      </c>
    </row>
    <row r="123" spans="2:30" x14ac:dyDescent="0.35">
      <c r="B123" s="3" t="s">
        <v>229</v>
      </c>
      <c r="D123" s="141">
        <v>2194</v>
      </c>
      <c r="E123" s="141">
        <v>1737</v>
      </c>
      <c r="F123" s="141">
        <v>3367</v>
      </c>
      <c r="G123" s="141">
        <v>2143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9441</v>
      </c>
      <c r="R123" s="145">
        <v>10</v>
      </c>
      <c r="S123" s="145">
        <v>9</v>
      </c>
      <c r="T123" s="145">
        <v>9</v>
      </c>
      <c r="U123" s="145">
        <v>11</v>
      </c>
      <c r="V123" s="145"/>
      <c r="W123" s="145"/>
      <c r="X123" s="145"/>
      <c r="Y123" s="145"/>
      <c r="Z123" s="145"/>
      <c r="AA123" s="145"/>
      <c r="AB123" s="145"/>
      <c r="AC123" s="145"/>
      <c r="AD123" s="145">
        <f t="shared" si="3"/>
        <v>39</v>
      </c>
    </row>
    <row r="124" spans="2:30" x14ac:dyDescent="0.35">
      <c r="B124" s="3" t="s">
        <v>203</v>
      </c>
      <c r="D124" s="141">
        <v>342080</v>
      </c>
      <c r="E124" s="141">
        <v>328085</v>
      </c>
      <c r="F124" s="141">
        <v>336430</v>
      </c>
      <c r="G124" s="141">
        <v>304058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1310653</v>
      </c>
      <c r="R124" s="145">
        <v>33896</v>
      </c>
      <c r="S124" s="145">
        <v>32584</v>
      </c>
      <c r="T124" s="145">
        <v>33106</v>
      </c>
      <c r="U124" s="145">
        <v>27710</v>
      </c>
      <c r="V124" s="145"/>
      <c r="W124" s="145"/>
      <c r="X124" s="145"/>
      <c r="Y124" s="145"/>
      <c r="Z124" s="145"/>
      <c r="AA124" s="145"/>
      <c r="AB124" s="145"/>
      <c r="AC124" s="145"/>
      <c r="AD124" s="145">
        <f t="shared" si="3"/>
        <v>127296</v>
      </c>
    </row>
    <row r="125" spans="2:30" x14ac:dyDescent="0.35">
      <c r="B125" s="3" t="s">
        <v>209</v>
      </c>
      <c r="D125" s="141">
        <v>36077</v>
      </c>
      <c r="E125" s="141">
        <v>24141</v>
      </c>
      <c r="F125" s="141">
        <v>24022</v>
      </c>
      <c r="G125" s="141">
        <v>21381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105621</v>
      </c>
      <c r="R125" s="145">
        <v>112</v>
      </c>
      <c r="S125" s="145">
        <v>92</v>
      </c>
      <c r="T125" s="145">
        <v>80</v>
      </c>
      <c r="U125" s="145">
        <v>81</v>
      </c>
      <c r="V125" s="145"/>
      <c r="W125" s="145"/>
      <c r="X125" s="145"/>
      <c r="Y125" s="145"/>
      <c r="Z125" s="145"/>
      <c r="AA125" s="145"/>
      <c r="AB125" s="145"/>
      <c r="AC125" s="145"/>
      <c r="AD125" s="145">
        <f t="shared" si="3"/>
        <v>365</v>
      </c>
    </row>
    <row r="126" spans="2:30" x14ac:dyDescent="0.35">
      <c r="B126" s="3" t="s">
        <v>205</v>
      </c>
      <c r="D126" s="141">
        <v>50001</v>
      </c>
      <c r="E126" s="141">
        <v>24619</v>
      </c>
      <c r="F126" s="141">
        <v>23686</v>
      </c>
      <c r="G126" s="141">
        <v>23855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122161</v>
      </c>
      <c r="R126" s="145">
        <v>283</v>
      </c>
      <c r="S126" s="145">
        <v>225</v>
      </c>
      <c r="T126" s="145">
        <v>254</v>
      </c>
      <c r="U126" s="145">
        <v>233</v>
      </c>
      <c r="V126" s="145"/>
      <c r="W126" s="145"/>
      <c r="X126" s="145"/>
      <c r="Y126" s="145"/>
      <c r="Z126" s="145"/>
      <c r="AA126" s="145"/>
      <c r="AB126" s="145"/>
      <c r="AC126" s="145"/>
      <c r="AD126" s="145">
        <f t="shared" si="3"/>
        <v>995</v>
      </c>
    </row>
    <row r="127" spans="2:30" x14ac:dyDescent="0.35">
      <c r="B127" s="3" t="s">
        <v>200</v>
      </c>
      <c r="D127" s="141">
        <v>16250</v>
      </c>
      <c r="E127" s="141">
        <v>11639</v>
      </c>
      <c r="F127" s="141">
        <v>8182</v>
      </c>
      <c r="G127" s="141">
        <v>12521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48592</v>
      </c>
      <c r="R127" s="145">
        <v>44</v>
      </c>
      <c r="S127" s="145">
        <v>29</v>
      </c>
      <c r="T127" s="145">
        <v>30</v>
      </c>
      <c r="U127" s="145">
        <v>31</v>
      </c>
      <c r="V127" s="145"/>
      <c r="W127" s="145"/>
      <c r="X127" s="145"/>
      <c r="Y127" s="145"/>
      <c r="Z127" s="145"/>
      <c r="AA127" s="145"/>
      <c r="AB127" s="145"/>
      <c r="AC127" s="145"/>
      <c r="AD127" s="145">
        <f t="shared" si="3"/>
        <v>134</v>
      </c>
    </row>
    <row r="128" spans="2:30" x14ac:dyDescent="0.35">
      <c r="B128" s="3" t="s">
        <v>260</v>
      </c>
      <c r="D128" s="141">
        <v>148</v>
      </c>
      <c r="E128" s="141">
        <v>38929</v>
      </c>
      <c r="F128" s="141">
        <v>1835</v>
      </c>
      <c r="G128" s="141">
        <v>271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41183</v>
      </c>
      <c r="R128" s="145">
        <v>1</v>
      </c>
      <c r="S128" s="145">
        <v>1</v>
      </c>
      <c r="T128" s="145">
        <v>1</v>
      </c>
      <c r="U128" s="145">
        <v>1</v>
      </c>
      <c r="V128" s="145"/>
      <c r="W128" s="145"/>
      <c r="X128" s="145"/>
      <c r="Y128" s="145"/>
      <c r="Z128" s="145"/>
      <c r="AA128" s="145"/>
      <c r="AB128" s="145"/>
      <c r="AC128" s="145"/>
      <c r="AD128" s="145">
        <f t="shared" si="3"/>
        <v>4</v>
      </c>
    </row>
    <row r="129" spans="2:30" x14ac:dyDescent="0.35">
      <c r="B129" s="3" t="s">
        <v>206</v>
      </c>
      <c r="D129" s="141">
        <v>73870</v>
      </c>
      <c r="E129" s="141">
        <v>57723</v>
      </c>
      <c r="F129" s="141">
        <v>81401</v>
      </c>
      <c r="G129" s="141">
        <v>86209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299203</v>
      </c>
      <c r="R129" s="145">
        <v>493</v>
      </c>
      <c r="S129" s="145">
        <v>435</v>
      </c>
      <c r="T129" s="145">
        <v>496</v>
      </c>
      <c r="U129" s="145">
        <v>488</v>
      </c>
      <c r="V129" s="145"/>
      <c r="W129" s="145"/>
      <c r="X129" s="145"/>
      <c r="Y129" s="145"/>
      <c r="Z129" s="145"/>
      <c r="AA129" s="145"/>
      <c r="AB129" s="145"/>
      <c r="AC129" s="145"/>
      <c r="AD129" s="145">
        <f t="shared" si="3"/>
        <v>1912</v>
      </c>
    </row>
    <row r="130" spans="2:30" x14ac:dyDescent="0.35">
      <c r="B130" s="3" t="s">
        <v>208</v>
      </c>
      <c r="D130" s="141">
        <v>13412</v>
      </c>
      <c r="E130" s="141">
        <v>19776</v>
      </c>
      <c r="F130" s="141">
        <v>22272</v>
      </c>
      <c r="G130" s="141">
        <v>16835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72295</v>
      </c>
      <c r="R130" s="145">
        <v>86</v>
      </c>
      <c r="S130" s="145">
        <v>104</v>
      </c>
      <c r="T130" s="145">
        <v>107</v>
      </c>
      <c r="U130" s="145">
        <v>114</v>
      </c>
      <c r="V130" s="145"/>
      <c r="W130" s="145"/>
      <c r="X130" s="145"/>
      <c r="Y130" s="145"/>
      <c r="Z130" s="145"/>
      <c r="AA130" s="145"/>
      <c r="AB130" s="145"/>
      <c r="AC130" s="145"/>
      <c r="AD130" s="145">
        <f t="shared" si="3"/>
        <v>411</v>
      </c>
    </row>
    <row r="131" spans="2:30" x14ac:dyDescent="0.35">
      <c r="B131" s="3" t="s">
        <v>228</v>
      </c>
      <c r="D131" s="141">
        <v>3203</v>
      </c>
      <c r="E131" s="141">
        <v>3894</v>
      </c>
      <c r="F131" s="141">
        <v>3413</v>
      </c>
      <c r="G131" s="141">
        <v>2524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13034</v>
      </c>
      <c r="R131" s="145">
        <v>26</v>
      </c>
      <c r="S131" s="145">
        <v>33</v>
      </c>
      <c r="T131" s="145">
        <v>30</v>
      </c>
      <c r="U131" s="145">
        <v>32</v>
      </c>
      <c r="V131" s="145"/>
      <c r="W131" s="145"/>
      <c r="X131" s="145"/>
      <c r="Y131" s="145"/>
      <c r="Z131" s="145"/>
      <c r="AA131" s="145"/>
      <c r="AB131" s="145"/>
      <c r="AC131" s="145"/>
      <c r="AD131" s="145">
        <f t="shared" si="3"/>
        <v>121</v>
      </c>
    </row>
    <row r="132" spans="2:30" x14ac:dyDescent="0.35">
      <c r="B132" s="3" t="s">
        <v>215</v>
      </c>
      <c r="D132" s="141">
        <v>7335</v>
      </c>
      <c r="E132" s="141">
        <v>8560</v>
      </c>
      <c r="F132" s="141">
        <v>12439</v>
      </c>
      <c r="G132" s="141">
        <v>10594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ref="P132:P195" si="4">+SUM(D132:O132)</f>
        <v>38928</v>
      </c>
      <c r="R132" s="145">
        <v>40</v>
      </c>
      <c r="S132" s="145">
        <v>49</v>
      </c>
      <c r="T132" s="145">
        <v>73</v>
      </c>
      <c r="U132" s="145">
        <v>54</v>
      </c>
      <c r="V132" s="145"/>
      <c r="W132" s="145"/>
      <c r="X132" s="145"/>
      <c r="Y132" s="145"/>
      <c r="Z132" s="145"/>
      <c r="AA132" s="145"/>
      <c r="AB132" s="145"/>
      <c r="AC132" s="145"/>
      <c r="AD132" s="145">
        <f t="shared" ref="AD132:AD195" si="5">+SUM(R132:AC132)</f>
        <v>216</v>
      </c>
    </row>
    <row r="133" spans="2:30" x14ac:dyDescent="0.35">
      <c r="B133" s="3" t="s">
        <v>204</v>
      </c>
      <c r="D133" s="141">
        <v>376746</v>
      </c>
      <c r="E133" s="141">
        <v>262917</v>
      </c>
      <c r="F133" s="141">
        <v>280762</v>
      </c>
      <c r="G133" s="141">
        <v>516176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si="4"/>
        <v>1436601</v>
      </c>
      <c r="R133" s="145">
        <v>7572</v>
      </c>
      <c r="S133" s="145">
        <v>5623</v>
      </c>
      <c r="T133" s="145">
        <v>5670</v>
      </c>
      <c r="U133" s="145">
        <v>8150</v>
      </c>
      <c r="V133" s="145"/>
      <c r="W133" s="145"/>
      <c r="X133" s="145"/>
      <c r="Y133" s="145"/>
      <c r="Z133" s="145"/>
      <c r="AA133" s="145"/>
      <c r="AB133" s="145"/>
      <c r="AC133" s="145"/>
      <c r="AD133" s="145">
        <f t="shared" si="5"/>
        <v>27015</v>
      </c>
    </row>
    <row r="134" spans="2:30" x14ac:dyDescent="0.35">
      <c r="B134" s="3" t="s">
        <v>180</v>
      </c>
      <c r="D134" s="141">
        <v>1140423</v>
      </c>
      <c r="E134" s="141">
        <v>924402</v>
      </c>
      <c r="F134" s="141">
        <v>1206377</v>
      </c>
      <c r="G134" s="141">
        <v>946970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4218172</v>
      </c>
      <c r="R134" s="145">
        <v>1493</v>
      </c>
      <c r="S134" s="145">
        <v>1400</v>
      </c>
      <c r="T134" s="145">
        <v>1636</v>
      </c>
      <c r="U134" s="145">
        <v>1362</v>
      </c>
      <c r="V134" s="145"/>
      <c r="W134" s="145"/>
      <c r="X134" s="145"/>
      <c r="Y134" s="145"/>
      <c r="Z134" s="145"/>
      <c r="AA134" s="145"/>
      <c r="AB134" s="145"/>
      <c r="AC134" s="145"/>
      <c r="AD134" s="145">
        <f t="shared" si="5"/>
        <v>5891</v>
      </c>
    </row>
    <row r="135" spans="2:30" x14ac:dyDescent="0.35">
      <c r="B135" s="3" t="s">
        <v>226</v>
      </c>
      <c r="D135" s="141">
        <v>4377</v>
      </c>
      <c r="E135" s="141">
        <v>8625</v>
      </c>
      <c r="F135" s="141">
        <v>9277</v>
      </c>
      <c r="G135" s="141">
        <v>24295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46574</v>
      </c>
      <c r="R135" s="145">
        <v>15</v>
      </c>
      <c r="S135" s="145">
        <v>30</v>
      </c>
      <c r="T135" s="145">
        <v>20</v>
      </c>
      <c r="U135" s="145">
        <v>42</v>
      </c>
      <c r="V135" s="145"/>
      <c r="W135" s="145"/>
      <c r="X135" s="145"/>
      <c r="Y135" s="145"/>
      <c r="Z135" s="145"/>
      <c r="AA135" s="145"/>
      <c r="AB135" s="145"/>
      <c r="AC135" s="145"/>
      <c r="AD135" s="145">
        <f t="shared" si="5"/>
        <v>107</v>
      </c>
    </row>
    <row r="136" spans="2:30" x14ac:dyDescent="0.35">
      <c r="B136" s="3" t="s">
        <v>240</v>
      </c>
      <c r="D136" s="141">
        <v>31762</v>
      </c>
      <c r="E136" s="141">
        <v>24751</v>
      </c>
      <c r="F136" s="141">
        <v>33977</v>
      </c>
      <c r="G136" s="141">
        <v>30462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120952</v>
      </c>
      <c r="R136" s="145">
        <v>508</v>
      </c>
      <c r="S136" s="145">
        <v>409</v>
      </c>
      <c r="T136" s="145">
        <v>462</v>
      </c>
      <c r="U136" s="145">
        <v>450</v>
      </c>
      <c r="V136" s="145"/>
      <c r="W136" s="145"/>
      <c r="X136" s="145"/>
      <c r="Y136" s="145"/>
      <c r="Z136" s="145"/>
      <c r="AA136" s="145"/>
      <c r="AB136" s="145"/>
      <c r="AC136" s="145"/>
      <c r="AD136" s="145">
        <f t="shared" si="5"/>
        <v>1829</v>
      </c>
    </row>
    <row r="137" spans="2:30" x14ac:dyDescent="0.35">
      <c r="B137" s="3" t="s">
        <v>207</v>
      </c>
      <c r="D137" s="141">
        <v>15338</v>
      </c>
      <c r="E137" s="141">
        <v>8484</v>
      </c>
      <c r="F137" s="141">
        <v>23400</v>
      </c>
      <c r="G137" s="141">
        <v>21470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68692</v>
      </c>
      <c r="R137" s="145">
        <v>25</v>
      </c>
      <c r="S137" s="145">
        <v>12</v>
      </c>
      <c r="T137" s="145">
        <v>25</v>
      </c>
      <c r="U137" s="145">
        <v>34</v>
      </c>
      <c r="V137" s="145"/>
      <c r="W137" s="145"/>
      <c r="X137" s="145"/>
      <c r="Y137" s="145"/>
      <c r="Z137" s="145"/>
      <c r="AA137" s="145"/>
      <c r="AB137" s="145"/>
      <c r="AC137" s="145"/>
      <c r="AD137" s="145">
        <f t="shared" si="5"/>
        <v>96</v>
      </c>
    </row>
    <row r="138" spans="2:30" x14ac:dyDescent="0.35">
      <c r="B138" s="3" t="s">
        <v>202</v>
      </c>
      <c r="D138" s="141">
        <v>23201</v>
      </c>
      <c r="E138" s="141">
        <v>23119</v>
      </c>
      <c r="F138" s="141">
        <v>27310</v>
      </c>
      <c r="G138" s="141">
        <v>40644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114274</v>
      </c>
      <c r="R138" s="145">
        <v>97</v>
      </c>
      <c r="S138" s="145">
        <v>95</v>
      </c>
      <c r="T138" s="145">
        <v>117</v>
      </c>
      <c r="U138" s="145">
        <v>136</v>
      </c>
      <c r="V138" s="145"/>
      <c r="W138" s="145"/>
      <c r="X138" s="145"/>
      <c r="Y138" s="145"/>
      <c r="Z138" s="145"/>
      <c r="AA138" s="145"/>
      <c r="AB138" s="145"/>
      <c r="AC138" s="145"/>
      <c r="AD138" s="145">
        <f t="shared" si="5"/>
        <v>445</v>
      </c>
    </row>
    <row r="139" spans="2:30" x14ac:dyDescent="0.35">
      <c r="B139" s="3" t="s">
        <v>210</v>
      </c>
      <c r="D139" s="141">
        <v>3983</v>
      </c>
      <c r="E139" s="141">
        <v>5689</v>
      </c>
      <c r="F139" s="141">
        <v>7374</v>
      </c>
      <c r="G139" s="141">
        <v>4626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21672</v>
      </c>
      <c r="R139" s="145">
        <v>49</v>
      </c>
      <c r="S139" s="145">
        <v>47</v>
      </c>
      <c r="T139" s="145">
        <v>46</v>
      </c>
      <c r="U139" s="145">
        <v>48</v>
      </c>
      <c r="V139" s="145"/>
      <c r="W139" s="145"/>
      <c r="X139" s="145"/>
      <c r="Y139" s="145"/>
      <c r="Z139" s="145"/>
      <c r="AA139" s="145"/>
      <c r="AB139" s="145"/>
      <c r="AC139" s="145"/>
      <c r="AD139" s="145">
        <f t="shared" si="5"/>
        <v>190</v>
      </c>
    </row>
    <row r="140" spans="2:30" x14ac:dyDescent="0.35">
      <c r="B140" s="3" t="s">
        <v>213</v>
      </c>
      <c r="D140" s="141">
        <v>8959</v>
      </c>
      <c r="E140" s="141">
        <v>3998</v>
      </c>
      <c r="F140" s="141">
        <v>16805</v>
      </c>
      <c r="G140" s="141">
        <v>12066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41828</v>
      </c>
      <c r="R140" s="145">
        <v>15</v>
      </c>
      <c r="S140" s="145">
        <v>11</v>
      </c>
      <c r="T140" s="145">
        <v>42</v>
      </c>
      <c r="U140" s="145">
        <v>26</v>
      </c>
      <c r="V140" s="145"/>
      <c r="W140" s="145"/>
      <c r="X140" s="145"/>
      <c r="Y140" s="145"/>
      <c r="Z140" s="145"/>
      <c r="AA140" s="145"/>
      <c r="AB140" s="145"/>
      <c r="AC140" s="145"/>
      <c r="AD140" s="145">
        <f t="shared" si="5"/>
        <v>94</v>
      </c>
    </row>
    <row r="141" spans="2:30" x14ac:dyDescent="0.35">
      <c r="B141" s="3" t="s">
        <v>261</v>
      </c>
      <c r="D141" s="141">
        <v>1510</v>
      </c>
      <c r="E141" s="141">
        <v>847</v>
      </c>
      <c r="F141" s="141">
        <v>944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3301</v>
      </c>
      <c r="R141" s="145">
        <v>5</v>
      </c>
      <c r="S141" s="145">
        <v>1</v>
      </c>
      <c r="T141" s="145">
        <v>3</v>
      </c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>
        <f t="shared" si="5"/>
        <v>9</v>
      </c>
    </row>
    <row r="142" spans="2:30" x14ac:dyDescent="0.35">
      <c r="B142" s="3" t="s">
        <v>230</v>
      </c>
      <c r="D142" s="141">
        <v>20173</v>
      </c>
      <c r="E142" s="141">
        <v>19999</v>
      </c>
      <c r="F142" s="141">
        <v>18154</v>
      </c>
      <c r="G142" s="141">
        <v>21895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80221</v>
      </c>
      <c r="R142" s="145">
        <v>32</v>
      </c>
      <c r="S142" s="145">
        <v>50</v>
      </c>
      <c r="T142" s="145">
        <v>44</v>
      </c>
      <c r="U142" s="145">
        <v>45</v>
      </c>
      <c r="V142" s="145"/>
      <c r="W142" s="145"/>
      <c r="X142" s="145"/>
      <c r="Y142" s="145"/>
      <c r="Z142" s="145"/>
      <c r="AA142" s="145"/>
      <c r="AB142" s="145"/>
      <c r="AC142" s="145"/>
      <c r="AD142" s="145">
        <f t="shared" si="5"/>
        <v>171</v>
      </c>
    </row>
    <row r="143" spans="2:30" x14ac:dyDescent="0.35">
      <c r="B143" s="3" t="s">
        <v>245</v>
      </c>
      <c r="D143" s="141">
        <v>727</v>
      </c>
      <c r="E143" s="141">
        <v>285</v>
      </c>
      <c r="F143" s="141">
        <v>245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1257</v>
      </c>
      <c r="R143" s="145">
        <v>9</v>
      </c>
      <c r="S143" s="145">
        <v>3</v>
      </c>
      <c r="T143" s="145">
        <v>3</v>
      </c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>
        <f t="shared" si="5"/>
        <v>15</v>
      </c>
    </row>
    <row r="144" spans="2:30" x14ac:dyDescent="0.35">
      <c r="B144" s="3" t="s">
        <v>222</v>
      </c>
      <c r="D144" s="141">
        <v>26380</v>
      </c>
      <c r="E144" s="141">
        <v>21843</v>
      </c>
      <c r="F144" s="141">
        <v>24947</v>
      </c>
      <c r="G144" s="141">
        <v>25149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98319</v>
      </c>
      <c r="R144" s="145">
        <v>18</v>
      </c>
      <c r="S144" s="145">
        <v>17</v>
      </c>
      <c r="T144" s="145">
        <v>22</v>
      </c>
      <c r="U144" s="145">
        <v>17</v>
      </c>
      <c r="V144" s="145"/>
      <c r="W144" s="145"/>
      <c r="X144" s="145"/>
      <c r="Y144" s="145"/>
      <c r="Z144" s="145"/>
      <c r="AA144" s="145"/>
      <c r="AB144" s="145"/>
      <c r="AC144" s="145"/>
      <c r="AD144" s="145">
        <f t="shared" si="5"/>
        <v>74</v>
      </c>
    </row>
    <row r="145" spans="2:30" x14ac:dyDescent="0.35">
      <c r="B145" s="3" t="s">
        <v>265</v>
      </c>
      <c r="D145" s="141">
        <v>3798</v>
      </c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3798</v>
      </c>
      <c r="R145" s="145">
        <v>6</v>
      </c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>
        <f t="shared" si="5"/>
        <v>6</v>
      </c>
    </row>
    <row r="146" spans="2:30" x14ac:dyDescent="0.35">
      <c r="B146" s="3" t="s">
        <v>211</v>
      </c>
      <c r="D146" s="141">
        <v>25169</v>
      </c>
      <c r="E146" s="141">
        <v>13405</v>
      </c>
      <c r="F146" s="141">
        <v>9035</v>
      </c>
      <c r="G146" s="141">
        <v>16444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64053</v>
      </c>
      <c r="R146" s="145">
        <v>25</v>
      </c>
      <c r="S146" s="145">
        <v>21</v>
      </c>
      <c r="T146" s="145">
        <v>21</v>
      </c>
      <c r="U146" s="145">
        <v>36</v>
      </c>
      <c r="V146" s="145"/>
      <c r="W146" s="145"/>
      <c r="X146" s="145"/>
      <c r="Y146" s="145"/>
      <c r="Z146" s="145"/>
      <c r="AA146" s="145"/>
      <c r="AB146" s="145"/>
      <c r="AC146" s="145"/>
      <c r="AD146" s="145">
        <f t="shared" si="5"/>
        <v>103</v>
      </c>
    </row>
    <row r="147" spans="2:30" x14ac:dyDescent="0.35">
      <c r="B147" s="3" t="s">
        <v>223</v>
      </c>
      <c r="D147" s="141">
        <v>9131</v>
      </c>
      <c r="E147" s="141">
        <v>5870</v>
      </c>
      <c r="F147" s="141">
        <v>8358</v>
      </c>
      <c r="G147" s="141">
        <v>5248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28607</v>
      </c>
      <c r="R147" s="145">
        <v>45</v>
      </c>
      <c r="S147" s="145">
        <v>33</v>
      </c>
      <c r="T147" s="145">
        <v>36</v>
      </c>
      <c r="U147" s="145">
        <v>28</v>
      </c>
      <c r="V147" s="145"/>
      <c r="W147" s="145"/>
      <c r="X147" s="145"/>
      <c r="Y147" s="145"/>
      <c r="Z147" s="145"/>
      <c r="AA147" s="145"/>
      <c r="AB147" s="145"/>
      <c r="AC147" s="145"/>
      <c r="AD147" s="145">
        <f t="shared" si="5"/>
        <v>142</v>
      </c>
    </row>
    <row r="148" spans="2:30" x14ac:dyDescent="0.35">
      <c r="B148" s="3" t="s">
        <v>214</v>
      </c>
      <c r="D148" s="141">
        <v>4615</v>
      </c>
      <c r="E148" s="141">
        <v>2296</v>
      </c>
      <c r="F148" s="141">
        <v>16936</v>
      </c>
      <c r="G148" s="141">
        <v>2462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26309</v>
      </c>
      <c r="R148" s="145">
        <v>5</v>
      </c>
      <c r="S148" s="145">
        <v>2</v>
      </c>
      <c r="T148" s="145">
        <v>5</v>
      </c>
      <c r="U148" s="145">
        <v>5</v>
      </c>
      <c r="V148" s="145"/>
      <c r="W148" s="145"/>
      <c r="X148" s="145"/>
      <c r="Y148" s="145"/>
      <c r="Z148" s="145"/>
      <c r="AA148" s="145"/>
      <c r="AB148" s="145"/>
      <c r="AC148" s="145"/>
      <c r="AD148" s="145">
        <f t="shared" si="5"/>
        <v>17</v>
      </c>
    </row>
    <row r="149" spans="2:30" x14ac:dyDescent="0.35">
      <c r="B149" s="3" t="s">
        <v>219</v>
      </c>
      <c r="D149" s="141">
        <v>16336</v>
      </c>
      <c r="E149" s="141">
        <v>17514</v>
      </c>
      <c r="F149" s="141">
        <v>11975</v>
      </c>
      <c r="G149" s="141">
        <v>8286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54111</v>
      </c>
      <c r="R149" s="145">
        <v>180</v>
      </c>
      <c r="S149" s="145">
        <v>172</v>
      </c>
      <c r="T149" s="145">
        <v>125</v>
      </c>
      <c r="U149" s="145">
        <v>89</v>
      </c>
      <c r="V149" s="145"/>
      <c r="W149" s="145"/>
      <c r="X149" s="145"/>
      <c r="Y149" s="145"/>
      <c r="Z149" s="145"/>
      <c r="AA149" s="145"/>
      <c r="AB149" s="145"/>
      <c r="AC149" s="145"/>
      <c r="AD149" s="145">
        <f t="shared" si="5"/>
        <v>566</v>
      </c>
    </row>
    <row r="150" spans="2:30" x14ac:dyDescent="0.35">
      <c r="B150" s="3" t="s">
        <v>225</v>
      </c>
      <c r="D150" s="141">
        <v>3681</v>
      </c>
      <c r="E150" s="141">
        <v>5665</v>
      </c>
      <c r="F150" s="141">
        <v>5102</v>
      </c>
      <c r="G150" s="141">
        <v>13381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27829</v>
      </c>
      <c r="R150" s="145">
        <v>20</v>
      </c>
      <c r="S150" s="145">
        <v>21</v>
      </c>
      <c r="T150" s="145">
        <v>24</v>
      </c>
      <c r="U150" s="145">
        <v>32</v>
      </c>
      <c r="V150" s="145"/>
      <c r="W150" s="145"/>
      <c r="X150" s="145"/>
      <c r="Y150" s="145"/>
      <c r="Z150" s="145"/>
      <c r="AA150" s="145"/>
      <c r="AB150" s="145"/>
      <c r="AC150" s="145"/>
      <c r="AD150" s="145">
        <f t="shared" si="5"/>
        <v>97</v>
      </c>
    </row>
    <row r="151" spans="2:30" x14ac:dyDescent="0.35">
      <c r="B151" s="3" t="s">
        <v>238</v>
      </c>
      <c r="D151" s="141">
        <v>164448</v>
      </c>
      <c r="E151" s="141">
        <v>137807</v>
      </c>
      <c r="F151" s="141">
        <v>140224</v>
      </c>
      <c r="G151" s="141">
        <v>150225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592704</v>
      </c>
      <c r="R151" s="145">
        <v>337</v>
      </c>
      <c r="S151" s="145">
        <v>338</v>
      </c>
      <c r="T151" s="145">
        <v>511</v>
      </c>
      <c r="U151" s="145">
        <v>448</v>
      </c>
      <c r="V151" s="145"/>
      <c r="W151" s="145"/>
      <c r="X151" s="145"/>
      <c r="Y151" s="145"/>
      <c r="Z151" s="145"/>
      <c r="AA151" s="145"/>
      <c r="AB151" s="145"/>
      <c r="AC151" s="145"/>
      <c r="AD151" s="145">
        <f t="shared" si="5"/>
        <v>1634</v>
      </c>
    </row>
    <row r="152" spans="2:30" x14ac:dyDescent="0.35">
      <c r="B152" s="3" t="s">
        <v>217</v>
      </c>
      <c r="D152" s="141">
        <v>1235</v>
      </c>
      <c r="E152" s="141">
        <v>2304</v>
      </c>
      <c r="F152" s="141">
        <v>2040</v>
      </c>
      <c r="G152" s="141">
        <v>6439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12018</v>
      </c>
      <c r="R152" s="145">
        <v>9</v>
      </c>
      <c r="S152" s="145">
        <v>9</v>
      </c>
      <c r="T152" s="145">
        <v>14</v>
      </c>
      <c r="U152" s="145">
        <v>12</v>
      </c>
      <c r="V152" s="145"/>
      <c r="W152" s="145"/>
      <c r="X152" s="145"/>
      <c r="Y152" s="145"/>
      <c r="Z152" s="145"/>
      <c r="AA152" s="145"/>
      <c r="AB152" s="145"/>
      <c r="AC152" s="145"/>
      <c r="AD152" s="145">
        <f t="shared" si="5"/>
        <v>44</v>
      </c>
    </row>
    <row r="153" spans="2:30" x14ac:dyDescent="0.35">
      <c r="B153" s="3" t="s">
        <v>218</v>
      </c>
      <c r="D153" s="141">
        <v>5215</v>
      </c>
      <c r="E153" s="141">
        <v>10763</v>
      </c>
      <c r="F153" s="141">
        <v>6909</v>
      </c>
      <c r="G153" s="141">
        <v>10818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33705</v>
      </c>
      <c r="R153" s="145">
        <v>5</v>
      </c>
      <c r="S153" s="145">
        <v>6</v>
      </c>
      <c r="T153" s="145">
        <v>13</v>
      </c>
      <c r="U153" s="145">
        <v>11</v>
      </c>
      <c r="V153" s="145"/>
      <c r="W153" s="145"/>
      <c r="X153" s="145"/>
      <c r="Y153" s="145"/>
      <c r="Z153" s="145"/>
      <c r="AA153" s="145"/>
      <c r="AB153" s="145"/>
      <c r="AC153" s="145"/>
      <c r="AD153" s="145">
        <f t="shared" si="5"/>
        <v>35</v>
      </c>
    </row>
    <row r="154" spans="2:30" x14ac:dyDescent="0.35">
      <c r="B154" s="3" t="s">
        <v>234</v>
      </c>
      <c r="D154" s="141">
        <v>1526</v>
      </c>
      <c r="E154" s="141">
        <v>1280</v>
      </c>
      <c r="F154" s="141">
        <v>2541</v>
      </c>
      <c r="G154" s="141">
        <v>1345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6692</v>
      </c>
      <c r="R154" s="145">
        <v>10</v>
      </c>
      <c r="S154" s="145">
        <v>4</v>
      </c>
      <c r="T154" s="145">
        <v>4</v>
      </c>
      <c r="U154" s="145">
        <v>6</v>
      </c>
      <c r="V154" s="145"/>
      <c r="W154" s="145"/>
      <c r="X154" s="145"/>
      <c r="Y154" s="145"/>
      <c r="Z154" s="145"/>
      <c r="AA154" s="145"/>
      <c r="AB154" s="145"/>
      <c r="AC154" s="145"/>
      <c r="AD154" s="145">
        <f t="shared" si="5"/>
        <v>24</v>
      </c>
    </row>
    <row r="155" spans="2:30" x14ac:dyDescent="0.35">
      <c r="B155" s="3" t="s">
        <v>227</v>
      </c>
      <c r="D155" s="141">
        <v>1166</v>
      </c>
      <c r="E155" s="141">
        <v>2121</v>
      </c>
      <c r="F155" s="141">
        <v>5461</v>
      </c>
      <c r="G155" s="141">
        <v>9246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17994</v>
      </c>
      <c r="R155" s="145">
        <v>13</v>
      </c>
      <c r="S155" s="145">
        <v>24</v>
      </c>
      <c r="T155" s="145">
        <v>19</v>
      </c>
      <c r="U155" s="145">
        <v>22</v>
      </c>
      <c r="V155" s="145"/>
      <c r="W155" s="145"/>
      <c r="X155" s="145"/>
      <c r="Y155" s="145"/>
      <c r="Z155" s="145"/>
      <c r="AA155" s="145"/>
      <c r="AB155" s="145"/>
      <c r="AC155" s="145"/>
      <c r="AD155" s="145">
        <f t="shared" si="5"/>
        <v>78</v>
      </c>
    </row>
    <row r="156" spans="2:30" x14ac:dyDescent="0.35">
      <c r="B156" s="3" t="s">
        <v>232</v>
      </c>
      <c r="D156" s="141">
        <v>19133</v>
      </c>
      <c r="E156" s="141">
        <v>15614</v>
      </c>
      <c r="F156" s="141">
        <v>10343</v>
      </c>
      <c r="G156" s="141">
        <v>7371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52461</v>
      </c>
      <c r="R156" s="145">
        <v>55</v>
      </c>
      <c r="S156" s="145">
        <v>52</v>
      </c>
      <c r="T156" s="145">
        <v>45</v>
      </c>
      <c r="U156" s="145">
        <v>32</v>
      </c>
      <c r="V156" s="145"/>
      <c r="W156" s="145"/>
      <c r="X156" s="145"/>
      <c r="Y156" s="145"/>
      <c r="Z156" s="145"/>
      <c r="AA156" s="145"/>
      <c r="AB156" s="145"/>
      <c r="AC156" s="145"/>
      <c r="AD156" s="145">
        <f t="shared" si="5"/>
        <v>184</v>
      </c>
    </row>
    <row r="157" spans="2:30" x14ac:dyDescent="0.35">
      <c r="B157" s="3" t="s">
        <v>224</v>
      </c>
      <c r="D157" s="141">
        <v>2302</v>
      </c>
      <c r="E157" s="141">
        <v>10764</v>
      </c>
      <c r="F157" s="141">
        <v>1430</v>
      </c>
      <c r="G157" s="141">
        <v>6230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20726</v>
      </c>
      <c r="R157" s="145">
        <v>14</v>
      </c>
      <c r="S157" s="145">
        <v>13</v>
      </c>
      <c r="T157" s="145">
        <v>6</v>
      </c>
      <c r="U157" s="145">
        <v>7</v>
      </c>
      <c r="V157" s="145"/>
      <c r="W157" s="145"/>
      <c r="X157" s="145"/>
      <c r="Y157" s="145"/>
      <c r="Z157" s="145"/>
      <c r="AA157" s="145"/>
      <c r="AB157" s="145"/>
      <c r="AC157" s="145"/>
      <c r="AD157" s="145">
        <f t="shared" si="5"/>
        <v>40</v>
      </c>
    </row>
    <row r="158" spans="2:30" x14ac:dyDescent="0.35">
      <c r="B158" s="3" t="s">
        <v>239</v>
      </c>
      <c r="D158" s="141">
        <v>9650</v>
      </c>
      <c r="E158" s="141">
        <v>7347</v>
      </c>
      <c r="F158" s="141">
        <v>15009</v>
      </c>
      <c r="G158" s="141">
        <v>5215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37221</v>
      </c>
      <c r="R158" s="145">
        <v>20</v>
      </c>
      <c r="S158" s="145">
        <v>17</v>
      </c>
      <c r="T158" s="145">
        <v>17</v>
      </c>
      <c r="U158" s="145">
        <v>12</v>
      </c>
      <c r="V158" s="145"/>
      <c r="W158" s="145"/>
      <c r="X158" s="145"/>
      <c r="Y158" s="145"/>
      <c r="Z158" s="145"/>
      <c r="AA158" s="145"/>
      <c r="AB158" s="145"/>
      <c r="AC158" s="145"/>
      <c r="AD158" s="145">
        <f t="shared" si="5"/>
        <v>66</v>
      </c>
    </row>
    <row r="159" spans="2:30" x14ac:dyDescent="0.35">
      <c r="B159" s="3" t="s">
        <v>292</v>
      </c>
      <c r="D159" s="141">
        <v>99</v>
      </c>
      <c r="E159" s="141"/>
      <c r="F159" s="141"/>
      <c r="G159" s="141">
        <v>25725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25824</v>
      </c>
      <c r="R159" s="145">
        <v>1</v>
      </c>
      <c r="S159" s="145"/>
      <c r="T159" s="145"/>
      <c r="U159" s="145">
        <v>1</v>
      </c>
      <c r="V159" s="145"/>
      <c r="W159" s="145"/>
      <c r="X159" s="145"/>
      <c r="Y159" s="145"/>
      <c r="Z159" s="145"/>
      <c r="AA159" s="145"/>
      <c r="AB159" s="145"/>
      <c r="AC159" s="145"/>
      <c r="AD159" s="145">
        <f t="shared" si="5"/>
        <v>2</v>
      </c>
    </row>
    <row r="160" spans="2:30" x14ac:dyDescent="0.35">
      <c r="B160" s="3" t="s">
        <v>220</v>
      </c>
      <c r="D160" s="141">
        <v>11953</v>
      </c>
      <c r="E160" s="141">
        <v>16378</v>
      </c>
      <c r="F160" s="141">
        <v>8418</v>
      </c>
      <c r="G160" s="141">
        <v>12956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49705</v>
      </c>
      <c r="R160" s="145">
        <v>122</v>
      </c>
      <c r="S160" s="145">
        <v>177</v>
      </c>
      <c r="T160" s="145">
        <v>101</v>
      </c>
      <c r="U160" s="145">
        <v>109</v>
      </c>
      <c r="V160" s="145"/>
      <c r="W160" s="145"/>
      <c r="X160" s="145"/>
      <c r="Y160" s="145"/>
      <c r="Z160" s="145"/>
      <c r="AA160" s="145"/>
      <c r="AB160" s="145"/>
      <c r="AC160" s="145"/>
      <c r="AD160" s="145">
        <f t="shared" si="5"/>
        <v>509</v>
      </c>
    </row>
    <row r="161" spans="2:30" x14ac:dyDescent="0.35">
      <c r="B161" s="3" t="s">
        <v>235</v>
      </c>
      <c r="D161" s="141">
        <v>1152</v>
      </c>
      <c r="E161" s="141"/>
      <c r="F161" s="141">
        <v>2146</v>
      </c>
      <c r="G161" s="141">
        <v>384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3682</v>
      </c>
      <c r="R161" s="145">
        <v>1</v>
      </c>
      <c r="S161" s="145"/>
      <c r="T161" s="145">
        <v>4</v>
      </c>
      <c r="U161" s="145">
        <v>4</v>
      </c>
      <c r="V161" s="145"/>
      <c r="W161" s="145"/>
      <c r="X161" s="145"/>
      <c r="Y161" s="145"/>
      <c r="Z161" s="145"/>
      <c r="AA161" s="145"/>
      <c r="AB161" s="145"/>
      <c r="AC161" s="145"/>
      <c r="AD161" s="145">
        <f t="shared" si="5"/>
        <v>9</v>
      </c>
    </row>
    <row r="162" spans="2:30" x14ac:dyDescent="0.35">
      <c r="B162" s="3" t="s">
        <v>246</v>
      </c>
      <c r="D162" s="141">
        <v>761</v>
      </c>
      <c r="E162" s="141">
        <v>155</v>
      </c>
      <c r="F162" s="141">
        <v>1537</v>
      </c>
      <c r="G162" s="141">
        <v>935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3388</v>
      </c>
      <c r="R162" s="145">
        <v>3</v>
      </c>
      <c r="S162" s="145">
        <v>2</v>
      </c>
      <c r="T162" s="145">
        <v>6</v>
      </c>
      <c r="U162" s="145">
        <v>6</v>
      </c>
      <c r="V162" s="145"/>
      <c r="W162" s="145"/>
      <c r="X162" s="145"/>
      <c r="Y162" s="145"/>
      <c r="Z162" s="145"/>
      <c r="AA162" s="145"/>
      <c r="AB162" s="145"/>
      <c r="AC162" s="145"/>
      <c r="AD162" s="145">
        <f t="shared" si="5"/>
        <v>17</v>
      </c>
    </row>
    <row r="163" spans="2:30" x14ac:dyDescent="0.35">
      <c r="B163" s="3" t="s">
        <v>236</v>
      </c>
      <c r="D163" s="141">
        <v>2065</v>
      </c>
      <c r="E163" s="141">
        <v>1763</v>
      </c>
      <c r="F163" s="141">
        <v>6345</v>
      </c>
      <c r="G163" s="141">
        <v>1972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12145</v>
      </c>
      <c r="R163" s="145">
        <v>15</v>
      </c>
      <c r="S163" s="145">
        <v>9</v>
      </c>
      <c r="T163" s="145">
        <v>26</v>
      </c>
      <c r="U163" s="145">
        <v>21</v>
      </c>
      <c r="V163" s="145"/>
      <c r="W163" s="145"/>
      <c r="X163" s="145"/>
      <c r="Y163" s="145"/>
      <c r="Z163" s="145"/>
      <c r="AA163" s="145"/>
      <c r="AB163" s="145"/>
      <c r="AC163" s="145"/>
      <c r="AD163" s="145">
        <f t="shared" si="5"/>
        <v>71</v>
      </c>
    </row>
    <row r="164" spans="2:30" x14ac:dyDescent="0.35">
      <c r="B164" s="3" t="s">
        <v>244</v>
      </c>
      <c r="D164" s="141">
        <v>277</v>
      </c>
      <c r="E164" s="141">
        <v>1956</v>
      </c>
      <c r="F164" s="141">
        <v>3873</v>
      </c>
      <c r="G164" s="141">
        <v>1630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7736</v>
      </c>
      <c r="R164" s="145">
        <v>3</v>
      </c>
      <c r="S164" s="145">
        <v>8</v>
      </c>
      <c r="T164" s="145">
        <v>10</v>
      </c>
      <c r="U164" s="145">
        <v>7</v>
      </c>
      <c r="V164" s="145"/>
      <c r="W164" s="145"/>
      <c r="X164" s="145"/>
      <c r="Y164" s="145"/>
      <c r="Z164" s="145"/>
      <c r="AA164" s="145"/>
      <c r="AB164" s="145"/>
      <c r="AC164" s="145"/>
      <c r="AD164" s="145">
        <f t="shared" si="5"/>
        <v>28</v>
      </c>
    </row>
    <row r="165" spans="2:30" x14ac:dyDescent="0.35">
      <c r="B165" s="3" t="s">
        <v>241</v>
      </c>
      <c r="D165" s="141">
        <v>2765</v>
      </c>
      <c r="E165" s="141">
        <v>950</v>
      </c>
      <c r="F165" s="141">
        <v>1445</v>
      </c>
      <c r="G165" s="141">
        <v>3264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8424</v>
      </c>
      <c r="R165" s="145">
        <v>6</v>
      </c>
      <c r="S165" s="145">
        <v>8</v>
      </c>
      <c r="T165" s="145">
        <v>6</v>
      </c>
      <c r="U165" s="145">
        <v>8</v>
      </c>
      <c r="V165" s="145"/>
      <c r="W165" s="145"/>
      <c r="X165" s="145"/>
      <c r="Y165" s="145"/>
      <c r="Z165" s="145"/>
      <c r="AA165" s="145"/>
      <c r="AB165" s="145"/>
      <c r="AC165" s="145"/>
      <c r="AD165" s="145">
        <f t="shared" si="5"/>
        <v>28</v>
      </c>
    </row>
    <row r="166" spans="2:30" x14ac:dyDescent="0.35">
      <c r="B166" s="3" t="s">
        <v>242</v>
      </c>
      <c r="D166" s="141">
        <v>3749</v>
      </c>
      <c r="E166" s="141">
        <v>405</v>
      </c>
      <c r="F166" s="141">
        <v>478</v>
      </c>
      <c r="G166" s="141">
        <v>955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5587</v>
      </c>
      <c r="R166" s="145">
        <v>9</v>
      </c>
      <c r="S166" s="145">
        <v>2</v>
      </c>
      <c r="T166" s="145">
        <v>10</v>
      </c>
      <c r="U166" s="145">
        <v>5</v>
      </c>
      <c r="V166" s="145"/>
      <c r="W166" s="145"/>
      <c r="X166" s="145"/>
      <c r="Y166" s="145"/>
      <c r="Z166" s="145"/>
      <c r="AA166" s="145"/>
      <c r="AB166" s="145"/>
      <c r="AC166" s="145"/>
      <c r="AD166" s="145">
        <f t="shared" si="5"/>
        <v>26</v>
      </c>
    </row>
    <row r="167" spans="2:30" x14ac:dyDescent="0.35">
      <c r="B167" s="3" t="s">
        <v>243</v>
      </c>
      <c r="D167" s="141"/>
      <c r="E167" s="141">
        <v>5512</v>
      </c>
      <c r="F167" s="141">
        <v>14134</v>
      </c>
      <c r="G167" s="141">
        <v>24329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43975</v>
      </c>
      <c r="R167" s="145"/>
      <c r="S167" s="145">
        <v>22</v>
      </c>
      <c r="T167" s="145">
        <v>54</v>
      </c>
      <c r="U167" s="145">
        <v>114</v>
      </c>
      <c r="V167" s="145"/>
      <c r="W167" s="145"/>
      <c r="X167" s="145"/>
      <c r="Y167" s="145"/>
      <c r="Z167" s="145"/>
      <c r="AA167" s="145"/>
      <c r="AB167" s="145"/>
      <c r="AC167" s="145"/>
      <c r="AD167" s="145">
        <f t="shared" si="5"/>
        <v>190</v>
      </c>
    </row>
    <row r="168" spans="2:30" x14ac:dyDescent="0.35">
      <c r="B168" s="3" t="s">
        <v>237</v>
      </c>
      <c r="D168" s="141">
        <v>26160</v>
      </c>
      <c r="E168" s="141">
        <v>24113</v>
      </c>
      <c r="F168" s="141">
        <v>37295</v>
      </c>
      <c r="G168" s="141">
        <v>45543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133111</v>
      </c>
      <c r="R168" s="145">
        <v>58</v>
      </c>
      <c r="S168" s="145">
        <v>58</v>
      </c>
      <c r="T168" s="145">
        <v>79</v>
      </c>
      <c r="U168" s="145">
        <v>70</v>
      </c>
      <c r="V168" s="145"/>
      <c r="W168" s="145"/>
      <c r="X168" s="145"/>
      <c r="Y168" s="145"/>
      <c r="Z168" s="145"/>
      <c r="AA168" s="145"/>
      <c r="AB168" s="145"/>
      <c r="AC168" s="145"/>
      <c r="AD168" s="145">
        <f t="shared" si="5"/>
        <v>265</v>
      </c>
    </row>
    <row r="169" spans="2:30" x14ac:dyDescent="0.35">
      <c r="B169" s="3" t="s">
        <v>251</v>
      </c>
      <c r="D169" s="141">
        <v>3639</v>
      </c>
      <c r="E169" s="141">
        <v>98</v>
      </c>
      <c r="F169" s="141">
        <v>47133</v>
      </c>
      <c r="G169" s="141">
        <v>130853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181723</v>
      </c>
      <c r="R169" s="145">
        <v>2</v>
      </c>
      <c r="S169" s="145">
        <v>1</v>
      </c>
      <c r="T169" s="145">
        <v>792</v>
      </c>
      <c r="U169" s="145">
        <v>1817</v>
      </c>
      <c r="V169" s="145"/>
      <c r="W169" s="145"/>
      <c r="X169" s="145"/>
      <c r="Y169" s="145"/>
      <c r="Z169" s="145"/>
      <c r="AA169" s="145"/>
      <c r="AB169" s="145"/>
      <c r="AC169" s="145"/>
      <c r="AD169" s="145">
        <f t="shared" si="5"/>
        <v>2612</v>
      </c>
    </row>
    <row r="170" spans="2:30" x14ac:dyDescent="0.35">
      <c r="B170" s="3" t="s">
        <v>233</v>
      </c>
      <c r="D170" s="141">
        <v>116581</v>
      </c>
      <c r="E170" s="141">
        <v>39307</v>
      </c>
      <c r="F170" s="141">
        <v>54234</v>
      </c>
      <c r="G170" s="141">
        <v>66463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276585</v>
      </c>
      <c r="R170" s="145">
        <v>505</v>
      </c>
      <c r="S170" s="145">
        <v>341</v>
      </c>
      <c r="T170" s="145">
        <v>312</v>
      </c>
      <c r="U170" s="145">
        <v>544</v>
      </c>
      <c r="V170" s="145"/>
      <c r="W170" s="145"/>
      <c r="X170" s="145"/>
      <c r="Y170" s="145"/>
      <c r="Z170" s="145"/>
      <c r="AA170" s="145"/>
      <c r="AB170" s="145"/>
      <c r="AC170" s="145"/>
      <c r="AD170" s="145">
        <f t="shared" si="5"/>
        <v>1702</v>
      </c>
    </row>
    <row r="171" spans="2:30" x14ac:dyDescent="0.35">
      <c r="B171" s="3" t="s">
        <v>293</v>
      </c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0</v>
      </c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>
        <f t="shared" si="5"/>
        <v>0</v>
      </c>
    </row>
    <row r="172" spans="2:30" x14ac:dyDescent="0.35">
      <c r="B172" s="3" t="s">
        <v>255</v>
      </c>
      <c r="D172" s="141">
        <v>742</v>
      </c>
      <c r="E172" s="141">
        <v>5180</v>
      </c>
      <c r="F172" s="141">
        <v>3586</v>
      </c>
      <c r="G172" s="141">
        <v>5904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15412</v>
      </c>
      <c r="R172" s="145">
        <v>2</v>
      </c>
      <c r="S172" s="145">
        <v>8</v>
      </c>
      <c r="T172" s="145">
        <v>8</v>
      </c>
      <c r="U172" s="145">
        <v>14</v>
      </c>
      <c r="V172" s="145"/>
      <c r="W172" s="145"/>
      <c r="X172" s="145"/>
      <c r="Y172" s="145"/>
      <c r="Z172" s="145"/>
      <c r="AA172" s="145"/>
      <c r="AB172" s="145"/>
      <c r="AC172" s="145"/>
      <c r="AD172" s="145">
        <f t="shared" si="5"/>
        <v>32</v>
      </c>
    </row>
    <row r="173" spans="2:30" x14ac:dyDescent="0.35">
      <c r="B173" s="3" t="s">
        <v>248</v>
      </c>
      <c r="D173" s="141">
        <v>2268</v>
      </c>
      <c r="E173" s="141">
        <v>6911</v>
      </c>
      <c r="F173" s="141">
        <v>3690</v>
      </c>
      <c r="G173" s="141">
        <v>2486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15355</v>
      </c>
      <c r="R173" s="145">
        <v>3</v>
      </c>
      <c r="S173" s="145">
        <v>7</v>
      </c>
      <c r="T173" s="145">
        <v>4</v>
      </c>
      <c r="U173" s="145">
        <v>2</v>
      </c>
      <c r="V173" s="145"/>
      <c r="W173" s="145"/>
      <c r="X173" s="145"/>
      <c r="Y173" s="145"/>
      <c r="Z173" s="145"/>
      <c r="AA173" s="145"/>
      <c r="AB173" s="145"/>
      <c r="AC173" s="145"/>
      <c r="AD173" s="145">
        <f t="shared" si="5"/>
        <v>16</v>
      </c>
    </row>
    <row r="174" spans="2:30" x14ac:dyDescent="0.35">
      <c r="B174" s="3" t="s">
        <v>290</v>
      </c>
      <c r="D174" s="141"/>
      <c r="E174" s="141"/>
      <c r="F174" s="141">
        <v>330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330</v>
      </c>
      <c r="R174" s="145"/>
      <c r="S174" s="145"/>
      <c r="T174" s="145">
        <v>1</v>
      </c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>
        <f t="shared" si="5"/>
        <v>1</v>
      </c>
    </row>
    <row r="175" spans="2:30" x14ac:dyDescent="0.35">
      <c r="B175" s="3" t="s">
        <v>250</v>
      </c>
      <c r="D175" s="141">
        <v>278</v>
      </c>
      <c r="E175" s="141"/>
      <c r="F175" s="141">
        <v>147</v>
      </c>
      <c r="G175" s="141">
        <v>2109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2534</v>
      </c>
      <c r="R175" s="145">
        <v>2</v>
      </c>
      <c r="S175" s="145"/>
      <c r="T175" s="145">
        <v>1</v>
      </c>
      <c r="U175" s="145">
        <v>4</v>
      </c>
      <c r="V175" s="145"/>
      <c r="W175" s="145"/>
      <c r="X175" s="145"/>
      <c r="Y175" s="145"/>
      <c r="Z175" s="145"/>
      <c r="AA175" s="145"/>
      <c r="AB175" s="145"/>
      <c r="AC175" s="145"/>
      <c r="AD175" s="145">
        <f t="shared" si="5"/>
        <v>7</v>
      </c>
    </row>
    <row r="176" spans="2:30" x14ac:dyDescent="0.35">
      <c r="B176" s="3" t="s">
        <v>253</v>
      </c>
      <c r="D176" s="141">
        <v>250</v>
      </c>
      <c r="E176" s="141">
        <v>1855</v>
      </c>
      <c r="F176" s="141">
        <v>586</v>
      </c>
      <c r="G176" s="141">
        <v>1294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3985</v>
      </c>
      <c r="R176" s="145">
        <v>2</v>
      </c>
      <c r="S176" s="145">
        <v>4</v>
      </c>
      <c r="T176" s="145">
        <v>3</v>
      </c>
      <c r="U176" s="145">
        <v>6</v>
      </c>
      <c r="V176" s="145"/>
      <c r="W176" s="145"/>
      <c r="X176" s="145"/>
      <c r="Y176" s="145"/>
      <c r="Z176" s="145"/>
      <c r="AA176" s="145"/>
      <c r="AB176" s="145"/>
      <c r="AC176" s="145"/>
      <c r="AD176" s="145">
        <f t="shared" si="5"/>
        <v>15</v>
      </c>
    </row>
    <row r="177" spans="2:30" x14ac:dyDescent="0.35">
      <c r="B177" s="3" t="s">
        <v>247</v>
      </c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0</v>
      </c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>
        <f t="shared" si="5"/>
        <v>0</v>
      </c>
    </row>
    <row r="178" spans="2:30" x14ac:dyDescent="0.35">
      <c r="B178" s="3" t="s">
        <v>259</v>
      </c>
      <c r="D178" s="141">
        <v>4017</v>
      </c>
      <c r="E178" s="141"/>
      <c r="F178" s="141">
        <v>2717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6734</v>
      </c>
      <c r="R178" s="145">
        <v>6</v>
      </c>
      <c r="S178" s="145"/>
      <c r="T178" s="145">
        <v>3</v>
      </c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>
        <f t="shared" si="5"/>
        <v>9</v>
      </c>
    </row>
    <row r="179" spans="2:30" x14ac:dyDescent="0.35">
      <c r="B179" s="3" t="s">
        <v>294</v>
      </c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0</v>
      </c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>
        <f t="shared" si="5"/>
        <v>0</v>
      </c>
    </row>
    <row r="180" spans="2:30" x14ac:dyDescent="0.35">
      <c r="B180" s="3" t="s">
        <v>277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>
        <f t="shared" si="5"/>
        <v>0</v>
      </c>
    </row>
    <row r="181" spans="2:30" x14ac:dyDescent="0.35">
      <c r="B181" s="3" t="s">
        <v>264</v>
      </c>
      <c r="D181" s="141">
        <v>933</v>
      </c>
      <c r="E181" s="141">
        <v>1031</v>
      </c>
      <c r="F181" s="141">
        <v>392</v>
      </c>
      <c r="G181" s="141">
        <v>1055</v>
      </c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3411</v>
      </c>
      <c r="R181" s="145">
        <v>55</v>
      </c>
      <c r="S181" s="145">
        <v>40</v>
      </c>
      <c r="T181" s="145">
        <v>26</v>
      </c>
      <c r="U181" s="145">
        <v>65</v>
      </c>
      <c r="V181" s="145"/>
      <c r="W181" s="145"/>
      <c r="X181" s="145"/>
      <c r="Y181" s="145"/>
      <c r="Z181" s="145"/>
      <c r="AA181" s="145"/>
      <c r="AB181" s="145"/>
      <c r="AC181" s="145"/>
      <c r="AD181" s="145">
        <f t="shared" si="5"/>
        <v>186</v>
      </c>
    </row>
    <row r="182" spans="2:30" x14ac:dyDescent="0.35">
      <c r="B182" s="3" t="s">
        <v>298</v>
      </c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0</v>
      </c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>
        <f t="shared" si="5"/>
        <v>0</v>
      </c>
    </row>
    <row r="183" spans="2:30" x14ac:dyDescent="0.35">
      <c r="B183" s="3" t="s">
        <v>278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>
        <f t="shared" si="5"/>
        <v>0</v>
      </c>
    </row>
    <row r="184" spans="2:30" x14ac:dyDescent="0.35">
      <c r="B184" s="3" t="s">
        <v>275</v>
      </c>
      <c r="D184" s="141">
        <v>3664</v>
      </c>
      <c r="E184" s="141">
        <v>3322</v>
      </c>
      <c r="F184" s="141">
        <v>3178</v>
      </c>
      <c r="G184" s="141">
        <v>3803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13967</v>
      </c>
      <c r="R184" s="145">
        <v>55</v>
      </c>
      <c r="S184" s="145">
        <v>42</v>
      </c>
      <c r="T184" s="145">
        <v>51</v>
      </c>
      <c r="U184" s="145">
        <v>61</v>
      </c>
      <c r="V184" s="145"/>
      <c r="W184" s="145"/>
      <c r="X184" s="145"/>
      <c r="Y184" s="145"/>
      <c r="Z184" s="145"/>
      <c r="AA184" s="145"/>
      <c r="AB184" s="145"/>
      <c r="AC184" s="145"/>
      <c r="AD184" s="145">
        <f t="shared" si="5"/>
        <v>209</v>
      </c>
    </row>
    <row r="185" spans="2:30" x14ac:dyDescent="0.35">
      <c r="B185" s="3" t="s">
        <v>254</v>
      </c>
      <c r="D185" s="141">
        <v>202</v>
      </c>
      <c r="E185" s="141"/>
      <c r="F185" s="141">
        <v>266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468</v>
      </c>
      <c r="R185" s="145">
        <v>3</v>
      </c>
      <c r="S185" s="145"/>
      <c r="T185" s="145">
        <v>9</v>
      </c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>
        <f t="shared" si="5"/>
        <v>12</v>
      </c>
    </row>
    <row r="186" spans="2:30" x14ac:dyDescent="0.35">
      <c r="B186" s="3" t="s">
        <v>257</v>
      </c>
      <c r="D186" s="141">
        <v>77262</v>
      </c>
      <c r="E186" s="141"/>
      <c r="F186" s="141">
        <v>76681</v>
      </c>
      <c r="G186" s="141">
        <v>4058</v>
      </c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158001</v>
      </c>
      <c r="R186" s="145">
        <v>873</v>
      </c>
      <c r="S186" s="145"/>
      <c r="T186" s="145">
        <v>840</v>
      </c>
      <c r="U186" s="145">
        <v>3</v>
      </c>
      <c r="V186" s="145"/>
      <c r="W186" s="145"/>
      <c r="X186" s="145"/>
      <c r="Y186" s="145"/>
      <c r="Z186" s="145"/>
      <c r="AA186" s="145"/>
      <c r="AB186" s="145"/>
      <c r="AC186" s="145"/>
      <c r="AD186" s="145">
        <f t="shared" si="5"/>
        <v>1716</v>
      </c>
    </row>
    <row r="187" spans="2:30" x14ac:dyDescent="0.35">
      <c r="B187" s="3" t="s">
        <v>295</v>
      </c>
      <c r="D187" s="141">
        <v>175</v>
      </c>
      <c r="E187" s="141">
        <v>237</v>
      </c>
      <c r="F187" s="141">
        <v>326</v>
      </c>
      <c r="G187" s="141">
        <v>308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1046</v>
      </c>
      <c r="R187" s="145">
        <v>2</v>
      </c>
      <c r="S187" s="145">
        <v>3</v>
      </c>
      <c r="T187" s="145">
        <v>3</v>
      </c>
      <c r="U187" s="145">
        <v>4</v>
      </c>
      <c r="V187" s="145"/>
      <c r="W187" s="145"/>
      <c r="X187" s="145"/>
      <c r="Y187" s="145"/>
      <c r="Z187" s="145"/>
      <c r="AA187" s="145"/>
      <c r="AB187" s="145"/>
      <c r="AC187" s="145"/>
      <c r="AD187" s="145">
        <f t="shared" si="5"/>
        <v>12</v>
      </c>
    </row>
    <row r="188" spans="2:30" x14ac:dyDescent="0.35">
      <c r="B188" s="3" t="s">
        <v>191</v>
      </c>
      <c r="D188" s="141">
        <v>15516</v>
      </c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15516</v>
      </c>
      <c r="R188" s="145">
        <v>14</v>
      </c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>
        <f t="shared" si="5"/>
        <v>14</v>
      </c>
    </row>
    <row r="189" spans="2:30" x14ac:dyDescent="0.35">
      <c r="B189" s="3" t="s">
        <v>263</v>
      </c>
      <c r="D189" s="141">
        <v>107</v>
      </c>
      <c r="E189" s="141">
        <v>101</v>
      </c>
      <c r="F189" s="141">
        <v>152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360</v>
      </c>
      <c r="R189" s="145">
        <v>13</v>
      </c>
      <c r="S189" s="145">
        <v>11</v>
      </c>
      <c r="T189" s="145">
        <v>19</v>
      </c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>
        <f t="shared" si="5"/>
        <v>43</v>
      </c>
    </row>
    <row r="190" spans="2:30" x14ac:dyDescent="0.35">
      <c r="B190" s="3" t="s">
        <v>267</v>
      </c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0</v>
      </c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>
        <f t="shared" si="5"/>
        <v>0</v>
      </c>
    </row>
    <row r="191" spans="2:30" x14ac:dyDescent="0.35">
      <c r="B191" s="3" t="s">
        <v>283</v>
      </c>
      <c r="D191" s="141">
        <v>423</v>
      </c>
      <c r="E191" s="141">
        <v>276</v>
      </c>
      <c r="F191" s="141">
        <v>203</v>
      </c>
      <c r="G191" s="141">
        <v>320</v>
      </c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1222</v>
      </c>
      <c r="R191" s="145">
        <v>12</v>
      </c>
      <c r="S191" s="145">
        <v>9</v>
      </c>
      <c r="T191" s="145">
        <v>8</v>
      </c>
      <c r="U191" s="145">
        <v>10</v>
      </c>
      <c r="V191" s="145"/>
      <c r="W191" s="145"/>
      <c r="X191" s="145"/>
      <c r="Y191" s="145"/>
      <c r="Z191" s="145"/>
      <c r="AA191" s="145"/>
      <c r="AB191" s="145"/>
      <c r="AC191" s="145"/>
      <c r="AD191" s="145">
        <f t="shared" si="5"/>
        <v>39</v>
      </c>
    </row>
    <row r="192" spans="2:30" x14ac:dyDescent="0.35">
      <c r="B192" s="3" t="s">
        <v>256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0</v>
      </c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>
        <f t="shared" si="5"/>
        <v>0</v>
      </c>
    </row>
    <row r="193" spans="2:30" x14ac:dyDescent="0.35">
      <c r="B193" s="3" t="s">
        <v>268</v>
      </c>
      <c r="D193" s="141"/>
      <c r="E193" s="141"/>
      <c r="F193" s="141">
        <v>71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71</v>
      </c>
      <c r="R193" s="145"/>
      <c r="S193" s="145"/>
      <c r="T193" s="145">
        <v>2</v>
      </c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>
        <f t="shared" si="5"/>
        <v>2</v>
      </c>
    </row>
    <row r="194" spans="2:30" x14ac:dyDescent="0.35">
      <c r="B194" s="3" t="s">
        <v>271</v>
      </c>
      <c r="D194" s="141">
        <v>2562</v>
      </c>
      <c r="E194" s="141">
        <v>2151</v>
      </c>
      <c r="F194" s="141">
        <v>3430</v>
      </c>
      <c r="G194" s="141">
        <v>3955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12098</v>
      </c>
      <c r="R194" s="145">
        <v>52</v>
      </c>
      <c r="S194" s="145">
        <v>43</v>
      </c>
      <c r="T194" s="145">
        <v>62</v>
      </c>
      <c r="U194" s="145">
        <v>57</v>
      </c>
      <c r="V194" s="145"/>
      <c r="W194" s="145"/>
      <c r="X194" s="145"/>
      <c r="Y194" s="145"/>
      <c r="Z194" s="145"/>
      <c r="AA194" s="145"/>
      <c r="AB194" s="145"/>
      <c r="AC194" s="145"/>
      <c r="AD194" s="145">
        <f t="shared" si="5"/>
        <v>214</v>
      </c>
    </row>
    <row r="195" spans="2:30" x14ac:dyDescent="0.35">
      <c r="B195" s="3" t="s">
        <v>304</v>
      </c>
      <c r="D195" s="141">
        <v>20912</v>
      </c>
      <c r="E195" s="141">
        <v>17376</v>
      </c>
      <c r="F195" s="141">
        <v>33026</v>
      </c>
      <c r="G195" s="141">
        <v>45418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116732</v>
      </c>
      <c r="R195" s="145">
        <v>30</v>
      </c>
      <c r="S195" s="145">
        <v>20</v>
      </c>
      <c r="T195" s="145">
        <v>46</v>
      </c>
      <c r="U195" s="145">
        <v>62</v>
      </c>
      <c r="V195" s="145"/>
      <c r="W195" s="145"/>
      <c r="X195" s="145"/>
      <c r="Y195" s="145"/>
      <c r="Z195" s="145"/>
      <c r="AA195" s="145"/>
      <c r="AB195" s="145"/>
      <c r="AC195" s="145"/>
      <c r="AD195" s="145">
        <f t="shared" si="5"/>
        <v>158</v>
      </c>
    </row>
    <row r="196" spans="2:30" x14ac:dyDescent="0.35">
      <c r="B196" s="3" t="s">
        <v>270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34" si="6">+SUM(D196:O196)</f>
        <v>0</v>
      </c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>
        <f t="shared" ref="AD196:AD234" si="7">+SUM(R196:AC196)</f>
        <v>0</v>
      </c>
    </row>
    <row r="197" spans="2:30" x14ac:dyDescent="0.35">
      <c r="B197" s="3" t="s">
        <v>279</v>
      </c>
      <c r="D197" s="141">
        <v>26807</v>
      </c>
      <c r="E197" s="141">
        <v>10594</v>
      </c>
      <c r="F197" s="141">
        <v>20901</v>
      </c>
      <c r="G197" s="141">
        <v>17703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6"/>
        <v>76005</v>
      </c>
      <c r="R197" s="145">
        <v>38</v>
      </c>
      <c r="S197" s="145">
        <v>17</v>
      </c>
      <c r="T197" s="145">
        <v>24</v>
      </c>
      <c r="U197" s="145">
        <v>27</v>
      </c>
      <c r="V197" s="145"/>
      <c r="W197" s="145"/>
      <c r="X197" s="145"/>
      <c r="Y197" s="145"/>
      <c r="Z197" s="145"/>
      <c r="AA197" s="145"/>
      <c r="AB197" s="145"/>
      <c r="AC197" s="145"/>
      <c r="AD197" s="145">
        <f t="shared" si="7"/>
        <v>106</v>
      </c>
    </row>
    <row r="198" spans="2:30" x14ac:dyDescent="0.35">
      <c r="B198" s="3" t="s">
        <v>269</v>
      </c>
      <c r="D198" s="141"/>
      <c r="E198" s="141"/>
      <c r="F198" s="141">
        <v>204</v>
      </c>
      <c r="G198" s="141">
        <v>3807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4011</v>
      </c>
      <c r="R198" s="145"/>
      <c r="S198" s="145"/>
      <c r="T198" s="145">
        <v>1</v>
      </c>
      <c r="U198" s="145">
        <v>3</v>
      </c>
      <c r="V198" s="145"/>
      <c r="W198" s="145"/>
      <c r="X198" s="145"/>
      <c r="Y198" s="145"/>
      <c r="Z198" s="145"/>
      <c r="AA198" s="145"/>
      <c r="AB198" s="145"/>
      <c r="AC198" s="145"/>
      <c r="AD198" s="145">
        <f t="shared" si="7"/>
        <v>4</v>
      </c>
    </row>
    <row r="199" spans="2:30" x14ac:dyDescent="0.35">
      <c r="B199" s="3" t="s">
        <v>291</v>
      </c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0</v>
      </c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>
        <f t="shared" si="7"/>
        <v>0</v>
      </c>
    </row>
    <row r="200" spans="2:30" x14ac:dyDescent="0.35">
      <c r="B200" s="3" t="s">
        <v>272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>
        <f t="shared" si="7"/>
        <v>0</v>
      </c>
    </row>
    <row r="201" spans="2:30" x14ac:dyDescent="0.35">
      <c r="B201" s="3" t="s">
        <v>276</v>
      </c>
      <c r="D201" s="141">
        <v>184</v>
      </c>
      <c r="E201" s="141">
        <v>296</v>
      </c>
      <c r="F201" s="141">
        <v>20338</v>
      </c>
      <c r="G201" s="141">
        <v>4796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25614</v>
      </c>
      <c r="R201" s="145">
        <v>20</v>
      </c>
      <c r="S201" s="145">
        <v>26</v>
      </c>
      <c r="T201" s="145">
        <v>37</v>
      </c>
      <c r="U201" s="145">
        <v>31</v>
      </c>
      <c r="V201" s="145"/>
      <c r="W201" s="145"/>
      <c r="X201" s="145"/>
      <c r="Y201" s="145"/>
      <c r="Z201" s="145"/>
      <c r="AA201" s="145"/>
      <c r="AB201" s="145"/>
      <c r="AC201" s="145"/>
      <c r="AD201" s="145">
        <f t="shared" si="7"/>
        <v>114</v>
      </c>
    </row>
    <row r="202" spans="2:30" x14ac:dyDescent="0.35">
      <c r="B202" s="3" t="s">
        <v>281</v>
      </c>
      <c r="D202" s="141">
        <v>34029</v>
      </c>
      <c r="E202" s="141">
        <v>30090</v>
      </c>
      <c r="F202" s="141">
        <v>19078</v>
      </c>
      <c r="G202" s="141">
        <v>14540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97737</v>
      </c>
      <c r="R202" s="145">
        <v>65</v>
      </c>
      <c r="S202" s="145">
        <v>62</v>
      </c>
      <c r="T202" s="145">
        <v>40</v>
      </c>
      <c r="U202" s="145">
        <v>29</v>
      </c>
      <c r="V202" s="145"/>
      <c r="W202" s="145"/>
      <c r="X202" s="145"/>
      <c r="Y202" s="145"/>
      <c r="Z202" s="145"/>
      <c r="AA202" s="145"/>
      <c r="AB202" s="145"/>
      <c r="AC202" s="145"/>
      <c r="AD202" s="145">
        <f t="shared" si="7"/>
        <v>196</v>
      </c>
    </row>
    <row r="203" spans="2:30" x14ac:dyDescent="0.35">
      <c r="B203" s="3" t="s">
        <v>296</v>
      </c>
      <c r="D203" s="141">
        <v>2057</v>
      </c>
      <c r="E203" s="141">
        <v>4688</v>
      </c>
      <c r="F203" s="141">
        <v>326</v>
      </c>
      <c r="G203" s="141">
        <v>418</v>
      </c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7489</v>
      </c>
      <c r="R203" s="145">
        <v>7</v>
      </c>
      <c r="S203" s="145">
        <v>6</v>
      </c>
      <c r="T203" s="145">
        <v>3</v>
      </c>
      <c r="U203" s="145">
        <v>5</v>
      </c>
      <c r="V203" s="145"/>
      <c r="W203" s="145"/>
      <c r="X203" s="145"/>
      <c r="Y203" s="145"/>
      <c r="Z203" s="145"/>
      <c r="AA203" s="145"/>
      <c r="AB203" s="145"/>
      <c r="AC203" s="145"/>
      <c r="AD203" s="145">
        <f t="shared" si="7"/>
        <v>21</v>
      </c>
    </row>
    <row r="204" spans="2:30" x14ac:dyDescent="0.35">
      <c r="B204" s="3" t="s">
        <v>298</v>
      </c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0</v>
      </c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>
        <f t="shared" si="7"/>
        <v>0</v>
      </c>
    </row>
    <row r="205" spans="2:30" x14ac:dyDescent="0.35">
      <c r="B205" s="3" t="s">
        <v>292</v>
      </c>
      <c r="D205" s="141">
        <v>99</v>
      </c>
      <c r="E205" s="141"/>
      <c r="F205" s="141"/>
      <c r="G205" s="141">
        <v>25725</v>
      </c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25824</v>
      </c>
      <c r="R205" s="145">
        <v>1</v>
      </c>
      <c r="S205" s="145"/>
      <c r="T205" s="145"/>
      <c r="U205" s="145">
        <v>1</v>
      </c>
      <c r="V205" s="145"/>
      <c r="W205" s="145"/>
      <c r="X205" s="145"/>
      <c r="Y205" s="145"/>
      <c r="Z205" s="145"/>
      <c r="AA205" s="145"/>
      <c r="AB205" s="145"/>
      <c r="AC205" s="145"/>
      <c r="AD205" s="145">
        <f t="shared" si="7"/>
        <v>2</v>
      </c>
    </row>
    <row r="206" spans="2:30" x14ac:dyDescent="0.35">
      <c r="B206" s="3" t="s">
        <v>300</v>
      </c>
      <c r="D206" s="141"/>
      <c r="E206" s="141"/>
      <c r="F206" s="141">
        <v>266</v>
      </c>
      <c r="G206" s="141">
        <v>809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1075</v>
      </c>
      <c r="R206" s="145"/>
      <c r="S206" s="145"/>
      <c r="T206" s="145">
        <v>2</v>
      </c>
      <c r="U206" s="145">
        <v>2</v>
      </c>
      <c r="V206" s="145"/>
      <c r="W206" s="145"/>
      <c r="X206" s="145"/>
      <c r="Y206" s="145"/>
      <c r="Z206" s="145"/>
      <c r="AA206" s="145"/>
      <c r="AB206" s="145"/>
      <c r="AC206" s="145"/>
      <c r="AD206" s="145">
        <f t="shared" si="7"/>
        <v>4</v>
      </c>
    </row>
    <row r="207" spans="2:30" x14ac:dyDescent="0.35">
      <c r="B207" s="3" t="s">
        <v>455</v>
      </c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0</v>
      </c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>
        <f t="shared" si="7"/>
        <v>0</v>
      </c>
    </row>
    <row r="208" spans="2:30" x14ac:dyDescent="0.35">
      <c r="B208" s="3" t="s">
        <v>302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>
        <f t="shared" si="7"/>
        <v>0</v>
      </c>
    </row>
    <row r="209" spans="2:30" x14ac:dyDescent="0.35">
      <c r="B209" s="3" t="s">
        <v>456</v>
      </c>
      <c r="D209" s="141"/>
      <c r="E209" s="141"/>
      <c r="F209" s="141">
        <v>14772</v>
      </c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14772</v>
      </c>
      <c r="R209" s="145"/>
      <c r="S209" s="145"/>
      <c r="T209" s="145">
        <v>2</v>
      </c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>
        <f t="shared" si="7"/>
        <v>2</v>
      </c>
    </row>
    <row r="210" spans="2:30" x14ac:dyDescent="0.35">
      <c r="B210" s="3" t="s">
        <v>290</v>
      </c>
      <c r="D210" s="141"/>
      <c r="E210" s="141"/>
      <c r="F210" s="141">
        <v>330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330</v>
      </c>
      <c r="R210" s="145"/>
      <c r="S210" s="145"/>
      <c r="T210" s="145">
        <v>1</v>
      </c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>
        <f t="shared" si="7"/>
        <v>1</v>
      </c>
    </row>
    <row r="211" spans="2:30" x14ac:dyDescent="0.35">
      <c r="B211" s="3" t="s">
        <v>457</v>
      </c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0</v>
      </c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>
        <f t="shared" si="7"/>
        <v>0</v>
      </c>
    </row>
    <row r="212" spans="2:30" x14ac:dyDescent="0.35">
      <c r="B212" s="3" t="s">
        <v>297</v>
      </c>
      <c r="D212" s="141">
        <v>100</v>
      </c>
      <c r="E212" s="141"/>
      <c r="F212" s="141">
        <v>103</v>
      </c>
      <c r="G212" s="141">
        <v>850</v>
      </c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1053</v>
      </c>
      <c r="R212" s="145">
        <v>1</v>
      </c>
      <c r="S212" s="145"/>
      <c r="T212" s="145">
        <v>1</v>
      </c>
      <c r="U212" s="145">
        <v>2</v>
      </c>
      <c r="V212" s="145"/>
      <c r="W212" s="145"/>
      <c r="X212" s="145"/>
      <c r="Y212" s="145"/>
      <c r="Z212" s="145"/>
      <c r="AA212" s="145"/>
      <c r="AB212" s="145"/>
      <c r="AC212" s="145"/>
      <c r="AD212" s="145">
        <f t="shared" si="7"/>
        <v>4</v>
      </c>
    </row>
    <row r="213" spans="2:30" x14ac:dyDescent="0.35">
      <c r="B213" s="3" t="s">
        <v>303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0</v>
      </c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>
        <f t="shared" si="7"/>
        <v>0</v>
      </c>
    </row>
    <row r="214" spans="2:30" x14ac:dyDescent="0.35">
      <c r="B214" s="3" t="s">
        <v>293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>
        <f t="shared" si="7"/>
        <v>0</v>
      </c>
    </row>
    <row r="215" spans="2:30" x14ac:dyDescent="0.35">
      <c r="B215" s="3" t="s">
        <v>458</v>
      </c>
      <c r="D215" s="141">
        <v>643</v>
      </c>
      <c r="E215" s="141">
        <v>5195</v>
      </c>
      <c r="F215" s="141">
        <v>8177</v>
      </c>
      <c r="G215" s="141">
        <v>25049</v>
      </c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39064</v>
      </c>
      <c r="R215" s="145">
        <v>4</v>
      </c>
      <c r="S215" s="145">
        <v>7</v>
      </c>
      <c r="T215" s="145">
        <v>14</v>
      </c>
      <c r="U215" s="145">
        <v>19</v>
      </c>
      <c r="V215" s="145"/>
      <c r="W215" s="145"/>
      <c r="X215" s="145"/>
      <c r="Y215" s="145"/>
      <c r="Z215" s="145"/>
      <c r="AA215" s="145"/>
      <c r="AB215" s="145"/>
      <c r="AC215" s="145"/>
      <c r="AD215" s="145">
        <f t="shared" si="7"/>
        <v>44</v>
      </c>
    </row>
    <row r="216" spans="2:30" x14ac:dyDescent="0.35">
      <c r="B216" s="3" t="s">
        <v>301</v>
      </c>
      <c r="D216" s="141">
        <v>290</v>
      </c>
      <c r="E216" s="141"/>
      <c r="F216" s="141">
        <v>189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479</v>
      </c>
      <c r="R216" s="145">
        <v>1</v>
      </c>
      <c r="S216" s="145"/>
      <c r="T216" s="145">
        <v>1</v>
      </c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>
        <f t="shared" si="7"/>
        <v>2</v>
      </c>
    </row>
    <row r="217" spans="2:30" x14ac:dyDescent="0.35">
      <c r="B217" s="3" t="s">
        <v>295</v>
      </c>
      <c r="D217" s="141">
        <v>175</v>
      </c>
      <c r="E217" s="141">
        <v>237</v>
      </c>
      <c r="F217" s="141">
        <v>326</v>
      </c>
      <c r="G217" s="141">
        <v>308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1046</v>
      </c>
      <c r="R217" s="145">
        <v>2</v>
      </c>
      <c r="S217" s="145">
        <v>3</v>
      </c>
      <c r="T217" s="145">
        <v>3</v>
      </c>
      <c r="U217" s="145">
        <v>4</v>
      </c>
      <c r="V217" s="145"/>
      <c r="W217" s="145"/>
      <c r="X217" s="145"/>
      <c r="Y217" s="145"/>
      <c r="Z217" s="145"/>
      <c r="AA217" s="145"/>
      <c r="AB217" s="145"/>
      <c r="AC217" s="145"/>
      <c r="AD217" s="145">
        <f t="shared" si="7"/>
        <v>12</v>
      </c>
    </row>
    <row r="218" spans="2:30" x14ac:dyDescent="0.35">
      <c r="B218" s="3" t="s">
        <v>459</v>
      </c>
      <c r="D218" s="141">
        <v>14482</v>
      </c>
      <c r="E218" s="141">
        <v>3834</v>
      </c>
      <c r="F218" s="141">
        <v>7915</v>
      </c>
      <c r="G218" s="141">
        <v>10015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36246</v>
      </c>
      <c r="R218" s="145">
        <v>68</v>
      </c>
      <c r="S218" s="145">
        <v>55</v>
      </c>
      <c r="T218" s="145">
        <v>75</v>
      </c>
      <c r="U218" s="145">
        <v>94</v>
      </c>
      <c r="V218" s="145"/>
      <c r="W218" s="145"/>
      <c r="X218" s="145"/>
      <c r="Y218" s="145"/>
      <c r="Z218" s="145"/>
      <c r="AA218" s="145"/>
      <c r="AB218" s="145"/>
      <c r="AC218" s="145"/>
      <c r="AD218" s="145">
        <f t="shared" si="7"/>
        <v>292</v>
      </c>
    </row>
    <row r="219" spans="2:30" x14ac:dyDescent="0.35">
      <c r="B219" s="3" t="s">
        <v>305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0</v>
      </c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>
        <f t="shared" si="7"/>
        <v>0</v>
      </c>
    </row>
    <row r="220" spans="2:30" x14ac:dyDescent="0.35">
      <c r="B220" s="3" t="s">
        <v>299</v>
      </c>
      <c r="D220" s="141">
        <v>1135</v>
      </c>
      <c r="E220" s="141">
        <v>1150</v>
      </c>
      <c r="F220" s="141">
        <v>2827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5112</v>
      </c>
      <c r="R220" s="145">
        <v>4</v>
      </c>
      <c r="S220" s="145">
        <v>3</v>
      </c>
      <c r="T220" s="145">
        <v>7</v>
      </c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>
        <f t="shared" si="7"/>
        <v>14</v>
      </c>
    </row>
    <row r="221" spans="2:30" x14ac:dyDescent="0.35">
      <c r="B221" s="3" t="s">
        <v>294</v>
      </c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0</v>
      </c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>
        <f t="shared" si="7"/>
        <v>0</v>
      </c>
    </row>
    <row r="222" spans="2:30" x14ac:dyDescent="0.35">
      <c r="B222" s="3" t="s">
        <v>304</v>
      </c>
      <c r="D222" s="141">
        <v>20912</v>
      </c>
      <c r="E222" s="141">
        <v>17376</v>
      </c>
      <c r="F222" s="141">
        <v>33026</v>
      </c>
      <c r="G222" s="141">
        <v>45418</v>
      </c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116732</v>
      </c>
      <c r="R222" s="145">
        <v>30</v>
      </c>
      <c r="S222" s="145">
        <v>20</v>
      </c>
      <c r="T222" s="145">
        <v>46</v>
      </c>
      <c r="U222" s="145">
        <v>62</v>
      </c>
      <c r="V222" s="145"/>
      <c r="W222" s="145"/>
      <c r="X222" s="145"/>
      <c r="Y222" s="145"/>
      <c r="Z222" s="145"/>
      <c r="AA222" s="145"/>
      <c r="AB222" s="145"/>
      <c r="AC222" s="145"/>
      <c r="AD222" s="145">
        <f t="shared" si="7"/>
        <v>158</v>
      </c>
    </row>
    <row r="223" spans="2:30" x14ac:dyDescent="0.35">
      <c r="B223" s="3" t="s">
        <v>291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0</v>
      </c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>
        <f t="shared" si="7"/>
        <v>0</v>
      </c>
    </row>
    <row r="224" spans="2:30" x14ac:dyDescent="0.35">
      <c r="B224" s="3" t="s">
        <v>460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>
        <f t="shared" si="7"/>
        <v>0</v>
      </c>
    </row>
    <row r="225" spans="2:30" x14ac:dyDescent="0.35">
      <c r="B225" s="3" t="s">
        <v>461</v>
      </c>
      <c r="D225" s="141">
        <v>1107225</v>
      </c>
      <c r="E225" s="141">
        <v>922480</v>
      </c>
      <c r="F225" s="141">
        <v>986216</v>
      </c>
      <c r="G225" s="141">
        <v>1175671</v>
      </c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4191592</v>
      </c>
      <c r="R225" s="145">
        <v>3253</v>
      </c>
      <c r="S225" s="145">
        <v>3307</v>
      </c>
      <c r="T225" s="145">
        <v>4126</v>
      </c>
      <c r="U225" s="145">
        <v>4044</v>
      </c>
      <c r="V225" s="145"/>
      <c r="W225" s="145"/>
      <c r="X225" s="145"/>
      <c r="Y225" s="145"/>
      <c r="Z225" s="145"/>
      <c r="AA225" s="145"/>
      <c r="AB225" s="145"/>
      <c r="AC225" s="145"/>
      <c r="AD225" s="145">
        <f t="shared" si="7"/>
        <v>14730</v>
      </c>
    </row>
    <row r="226" spans="2:30" x14ac:dyDescent="0.35">
      <c r="B226" s="3" t="s">
        <v>462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>
        <f t="shared" si="7"/>
        <v>0</v>
      </c>
    </row>
    <row r="227" spans="2:30" x14ac:dyDescent="0.35">
      <c r="B227" s="3" t="s">
        <v>463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>
        <f t="shared" si="7"/>
        <v>0</v>
      </c>
    </row>
    <row r="228" spans="2:30" x14ac:dyDescent="0.35">
      <c r="B228" s="3" t="s">
        <v>464</v>
      </c>
      <c r="D228" s="141">
        <v>140</v>
      </c>
      <c r="E228" s="141">
        <v>445</v>
      </c>
      <c r="F228" s="141">
        <v>1450</v>
      </c>
      <c r="G228" s="141">
        <v>388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2423</v>
      </c>
      <c r="R228" s="145">
        <v>2</v>
      </c>
      <c r="S228" s="145">
        <v>2</v>
      </c>
      <c r="T228" s="145">
        <v>3</v>
      </c>
      <c r="U228" s="145">
        <v>2</v>
      </c>
      <c r="V228" s="145"/>
      <c r="W228" s="145"/>
      <c r="X228" s="145"/>
      <c r="Y228" s="145"/>
      <c r="Z228" s="145"/>
      <c r="AA228" s="145"/>
      <c r="AB228" s="145"/>
      <c r="AC228" s="145"/>
      <c r="AD228" s="145">
        <f t="shared" si="7"/>
        <v>9</v>
      </c>
    </row>
    <row r="229" spans="2:30" x14ac:dyDescent="0.35">
      <c r="B229" s="3" t="s">
        <v>465</v>
      </c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0</v>
      </c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>
        <f t="shared" si="7"/>
        <v>0</v>
      </c>
    </row>
    <row r="230" spans="2:30" x14ac:dyDescent="0.35">
      <c r="B230" s="3" t="s">
        <v>466</v>
      </c>
      <c r="D230" s="141">
        <v>249</v>
      </c>
      <c r="E230" s="141"/>
      <c r="F230" s="141">
        <v>349</v>
      </c>
      <c r="G230" s="141">
        <v>4327</v>
      </c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4925</v>
      </c>
      <c r="R230" s="145">
        <v>1</v>
      </c>
      <c r="S230" s="145"/>
      <c r="T230" s="145">
        <v>3</v>
      </c>
      <c r="U230" s="145">
        <v>3</v>
      </c>
      <c r="V230" s="145"/>
      <c r="W230" s="145"/>
      <c r="X230" s="145"/>
      <c r="Y230" s="145"/>
      <c r="Z230" s="145"/>
      <c r="AA230" s="145"/>
      <c r="AB230" s="145"/>
      <c r="AC230" s="145"/>
      <c r="AD230" s="145">
        <f t="shared" si="7"/>
        <v>7</v>
      </c>
    </row>
    <row r="231" spans="2:30" x14ac:dyDescent="0.35">
      <c r="B231" s="3" t="s">
        <v>467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0</v>
      </c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>
        <f t="shared" si="7"/>
        <v>0</v>
      </c>
    </row>
    <row r="232" spans="2:30" x14ac:dyDescent="0.35">
      <c r="B232" s="3" t="s">
        <v>468</v>
      </c>
      <c r="D232" s="141">
        <v>1140</v>
      </c>
      <c r="E232" s="141"/>
      <c r="F232" s="141">
        <v>1600</v>
      </c>
      <c r="G232" s="141">
        <v>179</v>
      </c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2919</v>
      </c>
      <c r="R232" s="145">
        <v>1</v>
      </c>
      <c r="S232" s="145"/>
      <c r="T232" s="145">
        <v>2</v>
      </c>
      <c r="U232" s="145">
        <v>2</v>
      </c>
      <c r="V232" s="145"/>
      <c r="W232" s="145"/>
      <c r="X232" s="145"/>
      <c r="Y232" s="145"/>
      <c r="Z232" s="145"/>
      <c r="AA232" s="145"/>
      <c r="AB232" s="145"/>
      <c r="AC232" s="145"/>
      <c r="AD232" s="145">
        <f t="shared" si="7"/>
        <v>5</v>
      </c>
    </row>
    <row r="233" spans="2:30" x14ac:dyDescent="0.35">
      <c r="B233" s="3" t="s">
        <v>469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0</v>
      </c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>
        <f t="shared" si="7"/>
        <v>0</v>
      </c>
    </row>
    <row r="234" spans="2:30" x14ac:dyDescent="0.35">
      <c r="B234" s="3" t="s">
        <v>470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>
        <f t="shared" si="7"/>
        <v>0</v>
      </c>
    </row>
    <row r="235" spans="2:30" x14ac:dyDescent="0.35">
      <c r="B235" s="3" t="s">
        <v>286</v>
      </c>
      <c r="D235" s="144">
        <f>+SUM(D5:D234)</f>
        <v>159554625</v>
      </c>
      <c r="E235" s="144">
        <f t="shared" ref="E235:P235" si="8">+SUM(E5:E234)</f>
        <v>156985940</v>
      </c>
      <c r="F235" s="144">
        <f t="shared" si="8"/>
        <v>178073477</v>
      </c>
      <c r="G235" s="144">
        <f t="shared" si="8"/>
        <v>169038376</v>
      </c>
      <c r="H235" s="144">
        <f t="shared" si="8"/>
        <v>0</v>
      </c>
      <c r="I235" s="144">
        <f t="shared" si="8"/>
        <v>0</v>
      </c>
      <c r="J235" s="144">
        <f t="shared" si="8"/>
        <v>0</v>
      </c>
      <c r="K235" s="144">
        <f t="shared" si="8"/>
        <v>0</v>
      </c>
      <c r="L235" s="144">
        <f t="shared" si="8"/>
        <v>0</v>
      </c>
      <c r="M235" s="144">
        <f t="shared" si="8"/>
        <v>0</v>
      </c>
      <c r="N235" s="144">
        <f t="shared" si="8"/>
        <v>0</v>
      </c>
      <c r="O235" s="144">
        <f t="shared" si="8"/>
        <v>0</v>
      </c>
      <c r="P235" s="144">
        <f t="shared" si="8"/>
        <v>663652418</v>
      </c>
      <c r="R235" s="146">
        <f>+SUM(R5:R234)</f>
        <v>1340690</v>
      </c>
      <c r="S235" s="146">
        <f t="shared" ref="S235:AD235" si="9">+SUM(S5:S234)</f>
        <v>1311089</v>
      </c>
      <c r="T235" s="146">
        <f t="shared" si="9"/>
        <v>1528223</v>
      </c>
      <c r="U235" s="146">
        <f t="shared" si="9"/>
        <v>1438879</v>
      </c>
      <c r="V235" s="146">
        <f t="shared" si="9"/>
        <v>0</v>
      </c>
      <c r="W235" s="146">
        <f t="shared" si="9"/>
        <v>0</v>
      </c>
      <c r="X235" s="146">
        <f t="shared" si="9"/>
        <v>0</v>
      </c>
      <c r="Y235" s="146">
        <f t="shared" si="9"/>
        <v>0</v>
      </c>
      <c r="Z235" s="146">
        <f t="shared" si="9"/>
        <v>0</v>
      </c>
      <c r="AA235" s="146">
        <f t="shared" si="9"/>
        <v>0</v>
      </c>
      <c r="AB235" s="146">
        <f t="shared" si="9"/>
        <v>0</v>
      </c>
      <c r="AC235" s="146">
        <f t="shared" si="9"/>
        <v>0</v>
      </c>
      <c r="AD235" s="146">
        <f t="shared" si="9"/>
        <v>5618881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54296875" defaultRowHeight="14.5" x14ac:dyDescent="0.35"/>
  <cols>
    <col min="1" max="1" width="3.6328125" style="154" customWidth="1"/>
    <col min="2" max="2" width="13.54296875" style="154" customWidth="1"/>
    <col min="3" max="3" width="18.453125" style="226" customWidth="1"/>
    <col min="4" max="4" width="37.36328125" style="154" hidden="1" customWidth="1"/>
    <col min="5" max="5" width="2.453125" style="154" customWidth="1"/>
    <col min="6" max="7" width="16.54296875" style="154" hidden="1" customWidth="1"/>
    <col min="8" max="8" width="16.54296875" style="154" bestFit="1" customWidth="1"/>
    <col min="9" max="9" width="16.54296875" style="154" customWidth="1"/>
    <col min="10" max="10" width="16.54296875" style="154" hidden="1" customWidth="1"/>
    <col min="11" max="11" width="15.36328125" style="154" hidden="1" customWidth="1"/>
    <col min="12" max="16" width="16.54296875" style="154" hidden="1" customWidth="1"/>
    <col min="17" max="17" width="15.36328125" style="154" hidden="1" customWidth="1"/>
    <col min="18" max="18" width="2.54296875" style="154" customWidth="1"/>
    <col min="19" max="20" width="18" style="154" hidden="1" customWidth="1"/>
    <col min="21" max="21" width="18" style="154" bestFit="1" customWidth="1"/>
    <col min="22" max="22" width="18" style="154" customWidth="1"/>
    <col min="23" max="23" width="18" style="154" hidden="1" customWidth="1"/>
    <col min="24" max="24" width="16.54296875" style="154" hidden="1" customWidth="1"/>
    <col min="25" max="29" width="18" style="154" hidden="1" customWidth="1"/>
    <col min="30" max="30" width="16.54296875" style="154" hidden="1" customWidth="1"/>
    <col min="31" max="31" width="2.36328125" style="154" customWidth="1"/>
    <col min="32" max="33" width="7" style="154" hidden="1" customWidth="1"/>
    <col min="34" max="34" width="7" style="154" customWidth="1"/>
    <col min="35" max="35" width="7" style="226" customWidth="1"/>
    <col min="36" max="37" width="7" style="226" hidden="1" customWidth="1"/>
    <col min="38" max="38" width="7" style="154" hidden="1" customWidth="1"/>
    <col min="39" max="39" width="10.81640625" style="154" hidden="1" customWidth="1"/>
    <col min="40" max="43" width="7" style="154" hidden="1" customWidth="1"/>
    <col min="44" max="44" width="5.36328125" style="154" customWidth="1"/>
    <col min="45" max="57" width="11.54296875" style="154" customWidth="1"/>
    <col min="58" max="16384" width="11.54296875" style="154"/>
  </cols>
  <sheetData>
    <row r="1" spans="2:43" x14ac:dyDescent="0.35">
      <c r="B1" s="17"/>
      <c r="D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</row>
    <row r="2" spans="2:43" x14ac:dyDescent="0.35">
      <c r="F2" s="253" t="s">
        <v>308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S2" s="253" t="s">
        <v>309</v>
      </c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F2" s="253" t="s">
        <v>310</v>
      </c>
      <c r="AG2" s="254"/>
      <c r="AH2" s="254"/>
      <c r="AI2" s="258"/>
      <c r="AJ2" s="258"/>
      <c r="AK2" s="258"/>
      <c r="AL2" s="254"/>
      <c r="AM2" s="254"/>
      <c r="AN2" s="254"/>
      <c r="AO2" s="254"/>
      <c r="AP2" s="254"/>
      <c r="AQ2" s="254"/>
    </row>
    <row r="3" spans="2:43" x14ac:dyDescent="0.35">
      <c r="B3" s="17"/>
      <c r="C3" s="13" t="s">
        <v>311</v>
      </c>
      <c r="D3" s="12" t="s">
        <v>312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F3" s="13" t="s">
        <v>19</v>
      </c>
      <c r="AG3" s="13" t="s">
        <v>20</v>
      </c>
      <c r="AH3" s="13" t="s">
        <v>21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27</v>
      </c>
      <c r="AO3" s="13" t="s">
        <v>28</v>
      </c>
      <c r="AP3" s="13" t="s">
        <v>29</v>
      </c>
      <c r="AQ3" s="13" t="s">
        <v>30</v>
      </c>
    </row>
    <row r="4" spans="2:43" x14ac:dyDescent="0.35">
      <c r="B4" s="17" t="s">
        <v>87</v>
      </c>
      <c r="C4" s="225">
        <v>20543722309</v>
      </c>
      <c r="D4" s="154" t="s">
        <v>313</v>
      </c>
      <c r="F4" s="147">
        <v>692460</v>
      </c>
      <c r="G4" s="147"/>
      <c r="H4" s="147">
        <v>755133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>
        <v>4077882</v>
      </c>
      <c r="T4" s="147"/>
      <c r="U4" s="147">
        <v>4735065</v>
      </c>
      <c r="V4" s="147"/>
      <c r="W4" s="147"/>
      <c r="X4" s="147"/>
      <c r="Y4" s="147"/>
      <c r="Z4" s="147"/>
      <c r="AA4" s="147"/>
      <c r="AB4" s="147"/>
      <c r="AC4" s="147"/>
      <c r="AD4" s="147"/>
      <c r="AF4" s="148">
        <f t="shared" ref="AF4:AQ24" si="0">+IFERROR(F4/S4,"")</f>
        <v>0.16980873894830698</v>
      </c>
      <c r="AG4" s="148" t="str">
        <f t="shared" si="0"/>
        <v/>
      </c>
      <c r="AH4" s="148">
        <f t="shared" si="0"/>
        <v>0.15947679704502474</v>
      </c>
      <c r="AI4" s="234" t="str">
        <f t="shared" si="0"/>
        <v/>
      </c>
      <c r="AJ4" s="234" t="str">
        <f t="shared" si="0"/>
        <v/>
      </c>
      <c r="AK4" s="234" t="str">
        <f t="shared" si="0"/>
        <v/>
      </c>
      <c r="AL4" s="148" t="str">
        <f t="shared" si="0"/>
        <v/>
      </c>
      <c r="AM4" s="148" t="str">
        <f t="shared" si="0"/>
        <v/>
      </c>
      <c r="AN4" s="148" t="str">
        <f t="shared" si="0"/>
        <v/>
      </c>
      <c r="AO4" s="148" t="str">
        <f t="shared" si="0"/>
        <v/>
      </c>
      <c r="AP4" s="148" t="str">
        <f t="shared" si="0"/>
        <v/>
      </c>
      <c r="AQ4" s="148" t="str">
        <f t="shared" si="0"/>
        <v/>
      </c>
    </row>
    <row r="5" spans="2:43" x14ac:dyDescent="0.35">
      <c r="B5" s="17"/>
      <c r="C5" s="225">
        <v>20518792360</v>
      </c>
      <c r="D5" s="154" t="s">
        <v>314</v>
      </c>
      <c r="F5" s="147">
        <v>276499</v>
      </c>
      <c r="G5" s="147"/>
      <c r="H5" s="147">
        <v>260558</v>
      </c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>
        <v>1984730</v>
      </c>
      <c r="T5" s="147"/>
      <c r="U5" s="147">
        <v>1926114</v>
      </c>
      <c r="V5" s="147"/>
      <c r="W5" s="147"/>
      <c r="X5" s="147"/>
      <c r="Y5" s="147"/>
      <c r="Z5" s="147"/>
      <c r="AA5" s="147"/>
      <c r="AB5" s="147"/>
      <c r="AC5" s="147"/>
      <c r="AD5" s="147"/>
      <c r="AF5" s="148">
        <f t="shared" si="0"/>
        <v>0.139313155945645</v>
      </c>
      <c r="AG5" s="148" t="str">
        <f t="shared" si="0"/>
        <v/>
      </c>
      <c r="AH5" s="148">
        <f t="shared" si="0"/>
        <v>0.13527652049670996</v>
      </c>
      <c r="AI5" s="234" t="str">
        <f t="shared" si="0"/>
        <v/>
      </c>
      <c r="AJ5" s="234" t="str">
        <f t="shared" si="0"/>
        <v/>
      </c>
      <c r="AK5" s="234" t="str">
        <f t="shared" si="0"/>
        <v/>
      </c>
      <c r="AL5" s="148" t="str">
        <f t="shared" si="0"/>
        <v/>
      </c>
      <c r="AM5" s="148" t="str">
        <f t="shared" si="0"/>
        <v/>
      </c>
      <c r="AN5" s="148" t="str">
        <f t="shared" si="0"/>
        <v/>
      </c>
      <c r="AO5" s="148" t="str">
        <f t="shared" si="0"/>
        <v/>
      </c>
      <c r="AP5" s="148" t="str">
        <f t="shared" si="0"/>
        <v/>
      </c>
      <c r="AQ5" s="148" t="str">
        <f t="shared" si="0"/>
        <v/>
      </c>
    </row>
    <row r="6" spans="2:43" x14ac:dyDescent="0.35">
      <c r="B6" s="17"/>
      <c r="C6" s="225">
        <v>20608838547</v>
      </c>
      <c r="D6" s="154" t="s">
        <v>315</v>
      </c>
      <c r="F6" s="147">
        <v>131368</v>
      </c>
      <c r="G6" s="147"/>
      <c r="H6" s="147">
        <v>154469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>
        <v>806710</v>
      </c>
      <c r="T6" s="147"/>
      <c r="U6" s="147">
        <v>913171</v>
      </c>
      <c r="V6" s="147"/>
      <c r="W6" s="147"/>
      <c r="X6" s="147"/>
      <c r="Y6" s="147"/>
      <c r="Z6" s="147"/>
      <c r="AA6" s="147"/>
      <c r="AB6" s="147"/>
      <c r="AC6" s="147"/>
      <c r="AD6" s="147"/>
      <c r="AF6" s="148">
        <f t="shared" si="0"/>
        <v>0.16284414473602657</v>
      </c>
      <c r="AG6" s="148" t="str">
        <f t="shared" si="0"/>
        <v/>
      </c>
      <c r="AH6" s="148">
        <f t="shared" si="0"/>
        <v>0.16915670777981343</v>
      </c>
      <c r="AI6" s="234" t="str">
        <f t="shared" si="0"/>
        <v/>
      </c>
      <c r="AJ6" s="234" t="str">
        <f t="shared" si="0"/>
        <v/>
      </c>
      <c r="AK6" s="234" t="str">
        <f t="shared" si="0"/>
        <v/>
      </c>
      <c r="AL6" s="148" t="str">
        <f t="shared" si="0"/>
        <v/>
      </c>
      <c r="AM6" s="148" t="str">
        <f t="shared" si="0"/>
        <v/>
      </c>
      <c r="AN6" s="148" t="str">
        <f t="shared" si="0"/>
        <v/>
      </c>
      <c r="AO6" s="148" t="str">
        <f t="shared" si="0"/>
        <v/>
      </c>
      <c r="AP6" s="148" t="str">
        <f t="shared" si="0"/>
        <v/>
      </c>
      <c r="AQ6" s="148" t="str">
        <f t="shared" si="0"/>
        <v/>
      </c>
    </row>
    <row r="7" spans="2:43" x14ac:dyDescent="0.35">
      <c r="B7" s="17"/>
      <c r="C7" s="225">
        <v>20418463644</v>
      </c>
      <c r="D7" s="154" t="s">
        <v>316</v>
      </c>
      <c r="F7" s="147">
        <v>160943</v>
      </c>
      <c r="G7" s="147">
        <v>155032</v>
      </c>
      <c r="H7" s="147">
        <v>169450</v>
      </c>
      <c r="I7" s="147">
        <v>171662</v>
      </c>
      <c r="J7" s="147"/>
      <c r="K7" s="147"/>
      <c r="L7" s="147"/>
      <c r="M7" s="147"/>
      <c r="N7" s="147"/>
      <c r="O7" s="147"/>
      <c r="P7" s="147"/>
      <c r="Q7" s="147"/>
      <c r="S7" s="147">
        <v>1037873</v>
      </c>
      <c r="T7" s="147">
        <v>985948</v>
      </c>
      <c r="U7" s="147">
        <v>1103204</v>
      </c>
      <c r="V7" s="147">
        <v>1126423</v>
      </c>
      <c r="W7" s="147"/>
      <c r="X7" s="147"/>
      <c r="Y7" s="147"/>
      <c r="Z7" s="147"/>
      <c r="AA7" s="147"/>
      <c r="AB7" s="147"/>
      <c r="AC7" s="147"/>
      <c r="AD7" s="147"/>
      <c r="AF7" s="148">
        <f t="shared" si="0"/>
        <v>0.15507003265332078</v>
      </c>
      <c r="AG7" s="148">
        <f t="shared" si="0"/>
        <v>0.15724155837833231</v>
      </c>
      <c r="AH7" s="148">
        <f t="shared" si="0"/>
        <v>0.15359806527169953</v>
      </c>
      <c r="AI7" s="234">
        <f t="shared" si="0"/>
        <v>0.15239568084103397</v>
      </c>
      <c r="AJ7" s="234" t="str">
        <f t="shared" si="0"/>
        <v/>
      </c>
      <c r="AK7" s="234" t="str">
        <f t="shared" si="0"/>
        <v/>
      </c>
      <c r="AL7" s="148" t="str">
        <f t="shared" si="0"/>
        <v/>
      </c>
      <c r="AM7" s="148" t="str">
        <f t="shared" si="0"/>
        <v/>
      </c>
      <c r="AN7" s="148" t="str">
        <f t="shared" si="0"/>
        <v/>
      </c>
      <c r="AO7" s="148" t="str">
        <f t="shared" si="0"/>
        <v/>
      </c>
      <c r="AP7" s="148" t="str">
        <f t="shared" si="0"/>
        <v/>
      </c>
      <c r="AQ7" s="148" t="str">
        <f t="shared" si="0"/>
        <v/>
      </c>
    </row>
    <row r="8" spans="2:43" x14ac:dyDescent="0.35">
      <c r="B8" s="17"/>
      <c r="C8" s="225">
        <v>20345150341</v>
      </c>
      <c r="D8" s="154" t="s">
        <v>317</v>
      </c>
      <c r="F8" s="147">
        <v>167237</v>
      </c>
      <c r="G8" s="147">
        <v>159186</v>
      </c>
      <c r="H8" s="147">
        <v>175025</v>
      </c>
      <c r="I8" s="147">
        <v>175764</v>
      </c>
      <c r="J8" s="147"/>
      <c r="K8" s="147"/>
      <c r="L8" s="147"/>
      <c r="M8" s="147"/>
      <c r="N8" s="147"/>
      <c r="O8" s="147"/>
      <c r="P8" s="147"/>
      <c r="Q8" s="147"/>
      <c r="S8" s="147">
        <v>971411</v>
      </c>
      <c r="T8" s="147">
        <v>979164</v>
      </c>
      <c r="U8" s="147">
        <v>1049530</v>
      </c>
      <c r="V8" s="147">
        <v>1066832</v>
      </c>
      <c r="W8" s="147"/>
      <c r="X8" s="147"/>
      <c r="Y8" s="147"/>
      <c r="Z8" s="147"/>
      <c r="AA8" s="147"/>
      <c r="AB8" s="147"/>
      <c r="AC8" s="147"/>
      <c r="AD8" s="147"/>
      <c r="AF8" s="148">
        <f t="shared" si="0"/>
        <v>0.17215884934389256</v>
      </c>
      <c r="AG8" s="148">
        <f t="shared" si="0"/>
        <v>0.16257337892324472</v>
      </c>
      <c r="AH8" s="148">
        <f t="shared" si="0"/>
        <v>0.16676512343620478</v>
      </c>
      <c r="AI8" s="234">
        <f t="shared" si="0"/>
        <v>0.16475321325194595</v>
      </c>
      <c r="AJ8" s="234" t="str">
        <f t="shared" si="0"/>
        <v/>
      </c>
      <c r="AK8" s="234" t="str">
        <f t="shared" si="0"/>
        <v/>
      </c>
      <c r="AL8" s="148" t="str">
        <f t="shared" si="0"/>
        <v/>
      </c>
      <c r="AM8" s="148" t="str">
        <f t="shared" si="0"/>
        <v/>
      </c>
      <c r="AN8" s="148" t="str">
        <f t="shared" si="0"/>
        <v/>
      </c>
      <c r="AO8" s="148" t="str">
        <f t="shared" si="0"/>
        <v/>
      </c>
      <c r="AP8" s="148" t="str">
        <f t="shared" si="0"/>
        <v/>
      </c>
      <c r="AQ8" s="148" t="str">
        <f t="shared" si="0"/>
        <v/>
      </c>
    </row>
    <row r="9" spans="2:43" x14ac:dyDescent="0.35">
      <c r="B9" s="17"/>
      <c r="C9" s="225">
        <v>20432168213</v>
      </c>
      <c r="D9" s="154" t="s">
        <v>318</v>
      </c>
      <c r="F9" s="147">
        <v>100844</v>
      </c>
      <c r="G9" s="147">
        <v>104117</v>
      </c>
      <c r="H9" s="147">
        <v>117570</v>
      </c>
      <c r="I9" s="147">
        <v>111149</v>
      </c>
      <c r="J9" s="147"/>
      <c r="K9" s="147"/>
      <c r="L9" s="147"/>
      <c r="M9" s="147"/>
      <c r="N9" s="147"/>
      <c r="O9" s="147"/>
      <c r="P9" s="147"/>
      <c r="Q9" s="147"/>
      <c r="S9" s="147">
        <v>705061</v>
      </c>
      <c r="T9" s="147">
        <v>685719</v>
      </c>
      <c r="U9" s="147">
        <v>815828</v>
      </c>
      <c r="V9" s="147">
        <v>763314</v>
      </c>
      <c r="W9" s="147"/>
      <c r="X9" s="147"/>
      <c r="Y9" s="147"/>
      <c r="Z9" s="147"/>
      <c r="AA9" s="147"/>
      <c r="AB9" s="147"/>
      <c r="AC9" s="147"/>
      <c r="AD9" s="147"/>
      <c r="AF9" s="148">
        <f t="shared" si="0"/>
        <v>0.14302875921374178</v>
      </c>
      <c r="AG9" s="148">
        <f t="shared" si="0"/>
        <v>0.1518362477924631</v>
      </c>
      <c r="AH9" s="148">
        <f t="shared" si="0"/>
        <v>0.14411125874571601</v>
      </c>
      <c r="AI9" s="234">
        <f t="shared" si="0"/>
        <v>0.1456137317015016</v>
      </c>
      <c r="AJ9" s="234" t="str">
        <f t="shared" si="0"/>
        <v/>
      </c>
      <c r="AK9" s="234" t="str">
        <f t="shared" si="0"/>
        <v/>
      </c>
      <c r="AL9" s="148" t="str">
        <f t="shared" si="0"/>
        <v/>
      </c>
      <c r="AM9" s="148" t="str">
        <f t="shared" si="0"/>
        <v/>
      </c>
      <c r="AN9" s="148" t="str">
        <f t="shared" si="0"/>
        <v/>
      </c>
      <c r="AO9" s="148" t="str">
        <f t="shared" si="0"/>
        <v/>
      </c>
      <c r="AP9" s="148" t="str">
        <f t="shared" si="0"/>
        <v/>
      </c>
      <c r="AQ9" s="148" t="str">
        <f t="shared" si="0"/>
        <v/>
      </c>
    </row>
    <row r="10" spans="2:43" x14ac:dyDescent="0.35">
      <c r="B10" s="17"/>
      <c r="C10" s="225">
        <v>20476633932</v>
      </c>
      <c r="D10" s="154" t="s">
        <v>319</v>
      </c>
      <c r="F10" s="147">
        <v>123848</v>
      </c>
      <c r="G10" s="147">
        <v>139267</v>
      </c>
      <c r="H10" s="147">
        <v>158816</v>
      </c>
      <c r="I10" s="147">
        <v>160943</v>
      </c>
      <c r="J10" s="147"/>
      <c r="K10" s="147"/>
      <c r="L10" s="147"/>
      <c r="M10" s="147"/>
      <c r="N10" s="147"/>
      <c r="O10" s="147"/>
      <c r="P10" s="147"/>
      <c r="Q10" s="147"/>
      <c r="S10" s="147">
        <v>799444</v>
      </c>
      <c r="T10" s="147">
        <v>857012</v>
      </c>
      <c r="U10" s="147">
        <v>1010351</v>
      </c>
      <c r="V10" s="147">
        <v>1048700</v>
      </c>
      <c r="W10" s="147"/>
      <c r="X10" s="147"/>
      <c r="Y10" s="147"/>
      <c r="Z10" s="147"/>
      <c r="AA10" s="147"/>
      <c r="AB10" s="147"/>
      <c r="AC10" s="147"/>
      <c r="AD10" s="147"/>
      <c r="AF10" s="148">
        <f t="shared" si="0"/>
        <v>0.15491766777910648</v>
      </c>
      <c r="AG10" s="148">
        <f t="shared" si="0"/>
        <v>0.16250297545425268</v>
      </c>
      <c r="AH10" s="148">
        <f t="shared" si="0"/>
        <v>0.15718893730990516</v>
      </c>
      <c r="AI10" s="234">
        <f t="shared" si="0"/>
        <v>0.15346905692762469</v>
      </c>
      <c r="AJ10" s="234" t="str">
        <f t="shared" si="0"/>
        <v/>
      </c>
      <c r="AK10" s="234" t="str">
        <f t="shared" si="0"/>
        <v/>
      </c>
      <c r="AL10" s="148" t="str">
        <f t="shared" si="0"/>
        <v/>
      </c>
      <c r="AM10" s="148" t="str">
        <f t="shared" si="0"/>
        <v/>
      </c>
      <c r="AN10" s="148" t="str">
        <f t="shared" si="0"/>
        <v/>
      </c>
      <c r="AO10" s="148" t="str">
        <f t="shared" si="0"/>
        <v/>
      </c>
      <c r="AP10" s="148" t="str">
        <f t="shared" si="0"/>
        <v/>
      </c>
      <c r="AQ10" s="148" t="str">
        <f t="shared" si="0"/>
        <v/>
      </c>
    </row>
    <row r="11" spans="2:43" x14ac:dyDescent="0.35">
      <c r="B11" s="17"/>
      <c r="C11" s="225">
        <v>20504197469</v>
      </c>
      <c r="D11" s="154" t="s">
        <v>320</v>
      </c>
      <c r="F11" s="147">
        <v>136018</v>
      </c>
      <c r="G11" s="147">
        <v>121860</v>
      </c>
      <c r="H11" s="147">
        <v>127128</v>
      </c>
      <c r="I11" s="147">
        <v>126919</v>
      </c>
      <c r="J11" s="147"/>
      <c r="K11" s="147"/>
      <c r="L11" s="147"/>
      <c r="M11" s="147"/>
      <c r="N11" s="147"/>
      <c r="O11" s="147"/>
      <c r="P11" s="147"/>
      <c r="Q11" s="147"/>
      <c r="S11" s="147">
        <v>799166</v>
      </c>
      <c r="T11" s="147">
        <v>757417</v>
      </c>
      <c r="U11" s="147">
        <v>763714</v>
      </c>
      <c r="V11" s="147">
        <v>746078</v>
      </c>
      <c r="W11" s="147"/>
      <c r="X11" s="147"/>
      <c r="Y11" s="147"/>
      <c r="Z11" s="147"/>
      <c r="AA11" s="147"/>
      <c r="AB11" s="147"/>
      <c r="AC11" s="147"/>
      <c r="AD11" s="147"/>
      <c r="AF11" s="148">
        <f t="shared" si="0"/>
        <v>0.17019993343060141</v>
      </c>
      <c r="AG11" s="148">
        <f t="shared" si="0"/>
        <v>0.16088891588121207</v>
      </c>
      <c r="AH11" s="148">
        <f t="shared" si="0"/>
        <v>0.16646021940150371</v>
      </c>
      <c r="AI11" s="234">
        <f t="shared" si="0"/>
        <v>0.17011492096000685</v>
      </c>
      <c r="AJ11" s="234" t="str">
        <f t="shared" si="0"/>
        <v/>
      </c>
      <c r="AK11" s="234" t="str">
        <f t="shared" si="0"/>
        <v/>
      </c>
      <c r="AL11" s="148" t="str">
        <f t="shared" si="0"/>
        <v/>
      </c>
      <c r="AM11" s="148" t="str">
        <f t="shared" si="0"/>
        <v/>
      </c>
      <c r="AN11" s="148" t="str">
        <f t="shared" si="0"/>
        <v/>
      </c>
      <c r="AO11" s="148" t="str">
        <f t="shared" si="0"/>
        <v/>
      </c>
      <c r="AP11" s="148" t="str">
        <f t="shared" si="0"/>
        <v/>
      </c>
      <c r="AQ11" s="148" t="str">
        <f t="shared" si="0"/>
        <v/>
      </c>
    </row>
    <row r="12" spans="2:43" x14ac:dyDescent="0.35">
      <c r="B12" s="17"/>
      <c r="C12" s="225">
        <v>20252796623</v>
      </c>
      <c r="D12" s="154" t="s">
        <v>321</v>
      </c>
      <c r="F12" s="147">
        <v>99154</v>
      </c>
      <c r="G12" s="147">
        <v>113775</v>
      </c>
      <c r="H12" s="147">
        <v>118423</v>
      </c>
      <c r="I12" s="147">
        <v>125033</v>
      </c>
      <c r="J12" s="147"/>
      <c r="K12" s="147"/>
      <c r="L12" s="147"/>
      <c r="M12" s="147"/>
      <c r="N12" s="147"/>
      <c r="O12" s="147"/>
      <c r="P12" s="147"/>
      <c r="Q12" s="147"/>
      <c r="S12" s="147">
        <v>905949</v>
      </c>
      <c r="T12" s="147">
        <v>917303</v>
      </c>
      <c r="U12" s="147">
        <v>1061123</v>
      </c>
      <c r="V12" s="147">
        <v>779001</v>
      </c>
      <c r="W12" s="147"/>
      <c r="X12" s="147"/>
      <c r="Y12" s="147"/>
      <c r="Z12" s="147"/>
      <c r="AA12" s="147"/>
      <c r="AB12" s="147"/>
      <c r="AC12" s="147"/>
      <c r="AD12" s="147"/>
      <c r="AF12" s="148">
        <f t="shared" si="0"/>
        <v>0.10944766206486237</v>
      </c>
      <c r="AG12" s="148">
        <f t="shared" si="0"/>
        <v>0.1240320810026785</v>
      </c>
      <c r="AH12" s="148">
        <f t="shared" si="0"/>
        <v>0.11160157682002934</v>
      </c>
      <c r="AI12" s="234">
        <f t="shared" si="0"/>
        <v>0.16050428690078702</v>
      </c>
      <c r="AJ12" s="234" t="str">
        <f t="shared" si="0"/>
        <v/>
      </c>
      <c r="AK12" s="234" t="str">
        <f t="shared" si="0"/>
        <v/>
      </c>
      <c r="AL12" s="148" t="str">
        <f t="shared" si="0"/>
        <v/>
      </c>
      <c r="AM12" s="148" t="str">
        <f t="shared" si="0"/>
        <v/>
      </c>
      <c r="AN12" s="148" t="str">
        <f t="shared" si="0"/>
        <v/>
      </c>
      <c r="AO12" s="148" t="str">
        <f t="shared" si="0"/>
        <v/>
      </c>
      <c r="AP12" s="148" t="str">
        <f t="shared" si="0"/>
        <v/>
      </c>
      <c r="AQ12" s="148" t="str">
        <f t="shared" si="0"/>
        <v/>
      </c>
    </row>
    <row r="13" spans="2:43" x14ac:dyDescent="0.35">
      <c r="B13" s="17"/>
      <c r="C13" s="225">
        <v>20486765454</v>
      </c>
      <c r="D13" s="154" t="s">
        <v>322</v>
      </c>
      <c r="F13" s="147">
        <v>143794</v>
      </c>
      <c r="G13" s="147">
        <v>139484</v>
      </c>
      <c r="H13" s="147">
        <v>156250</v>
      </c>
      <c r="I13" s="147">
        <v>152169</v>
      </c>
      <c r="J13" s="147"/>
      <c r="K13" s="147"/>
      <c r="L13" s="147"/>
      <c r="M13" s="147"/>
      <c r="N13" s="147"/>
      <c r="O13" s="147"/>
      <c r="P13" s="147"/>
      <c r="Q13" s="147"/>
      <c r="S13" s="147">
        <v>821998</v>
      </c>
      <c r="T13" s="147">
        <v>812908</v>
      </c>
      <c r="U13" s="147">
        <v>920065</v>
      </c>
      <c r="V13" s="147">
        <v>923410</v>
      </c>
      <c r="W13" s="147"/>
      <c r="X13" s="147"/>
      <c r="Y13" s="147"/>
      <c r="Z13" s="147"/>
      <c r="AA13" s="147"/>
      <c r="AB13" s="147"/>
      <c r="AC13" s="147"/>
      <c r="AD13" s="147"/>
      <c r="AF13" s="148">
        <f t="shared" si="0"/>
        <v>0.17493229910535063</v>
      </c>
      <c r="AG13" s="148">
        <f t="shared" si="0"/>
        <v>0.17158645258750069</v>
      </c>
      <c r="AH13" s="148">
        <f t="shared" si="0"/>
        <v>0.16982495801927039</v>
      </c>
      <c r="AI13" s="234">
        <f t="shared" si="0"/>
        <v>0.16479028817101829</v>
      </c>
      <c r="AJ13" s="234" t="str">
        <f t="shared" si="0"/>
        <v/>
      </c>
      <c r="AK13" s="234" t="str">
        <f t="shared" si="0"/>
        <v/>
      </c>
      <c r="AL13" s="148" t="str">
        <f t="shared" si="0"/>
        <v/>
      </c>
      <c r="AM13" s="148" t="str">
        <f t="shared" si="0"/>
        <v/>
      </c>
      <c r="AN13" s="148" t="str">
        <f t="shared" si="0"/>
        <v/>
      </c>
      <c r="AO13" s="148" t="str">
        <f t="shared" si="0"/>
        <v/>
      </c>
      <c r="AP13" s="148" t="str">
        <f t="shared" si="0"/>
        <v/>
      </c>
      <c r="AQ13" s="148" t="str">
        <f t="shared" si="0"/>
        <v/>
      </c>
    </row>
    <row r="14" spans="2:43" x14ac:dyDescent="0.35">
      <c r="B14" s="17"/>
      <c r="C14" s="225">
        <v>20601017106</v>
      </c>
      <c r="D14" s="154" t="s">
        <v>323</v>
      </c>
      <c r="F14" s="147">
        <v>51889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S14" s="147">
        <v>281464</v>
      </c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F14" s="148">
        <f t="shared" si="0"/>
        <v>0.18435394935053862</v>
      </c>
      <c r="AG14" s="148" t="str">
        <f t="shared" si="0"/>
        <v/>
      </c>
      <c r="AH14" s="148" t="str">
        <f t="shared" si="0"/>
        <v/>
      </c>
      <c r="AI14" s="234" t="str">
        <f t="shared" si="0"/>
        <v/>
      </c>
      <c r="AJ14" s="234" t="str">
        <f t="shared" si="0"/>
        <v/>
      </c>
      <c r="AK14" s="234" t="str">
        <f t="shared" si="0"/>
        <v/>
      </c>
      <c r="AL14" s="148" t="str">
        <f t="shared" si="0"/>
        <v/>
      </c>
      <c r="AM14" s="148" t="str">
        <f t="shared" si="0"/>
        <v/>
      </c>
      <c r="AN14" s="148" t="str">
        <f t="shared" si="0"/>
        <v/>
      </c>
      <c r="AO14" s="148" t="str">
        <f t="shared" si="0"/>
        <v/>
      </c>
      <c r="AP14" s="148" t="str">
        <f t="shared" si="0"/>
        <v/>
      </c>
      <c r="AQ14" s="148" t="str">
        <f t="shared" si="0"/>
        <v/>
      </c>
    </row>
    <row r="15" spans="2:43" x14ac:dyDescent="0.35">
      <c r="B15" s="17"/>
      <c r="C15" s="225">
        <v>20511235066</v>
      </c>
      <c r="D15" s="154" t="s">
        <v>324</v>
      </c>
      <c r="F15" s="147">
        <v>69212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S15" s="147">
        <v>341445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F15" s="148">
        <f t="shared" si="0"/>
        <v>0.20270321720921378</v>
      </c>
      <c r="AG15" s="148" t="str">
        <f t="shared" si="0"/>
        <v/>
      </c>
      <c r="AH15" s="148" t="str">
        <f t="shared" si="0"/>
        <v/>
      </c>
      <c r="AI15" s="234" t="str">
        <f t="shared" si="0"/>
        <v/>
      </c>
      <c r="AJ15" s="234" t="str">
        <f t="shared" si="0"/>
        <v/>
      </c>
      <c r="AK15" s="234" t="str">
        <f t="shared" si="0"/>
        <v/>
      </c>
      <c r="AL15" s="148" t="str">
        <f t="shared" si="0"/>
        <v/>
      </c>
      <c r="AM15" s="148" t="str">
        <f t="shared" si="0"/>
        <v/>
      </c>
      <c r="AN15" s="148" t="str">
        <f t="shared" si="0"/>
        <v/>
      </c>
      <c r="AO15" s="148" t="str">
        <f t="shared" si="0"/>
        <v/>
      </c>
      <c r="AP15" s="148" t="str">
        <f t="shared" si="0"/>
        <v/>
      </c>
      <c r="AQ15" s="148" t="str">
        <f t="shared" si="0"/>
        <v/>
      </c>
    </row>
    <row r="16" spans="2:43" x14ac:dyDescent="0.35">
      <c r="B16" s="17"/>
      <c r="C16" s="225">
        <v>20536676865</v>
      </c>
      <c r="D16" s="154" t="s">
        <v>325</v>
      </c>
      <c r="F16" s="147">
        <v>50865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S16" s="147">
        <v>263740</v>
      </c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F16" s="148">
        <f t="shared" si="0"/>
        <v>0.19286039281110184</v>
      </c>
      <c r="AG16" s="148" t="str">
        <f t="shared" si="0"/>
        <v/>
      </c>
      <c r="AH16" s="148" t="str">
        <f t="shared" si="0"/>
        <v/>
      </c>
      <c r="AI16" s="234" t="str">
        <f t="shared" si="0"/>
        <v/>
      </c>
      <c r="AJ16" s="234" t="str">
        <f t="shared" si="0"/>
        <v/>
      </c>
      <c r="AK16" s="234" t="str">
        <f t="shared" si="0"/>
        <v/>
      </c>
      <c r="AL16" s="148" t="str">
        <f t="shared" si="0"/>
        <v/>
      </c>
      <c r="AM16" s="148" t="str">
        <f t="shared" si="0"/>
        <v/>
      </c>
      <c r="AN16" s="148" t="str">
        <f t="shared" si="0"/>
        <v/>
      </c>
      <c r="AO16" s="148" t="str">
        <f t="shared" si="0"/>
        <v/>
      </c>
      <c r="AP16" s="148" t="str">
        <f t="shared" si="0"/>
        <v/>
      </c>
      <c r="AQ16" s="148" t="str">
        <f t="shared" si="0"/>
        <v/>
      </c>
    </row>
    <row r="17" spans="2:43" x14ac:dyDescent="0.35">
      <c r="B17" s="17"/>
      <c r="C17" s="225">
        <v>20563027607</v>
      </c>
      <c r="D17" s="154" t="s">
        <v>326</v>
      </c>
      <c r="F17" s="147">
        <v>69990</v>
      </c>
      <c r="G17" s="147">
        <v>84037</v>
      </c>
      <c r="H17" s="147">
        <v>58211</v>
      </c>
      <c r="I17" s="147">
        <v>68021</v>
      </c>
      <c r="J17" s="147"/>
      <c r="K17" s="147"/>
      <c r="L17" s="147"/>
      <c r="M17" s="147"/>
      <c r="N17" s="147"/>
      <c r="O17" s="147"/>
      <c r="P17" s="147"/>
      <c r="Q17" s="147"/>
      <c r="S17" s="147">
        <v>1165570</v>
      </c>
      <c r="T17" s="147">
        <v>1047816</v>
      </c>
      <c r="U17" s="147">
        <v>1198093</v>
      </c>
      <c r="V17" s="147">
        <v>1180502</v>
      </c>
      <c r="W17" s="147"/>
      <c r="X17" s="147"/>
      <c r="Y17" s="147"/>
      <c r="Z17" s="147"/>
      <c r="AA17" s="147"/>
      <c r="AB17" s="147"/>
      <c r="AC17" s="147"/>
      <c r="AD17" s="147"/>
      <c r="AF17" s="148">
        <f t="shared" si="0"/>
        <v>6.0047873572586806E-2</v>
      </c>
      <c r="AG17" s="148">
        <f t="shared" si="0"/>
        <v>8.0202058376661556E-2</v>
      </c>
      <c r="AH17" s="148">
        <f t="shared" si="0"/>
        <v>4.8586378519864484E-2</v>
      </c>
      <c r="AI17" s="234">
        <f t="shared" si="0"/>
        <v>5.7620402167891285E-2</v>
      </c>
      <c r="AJ17" s="234" t="str">
        <f t="shared" si="0"/>
        <v/>
      </c>
      <c r="AK17" s="234" t="str">
        <f t="shared" si="0"/>
        <v/>
      </c>
      <c r="AL17" s="148" t="str">
        <f t="shared" si="0"/>
        <v/>
      </c>
      <c r="AM17" s="148" t="str">
        <f t="shared" si="0"/>
        <v/>
      </c>
      <c r="AN17" s="148" t="str">
        <f t="shared" si="0"/>
        <v/>
      </c>
      <c r="AO17" s="148" t="str">
        <f t="shared" si="0"/>
        <v/>
      </c>
      <c r="AP17" s="148" t="str">
        <f t="shared" si="0"/>
        <v/>
      </c>
      <c r="AQ17" s="148" t="str">
        <f t="shared" si="0"/>
        <v/>
      </c>
    </row>
    <row r="18" spans="2:43" x14ac:dyDescent="0.35">
      <c r="B18" s="17"/>
      <c r="C18" s="225">
        <v>20505670443</v>
      </c>
      <c r="D18" s="154" t="s">
        <v>327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F18" s="148" t="str">
        <f t="shared" si="0"/>
        <v/>
      </c>
      <c r="AG18" s="148" t="str">
        <f t="shared" si="0"/>
        <v/>
      </c>
      <c r="AH18" s="148" t="str">
        <f t="shared" si="0"/>
        <v/>
      </c>
      <c r="AI18" s="234" t="str">
        <f t="shared" si="0"/>
        <v/>
      </c>
      <c r="AJ18" s="234" t="str">
        <f t="shared" si="0"/>
        <v/>
      </c>
      <c r="AK18" s="234" t="str">
        <f t="shared" si="0"/>
        <v/>
      </c>
      <c r="AL18" s="148" t="str">
        <f t="shared" si="0"/>
        <v/>
      </c>
      <c r="AM18" s="148" t="str">
        <f t="shared" si="0"/>
        <v/>
      </c>
      <c r="AN18" s="148" t="str">
        <f t="shared" si="0"/>
        <v/>
      </c>
      <c r="AO18" s="148" t="str">
        <f t="shared" si="0"/>
        <v/>
      </c>
      <c r="AP18" s="148" t="str">
        <f t="shared" si="0"/>
        <v/>
      </c>
      <c r="AQ18" s="148" t="str">
        <f t="shared" si="0"/>
        <v/>
      </c>
    </row>
    <row r="19" spans="2:43" x14ac:dyDescent="0.35">
      <c r="B19" s="17"/>
      <c r="C19" s="225">
        <v>20604940622</v>
      </c>
      <c r="D19" s="154" t="s">
        <v>450</v>
      </c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F19" s="148" t="str">
        <f t="shared" si="0"/>
        <v/>
      </c>
      <c r="AG19" s="148" t="str">
        <f t="shared" si="0"/>
        <v/>
      </c>
      <c r="AH19" s="148" t="str">
        <f t="shared" si="0"/>
        <v/>
      </c>
      <c r="AI19" s="234" t="str">
        <f t="shared" si="0"/>
        <v/>
      </c>
      <c r="AJ19" s="234" t="str">
        <f t="shared" si="0"/>
        <v/>
      </c>
      <c r="AK19" s="234" t="str">
        <f t="shared" si="0"/>
        <v/>
      </c>
      <c r="AL19" s="148" t="str">
        <f t="shared" si="0"/>
        <v/>
      </c>
      <c r="AM19" s="148" t="str">
        <f t="shared" si="0"/>
        <v/>
      </c>
      <c r="AN19" s="148" t="str">
        <f t="shared" si="0"/>
        <v/>
      </c>
      <c r="AO19" s="148" t="str">
        <f t="shared" si="0"/>
        <v/>
      </c>
      <c r="AP19" s="148" t="str">
        <f t="shared" si="0"/>
        <v/>
      </c>
      <c r="AQ19" s="148" t="str">
        <f t="shared" si="0"/>
        <v/>
      </c>
    </row>
    <row r="20" spans="2:43" x14ac:dyDescent="0.35">
      <c r="B20" s="17"/>
      <c r="C20" s="225">
        <v>20601651531</v>
      </c>
      <c r="D20" s="154" t="s">
        <v>328</v>
      </c>
      <c r="F20" s="147">
        <v>178677</v>
      </c>
      <c r="G20" s="147">
        <v>169523</v>
      </c>
      <c r="H20" s="147">
        <v>161897</v>
      </c>
      <c r="I20" s="147">
        <v>137037</v>
      </c>
      <c r="J20" s="147"/>
      <c r="K20" s="147"/>
      <c r="L20" s="147"/>
      <c r="M20" s="147"/>
      <c r="N20" s="147"/>
      <c r="O20" s="147"/>
      <c r="P20" s="147"/>
      <c r="Q20" s="147"/>
      <c r="S20" s="147">
        <v>1174484</v>
      </c>
      <c r="T20" s="147">
        <v>1091522</v>
      </c>
      <c r="U20" s="147">
        <v>1057747</v>
      </c>
      <c r="V20" s="147">
        <v>924725</v>
      </c>
      <c r="W20" s="147"/>
      <c r="X20" s="147"/>
      <c r="Y20" s="147"/>
      <c r="Z20" s="147"/>
      <c r="AA20" s="147"/>
      <c r="AB20" s="147"/>
      <c r="AC20" s="147"/>
      <c r="AD20" s="147"/>
      <c r="AF20" s="148">
        <f t="shared" si="0"/>
        <v>0.15213234067045614</v>
      </c>
      <c r="AG20" s="148">
        <f t="shared" si="0"/>
        <v>0.15530882565811774</v>
      </c>
      <c r="AH20" s="148">
        <f t="shared" si="0"/>
        <v>0.15305834003783514</v>
      </c>
      <c r="AI20" s="234">
        <f t="shared" si="0"/>
        <v>0.14819216523831411</v>
      </c>
      <c r="AJ20" s="234" t="str">
        <f t="shared" si="0"/>
        <v/>
      </c>
      <c r="AK20" s="234" t="str">
        <f t="shared" si="0"/>
        <v/>
      </c>
      <c r="AL20" s="148" t="str">
        <f t="shared" si="0"/>
        <v/>
      </c>
      <c r="AM20" s="148" t="str">
        <f t="shared" si="0"/>
        <v/>
      </c>
      <c r="AN20" s="148" t="str">
        <f t="shared" si="0"/>
        <v/>
      </c>
      <c r="AO20" s="148" t="str">
        <f t="shared" si="0"/>
        <v/>
      </c>
      <c r="AP20" s="148" t="str">
        <f t="shared" si="0"/>
        <v/>
      </c>
      <c r="AQ20" s="148" t="str">
        <f t="shared" si="0"/>
        <v/>
      </c>
    </row>
    <row r="21" spans="2:43" x14ac:dyDescent="0.35">
      <c r="B21" s="17"/>
      <c r="C21" s="225">
        <v>20517656217</v>
      </c>
      <c r="D21" s="154" t="s">
        <v>329</v>
      </c>
      <c r="F21" s="147">
        <v>182812</v>
      </c>
      <c r="G21" s="147">
        <v>165346</v>
      </c>
      <c r="H21" s="147">
        <v>189741</v>
      </c>
      <c r="I21" s="147">
        <v>189141</v>
      </c>
      <c r="J21" s="147"/>
      <c r="K21" s="147"/>
      <c r="L21" s="147"/>
      <c r="M21" s="147"/>
      <c r="N21" s="147"/>
      <c r="O21" s="147"/>
      <c r="P21" s="147"/>
      <c r="Q21" s="147"/>
      <c r="S21" s="147">
        <v>1108599</v>
      </c>
      <c r="T21" s="147">
        <v>1066795</v>
      </c>
      <c r="U21" s="147">
        <v>1259228</v>
      </c>
      <c r="V21" s="147">
        <v>1213845</v>
      </c>
      <c r="W21" s="147"/>
      <c r="X21" s="147"/>
      <c r="Y21" s="147"/>
      <c r="Z21" s="147"/>
      <c r="AA21" s="147"/>
      <c r="AB21" s="147"/>
      <c r="AC21" s="147"/>
      <c r="AD21" s="147"/>
      <c r="AF21" s="148">
        <f t="shared" si="0"/>
        <v>0.16490363061846527</v>
      </c>
      <c r="AG21" s="148">
        <f t="shared" si="0"/>
        <v>0.15499322737733118</v>
      </c>
      <c r="AH21" s="148">
        <f t="shared" si="0"/>
        <v>0.1506804168903487</v>
      </c>
      <c r="AI21" s="234">
        <f t="shared" si="0"/>
        <v>0.15581972986666337</v>
      </c>
      <c r="AJ21" s="234" t="str">
        <f t="shared" si="0"/>
        <v/>
      </c>
      <c r="AK21" s="234" t="str">
        <f t="shared" si="0"/>
        <v/>
      </c>
      <c r="AL21" s="148" t="str">
        <f t="shared" si="0"/>
        <v/>
      </c>
      <c r="AM21" s="148" t="str">
        <f t="shared" si="0"/>
        <v/>
      </c>
      <c r="AN21" s="148" t="str">
        <f t="shared" si="0"/>
        <v/>
      </c>
      <c r="AO21" s="148" t="str">
        <f t="shared" si="0"/>
        <v/>
      </c>
      <c r="AP21" s="148" t="str">
        <f t="shared" si="0"/>
        <v/>
      </c>
      <c r="AQ21" s="148" t="str">
        <f t="shared" si="0"/>
        <v/>
      </c>
    </row>
    <row r="22" spans="2:43" x14ac:dyDescent="0.35">
      <c r="B22" s="17"/>
      <c r="C22" s="225">
        <v>20524692105</v>
      </c>
      <c r="D22" s="154" t="s">
        <v>330</v>
      </c>
      <c r="F22" s="147">
        <v>39264</v>
      </c>
      <c r="G22" s="147">
        <v>35381</v>
      </c>
      <c r="H22" s="147">
        <v>42066</v>
      </c>
      <c r="I22" s="147">
        <v>33945</v>
      </c>
      <c r="J22" s="147"/>
      <c r="K22" s="147"/>
      <c r="L22" s="147"/>
      <c r="M22" s="147"/>
      <c r="N22" s="147"/>
      <c r="O22" s="147"/>
      <c r="P22" s="147"/>
      <c r="Q22" s="147"/>
      <c r="S22" s="147">
        <v>521282</v>
      </c>
      <c r="T22" s="147">
        <v>590199</v>
      </c>
      <c r="U22" s="147">
        <v>745180</v>
      </c>
      <c r="V22" s="147">
        <v>674113</v>
      </c>
      <c r="W22" s="147"/>
      <c r="X22" s="147"/>
      <c r="Y22" s="147"/>
      <c r="Z22" s="147"/>
      <c r="AA22" s="147"/>
      <c r="AB22" s="147"/>
      <c r="AC22" s="147"/>
      <c r="AD22" s="147"/>
      <c r="AF22" s="148">
        <f t="shared" si="0"/>
        <v>7.5321994620953722E-2</v>
      </c>
      <c r="AG22" s="148">
        <f t="shared" si="0"/>
        <v>5.9947577003688586E-2</v>
      </c>
      <c r="AH22" s="148">
        <f t="shared" si="0"/>
        <v>5.6450790413054563E-2</v>
      </c>
      <c r="AI22" s="234">
        <f t="shared" si="0"/>
        <v>5.0355059166638232E-2</v>
      </c>
      <c r="AJ22" s="234" t="str">
        <f t="shared" si="0"/>
        <v/>
      </c>
      <c r="AK22" s="234" t="str">
        <f t="shared" si="0"/>
        <v/>
      </c>
      <c r="AL22" s="148" t="str">
        <f t="shared" si="0"/>
        <v/>
      </c>
      <c r="AM22" s="148" t="str">
        <f t="shared" si="0"/>
        <v/>
      </c>
      <c r="AN22" s="148" t="str">
        <f t="shared" si="0"/>
        <v/>
      </c>
      <c r="AO22" s="148" t="str">
        <f t="shared" si="0"/>
        <v/>
      </c>
      <c r="AP22" s="148" t="str">
        <f t="shared" si="0"/>
        <v/>
      </c>
      <c r="AQ22" s="148" t="str">
        <f t="shared" si="0"/>
        <v/>
      </c>
    </row>
    <row r="23" spans="2:43" x14ac:dyDescent="0.35">
      <c r="B23" s="17"/>
      <c r="C23" s="225">
        <v>20520854381</v>
      </c>
      <c r="D23" s="154" t="s">
        <v>449</v>
      </c>
      <c r="F23" s="147">
        <v>43502</v>
      </c>
      <c r="G23" s="147">
        <v>41318</v>
      </c>
      <c r="H23" s="147">
        <v>54116</v>
      </c>
      <c r="I23" s="147">
        <v>42230</v>
      </c>
      <c r="J23" s="147"/>
      <c r="K23" s="147"/>
      <c r="L23" s="147"/>
      <c r="M23" s="147"/>
      <c r="N23" s="147"/>
      <c r="O23" s="147"/>
      <c r="P23" s="147"/>
      <c r="Q23" s="147"/>
      <c r="S23" s="147">
        <v>264069</v>
      </c>
      <c r="T23" s="147">
        <v>262148</v>
      </c>
      <c r="U23" s="147">
        <v>312608</v>
      </c>
      <c r="V23" s="147">
        <v>281234</v>
      </c>
      <c r="W23" s="147"/>
      <c r="X23" s="147"/>
      <c r="Y23" s="147"/>
      <c r="Z23" s="147"/>
      <c r="AA23" s="147"/>
      <c r="AB23" s="147"/>
      <c r="AC23" s="147"/>
      <c r="AD23" s="147"/>
      <c r="AF23" s="148">
        <f t="shared" si="0"/>
        <v>0.16473724670445983</v>
      </c>
      <c r="AG23" s="148">
        <f t="shared" si="0"/>
        <v>0.15761325663365733</v>
      </c>
      <c r="AH23" s="148">
        <f t="shared" si="0"/>
        <v>0.17311137270959157</v>
      </c>
      <c r="AI23" s="234">
        <f t="shared" si="0"/>
        <v>0.1501596535269562</v>
      </c>
      <c r="AJ23" s="234" t="str">
        <f t="shared" si="0"/>
        <v/>
      </c>
      <c r="AK23" s="234" t="str">
        <f t="shared" si="0"/>
        <v/>
      </c>
      <c r="AL23" s="148" t="str">
        <f t="shared" si="0"/>
        <v/>
      </c>
      <c r="AM23" s="148" t="str">
        <f t="shared" si="0"/>
        <v/>
      </c>
      <c r="AN23" s="148" t="str">
        <f t="shared" si="0"/>
        <v/>
      </c>
      <c r="AO23" s="148" t="str">
        <f t="shared" si="0"/>
        <v/>
      </c>
      <c r="AP23" s="148" t="str">
        <f t="shared" si="0"/>
        <v/>
      </c>
      <c r="AQ23" s="148" t="str">
        <f t="shared" si="0"/>
        <v/>
      </c>
    </row>
    <row r="24" spans="2:43" x14ac:dyDescent="0.35">
      <c r="B24" s="14" t="s">
        <v>331</v>
      </c>
      <c r="C24" s="227"/>
      <c r="D24" s="14"/>
      <c r="F24" s="149">
        <f t="shared" ref="F24:Q24" si="1">+SUM(F4:F23)</f>
        <v>2718376</v>
      </c>
      <c r="G24" s="149">
        <f t="shared" si="1"/>
        <v>1428326</v>
      </c>
      <c r="H24" s="149">
        <f t="shared" si="1"/>
        <v>2698853</v>
      </c>
      <c r="I24" s="149">
        <f t="shared" si="1"/>
        <v>1494013</v>
      </c>
      <c r="J24" s="149">
        <f t="shared" si="1"/>
        <v>0</v>
      </c>
      <c r="K24" s="149">
        <f t="shared" si="1"/>
        <v>0</v>
      </c>
      <c r="L24" s="149">
        <f t="shared" si="1"/>
        <v>0</v>
      </c>
      <c r="M24" s="149">
        <f t="shared" si="1"/>
        <v>0</v>
      </c>
      <c r="N24" s="149">
        <f t="shared" si="1"/>
        <v>0</v>
      </c>
      <c r="O24" s="149">
        <f t="shared" si="1"/>
        <v>0</v>
      </c>
      <c r="P24" s="149">
        <f t="shared" si="1"/>
        <v>0</v>
      </c>
      <c r="Q24" s="149">
        <f t="shared" si="1"/>
        <v>0</v>
      </c>
      <c r="S24" s="149">
        <f t="shared" ref="S24:AD24" si="2">+SUM(S4:S23)</f>
        <v>18030877</v>
      </c>
      <c r="T24" s="149">
        <f t="shared" si="2"/>
        <v>10053951</v>
      </c>
      <c r="U24" s="149">
        <f t="shared" si="2"/>
        <v>18871021</v>
      </c>
      <c r="V24" s="149">
        <f t="shared" si="2"/>
        <v>10728177</v>
      </c>
      <c r="W24" s="149">
        <f t="shared" si="2"/>
        <v>0</v>
      </c>
      <c r="X24" s="149">
        <f t="shared" si="2"/>
        <v>0</v>
      </c>
      <c r="Y24" s="149">
        <f t="shared" si="2"/>
        <v>0</v>
      </c>
      <c r="Z24" s="149">
        <f t="shared" si="2"/>
        <v>0</v>
      </c>
      <c r="AA24" s="149">
        <f t="shared" si="2"/>
        <v>0</v>
      </c>
      <c r="AB24" s="149">
        <f t="shared" si="2"/>
        <v>0</v>
      </c>
      <c r="AC24" s="149">
        <f t="shared" si="2"/>
        <v>0</v>
      </c>
      <c r="AD24" s="149">
        <f t="shared" si="2"/>
        <v>0</v>
      </c>
      <c r="AF24" s="150">
        <f t="shared" si="0"/>
        <v>0.15076227296098799</v>
      </c>
      <c r="AG24" s="150">
        <f t="shared" si="0"/>
        <v>0.14206613897362341</v>
      </c>
      <c r="AH24" s="150">
        <f t="shared" si="0"/>
        <v>0.14301573825814723</v>
      </c>
      <c r="AI24" s="235">
        <f t="shared" si="0"/>
        <v>0.13926065910359234</v>
      </c>
      <c r="AJ24" s="235" t="str">
        <f t="shared" si="0"/>
        <v/>
      </c>
      <c r="AK24" s="235" t="str">
        <f t="shared" si="0"/>
        <v/>
      </c>
      <c r="AL24" s="150" t="str">
        <f t="shared" si="0"/>
        <v/>
      </c>
      <c r="AM24" s="150" t="str">
        <f t="shared" si="0"/>
        <v/>
      </c>
      <c r="AN24" s="150" t="str">
        <f t="shared" si="0"/>
        <v/>
      </c>
      <c r="AO24" s="150" t="str">
        <f t="shared" si="0"/>
        <v/>
      </c>
      <c r="AP24" s="150" t="str">
        <f t="shared" si="0"/>
        <v/>
      </c>
      <c r="AQ24" s="150" t="str">
        <f t="shared" si="0"/>
        <v/>
      </c>
    </row>
    <row r="25" spans="2:43" x14ac:dyDescent="0.35">
      <c r="B25" s="17"/>
      <c r="C25" s="225"/>
      <c r="D25" s="17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F25" s="152"/>
      <c r="AG25" s="152"/>
      <c r="AH25" s="152"/>
      <c r="AI25" s="236"/>
      <c r="AJ25" s="236"/>
      <c r="AK25" s="236"/>
      <c r="AL25" s="152"/>
      <c r="AM25" s="152"/>
      <c r="AN25" s="152"/>
      <c r="AO25" s="152"/>
    </row>
    <row r="26" spans="2:43" s="15" customFormat="1" x14ac:dyDescent="0.35">
      <c r="B26" s="16" t="s">
        <v>88</v>
      </c>
      <c r="C26" s="228" t="s">
        <v>332</v>
      </c>
      <c r="D26" s="15" t="s">
        <v>333</v>
      </c>
      <c r="F26" s="153">
        <v>18385248</v>
      </c>
      <c r="G26" s="153">
        <v>18433086</v>
      </c>
      <c r="H26" s="153">
        <v>21862473</v>
      </c>
      <c r="I26" s="153">
        <v>19428084</v>
      </c>
      <c r="J26" s="153"/>
      <c r="K26" s="153"/>
      <c r="L26" s="153"/>
      <c r="M26" s="153"/>
      <c r="N26" s="153"/>
      <c r="O26" s="153"/>
      <c r="P26" s="153"/>
      <c r="Q26" s="153"/>
      <c r="S26" s="153">
        <v>181618546</v>
      </c>
      <c r="T26" s="153">
        <v>188219737</v>
      </c>
      <c r="U26" s="153">
        <v>236313516</v>
      </c>
      <c r="V26" s="153">
        <v>224801758</v>
      </c>
      <c r="W26" s="153"/>
      <c r="X26" s="153"/>
      <c r="Y26" s="153"/>
      <c r="Z26" s="153"/>
      <c r="AA26" s="153"/>
      <c r="AB26" s="153"/>
      <c r="AC26" s="153"/>
      <c r="AD26" s="153"/>
      <c r="AF26" s="148">
        <f t="shared" ref="AF26:AQ45" si="3">+IFERROR(F26/S26,"")</f>
        <v>0.10123001425195861</v>
      </c>
      <c r="AG26" s="148">
        <f t="shared" si="3"/>
        <v>9.7933863333365512E-2</v>
      </c>
      <c r="AH26" s="148">
        <f t="shared" si="3"/>
        <v>9.251469560463059E-2</v>
      </c>
      <c r="AI26" s="234">
        <f t="shared" si="3"/>
        <v>8.6423185356050466E-2</v>
      </c>
      <c r="AJ26" s="238" t="str">
        <f t="shared" si="3"/>
        <v/>
      </c>
      <c r="AK26" s="238" t="str">
        <f t="shared" si="3"/>
        <v/>
      </c>
      <c r="AL26" s="239" t="str">
        <f t="shared" si="3"/>
        <v/>
      </c>
      <c r="AM26" s="148" t="str">
        <f t="shared" si="3"/>
        <v/>
      </c>
      <c r="AN26" s="148" t="str">
        <f t="shared" si="3"/>
        <v/>
      </c>
      <c r="AO26" s="148" t="str">
        <f t="shared" si="3"/>
        <v/>
      </c>
      <c r="AP26" s="148" t="str">
        <f t="shared" si="3"/>
        <v/>
      </c>
      <c r="AQ26" s="148" t="str">
        <f t="shared" si="3"/>
        <v/>
      </c>
    </row>
    <row r="27" spans="2:43" x14ac:dyDescent="0.35">
      <c r="B27" s="17"/>
      <c r="C27" s="225">
        <v>20600657888</v>
      </c>
      <c r="D27" s="154" t="s">
        <v>334</v>
      </c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F27" s="148" t="str">
        <f t="shared" si="3"/>
        <v/>
      </c>
      <c r="AG27" s="148" t="str">
        <f t="shared" si="3"/>
        <v/>
      </c>
      <c r="AH27" s="148" t="str">
        <f t="shared" si="3"/>
        <v/>
      </c>
      <c r="AI27" s="234" t="str">
        <f t="shared" si="3"/>
        <v/>
      </c>
      <c r="AJ27" s="234" t="str">
        <f t="shared" si="3"/>
        <v/>
      </c>
      <c r="AK27" s="234" t="str">
        <f t="shared" si="3"/>
        <v/>
      </c>
      <c r="AL27" s="148" t="str">
        <f t="shared" si="3"/>
        <v/>
      </c>
      <c r="AM27" s="148" t="str">
        <f t="shared" si="3"/>
        <v/>
      </c>
      <c r="AN27" s="148" t="str">
        <f t="shared" si="3"/>
        <v/>
      </c>
      <c r="AO27" s="148" t="str">
        <f t="shared" si="3"/>
        <v/>
      </c>
      <c r="AP27" s="148" t="str">
        <f t="shared" si="3"/>
        <v/>
      </c>
      <c r="AQ27" s="148" t="str">
        <f t="shared" si="3"/>
        <v/>
      </c>
    </row>
    <row r="28" spans="2:43" x14ac:dyDescent="0.35">
      <c r="B28" s="17"/>
      <c r="C28" s="225">
        <v>20404097343</v>
      </c>
      <c r="D28" s="154" t="s">
        <v>335</v>
      </c>
      <c r="F28" s="147">
        <v>104747</v>
      </c>
      <c r="G28" s="147">
        <v>78677</v>
      </c>
      <c r="H28" s="147">
        <v>102183</v>
      </c>
      <c r="I28" s="147">
        <v>93719</v>
      </c>
      <c r="J28" s="147"/>
      <c r="K28" s="147"/>
      <c r="L28" s="147"/>
      <c r="M28" s="147"/>
      <c r="N28" s="147"/>
      <c r="O28" s="147"/>
      <c r="P28" s="147"/>
      <c r="Q28" s="147"/>
      <c r="S28" s="147">
        <v>490268</v>
      </c>
      <c r="T28" s="147">
        <v>375283</v>
      </c>
      <c r="U28" s="147">
        <v>481420</v>
      </c>
      <c r="V28" s="147">
        <v>427500</v>
      </c>
      <c r="W28" s="147"/>
      <c r="X28" s="147"/>
      <c r="Y28" s="147"/>
      <c r="Z28" s="147"/>
      <c r="AA28" s="147"/>
      <c r="AB28" s="147"/>
      <c r="AC28" s="147"/>
      <c r="AD28" s="147"/>
      <c r="AF28" s="148">
        <f t="shared" si="3"/>
        <v>0.21365253290037287</v>
      </c>
      <c r="AG28" s="148">
        <f t="shared" si="3"/>
        <v>0.20964711964037805</v>
      </c>
      <c r="AH28" s="148">
        <f t="shared" si="3"/>
        <v>0.21225333388725021</v>
      </c>
      <c r="AI28" s="234">
        <f t="shared" si="3"/>
        <v>0.21922573099415205</v>
      </c>
      <c r="AJ28" s="234" t="str">
        <f t="shared" si="3"/>
        <v/>
      </c>
      <c r="AK28" s="234" t="str">
        <f t="shared" si="3"/>
        <v/>
      </c>
      <c r="AL28" s="148" t="str">
        <f t="shared" si="3"/>
        <v/>
      </c>
      <c r="AM28" s="148" t="str">
        <f t="shared" si="3"/>
        <v/>
      </c>
      <c r="AN28" s="148" t="str">
        <f t="shared" si="3"/>
        <v/>
      </c>
      <c r="AO28" s="148" t="str">
        <f t="shared" si="3"/>
        <v/>
      </c>
      <c r="AP28" s="148" t="str">
        <f t="shared" si="3"/>
        <v/>
      </c>
      <c r="AQ28" s="148" t="str">
        <f t="shared" si="3"/>
        <v/>
      </c>
    </row>
    <row r="29" spans="2:43" x14ac:dyDescent="0.35">
      <c r="B29" s="17"/>
      <c r="C29" s="225">
        <v>20369872274</v>
      </c>
      <c r="D29" s="154" t="s">
        <v>336</v>
      </c>
      <c r="F29" s="147">
        <v>150977</v>
      </c>
      <c r="G29" s="147">
        <v>143808</v>
      </c>
      <c r="H29" s="147">
        <v>165176</v>
      </c>
      <c r="I29" s="147">
        <v>156792</v>
      </c>
      <c r="J29" s="147"/>
      <c r="K29" s="147"/>
      <c r="L29" s="147"/>
      <c r="M29" s="147"/>
      <c r="N29" s="147"/>
      <c r="O29" s="147"/>
      <c r="P29" s="147"/>
      <c r="Q29" s="147"/>
      <c r="S29" s="147">
        <v>1386329</v>
      </c>
      <c r="T29" s="147">
        <v>1342682</v>
      </c>
      <c r="U29" s="147">
        <v>1546573</v>
      </c>
      <c r="V29" s="147">
        <v>1509056</v>
      </c>
      <c r="W29" s="147"/>
      <c r="X29" s="147"/>
      <c r="Y29" s="147"/>
      <c r="Z29" s="147"/>
      <c r="AA29" s="147"/>
      <c r="AB29" s="147"/>
      <c r="AC29" s="147"/>
      <c r="AD29" s="147"/>
      <c r="AF29" s="148">
        <f t="shared" si="3"/>
        <v>0.10890416344172271</v>
      </c>
      <c r="AG29" s="148">
        <f t="shared" si="3"/>
        <v>0.10710503306069494</v>
      </c>
      <c r="AH29" s="148">
        <f t="shared" si="3"/>
        <v>0.10680129550949098</v>
      </c>
      <c r="AI29" s="234">
        <f t="shared" si="3"/>
        <v>0.10390071673947156</v>
      </c>
      <c r="AJ29" s="234" t="str">
        <f t="shared" si="3"/>
        <v/>
      </c>
      <c r="AK29" s="234" t="str">
        <f t="shared" si="3"/>
        <v/>
      </c>
      <c r="AL29" s="148" t="str">
        <f t="shared" si="3"/>
        <v/>
      </c>
      <c r="AM29" s="148" t="str">
        <f t="shared" si="3"/>
        <v/>
      </c>
      <c r="AN29" s="148" t="str">
        <f t="shared" si="3"/>
        <v/>
      </c>
      <c r="AO29" s="148" t="str">
        <f t="shared" si="3"/>
        <v/>
      </c>
      <c r="AP29" s="148" t="str">
        <f t="shared" si="3"/>
        <v/>
      </c>
      <c r="AQ29" s="148" t="str">
        <f t="shared" si="3"/>
        <v/>
      </c>
    </row>
    <row r="30" spans="2:43" x14ac:dyDescent="0.35">
      <c r="B30" s="17"/>
      <c r="C30" s="225">
        <v>20564347982</v>
      </c>
      <c r="D30" s="154" t="s">
        <v>337</v>
      </c>
      <c r="F30" s="147">
        <v>65344</v>
      </c>
      <c r="G30" s="147"/>
      <c r="H30" s="147">
        <v>82476</v>
      </c>
      <c r="I30" s="147"/>
      <c r="J30" s="147"/>
      <c r="K30" s="147"/>
      <c r="L30" s="147"/>
      <c r="M30" s="147"/>
      <c r="N30" s="147"/>
      <c r="O30" s="147"/>
      <c r="P30" s="147"/>
      <c r="Q30" s="147"/>
      <c r="S30" s="147">
        <v>263466</v>
      </c>
      <c r="T30" s="147"/>
      <c r="U30" s="147">
        <v>339549</v>
      </c>
      <c r="V30" s="147"/>
      <c r="W30" s="147"/>
      <c r="X30" s="147"/>
      <c r="Y30" s="147"/>
      <c r="Z30" s="147"/>
      <c r="AA30" s="147"/>
      <c r="AB30" s="147"/>
      <c r="AC30" s="147"/>
      <c r="AD30" s="147"/>
      <c r="AF30" s="148">
        <f t="shared" si="3"/>
        <v>0.24801682190491373</v>
      </c>
      <c r="AG30" s="148" t="str">
        <f t="shared" si="3"/>
        <v/>
      </c>
      <c r="AH30" s="148">
        <f t="shared" si="3"/>
        <v>0.24289866852795913</v>
      </c>
      <c r="AI30" s="234" t="str">
        <f t="shared" si="3"/>
        <v/>
      </c>
      <c r="AJ30" s="234" t="str">
        <f t="shared" si="3"/>
        <v/>
      </c>
      <c r="AK30" s="234" t="str">
        <f t="shared" si="3"/>
        <v/>
      </c>
      <c r="AL30" s="148" t="str">
        <f t="shared" si="3"/>
        <v/>
      </c>
      <c r="AM30" s="148" t="str">
        <f t="shared" si="3"/>
        <v/>
      </c>
      <c r="AN30" s="148" t="str">
        <f t="shared" si="3"/>
        <v/>
      </c>
      <c r="AO30" s="148" t="str">
        <f t="shared" si="3"/>
        <v/>
      </c>
      <c r="AP30" s="148" t="str">
        <f t="shared" si="3"/>
        <v/>
      </c>
      <c r="AQ30" s="148" t="str">
        <f t="shared" si="3"/>
        <v/>
      </c>
    </row>
    <row r="31" spans="2:43" x14ac:dyDescent="0.35">
      <c r="B31" s="17"/>
      <c r="C31" s="225">
        <v>20366131222</v>
      </c>
      <c r="D31" s="154" t="s">
        <v>338</v>
      </c>
      <c r="F31" s="147">
        <v>6032</v>
      </c>
      <c r="G31" s="147">
        <v>8161</v>
      </c>
      <c r="H31" s="147">
        <v>9008</v>
      </c>
      <c r="I31" s="147">
        <v>600</v>
      </c>
      <c r="J31" s="147"/>
      <c r="K31" s="147"/>
      <c r="L31" s="147"/>
      <c r="M31" s="147"/>
      <c r="N31" s="147"/>
      <c r="O31" s="147"/>
      <c r="P31" s="147"/>
      <c r="Q31" s="147"/>
      <c r="S31" s="147">
        <v>30845</v>
      </c>
      <c r="T31" s="147">
        <v>44928</v>
      </c>
      <c r="U31" s="147">
        <v>45636</v>
      </c>
      <c r="V31" s="147">
        <v>6484</v>
      </c>
      <c r="W31" s="147"/>
      <c r="X31" s="147"/>
      <c r="Y31" s="147"/>
      <c r="Z31" s="147"/>
      <c r="AA31" s="147"/>
      <c r="AB31" s="147"/>
      <c r="AC31" s="147"/>
      <c r="AD31" s="147"/>
      <c r="AF31" s="148">
        <f t="shared" si="3"/>
        <v>0.19555843734803047</v>
      </c>
      <c r="AG31" s="148">
        <f t="shared" si="3"/>
        <v>0.18164618945868946</v>
      </c>
      <c r="AH31" s="148">
        <f t="shared" si="3"/>
        <v>0.19738802699623104</v>
      </c>
      <c r="AI31" s="234">
        <f t="shared" si="3"/>
        <v>9.2535471930906846E-2</v>
      </c>
      <c r="AJ31" s="234" t="str">
        <f t="shared" si="3"/>
        <v/>
      </c>
      <c r="AK31" s="234" t="str">
        <f t="shared" si="3"/>
        <v/>
      </c>
      <c r="AL31" s="148" t="str">
        <f t="shared" si="3"/>
        <v/>
      </c>
      <c r="AM31" s="148" t="str">
        <f t="shared" si="3"/>
        <v/>
      </c>
      <c r="AN31" s="148" t="str">
        <f t="shared" si="3"/>
        <v/>
      </c>
      <c r="AO31" s="148" t="str">
        <f t="shared" si="3"/>
        <v/>
      </c>
      <c r="AP31" s="148" t="str">
        <f t="shared" si="3"/>
        <v/>
      </c>
      <c r="AQ31" s="148" t="str">
        <f t="shared" si="3"/>
        <v/>
      </c>
    </row>
    <row r="32" spans="2:43" x14ac:dyDescent="0.35">
      <c r="B32" s="17"/>
      <c r="C32" s="225">
        <v>20541235150</v>
      </c>
      <c r="D32" s="154" t="s">
        <v>339</v>
      </c>
      <c r="F32" s="147">
        <v>4516</v>
      </c>
      <c r="G32" s="147">
        <v>3223</v>
      </c>
      <c r="H32" s="147">
        <v>4323</v>
      </c>
      <c r="I32" s="147">
        <v>5111</v>
      </c>
      <c r="J32" s="147"/>
      <c r="K32" s="147"/>
      <c r="L32" s="147"/>
      <c r="M32" s="147"/>
      <c r="N32" s="147"/>
      <c r="O32" s="147"/>
      <c r="P32" s="147"/>
      <c r="Q32" s="147"/>
      <c r="S32" s="147">
        <v>21344</v>
      </c>
      <c r="T32" s="147">
        <v>17943</v>
      </c>
      <c r="U32" s="147">
        <v>25631</v>
      </c>
      <c r="V32" s="147">
        <v>22299</v>
      </c>
      <c r="W32" s="147"/>
      <c r="X32" s="147"/>
      <c r="Y32" s="147"/>
      <c r="Z32" s="147"/>
      <c r="AA32" s="147"/>
      <c r="AB32" s="147"/>
      <c r="AC32" s="147"/>
      <c r="AD32" s="147"/>
      <c r="AF32" s="148">
        <f t="shared" si="3"/>
        <v>0.21158170914542729</v>
      </c>
      <c r="AG32" s="148">
        <f t="shared" si="3"/>
        <v>0.17962436604804102</v>
      </c>
      <c r="AH32" s="148">
        <f t="shared" si="3"/>
        <v>0.16866294721236003</v>
      </c>
      <c r="AI32" s="234">
        <f t="shared" si="3"/>
        <v>0.22920310327817392</v>
      </c>
      <c r="AJ32" s="234" t="str">
        <f t="shared" si="3"/>
        <v/>
      </c>
      <c r="AK32" s="234" t="str">
        <f t="shared" si="3"/>
        <v/>
      </c>
      <c r="AL32" s="148" t="str">
        <f t="shared" si="3"/>
        <v/>
      </c>
      <c r="AM32" s="148" t="str">
        <f t="shared" si="3"/>
        <v/>
      </c>
      <c r="AN32" s="148" t="str">
        <f t="shared" si="3"/>
        <v/>
      </c>
      <c r="AO32" s="148" t="str">
        <f t="shared" si="3"/>
        <v/>
      </c>
      <c r="AP32" s="148" t="str">
        <f t="shared" si="3"/>
        <v/>
      </c>
      <c r="AQ32" s="148" t="str">
        <f t="shared" si="3"/>
        <v/>
      </c>
    </row>
    <row r="33" spans="2:43" x14ac:dyDescent="0.35">
      <c r="B33" s="17"/>
      <c r="C33" s="225">
        <v>20263809441</v>
      </c>
      <c r="D33" s="154" t="s">
        <v>340</v>
      </c>
      <c r="F33" s="147">
        <v>46766</v>
      </c>
      <c r="G33" s="147">
        <v>44772</v>
      </c>
      <c r="H33" s="147">
        <v>56453</v>
      </c>
      <c r="I33" s="147">
        <v>54627</v>
      </c>
      <c r="J33" s="147"/>
      <c r="K33" s="147"/>
      <c r="L33" s="147"/>
      <c r="M33" s="147"/>
      <c r="N33" s="147"/>
      <c r="O33" s="147"/>
      <c r="P33" s="147"/>
      <c r="Q33" s="147"/>
      <c r="S33" s="147">
        <v>293796</v>
      </c>
      <c r="T33" s="147">
        <v>300113</v>
      </c>
      <c r="U33" s="147">
        <v>381845</v>
      </c>
      <c r="V33" s="147">
        <v>366796</v>
      </c>
      <c r="W33" s="147"/>
      <c r="X33" s="147"/>
      <c r="Y33" s="147"/>
      <c r="Z33" s="147"/>
      <c r="AA33" s="147"/>
      <c r="AB33" s="147"/>
      <c r="AC33" s="147"/>
      <c r="AD33" s="147"/>
      <c r="AF33" s="148">
        <f t="shared" si="3"/>
        <v>0.15917847758308487</v>
      </c>
      <c r="AG33" s="148">
        <f t="shared" si="3"/>
        <v>0.14918380743253373</v>
      </c>
      <c r="AH33" s="148">
        <f t="shared" si="3"/>
        <v>0.14784271104767641</v>
      </c>
      <c r="AI33" s="234">
        <f t="shared" si="3"/>
        <v>0.14893019553103087</v>
      </c>
      <c r="AJ33" s="234" t="str">
        <f t="shared" si="3"/>
        <v/>
      </c>
      <c r="AK33" s="234" t="str">
        <f t="shared" si="3"/>
        <v/>
      </c>
      <c r="AL33" s="148" t="str">
        <f t="shared" si="3"/>
        <v/>
      </c>
      <c r="AM33" s="148" t="str">
        <f t="shared" si="3"/>
        <v/>
      </c>
      <c r="AN33" s="148" t="str">
        <f t="shared" si="3"/>
        <v/>
      </c>
      <c r="AO33" s="148" t="str">
        <f t="shared" si="3"/>
        <v/>
      </c>
      <c r="AP33" s="148" t="str">
        <f t="shared" si="3"/>
        <v/>
      </c>
      <c r="AQ33" s="148" t="str">
        <f t="shared" si="3"/>
        <v/>
      </c>
    </row>
    <row r="34" spans="2:43" x14ac:dyDescent="0.35">
      <c r="B34" s="17"/>
      <c r="C34" s="225">
        <v>20153395943</v>
      </c>
      <c r="D34" s="154" t="s">
        <v>341</v>
      </c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F34" s="148" t="str">
        <f t="shared" si="3"/>
        <v/>
      </c>
      <c r="AG34" s="148" t="str">
        <f t="shared" si="3"/>
        <v/>
      </c>
      <c r="AH34" s="148" t="str">
        <f t="shared" si="3"/>
        <v/>
      </c>
      <c r="AI34" s="234" t="str">
        <f t="shared" si="3"/>
        <v/>
      </c>
      <c r="AJ34" s="234" t="str">
        <f t="shared" si="3"/>
        <v/>
      </c>
      <c r="AK34" s="234" t="str">
        <f t="shared" si="3"/>
        <v/>
      </c>
      <c r="AL34" s="148" t="str">
        <f t="shared" si="3"/>
        <v/>
      </c>
      <c r="AM34" s="148" t="str">
        <f t="shared" si="3"/>
        <v/>
      </c>
      <c r="AN34" s="148" t="str">
        <f t="shared" si="3"/>
        <v/>
      </c>
      <c r="AO34" s="148" t="str">
        <f t="shared" si="3"/>
        <v/>
      </c>
      <c r="AP34" s="148" t="str">
        <f t="shared" si="3"/>
        <v/>
      </c>
      <c r="AQ34" s="148" t="str">
        <f t="shared" si="3"/>
        <v/>
      </c>
    </row>
    <row r="35" spans="2:43" x14ac:dyDescent="0.35">
      <c r="B35" s="17"/>
      <c r="C35" s="225">
        <v>20100205492</v>
      </c>
      <c r="D35" s="154" t="s">
        <v>342</v>
      </c>
      <c r="F35" s="147">
        <v>26607</v>
      </c>
      <c r="G35" s="147">
        <v>25694</v>
      </c>
      <c r="H35" s="147">
        <v>30538</v>
      </c>
      <c r="I35" s="147">
        <v>32498</v>
      </c>
      <c r="J35" s="147"/>
      <c r="K35" s="147"/>
      <c r="L35" s="147"/>
      <c r="M35" s="147"/>
      <c r="N35" s="147"/>
      <c r="O35" s="147"/>
      <c r="P35" s="147"/>
      <c r="Q35" s="147"/>
      <c r="S35" s="147">
        <v>175056</v>
      </c>
      <c r="T35" s="147">
        <v>168177</v>
      </c>
      <c r="U35" s="147">
        <v>208944</v>
      </c>
      <c r="V35" s="147">
        <v>205134</v>
      </c>
      <c r="W35" s="147"/>
      <c r="X35" s="147"/>
      <c r="Y35" s="147"/>
      <c r="Z35" s="147"/>
      <c r="AA35" s="147"/>
      <c r="AB35" s="147"/>
      <c r="AC35" s="147"/>
      <c r="AD35" s="147"/>
      <c r="AF35" s="148">
        <f t="shared" si="3"/>
        <v>0.15199136276391556</v>
      </c>
      <c r="AG35" s="148">
        <f t="shared" si="3"/>
        <v>0.1527795120616969</v>
      </c>
      <c r="AH35" s="148">
        <f t="shared" si="3"/>
        <v>0.14615399341450341</v>
      </c>
      <c r="AI35" s="234">
        <f t="shared" si="3"/>
        <v>0.15842327454249416</v>
      </c>
      <c r="AJ35" s="234" t="str">
        <f t="shared" si="3"/>
        <v/>
      </c>
      <c r="AK35" s="234" t="str">
        <f t="shared" si="3"/>
        <v/>
      </c>
      <c r="AL35" s="148" t="str">
        <f t="shared" si="3"/>
        <v/>
      </c>
      <c r="AM35" s="148" t="str">
        <f t="shared" si="3"/>
        <v/>
      </c>
      <c r="AN35" s="148" t="str">
        <f t="shared" si="3"/>
        <v/>
      </c>
      <c r="AO35" s="148" t="str">
        <f t="shared" si="3"/>
        <v/>
      </c>
      <c r="AP35" s="148" t="str">
        <f t="shared" si="3"/>
        <v/>
      </c>
      <c r="AQ35" s="148" t="str">
        <f t="shared" si="3"/>
        <v/>
      </c>
    </row>
    <row r="36" spans="2:43" x14ac:dyDescent="0.35">
      <c r="B36" s="17"/>
      <c r="C36" s="225">
        <v>20119873542</v>
      </c>
      <c r="D36" s="154" t="s">
        <v>343</v>
      </c>
      <c r="F36" s="147">
        <v>23127</v>
      </c>
      <c r="G36" s="147">
        <v>25429</v>
      </c>
      <c r="H36" s="147">
        <v>26541</v>
      </c>
      <c r="I36" s="147">
        <v>25005</v>
      </c>
      <c r="J36" s="147"/>
      <c r="K36" s="147"/>
      <c r="L36" s="147"/>
      <c r="M36" s="147"/>
      <c r="N36" s="147"/>
      <c r="O36" s="147"/>
      <c r="P36" s="147"/>
      <c r="Q36" s="147"/>
      <c r="S36" s="147">
        <v>141780</v>
      </c>
      <c r="T36" s="147">
        <v>139109</v>
      </c>
      <c r="U36" s="147">
        <v>167127</v>
      </c>
      <c r="V36" s="147">
        <v>161070</v>
      </c>
      <c r="W36" s="147"/>
      <c r="X36" s="147"/>
      <c r="Y36" s="147"/>
      <c r="Z36" s="147"/>
      <c r="AA36" s="147"/>
      <c r="AB36" s="147"/>
      <c r="AC36" s="147"/>
      <c r="AD36" s="147"/>
      <c r="AF36" s="148">
        <f t="shared" si="3"/>
        <v>0.16311891663140077</v>
      </c>
      <c r="AG36" s="148">
        <f t="shared" si="3"/>
        <v>0.18279909998634164</v>
      </c>
      <c r="AH36" s="148">
        <f t="shared" si="3"/>
        <v>0.15880737403292108</v>
      </c>
      <c r="AI36" s="234">
        <f t="shared" si="3"/>
        <v>0.15524306202272303</v>
      </c>
      <c r="AJ36" s="234" t="str">
        <f t="shared" si="3"/>
        <v/>
      </c>
      <c r="AK36" s="234" t="str">
        <f t="shared" si="3"/>
        <v/>
      </c>
      <c r="AL36" s="148" t="str">
        <f t="shared" si="3"/>
        <v/>
      </c>
      <c r="AM36" s="148" t="str">
        <f t="shared" si="3"/>
        <v/>
      </c>
      <c r="AN36" s="148" t="str">
        <f t="shared" si="3"/>
        <v/>
      </c>
      <c r="AO36" s="148" t="str">
        <f t="shared" si="3"/>
        <v/>
      </c>
      <c r="AP36" s="148" t="str">
        <f t="shared" si="3"/>
        <v/>
      </c>
      <c r="AQ36" s="148" t="str">
        <f t="shared" si="3"/>
        <v/>
      </c>
    </row>
    <row r="37" spans="2:43" x14ac:dyDescent="0.35">
      <c r="B37" s="17"/>
      <c r="C37" s="225">
        <v>20608280333</v>
      </c>
      <c r="D37" s="154" t="s">
        <v>344</v>
      </c>
      <c r="F37" s="147">
        <v>2862804</v>
      </c>
      <c r="G37" s="147">
        <v>2935538</v>
      </c>
      <c r="H37" s="147">
        <v>3569444</v>
      </c>
      <c r="I37" s="147">
        <v>3518248</v>
      </c>
      <c r="J37" s="147"/>
      <c r="K37" s="147"/>
      <c r="L37" s="147"/>
      <c r="M37" s="147"/>
      <c r="N37" s="147"/>
      <c r="O37" s="147"/>
      <c r="P37" s="147"/>
      <c r="Q37" s="147"/>
      <c r="S37" s="147">
        <v>21609532</v>
      </c>
      <c r="T37" s="147">
        <v>22172871</v>
      </c>
      <c r="U37" s="147">
        <v>27127502</v>
      </c>
      <c r="V37" s="147">
        <v>26646261</v>
      </c>
      <c r="W37" s="147"/>
      <c r="X37" s="147"/>
      <c r="Y37" s="147"/>
      <c r="Z37" s="147"/>
      <c r="AA37" s="147"/>
      <c r="AB37" s="147"/>
      <c r="AC37" s="147"/>
      <c r="AD37" s="147"/>
      <c r="AF37" s="148">
        <f t="shared" si="3"/>
        <v>0.13247875983616861</v>
      </c>
      <c r="AG37" s="148">
        <f t="shared" si="3"/>
        <v>0.13239322954614222</v>
      </c>
      <c r="AH37" s="148">
        <f t="shared" si="3"/>
        <v>0.13158026861448577</v>
      </c>
      <c r="AI37" s="234">
        <f t="shared" si="3"/>
        <v>0.13203533508885168</v>
      </c>
      <c r="AJ37" s="234" t="str">
        <f t="shared" si="3"/>
        <v/>
      </c>
      <c r="AK37" s="234" t="str">
        <f t="shared" si="3"/>
        <v/>
      </c>
      <c r="AL37" s="148" t="str">
        <f t="shared" si="3"/>
        <v/>
      </c>
      <c r="AM37" s="148" t="str">
        <f t="shared" si="3"/>
        <v/>
      </c>
      <c r="AN37" s="148" t="str">
        <f t="shared" si="3"/>
        <v/>
      </c>
      <c r="AO37" s="148" t="str">
        <f t="shared" si="3"/>
        <v/>
      </c>
      <c r="AP37" s="148" t="str">
        <f t="shared" si="3"/>
        <v/>
      </c>
      <c r="AQ37" s="148" t="str">
        <f t="shared" si="3"/>
        <v/>
      </c>
    </row>
    <row r="38" spans="2:43" x14ac:dyDescent="0.35">
      <c r="B38" s="17"/>
      <c r="C38" s="225">
        <v>20608438611</v>
      </c>
      <c r="D38" s="154" t="s">
        <v>345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F38" s="148" t="str">
        <f t="shared" si="3"/>
        <v/>
      </c>
      <c r="AG38" s="148" t="str">
        <f t="shared" si="3"/>
        <v/>
      </c>
      <c r="AH38" s="148" t="str">
        <f t="shared" si="3"/>
        <v/>
      </c>
      <c r="AI38" s="234" t="str">
        <f t="shared" si="3"/>
        <v/>
      </c>
      <c r="AJ38" s="234" t="str">
        <f t="shared" si="3"/>
        <v/>
      </c>
      <c r="AK38" s="234" t="str">
        <f t="shared" si="3"/>
        <v/>
      </c>
      <c r="AL38" s="148" t="str">
        <f t="shared" si="3"/>
        <v/>
      </c>
      <c r="AM38" s="148" t="str">
        <f t="shared" si="3"/>
        <v/>
      </c>
      <c r="AN38" s="148" t="str">
        <f t="shared" si="3"/>
        <v/>
      </c>
      <c r="AO38" s="148" t="str">
        <f t="shared" si="3"/>
        <v/>
      </c>
      <c r="AP38" s="148" t="str">
        <f t="shared" si="3"/>
        <v/>
      </c>
      <c r="AQ38" s="148" t="str">
        <f t="shared" si="3"/>
        <v/>
      </c>
    </row>
    <row r="39" spans="2:43" x14ac:dyDescent="0.35">
      <c r="B39" s="17"/>
      <c r="C39" s="225">
        <v>20532795118</v>
      </c>
      <c r="D39" s="154" t="s">
        <v>346</v>
      </c>
      <c r="F39" s="147">
        <v>3653</v>
      </c>
      <c r="G39" s="147"/>
      <c r="H39" s="147">
        <v>7584</v>
      </c>
      <c r="I39" s="147"/>
      <c r="J39" s="147"/>
      <c r="K39" s="147"/>
      <c r="L39" s="147"/>
      <c r="M39" s="147"/>
      <c r="N39" s="147"/>
      <c r="O39" s="147"/>
      <c r="P39" s="147"/>
      <c r="Q39" s="147"/>
      <c r="S39" s="147">
        <v>19268</v>
      </c>
      <c r="T39" s="147"/>
      <c r="U39" s="147">
        <v>31312</v>
      </c>
      <c r="V39" s="147"/>
      <c r="W39" s="147"/>
      <c r="X39" s="147"/>
      <c r="Y39" s="147"/>
      <c r="Z39" s="147"/>
      <c r="AA39" s="147"/>
      <c r="AB39" s="147"/>
      <c r="AC39" s="147"/>
      <c r="AD39" s="147"/>
      <c r="AF39" s="148">
        <f t="shared" si="3"/>
        <v>0.18958895578160681</v>
      </c>
      <c r="AG39" s="148" t="str">
        <f t="shared" si="3"/>
        <v/>
      </c>
      <c r="AH39" s="148">
        <f t="shared" si="3"/>
        <v>0.24220746039856925</v>
      </c>
      <c r="AI39" s="234" t="str">
        <f t="shared" si="3"/>
        <v/>
      </c>
      <c r="AJ39" s="234" t="str">
        <f t="shared" si="3"/>
        <v/>
      </c>
      <c r="AK39" s="234" t="str">
        <f t="shared" si="3"/>
        <v/>
      </c>
      <c r="AL39" s="148" t="str">
        <f t="shared" si="3"/>
        <v/>
      </c>
      <c r="AM39" s="148" t="str">
        <f t="shared" si="3"/>
        <v/>
      </c>
      <c r="AN39" s="148" t="str">
        <f t="shared" si="3"/>
        <v/>
      </c>
      <c r="AO39" s="148" t="str">
        <f t="shared" si="3"/>
        <v/>
      </c>
      <c r="AP39" s="148" t="str">
        <f t="shared" si="3"/>
        <v/>
      </c>
      <c r="AQ39" s="148" t="str">
        <f t="shared" si="3"/>
        <v/>
      </c>
    </row>
    <row r="40" spans="2:43" x14ac:dyDescent="0.35">
      <c r="B40" s="17"/>
      <c r="C40" s="225">
        <v>20563023369</v>
      </c>
      <c r="D40" s="154" t="s">
        <v>347</v>
      </c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F40" s="148" t="str">
        <f t="shared" si="3"/>
        <v/>
      </c>
      <c r="AG40" s="148" t="str">
        <f t="shared" si="3"/>
        <v/>
      </c>
      <c r="AH40" s="148" t="str">
        <f t="shared" si="3"/>
        <v/>
      </c>
      <c r="AI40" s="234" t="str">
        <f t="shared" si="3"/>
        <v/>
      </c>
      <c r="AJ40" s="234" t="str">
        <f t="shared" si="3"/>
        <v/>
      </c>
      <c r="AK40" s="234" t="str">
        <f t="shared" si="3"/>
        <v/>
      </c>
      <c r="AL40" s="148" t="str">
        <f t="shared" si="3"/>
        <v/>
      </c>
      <c r="AM40" s="148" t="str">
        <f t="shared" si="3"/>
        <v/>
      </c>
      <c r="AN40" s="148" t="str">
        <f t="shared" si="3"/>
        <v/>
      </c>
      <c r="AO40" s="148" t="str">
        <f t="shared" si="3"/>
        <v/>
      </c>
      <c r="AP40" s="148" t="str">
        <f t="shared" si="3"/>
        <v/>
      </c>
      <c r="AQ40" s="148" t="str">
        <f t="shared" si="3"/>
        <v/>
      </c>
    </row>
    <row r="41" spans="2:43" x14ac:dyDescent="0.35">
      <c r="B41" s="17"/>
      <c r="C41" s="225">
        <v>20447849047</v>
      </c>
      <c r="D41" s="154" t="s">
        <v>348</v>
      </c>
      <c r="F41" s="147">
        <v>10047</v>
      </c>
      <c r="G41" s="147">
        <v>12583</v>
      </c>
      <c r="H41" s="147">
        <v>14091</v>
      </c>
      <c r="I41" s="147">
        <v>12289</v>
      </c>
      <c r="J41" s="147"/>
      <c r="K41" s="147"/>
      <c r="L41" s="147"/>
      <c r="M41" s="147"/>
      <c r="N41" s="147"/>
      <c r="O41" s="147"/>
      <c r="P41" s="147"/>
      <c r="Q41" s="147"/>
      <c r="S41" s="147">
        <v>42117</v>
      </c>
      <c r="T41" s="147">
        <v>42329</v>
      </c>
      <c r="U41" s="147">
        <v>51206</v>
      </c>
      <c r="V41" s="147">
        <v>46270</v>
      </c>
      <c r="W41" s="147"/>
      <c r="X41" s="147"/>
      <c r="Y41" s="147"/>
      <c r="Z41" s="147"/>
      <c r="AA41" s="147"/>
      <c r="AB41" s="147"/>
      <c r="AC41" s="147"/>
      <c r="AD41" s="147"/>
      <c r="AF41" s="148">
        <f t="shared" si="3"/>
        <v>0.23854975425600114</v>
      </c>
      <c r="AG41" s="148">
        <f t="shared" si="3"/>
        <v>0.29726664934205865</v>
      </c>
      <c r="AH41" s="148">
        <f t="shared" si="3"/>
        <v>0.27518259578955589</v>
      </c>
      <c r="AI41" s="234">
        <f t="shared" si="3"/>
        <v>0.26559325696995895</v>
      </c>
      <c r="AJ41" s="234" t="str">
        <f t="shared" si="3"/>
        <v/>
      </c>
      <c r="AK41" s="234" t="str">
        <f t="shared" si="3"/>
        <v/>
      </c>
      <c r="AL41" s="148" t="str">
        <f t="shared" si="3"/>
        <v/>
      </c>
      <c r="AM41" s="148" t="str">
        <f t="shared" si="3"/>
        <v/>
      </c>
      <c r="AN41" s="148" t="str">
        <f t="shared" si="3"/>
        <v/>
      </c>
      <c r="AO41" s="148" t="str">
        <f t="shared" si="3"/>
        <v/>
      </c>
      <c r="AP41" s="148" t="str">
        <f t="shared" si="3"/>
        <v/>
      </c>
      <c r="AQ41" s="148" t="str">
        <f t="shared" si="3"/>
        <v/>
      </c>
    </row>
    <row r="42" spans="2:43" x14ac:dyDescent="0.35">
      <c r="B42" s="17"/>
      <c r="C42" s="225">
        <v>20450752496</v>
      </c>
      <c r="D42" s="154" t="s">
        <v>349</v>
      </c>
      <c r="F42" s="147">
        <v>47606</v>
      </c>
      <c r="G42" s="147"/>
      <c r="H42" s="147">
        <v>61215</v>
      </c>
      <c r="I42" s="147"/>
      <c r="J42" s="147"/>
      <c r="K42" s="147"/>
      <c r="L42" s="147"/>
      <c r="M42" s="147"/>
      <c r="N42" s="147"/>
      <c r="O42" s="147"/>
      <c r="P42" s="147"/>
      <c r="Q42" s="147"/>
      <c r="S42" s="147">
        <v>263279</v>
      </c>
      <c r="T42" s="147"/>
      <c r="U42" s="147">
        <v>287401</v>
      </c>
      <c r="V42" s="147"/>
      <c r="W42" s="147"/>
      <c r="X42" s="147"/>
      <c r="Y42" s="147"/>
      <c r="Z42" s="147"/>
      <c r="AA42" s="147"/>
      <c r="AB42" s="147"/>
      <c r="AC42" s="147"/>
      <c r="AD42" s="147"/>
      <c r="AF42" s="148">
        <f t="shared" si="3"/>
        <v>0.1808195868261426</v>
      </c>
      <c r="AG42" s="148" t="str">
        <f t="shared" si="3"/>
        <v/>
      </c>
      <c r="AH42" s="148">
        <f t="shared" si="3"/>
        <v>0.21299508352441363</v>
      </c>
      <c r="AI42" s="234" t="str">
        <f t="shared" si="3"/>
        <v/>
      </c>
      <c r="AJ42" s="234" t="str">
        <f t="shared" si="3"/>
        <v/>
      </c>
      <c r="AK42" s="234" t="str">
        <f t="shared" si="3"/>
        <v/>
      </c>
      <c r="AL42" s="148" t="str">
        <f t="shared" si="3"/>
        <v/>
      </c>
      <c r="AM42" s="148" t="str">
        <f t="shared" si="3"/>
        <v/>
      </c>
      <c r="AN42" s="148" t="str">
        <f t="shared" si="3"/>
        <v/>
      </c>
      <c r="AO42" s="148" t="str">
        <f t="shared" si="3"/>
        <v/>
      </c>
      <c r="AP42" s="148" t="str">
        <f t="shared" si="3"/>
        <v/>
      </c>
      <c r="AQ42" s="148" t="str">
        <f t="shared" si="3"/>
        <v/>
      </c>
    </row>
    <row r="43" spans="2:43" x14ac:dyDescent="0.35">
      <c r="B43" s="17"/>
      <c r="C43" s="225">
        <v>20558679761</v>
      </c>
      <c r="D43" s="154" t="s">
        <v>350</v>
      </c>
      <c r="F43" s="147">
        <v>3879</v>
      </c>
      <c r="G43" s="147"/>
      <c r="H43" s="147">
        <v>8745</v>
      </c>
      <c r="I43" s="147"/>
      <c r="J43" s="147"/>
      <c r="K43" s="147"/>
      <c r="L43" s="147"/>
      <c r="M43" s="147"/>
      <c r="N43" s="147"/>
      <c r="O43" s="147"/>
      <c r="P43" s="147"/>
      <c r="Q43" s="147"/>
      <c r="S43" s="147">
        <v>23279</v>
      </c>
      <c r="T43" s="147"/>
      <c r="U43" s="147">
        <v>40742</v>
      </c>
      <c r="V43" s="147"/>
      <c r="W43" s="147"/>
      <c r="X43" s="147"/>
      <c r="Y43" s="147"/>
      <c r="Z43" s="147"/>
      <c r="AA43" s="147"/>
      <c r="AB43" s="147"/>
      <c r="AC43" s="147"/>
      <c r="AD43" s="147"/>
      <c r="AF43" s="148">
        <f t="shared" si="3"/>
        <v>0.16663086902358348</v>
      </c>
      <c r="AG43" s="148" t="str">
        <f t="shared" si="3"/>
        <v/>
      </c>
      <c r="AH43" s="148">
        <f t="shared" si="3"/>
        <v>0.21464336556870062</v>
      </c>
      <c r="AI43" s="234" t="str">
        <f t="shared" si="3"/>
        <v/>
      </c>
      <c r="AJ43" s="234" t="str">
        <f t="shared" si="3"/>
        <v/>
      </c>
      <c r="AK43" s="234" t="str">
        <f t="shared" si="3"/>
        <v/>
      </c>
      <c r="AL43" s="148" t="str">
        <f t="shared" si="3"/>
        <v/>
      </c>
      <c r="AM43" s="148" t="str">
        <f t="shared" si="3"/>
        <v/>
      </c>
      <c r="AN43" s="148" t="str">
        <f t="shared" si="3"/>
        <v/>
      </c>
      <c r="AO43" s="148" t="str">
        <f t="shared" si="3"/>
        <v/>
      </c>
      <c r="AP43" s="148" t="str">
        <f t="shared" si="3"/>
        <v/>
      </c>
      <c r="AQ43" s="148" t="str">
        <f t="shared" si="3"/>
        <v/>
      </c>
    </row>
    <row r="44" spans="2:43" x14ac:dyDescent="0.35">
      <c r="B44" s="17"/>
      <c r="C44" s="229">
        <v>20601162050</v>
      </c>
      <c r="D44" s="154" t="s">
        <v>351</v>
      </c>
      <c r="F44" s="147">
        <v>30371</v>
      </c>
      <c r="G44" s="147">
        <v>22601</v>
      </c>
      <c r="H44" s="147">
        <v>31733</v>
      </c>
      <c r="I44" s="147">
        <v>34561</v>
      </c>
      <c r="J44" s="147"/>
      <c r="K44" s="147"/>
      <c r="L44" s="147"/>
      <c r="M44" s="147"/>
      <c r="N44" s="147"/>
      <c r="O44" s="147"/>
      <c r="P44" s="147"/>
      <c r="Q44" s="147"/>
      <c r="S44" s="147">
        <v>136846</v>
      </c>
      <c r="T44" s="147">
        <v>124337</v>
      </c>
      <c r="U44" s="147">
        <v>163611</v>
      </c>
      <c r="V44" s="147">
        <v>171623</v>
      </c>
      <c r="W44" s="147"/>
      <c r="X44" s="147"/>
      <c r="Y44" s="147"/>
      <c r="Z44" s="147"/>
      <c r="AA44" s="147"/>
      <c r="AB44" s="147"/>
      <c r="AC44" s="147"/>
      <c r="AD44" s="147"/>
      <c r="AF44" s="148">
        <f t="shared" si="3"/>
        <v>0.22193560644812416</v>
      </c>
      <c r="AG44" s="148">
        <f t="shared" si="3"/>
        <v>0.18177211932087795</v>
      </c>
      <c r="AH44" s="148">
        <f t="shared" si="3"/>
        <v>0.19395395175141036</v>
      </c>
      <c r="AI44" s="234">
        <f t="shared" si="3"/>
        <v>0.20137743775601172</v>
      </c>
      <c r="AJ44" s="234" t="str">
        <f t="shared" si="3"/>
        <v/>
      </c>
      <c r="AK44" s="234" t="str">
        <f t="shared" si="3"/>
        <v/>
      </c>
      <c r="AL44" s="148" t="str">
        <f t="shared" si="3"/>
        <v/>
      </c>
      <c r="AM44" s="148" t="str">
        <f t="shared" si="3"/>
        <v/>
      </c>
      <c r="AN44" s="148" t="str">
        <f t="shared" si="3"/>
        <v/>
      </c>
      <c r="AO44" s="148" t="str">
        <f t="shared" si="3"/>
        <v/>
      </c>
      <c r="AP44" s="148" t="str">
        <f t="shared" si="3"/>
        <v/>
      </c>
      <c r="AQ44" s="148" t="str">
        <f t="shared" si="3"/>
        <v/>
      </c>
    </row>
    <row r="45" spans="2:43" x14ac:dyDescent="0.35">
      <c r="B45" s="14" t="s">
        <v>352</v>
      </c>
      <c r="C45" s="227"/>
      <c r="D45" s="14"/>
      <c r="F45" s="149">
        <f t="shared" ref="F45:Q45" si="4">+SUM(F26:F44)</f>
        <v>21771724</v>
      </c>
      <c r="G45" s="149">
        <f t="shared" si="4"/>
        <v>21733572</v>
      </c>
      <c r="H45" s="149">
        <f t="shared" si="4"/>
        <v>26031983</v>
      </c>
      <c r="I45" s="149">
        <f t="shared" si="4"/>
        <v>23361534</v>
      </c>
      <c r="J45" s="149">
        <f t="shared" si="4"/>
        <v>0</v>
      </c>
      <c r="K45" s="149">
        <f t="shared" si="4"/>
        <v>0</v>
      </c>
      <c r="L45" s="149">
        <f t="shared" si="4"/>
        <v>0</v>
      </c>
      <c r="M45" s="149">
        <f t="shared" si="4"/>
        <v>0</v>
      </c>
      <c r="N45" s="149">
        <f t="shared" si="4"/>
        <v>0</v>
      </c>
      <c r="O45" s="149">
        <f t="shared" si="4"/>
        <v>0</v>
      </c>
      <c r="P45" s="149">
        <f t="shared" si="4"/>
        <v>0</v>
      </c>
      <c r="Q45" s="149">
        <f t="shared" si="4"/>
        <v>0</v>
      </c>
      <c r="S45" s="149">
        <f t="shared" ref="S45:AD45" si="5">+SUM(S26:S44)</f>
        <v>206515751</v>
      </c>
      <c r="T45" s="149">
        <f t="shared" si="5"/>
        <v>212947509</v>
      </c>
      <c r="U45" s="149">
        <f t="shared" si="5"/>
        <v>267212015</v>
      </c>
      <c r="V45" s="149">
        <f t="shared" si="5"/>
        <v>254364251</v>
      </c>
      <c r="W45" s="149">
        <f t="shared" si="5"/>
        <v>0</v>
      </c>
      <c r="X45" s="149">
        <f t="shared" si="5"/>
        <v>0</v>
      </c>
      <c r="Y45" s="149">
        <f t="shared" si="5"/>
        <v>0</v>
      </c>
      <c r="Z45" s="149">
        <f t="shared" si="5"/>
        <v>0</v>
      </c>
      <c r="AA45" s="149">
        <f t="shared" si="5"/>
        <v>0</v>
      </c>
      <c r="AB45" s="149">
        <f t="shared" si="5"/>
        <v>0</v>
      </c>
      <c r="AC45" s="149">
        <f t="shared" si="5"/>
        <v>0</v>
      </c>
      <c r="AD45" s="149">
        <f t="shared" si="5"/>
        <v>0</v>
      </c>
      <c r="AF45" s="150">
        <f t="shared" si="3"/>
        <v>0.10542403615499527</v>
      </c>
      <c r="AG45" s="150">
        <f t="shared" si="3"/>
        <v>0.10206070078988339</v>
      </c>
      <c r="AH45" s="150">
        <f t="shared" si="3"/>
        <v>9.7420705427486112E-2</v>
      </c>
      <c r="AI45" s="235">
        <f t="shared" si="3"/>
        <v>9.1842835257537822E-2</v>
      </c>
      <c r="AJ45" s="235" t="str">
        <f t="shared" si="3"/>
        <v/>
      </c>
      <c r="AK45" s="235" t="str">
        <f t="shared" si="3"/>
        <v/>
      </c>
      <c r="AL45" s="150" t="str">
        <f t="shared" si="3"/>
        <v/>
      </c>
      <c r="AM45" s="150" t="str">
        <f t="shared" si="3"/>
        <v/>
      </c>
      <c r="AN45" s="150" t="str">
        <f t="shared" si="3"/>
        <v/>
      </c>
      <c r="AO45" s="150" t="str">
        <f t="shared" si="3"/>
        <v/>
      </c>
      <c r="AP45" s="150" t="str">
        <f t="shared" si="3"/>
        <v/>
      </c>
      <c r="AQ45" s="150" t="str">
        <f t="shared" si="3"/>
        <v/>
      </c>
    </row>
    <row r="46" spans="2:43" x14ac:dyDescent="0.35">
      <c r="AF46" s="148"/>
      <c r="AG46" s="148"/>
      <c r="AH46" s="148"/>
      <c r="AI46" s="234"/>
      <c r="AJ46" s="234"/>
      <c r="AK46" s="234"/>
      <c r="AL46" s="148"/>
      <c r="AM46" s="148"/>
      <c r="AN46" s="148"/>
      <c r="AO46" s="148"/>
    </row>
    <row r="47" spans="2:43" s="15" customFormat="1" x14ac:dyDescent="0.35">
      <c r="B47" s="16" t="s">
        <v>89</v>
      </c>
      <c r="C47" s="228">
        <v>20127765279</v>
      </c>
      <c r="D47" s="15" t="s">
        <v>353</v>
      </c>
      <c r="F47" s="153">
        <v>4026139</v>
      </c>
      <c r="G47" s="153">
        <v>4153154</v>
      </c>
      <c r="H47" s="153">
        <v>5793416</v>
      </c>
      <c r="I47" s="153">
        <v>6197291</v>
      </c>
      <c r="J47" s="153"/>
      <c r="K47" s="153"/>
      <c r="L47" s="153"/>
      <c r="M47" s="153"/>
      <c r="N47" s="153"/>
      <c r="O47" s="153"/>
      <c r="P47" s="153"/>
      <c r="Q47" s="153"/>
      <c r="S47" s="153">
        <v>29174792</v>
      </c>
      <c r="T47" s="153">
        <v>29730178</v>
      </c>
      <c r="U47" s="153">
        <v>42204834</v>
      </c>
      <c r="V47" s="153">
        <v>43655060</v>
      </c>
      <c r="W47" s="153"/>
      <c r="X47" s="153"/>
      <c r="Y47" s="153"/>
      <c r="Z47" s="153"/>
      <c r="AA47" s="153"/>
      <c r="AB47" s="153"/>
      <c r="AC47" s="153"/>
      <c r="AD47" s="153"/>
      <c r="AF47" s="148">
        <f t="shared" ref="AF47:AQ66" si="6">+IFERROR(F47/S47,"")</f>
        <v>0.1380006068252346</v>
      </c>
      <c r="AG47" s="148">
        <f t="shared" si="6"/>
        <v>0.13969489183684</v>
      </c>
      <c r="AH47" s="148">
        <f t="shared" si="6"/>
        <v>0.13726901520332954</v>
      </c>
      <c r="AI47" s="234">
        <f t="shared" si="6"/>
        <v>0.14196042795497246</v>
      </c>
      <c r="AJ47" s="238" t="str">
        <f t="shared" si="6"/>
        <v/>
      </c>
      <c r="AK47" s="238" t="str">
        <f t="shared" si="6"/>
        <v/>
      </c>
      <c r="AL47" s="239" t="str">
        <f t="shared" si="6"/>
        <v/>
      </c>
      <c r="AM47" s="148" t="str">
        <f t="shared" si="6"/>
        <v/>
      </c>
      <c r="AN47" s="148" t="str">
        <f t="shared" si="6"/>
        <v/>
      </c>
      <c r="AO47" s="148" t="str">
        <f t="shared" si="6"/>
        <v/>
      </c>
      <c r="AP47" s="148" t="str">
        <f t="shared" si="6"/>
        <v/>
      </c>
      <c r="AQ47" s="148" t="str">
        <f t="shared" si="6"/>
        <v/>
      </c>
    </row>
    <row r="48" spans="2:43" x14ac:dyDescent="0.35">
      <c r="B48" s="17"/>
      <c r="C48" s="225">
        <v>20503840121</v>
      </c>
      <c r="D48" s="154" t="s">
        <v>354</v>
      </c>
      <c r="F48" s="147">
        <v>1301636</v>
      </c>
      <c r="G48" s="147">
        <v>1273553</v>
      </c>
      <c r="H48" s="147">
        <v>1911266</v>
      </c>
      <c r="I48" s="147">
        <v>1746133</v>
      </c>
      <c r="J48" s="147"/>
      <c r="K48" s="147"/>
      <c r="L48" s="147"/>
      <c r="M48" s="147"/>
      <c r="N48" s="147"/>
      <c r="O48" s="147"/>
      <c r="P48" s="147"/>
      <c r="Q48" s="147"/>
      <c r="S48" s="147">
        <v>10347212</v>
      </c>
      <c r="T48" s="147">
        <v>10756632</v>
      </c>
      <c r="U48" s="147">
        <v>17154270</v>
      </c>
      <c r="V48" s="147">
        <v>16144122</v>
      </c>
      <c r="W48" s="147"/>
      <c r="X48" s="147"/>
      <c r="Y48" s="147"/>
      <c r="Z48" s="147"/>
      <c r="AA48" s="147"/>
      <c r="AB48" s="147"/>
      <c r="AC48" s="147"/>
      <c r="AD48" s="147"/>
      <c r="AF48" s="148">
        <f t="shared" si="6"/>
        <v>0.12579581823586874</v>
      </c>
      <c r="AG48" s="148">
        <f t="shared" si="6"/>
        <v>0.11839700382052672</v>
      </c>
      <c r="AH48" s="148">
        <f t="shared" si="6"/>
        <v>0.11141634123748781</v>
      </c>
      <c r="AI48" s="234">
        <f t="shared" si="6"/>
        <v>0.10815905628066984</v>
      </c>
      <c r="AJ48" s="234" t="str">
        <f t="shared" si="6"/>
        <v/>
      </c>
      <c r="AK48" s="234" t="str">
        <f t="shared" si="6"/>
        <v/>
      </c>
      <c r="AL48" s="148" t="str">
        <f t="shared" si="6"/>
        <v/>
      </c>
      <c r="AM48" s="148" t="str">
        <f t="shared" si="6"/>
        <v/>
      </c>
      <c r="AN48" s="148" t="str">
        <f t="shared" si="6"/>
        <v/>
      </c>
      <c r="AO48" s="148" t="str">
        <f t="shared" si="6"/>
        <v/>
      </c>
      <c r="AP48" s="148" t="str">
        <f t="shared" si="6"/>
        <v/>
      </c>
      <c r="AQ48" s="148" t="str">
        <f t="shared" si="6"/>
        <v/>
      </c>
    </row>
    <row r="49" spans="2:43" x14ac:dyDescent="0.35">
      <c r="B49" s="17"/>
      <c r="C49" s="225">
        <v>20377674686</v>
      </c>
      <c r="D49" s="154" t="s">
        <v>355</v>
      </c>
      <c r="F49" s="147">
        <v>77241</v>
      </c>
      <c r="G49" s="147">
        <v>70107</v>
      </c>
      <c r="H49" s="147">
        <v>124975</v>
      </c>
      <c r="I49" s="147">
        <v>155651</v>
      </c>
      <c r="J49" s="147"/>
      <c r="K49" s="147"/>
      <c r="L49" s="147"/>
      <c r="M49" s="147"/>
      <c r="N49" s="147"/>
      <c r="O49" s="147"/>
      <c r="P49" s="147"/>
      <c r="Q49" s="147"/>
      <c r="S49" s="147">
        <v>607946</v>
      </c>
      <c r="T49" s="147">
        <v>554800</v>
      </c>
      <c r="U49" s="147">
        <v>954719</v>
      </c>
      <c r="V49" s="147">
        <v>1102133</v>
      </c>
      <c r="W49" s="147"/>
      <c r="X49" s="147"/>
      <c r="Y49" s="147"/>
      <c r="Z49" s="147"/>
      <c r="AA49" s="147"/>
      <c r="AB49" s="147"/>
      <c r="AC49" s="147"/>
      <c r="AD49" s="147"/>
      <c r="AF49" s="148">
        <f t="shared" si="6"/>
        <v>0.12705240268050122</v>
      </c>
      <c r="AG49" s="148">
        <f t="shared" si="6"/>
        <v>0.1263644556596972</v>
      </c>
      <c r="AH49" s="148">
        <f t="shared" si="6"/>
        <v>0.13090239117478547</v>
      </c>
      <c r="AI49" s="234">
        <f t="shared" si="6"/>
        <v>0.14122705698858487</v>
      </c>
      <c r="AJ49" s="234" t="str">
        <f t="shared" si="6"/>
        <v/>
      </c>
      <c r="AK49" s="234" t="str">
        <f t="shared" si="6"/>
        <v/>
      </c>
      <c r="AL49" s="148" t="str">
        <f t="shared" si="6"/>
        <v/>
      </c>
      <c r="AM49" s="148" t="str">
        <f t="shared" si="6"/>
        <v/>
      </c>
      <c r="AN49" s="148" t="str">
        <f t="shared" si="6"/>
        <v/>
      </c>
      <c r="AO49" s="148" t="str">
        <f t="shared" si="6"/>
        <v/>
      </c>
      <c r="AP49" s="148" t="str">
        <f t="shared" si="6"/>
        <v/>
      </c>
      <c r="AQ49" s="148" t="str">
        <f t="shared" si="6"/>
        <v/>
      </c>
    </row>
    <row r="50" spans="2:43" x14ac:dyDescent="0.35">
      <c r="B50" s="17"/>
      <c r="C50" s="225">
        <v>20291490388</v>
      </c>
      <c r="D50" s="154" t="s">
        <v>356</v>
      </c>
      <c r="F50" s="147">
        <v>405222</v>
      </c>
      <c r="G50" s="147">
        <v>359822</v>
      </c>
      <c r="H50" s="147">
        <v>655693</v>
      </c>
      <c r="I50" s="147">
        <v>634444</v>
      </c>
      <c r="J50" s="147"/>
      <c r="K50" s="147"/>
      <c r="L50" s="147"/>
      <c r="M50" s="147"/>
      <c r="N50" s="147"/>
      <c r="O50" s="147"/>
      <c r="P50" s="147"/>
      <c r="Q50" s="147"/>
      <c r="S50" s="147">
        <v>2182334</v>
      </c>
      <c r="T50" s="147">
        <v>2297324</v>
      </c>
      <c r="U50" s="147">
        <v>3589263</v>
      </c>
      <c r="V50" s="147">
        <v>3879016</v>
      </c>
      <c r="W50" s="147"/>
      <c r="X50" s="147"/>
      <c r="Y50" s="147"/>
      <c r="Z50" s="147"/>
      <c r="AA50" s="147"/>
      <c r="AB50" s="147"/>
      <c r="AC50" s="147"/>
      <c r="AD50" s="147"/>
      <c r="AF50" s="148">
        <f t="shared" si="6"/>
        <v>0.18568285147919614</v>
      </c>
      <c r="AG50" s="148">
        <f t="shared" si="6"/>
        <v>0.15662657944634714</v>
      </c>
      <c r="AH50" s="148">
        <f t="shared" si="6"/>
        <v>0.18268179289174408</v>
      </c>
      <c r="AI50" s="234">
        <f t="shared" si="6"/>
        <v>0.16355797449662493</v>
      </c>
      <c r="AJ50" s="234" t="str">
        <f t="shared" si="6"/>
        <v/>
      </c>
      <c r="AK50" s="234" t="str">
        <f t="shared" si="6"/>
        <v/>
      </c>
      <c r="AL50" s="148" t="str">
        <f t="shared" si="6"/>
        <v/>
      </c>
      <c r="AM50" s="148" t="str">
        <f t="shared" si="6"/>
        <v/>
      </c>
      <c r="AN50" s="148" t="str">
        <f t="shared" si="6"/>
        <v/>
      </c>
      <c r="AO50" s="148" t="str">
        <f t="shared" si="6"/>
        <v/>
      </c>
      <c r="AP50" s="148" t="str">
        <f t="shared" si="6"/>
        <v/>
      </c>
      <c r="AQ50" s="148" t="str">
        <f t="shared" si="6"/>
        <v/>
      </c>
    </row>
    <row r="51" spans="2:43" x14ac:dyDescent="0.35">
      <c r="B51" s="17"/>
      <c r="C51" s="225">
        <v>20119207640</v>
      </c>
      <c r="D51" s="154" t="s">
        <v>357</v>
      </c>
      <c r="F51" s="147">
        <v>177984</v>
      </c>
      <c r="G51" s="147">
        <v>187899</v>
      </c>
      <c r="H51" s="147">
        <v>256390</v>
      </c>
      <c r="I51" s="147">
        <v>343826</v>
      </c>
      <c r="J51" s="147"/>
      <c r="K51" s="147"/>
      <c r="L51" s="147"/>
      <c r="M51" s="147"/>
      <c r="N51" s="147"/>
      <c r="O51" s="147"/>
      <c r="P51" s="147"/>
      <c r="Q51" s="147"/>
      <c r="S51" s="147">
        <v>1319976</v>
      </c>
      <c r="T51" s="147">
        <v>1265076</v>
      </c>
      <c r="U51" s="147">
        <v>1627306</v>
      </c>
      <c r="V51" s="147">
        <v>1925154</v>
      </c>
      <c r="W51" s="147"/>
      <c r="X51" s="147"/>
      <c r="Y51" s="147"/>
      <c r="Z51" s="147"/>
      <c r="AA51" s="147"/>
      <c r="AB51" s="147"/>
      <c r="AC51" s="147"/>
      <c r="AD51" s="147"/>
      <c r="AF51" s="148">
        <f t="shared" si="6"/>
        <v>0.13483881525118638</v>
      </c>
      <c r="AG51" s="148">
        <f t="shared" si="6"/>
        <v>0.14852783548182086</v>
      </c>
      <c r="AH51" s="148">
        <f t="shared" si="6"/>
        <v>0.1575548790454899</v>
      </c>
      <c r="AI51" s="234">
        <f t="shared" si="6"/>
        <v>0.17859662136120019</v>
      </c>
      <c r="AJ51" s="234" t="str">
        <f t="shared" si="6"/>
        <v/>
      </c>
      <c r="AK51" s="234" t="str">
        <f t="shared" si="6"/>
        <v/>
      </c>
      <c r="AL51" s="148" t="str">
        <f t="shared" si="6"/>
        <v/>
      </c>
      <c r="AM51" s="148" t="str">
        <f t="shared" si="6"/>
        <v/>
      </c>
      <c r="AN51" s="148" t="str">
        <f t="shared" si="6"/>
        <v/>
      </c>
      <c r="AO51" s="148" t="str">
        <f t="shared" si="6"/>
        <v/>
      </c>
      <c r="AP51" s="148" t="str">
        <f t="shared" si="6"/>
        <v/>
      </c>
      <c r="AQ51" s="148" t="str">
        <f t="shared" si="6"/>
        <v/>
      </c>
    </row>
    <row r="52" spans="2:43" x14ac:dyDescent="0.35">
      <c r="B52" s="17"/>
      <c r="C52" s="225">
        <v>20506151547</v>
      </c>
      <c r="D52" s="154" t="s">
        <v>358</v>
      </c>
      <c r="F52" s="147">
        <v>143189</v>
      </c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S52" s="147">
        <v>880024</v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F52" s="148">
        <f t="shared" si="6"/>
        <v>0.16271033517267711</v>
      </c>
      <c r="AG52" s="148" t="str">
        <f t="shared" si="6"/>
        <v/>
      </c>
      <c r="AH52" s="148" t="str">
        <f t="shared" si="6"/>
        <v/>
      </c>
      <c r="AI52" s="234" t="str">
        <f t="shared" si="6"/>
        <v/>
      </c>
      <c r="AJ52" s="234" t="str">
        <f t="shared" si="6"/>
        <v/>
      </c>
      <c r="AK52" s="234" t="str">
        <f t="shared" si="6"/>
        <v/>
      </c>
      <c r="AL52" s="148" t="str">
        <f t="shared" si="6"/>
        <v/>
      </c>
      <c r="AM52" s="148" t="str">
        <f t="shared" si="6"/>
        <v/>
      </c>
      <c r="AN52" s="148" t="str">
        <f t="shared" si="6"/>
        <v/>
      </c>
      <c r="AO52" s="148" t="str">
        <f t="shared" si="6"/>
        <v/>
      </c>
      <c r="AP52" s="148" t="str">
        <f t="shared" si="6"/>
        <v/>
      </c>
      <c r="AQ52" s="148" t="str">
        <f t="shared" si="6"/>
        <v/>
      </c>
    </row>
    <row r="53" spans="2:43" x14ac:dyDescent="0.35">
      <c r="B53" s="17"/>
      <c r="C53" s="225">
        <v>20275873480</v>
      </c>
      <c r="D53" s="154" t="s">
        <v>359</v>
      </c>
      <c r="F53" s="147">
        <v>246753</v>
      </c>
      <c r="G53" s="147">
        <v>194751</v>
      </c>
      <c r="H53" s="147">
        <v>171529</v>
      </c>
      <c r="I53" s="147">
        <v>305542</v>
      </c>
      <c r="J53" s="147"/>
      <c r="K53" s="147"/>
      <c r="L53" s="147"/>
      <c r="M53" s="147"/>
      <c r="N53" s="147"/>
      <c r="O53" s="147"/>
      <c r="P53" s="147"/>
      <c r="Q53" s="147"/>
      <c r="S53" s="147">
        <v>1160456</v>
      </c>
      <c r="T53" s="147">
        <v>1230604</v>
      </c>
      <c r="U53" s="147">
        <v>1453077</v>
      </c>
      <c r="V53" s="147">
        <v>1450361</v>
      </c>
      <c r="W53" s="147"/>
      <c r="X53" s="147"/>
      <c r="Y53" s="147"/>
      <c r="Z53" s="147"/>
      <c r="AA53" s="147"/>
      <c r="AB53" s="147"/>
      <c r="AC53" s="147"/>
      <c r="AD53" s="147"/>
      <c r="AF53" s="148">
        <f t="shared" si="6"/>
        <v>0.21263451608677969</v>
      </c>
      <c r="AG53" s="148">
        <f t="shared" si="6"/>
        <v>0.15825643342618748</v>
      </c>
      <c r="AH53" s="148">
        <f t="shared" si="6"/>
        <v>0.11804536167044141</v>
      </c>
      <c r="AI53" s="234">
        <f t="shared" si="6"/>
        <v>0.21066617207715871</v>
      </c>
      <c r="AJ53" s="234" t="str">
        <f t="shared" si="6"/>
        <v/>
      </c>
      <c r="AK53" s="234" t="str">
        <f t="shared" si="6"/>
        <v/>
      </c>
      <c r="AL53" s="148" t="str">
        <f t="shared" si="6"/>
        <v/>
      </c>
      <c r="AM53" s="148" t="str">
        <f t="shared" si="6"/>
        <v/>
      </c>
      <c r="AN53" s="148" t="str">
        <f t="shared" si="6"/>
        <v/>
      </c>
      <c r="AO53" s="148" t="str">
        <f t="shared" si="6"/>
        <v/>
      </c>
      <c r="AP53" s="148" t="str">
        <f t="shared" si="6"/>
        <v/>
      </c>
      <c r="AQ53" s="148" t="str">
        <f t="shared" si="6"/>
        <v/>
      </c>
    </row>
    <row r="54" spans="2:43" x14ac:dyDescent="0.35">
      <c r="B54" s="17"/>
      <c r="C54" s="225">
        <v>20609781051</v>
      </c>
      <c r="D54" s="154" t="s">
        <v>360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F54" s="148" t="str">
        <f t="shared" si="6"/>
        <v/>
      </c>
      <c r="AG54" s="148" t="str">
        <f t="shared" si="6"/>
        <v/>
      </c>
      <c r="AH54" s="148" t="str">
        <f t="shared" si="6"/>
        <v/>
      </c>
      <c r="AI54" s="234" t="str">
        <f t="shared" si="6"/>
        <v/>
      </c>
      <c r="AJ54" s="234" t="str">
        <f t="shared" si="6"/>
        <v/>
      </c>
      <c r="AK54" s="234" t="str">
        <f t="shared" si="6"/>
        <v/>
      </c>
      <c r="AL54" s="148" t="str">
        <f t="shared" si="6"/>
        <v/>
      </c>
      <c r="AM54" s="148" t="str">
        <f t="shared" si="6"/>
        <v/>
      </c>
      <c r="AN54" s="148" t="str">
        <f t="shared" si="6"/>
        <v/>
      </c>
      <c r="AO54" s="148" t="str">
        <f t="shared" si="6"/>
        <v/>
      </c>
      <c r="AP54" s="148" t="str">
        <f t="shared" si="6"/>
        <v/>
      </c>
      <c r="AQ54" s="148" t="str">
        <f t="shared" si="6"/>
        <v/>
      </c>
    </row>
    <row r="55" spans="2:43" x14ac:dyDescent="0.35">
      <c r="B55" s="17"/>
      <c r="C55" s="225">
        <v>20514606774</v>
      </c>
      <c r="D55" s="154" t="s">
        <v>447</v>
      </c>
      <c r="F55" s="147">
        <v>59053</v>
      </c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S55" s="147">
        <v>98940</v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F55" s="148">
        <f t="shared" si="6"/>
        <v>0.59685668081665655</v>
      </c>
      <c r="AG55" s="148" t="str">
        <f t="shared" si="6"/>
        <v/>
      </c>
      <c r="AH55" s="148" t="str">
        <f t="shared" si="6"/>
        <v/>
      </c>
      <c r="AI55" s="234" t="str">
        <f t="shared" si="6"/>
        <v/>
      </c>
      <c r="AJ55" s="234" t="str">
        <f t="shared" si="6"/>
        <v/>
      </c>
      <c r="AK55" s="234" t="str">
        <f t="shared" si="6"/>
        <v/>
      </c>
      <c r="AL55" s="148" t="str">
        <f t="shared" si="6"/>
        <v/>
      </c>
      <c r="AM55" s="148" t="str">
        <f t="shared" si="6"/>
        <v/>
      </c>
      <c r="AN55" s="148" t="str">
        <f t="shared" si="6"/>
        <v/>
      </c>
      <c r="AO55" s="148" t="str">
        <f t="shared" si="6"/>
        <v/>
      </c>
      <c r="AP55" s="148" t="str">
        <f t="shared" si="6"/>
        <v/>
      </c>
      <c r="AQ55" s="148" t="str">
        <f t="shared" si="6"/>
        <v/>
      </c>
    </row>
    <row r="56" spans="2:43" x14ac:dyDescent="0.35">
      <c r="B56" s="17"/>
      <c r="C56" s="225">
        <v>20492197417</v>
      </c>
      <c r="D56" s="154" t="s">
        <v>448</v>
      </c>
      <c r="F56" s="147">
        <v>65518</v>
      </c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S56" s="147">
        <v>543333</v>
      </c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F56" s="148">
        <f t="shared" si="6"/>
        <v>0.120585350052362</v>
      </c>
      <c r="AG56" s="148" t="str">
        <f t="shared" si="6"/>
        <v/>
      </c>
      <c r="AH56" s="148" t="str">
        <f t="shared" si="6"/>
        <v/>
      </c>
      <c r="AI56" s="234" t="str">
        <f t="shared" si="6"/>
        <v/>
      </c>
      <c r="AJ56" s="234" t="str">
        <f t="shared" si="6"/>
        <v/>
      </c>
      <c r="AK56" s="234" t="str">
        <f t="shared" si="6"/>
        <v/>
      </c>
      <c r="AL56" s="148" t="str">
        <f t="shared" si="6"/>
        <v/>
      </c>
      <c r="AM56" s="148" t="str">
        <f t="shared" si="6"/>
        <v/>
      </c>
      <c r="AN56" s="148" t="str">
        <f t="shared" si="6"/>
        <v/>
      </c>
      <c r="AO56" s="148" t="str">
        <f t="shared" si="6"/>
        <v/>
      </c>
      <c r="AP56" s="148" t="str">
        <f t="shared" si="6"/>
        <v/>
      </c>
      <c r="AQ56" s="148" t="str">
        <f t="shared" si="6"/>
        <v/>
      </c>
    </row>
    <row r="57" spans="2:43" x14ac:dyDescent="0.35">
      <c r="B57" s="17"/>
      <c r="C57" s="225">
        <v>20101259448</v>
      </c>
      <c r="D57" s="154" t="s">
        <v>361</v>
      </c>
      <c r="F57" s="147">
        <v>72993</v>
      </c>
      <c r="G57" s="147">
        <v>50712</v>
      </c>
      <c r="H57" s="147">
        <v>64682</v>
      </c>
      <c r="I57" s="147">
        <v>62601</v>
      </c>
      <c r="J57" s="147"/>
      <c r="K57" s="147"/>
      <c r="L57" s="147"/>
      <c r="M57" s="147"/>
      <c r="N57" s="147"/>
      <c r="O57" s="147"/>
      <c r="P57" s="147"/>
      <c r="Q57" s="147"/>
      <c r="S57" s="147">
        <v>444639</v>
      </c>
      <c r="T57" s="147">
        <v>303188</v>
      </c>
      <c r="U57" s="147">
        <v>423669</v>
      </c>
      <c r="V57" s="147">
        <v>394730</v>
      </c>
      <c r="W57" s="147"/>
      <c r="X57" s="147"/>
      <c r="Y57" s="147"/>
      <c r="Z57" s="147"/>
      <c r="AA57" s="147"/>
      <c r="AB57" s="147"/>
      <c r="AC57" s="147"/>
      <c r="AD57" s="147"/>
      <c r="AF57" s="148">
        <f t="shared" si="6"/>
        <v>0.16416238791469034</v>
      </c>
      <c r="AG57" s="148">
        <f t="shared" si="6"/>
        <v>0.16726255656556327</v>
      </c>
      <c r="AH57" s="148">
        <f t="shared" si="6"/>
        <v>0.1526710710483892</v>
      </c>
      <c r="AI57" s="234">
        <f t="shared" si="6"/>
        <v>0.15859194892711473</v>
      </c>
      <c r="AJ57" s="234" t="str">
        <f t="shared" si="6"/>
        <v/>
      </c>
      <c r="AK57" s="234" t="str">
        <f t="shared" si="6"/>
        <v/>
      </c>
      <c r="AL57" s="148" t="str">
        <f t="shared" si="6"/>
        <v/>
      </c>
      <c r="AM57" s="148" t="str">
        <f t="shared" si="6"/>
        <v/>
      </c>
      <c r="AN57" s="148" t="str">
        <f t="shared" si="6"/>
        <v/>
      </c>
      <c r="AO57" s="148" t="str">
        <f t="shared" si="6"/>
        <v/>
      </c>
      <c r="AP57" s="148" t="str">
        <f t="shared" si="6"/>
        <v/>
      </c>
      <c r="AQ57" s="148" t="str">
        <f t="shared" si="6"/>
        <v/>
      </c>
    </row>
    <row r="58" spans="2:43" x14ac:dyDescent="0.35">
      <c r="B58" s="17"/>
      <c r="C58" s="225">
        <v>20348303636</v>
      </c>
      <c r="D58" s="154" t="s">
        <v>362</v>
      </c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F58" s="148" t="str">
        <f t="shared" si="6"/>
        <v/>
      </c>
      <c r="AG58" s="148" t="str">
        <f t="shared" si="6"/>
        <v/>
      </c>
      <c r="AH58" s="148" t="str">
        <f t="shared" si="6"/>
        <v/>
      </c>
      <c r="AI58" s="234" t="str">
        <f t="shared" si="6"/>
        <v/>
      </c>
      <c r="AJ58" s="234" t="str">
        <f t="shared" si="6"/>
        <v/>
      </c>
      <c r="AK58" s="234" t="str">
        <f t="shared" si="6"/>
        <v/>
      </c>
      <c r="AL58" s="148" t="str">
        <f t="shared" si="6"/>
        <v/>
      </c>
      <c r="AM58" s="148" t="str">
        <f t="shared" si="6"/>
        <v/>
      </c>
      <c r="AN58" s="148" t="str">
        <f t="shared" si="6"/>
        <v/>
      </c>
      <c r="AO58" s="148" t="str">
        <f t="shared" si="6"/>
        <v/>
      </c>
      <c r="AP58" s="148" t="str">
        <f t="shared" si="6"/>
        <v/>
      </c>
      <c r="AQ58" s="148" t="str">
        <f t="shared" si="6"/>
        <v/>
      </c>
    </row>
    <row r="59" spans="2:43" x14ac:dyDescent="0.35">
      <c r="B59" s="17"/>
      <c r="C59" s="225">
        <v>20109284786</v>
      </c>
      <c r="D59" s="154" t="s">
        <v>363</v>
      </c>
      <c r="F59" s="147">
        <v>57279</v>
      </c>
      <c r="G59" s="147">
        <v>64081</v>
      </c>
      <c r="H59" s="147">
        <v>107083</v>
      </c>
      <c r="I59" s="147">
        <v>105063</v>
      </c>
      <c r="J59" s="147"/>
      <c r="K59" s="147"/>
      <c r="L59" s="147"/>
      <c r="M59" s="147"/>
      <c r="N59" s="147"/>
      <c r="O59" s="147"/>
      <c r="P59" s="147"/>
      <c r="Q59" s="147"/>
      <c r="S59" s="147">
        <v>537343</v>
      </c>
      <c r="T59" s="147">
        <v>579994</v>
      </c>
      <c r="U59" s="147">
        <v>970619</v>
      </c>
      <c r="V59" s="147">
        <v>1005589</v>
      </c>
      <c r="W59" s="147"/>
      <c r="X59" s="147"/>
      <c r="Y59" s="147"/>
      <c r="Z59" s="147"/>
      <c r="AA59" s="147"/>
      <c r="AB59" s="147"/>
      <c r="AC59" s="147"/>
      <c r="AD59" s="147"/>
      <c r="AF59" s="148">
        <f t="shared" si="6"/>
        <v>0.106596717552848</v>
      </c>
      <c r="AG59" s="148">
        <f t="shared" si="6"/>
        <v>0.11048562571336945</v>
      </c>
      <c r="AH59" s="148">
        <f t="shared" si="6"/>
        <v>0.11032444244343043</v>
      </c>
      <c r="AI59" s="234">
        <f t="shared" si="6"/>
        <v>0.10447906649734633</v>
      </c>
      <c r="AJ59" s="234" t="str">
        <f t="shared" si="6"/>
        <v/>
      </c>
      <c r="AK59" s="234" t="str">
        <f t="shared" si="6"/>
        <v/>
      </c>
      <c r="AL59" s="148" t="str">
        <f t="shared" si="6"/>
        <v/>
      </c>
      <c r="AM59" s="148" t="str">
        <f t="shared" si="6"/>
        <v/>
      </c>
      <c r="AN59" s="148" t="str">
        <f t="shared" si="6"/>
        <v/>
      </c>
      <c r="AO59" s="148" t="str">
        <f t="shared" si="6"/>
        <v/>
      </c>
      <c r="AP59" s="148" t="str">
        <f t="shared" si="6"/>
        <v/>
      </c>
      <c r="AQ59" s="148" t="str">
        <f t="shared" si="6"/>
        <v/>
      </c>
    </row>
    <row r="60" spans="2:43" x14ac:dyDescent="0.35">
      <c r="B60" s="17"/>
      <c r="C60" s="225">
        <v>20268784625</v>
      </c>
      <c r="D60" s="154" t="s">
        <v>364</v>
      </c>
      <c r="F60" s="147">
        <v>103675</v>
      </c>
      <c r="G60" s="147"/>
      <c r="H60" s="147">
        <v>120087</v>
      </c>
      <c r="I60" s="147"/>
      <c r="J60" s="147"/>
      <c r="K60" s="147"/>
      <c r="L60" s="147"/>
      <c r="M60" s="147"/>
      <c r="N60" s="147"/>
      <c r="O60" s="147"/>
      <c r="P60" s="147"/>
      <c r="Q60" s="147"/>
      <c r="S60" s="147">
        <v>528516</v>
      </c>
      <c r="T60" s="147"/>
      <c r="U60" s="147">
        <v>629032</v>
      </c>
      <c r="V60" s="147"/>
      <c r="W60" s="147"/>
      <c r="X60" s="147"/>
      <c r="Y60" s="147"/>
      <c r="Z60" s="147"/>
      <c r="AA60" s="147"/>
      <c r="AB60" s="147"/>
      <c r="AC60" s="147"/>
      <c r="AD60" s="147"/>
      <c r="AF60" s="148">
        <f t="shared" si="6"/>
        <v>0.19616246244200744</v>
      </c>
      <c r="AG60" s="148" t="str">
        <f t="shared" si="6"/>
        <v/>
      </c>
      <c r="AH60" s="148">
        <f t="shared" si="6"/>
        <v>0.19090761678261201</v>
      </c>
      <c r="AI60" s="234" t="str">
        <f t="shared" si="6"/>
        <v/>
      </c>
      <c r="AJ60" s="234" t="str">
        <f t="shared" si="6"/>
        <v/>
      </c>
      <c r="AK60" s="234" t="str">
        <f t="shared" si="6"/>
        <v/>
      </c>
      <c r="AL60" s="148" t="str">
        <f t="shared" si="6"/>
        <v/>
      </c>
      <c r="AM60" s="148" t="str">
        <f t="shared" si="6"/>
        <v/>
      </c>
      <c r="AN60" s="148" t="str">
        <f t="shared" si="6"/>
        <v/>
      </c>
      <c r="AO60" s="148" t="str">
        <f t="shared" si="6"/>
        <v/>
      </c>
      <c r="AP60" s="148" t="str">
        <f t="shared" si="6"/>
        <v/>
      </c>
      <c r="AQ60" s="148" t="str">
        <f t="shared" si="6"/>
        <v/>
      </c>
    </row>
    <row r="61" spans="2:43" x14ac:dyDescent="0.35">
      <c r="B61" s="17"/>
      <c r="C61" s="225">
        <v>20147847727</v>
      </c>
      <c r="D61" s="154" t="s">
        <v>365</v>
      </c>
      <c r="F61" s="147">
        <v>64105</v>
      </c>
      <c r="G61" s="147">
        <v>70152</v>
      </c>
      <c r="H61" s="147">
        <v>105815</v>
      </c>
      <c r="I61" s="147">
        <v>113263</v>
      </c>
      <c r="J61" s="147"/>
      <c r="K61" s="147"/>
      <c r="L61" s="147"/>
      <c r="M61" s="147"/>
      <c r="N61" s="147"/>
      <c r="O61" s="147"/>
      <c r="P61" s="147"/>
      <c r="Q61" s="147"/>
      <c r="S61" s="147">
        <v>708102</v>
      </c>
      <c r="T61" s="147">
        <v>704832</v>
      </c>
      <c r="U61" s="147">
        <v>1180777</v>
      </c>
      <c r="V61" s="147">
        <v>1227857</v>
      </c>
      <c r="W61" s="147"/>
      <c r="X61" s="147"/>
      <c r="Y61" s="147"/>
      <c r="Z61" s="147"/>
      <c r="AA61" s="147"/>
      <c r="AB61" s="147"/>
      <c r="AC61" s="147"/>
      <c r="AD61" s="147"/>
      <c r="AF61" s="148">
        <f t="shared" si="6"/>
        <v>9.0530742746101553E-2</v>
      </c>
      <c r="AG61" s="148">
        <f t="shared" si="6"/>
        <v>9.9530100789975484E-2</v>
      </c>
      <c r="AH61" s="148">
        <f t="shared" si="6"/>
        <v>8.9614719798912071E-2</v>
      </c>
      <c r="AI61" s="234">
        <f t="shared" si="6"/>
        <v>9.2244455176783618E-2</v>
      </c>
      <c r="AJ61" s="234" t="str">
        <f t="shared" si="6"/>
        <v/>
      </c>
      <c r="AK61" s="234" t="str">
        <f t="shared" si="6"/>
        <v/>
      </c>
      <c r="AL61" s="148" t="str">
        <f t="shared" si="6"/>
        <v/>
      </c>
      <c r="AM61" s="148" t="str">
        <f t="shared" si="6"/>
        <v/>
      </c>
      <c r="AN61" s="148" t="str">
        <f t="shared" si="6"/>
        <v/>
      </c>
      <c r="AO61" s="148" t="str">
        <f t="shared" si="6"/>
        <v/>
      </c>
      <c r="AP61" s="148" t="str">
        <f t="shared" si="6"/>
        <v/>
      </c>
      <c r="AQ61" s="148" t="str">
        <f t="shared" si="6"/>
        <v/>
      </c>
    </row>
    <row r="62" spans="2:43" x14ac:dyDescent="0.35">
      <c r="B62" s="17"/>
      <c r="C62" s="225">
        <v>20334129595</v>
      </c>
      <c r="D62" s="154" t="s">
        <v>366</v>
      </c>
      <c r="F62" s="147">
        <v>83154</v>
      </c>
      <c r="G62" s="147">
        <v>70875</v>
      </c>
      <c r="H62" s="147">
        <v>109530</v>
      </c>
      <c r="I62" s="147">
        <v>110914</v>
      </c>
      <c r="J62" s="147"/>
      <c r="K62" s="147"/>
      <c r="L62" s="147"/>
      <c r="M62" s="147"/>
      <c r="N62" s="147"/>
      <c r="O62" s="147"/>
      <c r="P62" s="147"/>
      <c r="Q62" s="147"/>
      <c r="S62" s="147">
        <v>490422</v>
      </c>
      <c r="T62" s="147">
        <v>468503</v>
      </c>
      <c r="U62" s="147">
        <v>645330</v>
      </c>
      <c r="V62" s="147">
        <v>730254</v>
      </c>
      <c r="W62" s="147"/>
      <c r="X62" s="147"/>
      <c r="Y62" s="147"/>
      <c r="Z62" s="147"/>
      <c r="AA62" s="147"/>
      <c r="AB62" s="147"/>
      <c r="AC62" s="147"/>
      <c r="AD62" s="147"/>
      <c r="AF62" s="148">
        <f t="shared" si="6"/>
        <v>0.16955601502379583</v>
      </c>
      <c r="AG62" s="148">
        <f t="shared" si="6"/>
        <v>0.15127971432413453</v>
      </c>
      <c r="AH62" s="148">
        <f t="shared" si="6"/>
        <v>0.16972711635907209</v>
      </c>
      <c r="AI62" s="234">
        <f t="shared" si="6"/>
        <v>0.15188413894343611</v>
      </c>
      <c r="AJ62" s="234" t="str">
        <f t="shared" si="6"/>
        <v/>
      </c>
      <c r="AK62" s="234" t="str">
        <f t="shared" si="6"/>
        <v/>
      </c>
      <c r="AL62" s="148" t="str">
        <f t="shared" si="6"/>
        <v/>
      </c>
      <c r="AM62" s="148" t="str">
        <f t="shared" si="6"/>
        <v/>
      </c>
      <c r="AN62" s="148" t="str">
        <f t="shared" si="6"/>
        <v/>
      </c>
      <c r="AO62" s="148" t="str">
        <f t="shared" si="6"/>
        <v/>
      </c>
      <c r="AP62" s="148" t="str">
        <f t="shared" si="6"/>
        <v/>
      </c>
      <c r="AQ62" s="148" t="str">
        <f t="shared" si="6"/>
        <v/>
      </c>
    </row>
    <row r="63" spans="2:43" x14ac:dyDescent="0.35">
      <c r="B63" s="17"/>
      <c r="C63" s="225">
        <v>20602533281</v>
      </c>
      <c r="D63" s="154" t="s">
        <v>367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F63" s="148" t="str">
        <f t="shared" si="6"/>
        <v/>
      </c>
      <c r="AG63" s="148" t="str">
        <f t="shared" si="6"/>
        <v/>
      </c>
      <c r="AH63" s="148" t="str">
        <f t="shared" si="6"/>
        <v/>
      </c>
      <c r="AI63" s="234" t="str">
        <f t="shared" si="6"/>
        <v/>
      </c>
      <c r="AJ63" s="234" t="str">
        <f t="shared" si="6"/>
        <v/>
      </c>
      <c r="AK63" s="234" t="str">
        <f t="shared" si="6"/>
        <v/>
      </c>
      <c r="AL63" s="148" t="str">
        <f t="shared" si="6"/>
        <v/>
      </c>
      <c r="AM63" s="148" t="str">
        <f t="shared" si="6"/>
        <v/>
      </c>
      <c r="AN63" s="148" t="str">
        <f t="shared" si="6"/>
        <v/>
      </c>
      <c r="AO63" s="148" t="str">
        <f t="shared" si="6"/>
        <v/>
      </c>
      <c r="AP63" s="148" t="str">
        <f t="shared" si="6"/>
        <v/>
      </c>
      <c r="AQ63" s="148" t="str">
        <f t="shared" si="6"/>
        <v/>
      </c>
    </row>
    <row r="64" spans="2:43" x14ac:dyDescent="0.35">
      <c r="B64" s="17"/>
      <c r="C64" s="225">
        <v>20122386229</v>
      </c>
      <c r="D64" s="154" t="s">
        <v>368</v>
      </c>
      <c r="F64" s="147">
        <v>94363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S64" s="147">
        <v>568392</v>
      </c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F64" s="148">
        <f t="shared" si="6"/>
        <v>0.16601746681867444</v>
      </c>
      <c r="AG64" s="148" t="str">
        <f t="shared" si="6"/>
        <v/>
      </c>
      <c r="AH64" s="148" t="str">
        <f t="shared" si="6"/>
        <v/>
      </c>
      <c r="AI64" s="234" t="str">
        <f t="shared" si="6"/>
        <v/>
      </c>
      <c r="AJ64" s="234" t="str">
        <f t="shared" si="6"/>
        <v/>
      </c>
      <c r="AK64" s="234" t="str">
        <f t="shared" si="6"/>
        <v/>
      </c>
      <c r="AL64" s="148" t="str">
        <f t="shared" si="6"/>
        <v/>
      </c>
      <c r="AM64" s="148" t="str">
        <f t="shared" si="6"/>
        <v/>
      </c>
      <c r="AN64" s="148" t="str">
        <f t="shared" si="6"/>
        <v/>
      </c>
      <c r="AO64" s="148" t="str">
        <f t="shared" si="6"/>
        <v/>
      </c>
      <c r="AP64" s="148" t="str">
        <f t="shared" si="6"/>
        <v/>
      </c>
      <c r="AQ64" s="148" t="str">
        <f t="shared" si="6"/>
        <v/>
      </c>
    </row>
    <row r="65" spans="2:43" x14ac:dyDescent="0.35">
      <c r="B65" s="17"/>
      <c r="C65" s="225">
        <v>20545784158</v>
      </c>
      <c r="D65" s="154" t="s">
        <v>369</v>
      </c>
      <c r="F65" s="147">
        <v>10042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S65" s="147">
        <v>38090</v>
      </c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F65" s="148">
        <f t="shared" si="6"/>
        <v>0.26363875032817013</v>
      </c>
      <c r="AG65" s="148" t="str">
        <f t="shared" si="6"/>
        <v/>
      </c>
      <c r="AH65" s="148" t="str">
        <f t="shared" si="6"/>
        <v/>
      </c>
      <c r="AI65" s="234" t="str">
        <f t="shared" si="6"/>
        <v/>
      </c>
      <c r="AJ65" s="234" t="str">
        <f t="shared" si="6"/>
        <v/>
      </c>
      <c r="AK65" s="234" t="str">
        <f t="shared" si="6"/>
        <v/>
      </c>
      <c r="AL65" s="148" t="str">
        <f t="shared" si="6"/>
        <v/>
      </c>
      <c r="AM65" s="148" t="str">
        <f t="shared" si="6"/>
        <v/>
      </c>
      <c r="AN65" s="148" t="str">
        <f t="shared" si="6"/>
        <v/>
      </c>
      <c r="AO65" s="148" t="str">
        <f t="shared" si="6"/>
        <v/>
      </c>
      <c r="AP65" s="148" t="str">
        <f t="shared" si="6"/>
        <v/>
      </c>
      <c r="AQ65" s="148" t="str">
        <f t="shared" si="6"/>
        <v/>
      </c>
    </row>
    <row r="66" spans="2:43" x14ac:dyDescent="0.35">
      <c r="B66" s="14" t="s">
        <v>370</v>
      </c>
      <c r="C66" s="227"/>
      <c r="D66" s="14"/>
      <c r="F66" s="149">
        <f t="shared" ref="F66:Q66" si="7">+SUM(F47:F65)</f>
        <v>6988346</v>
      </c>
      <c r="G66" s="149">
        <f t="shared" si="7"/>
        <v>6495106</v>
      </c>
      <c r="H66" s="149">
        <f t="shared" si="7"/>
        <v>9420466</v>
      </c>
      <c r="I66" s="149">
        <f t="shared" si="7"/>
        <v>9774728</v>
      </c>
      <c r="J66" s="149">
        <f t="shared" si="7"/>
        <v>0</v>
      </c>
      <c r="K66" s="149">
        <f t="shared" si="7"/>
        <v>0</v>
      </c>
      <c r="L66" s="149">
        <f t="shared" si="7"/>
        <v>0</v>
      </c>
      <c r="M66" s="149">
        <f t="shared" si="7"/>
        <v>0</v>
      </c>
      <c r="N66" s="149">
        <f t="shared" si="7"/>
        <v>0</v>
      </c>
      <c r="O66" s="149">
        <f t="shared" si="7"/>
        <v>0</v>
      </c>
      <c r="P66" s="149">
        <f t="shared" si="7"/>
        <v>0</v>
      </c>
      <c r="Q66" s="149">
        <f t="shared" si="7"/>
        <v>0</v>
      </c>
      <c r="S66" s="149">
        <f t="shared" ref="S66:AD66" si="8">+SUM(S47:S65)</f>
        <v>49630517</v>
      </c>
      <c r="T66" s="149">
        <f t="shared" si="8"/>
        <v>47891131</v>
      </c>
      <c r="U66" s="149">
        <f t="shared" si="8"/>
        <v>70832896</v>
      </c>
      <c r="V66" s="149">
        <f t="shared" si="8"/>
        <v>71514276</v>
      </c>
      <c r="W66" s="149">
        <f t="shared" si="8"/>
        <v>0</v>
      </c>
      <c r="X66" s="149">
        <f t="shared" si="8"/>
        <v>0</v>
      </c>
      <c r="Y66" s="149">
        <f t="shared" si="8"/>
        <v>0</v>
      </c>
      <c r="Z66" s="149">
        <f t="shared" si="8"/>
        <v>0</v>
      </c>
      <c r="AA66" s="149">
        <f t="shared" si="8"/>
        <v>0</v>
      </c>
      <c r="AB66" s="149">
        <f t="shared" si="8"/>
        <v>0</v>
      </c>
      <c r="AC66" s="149">
        <f t="shared" si="8"/>
        <v>0</v>
      </c>
      <c r="AD66" s="149">
        <f t="shared" si="8"/>
        <v>0</v>
      </c>
      <c r="AF66" s="150">
        <f t="shared" si="6"/>
        <v>0.14080743910042284</v>
      </c>
      <c r="AG66" s="150">
        <f t="shared" si="6"/>
        <v>0.13562231386851148</v>
      </c>
      <c r="AH66" s="150">
        <f t="shared" si="6"/>
        <v>0.13299563524834562</v>
      </c>
      <c r="AI66" s="235">
        <f t="shared" si="6"/>
        <v>0.13668219195842798</v>
      </c>
      <c r="AJ66" s="235" t="str">
        <f t="shared" si="6"/>
        <v/>
      </c>
      <c r="AK66" s="235" t="str">
        <f t="shared" si="6"/>
        <v/>
      </c>
      <c r="AL66" s="150" t="str">
        <f t="shared" si="6"/>
        <v/>
      </c>
      <c r="AM66" s="150" t="str">
        <f t="shared" si="6"/>
        <v/>
      </c>
      <c r="AN66" s="150" t="str">
        <f t="shared" si="6"/>
        <v/>
      </c>
      <c r="AO66" s="150" t="str">
        <f t="shared" si="6"/>
        <v/>
      </c>
      <c r="AP66" s="150" t="str">
        <f t="shared" si="6"/>
        <v/>
      </c>
      <c r="AQ66" s="150" t="str">
        <f t="shared" si="6"/>
        <v/>
      </c>
    </row>
    <row r="67" spans="2:43" x14ac:dyDescent="0.35">
      <c r="B67" s="17"/>
      <c r="C67" s="225"/>
      <c r="D67" s="17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F67" s="152"/>
      <c r="AG67" s="152"/>
      <c r="AH67" s="152"/>
      <c r="AI67" s="236"/>
      <c r="AJ67" s="236"/>
      <c r="AK67" s="236"/>
      <c r="AL67" s="152"/>
      <c r="AM67" s="152"/>
      <c r="AN67" s="152"/>
      <c r="AO67" s="152"/>
    </row>
    <row r="68" spans="2:43" x14ac:dyDescent="0.35">
      <c r="B68" s="17" t="s">
        <v>90</v>
      </c>
      <c r="C68" s="225">
        <v>20608430301</v>
      </c>
      <c r="D68" s="154" t="s">
        <v>371</v>
      </c>
      <c r="F68" s="147">
        <v>6704901</v>
      </c>
      <c r="G68" s="147">
        <v>6126044</v>
      </c>
      <c r="H68" s="147">
        <v>7008410</v>
      </c>
      <c r="I68" s="147">
        <v>6792222</v>
      </c>
      <c r="J68" s="147"/>
      <c r="K68" s="147"/>
      <c r="L68" s="147"/>
      <c r="M68" s="147"/>
      <c r="N68" s="147"/>
      <c r="O68" s="147"/>
      <c r="P68" s="147"/>
      <c r="Q68" s="147"/>
      <c r="S68" s="147">
        <v>53884210</v>
      </c>
      <c r="T68" s="147">
        <v>49530605</v>
      </c>
      <c r="U68" s="147">
        <v>58021937</v>
      </c>
      <c r="V68" s="147">
        <v>54011822</v>
      </c>
      <c r="W68" s="147"/>
      <c r="X68" s="147"/>
      <c r="Y68" s="147"/>
      <c r="Z68" s="147"/>
      <c r="AA68" s="147"/>
      <c r="AB68" s="147"/>
      <c r="AC68" s="147"/>
      <c r="AD68" s="147"/>
      <c r="AF68" s="148">
        <f t="shared" ref="AF68:AQ88" si="9">+IFERROR(F68/S68,"")</f>
        <v>0.12443164704465372</v>
      </c>
      <c r="AG68" s="148">
        <f t="shared" si="9"/>
        <v>0.12368199419328715</v>
      </c>
      <c r="AH68" s="148">
        <f t="shared" si="9"/>
        <v>0.12078896986841374</v>
      </c>
      <c r="AI68" s="234">
        <f t="shared" si="9"/>
        <v>0.12575435799962459</v>
      </c>
      <c r="AJ68" s="234" t="str">
        <f t="shared" si="9"/>
        <v/>
      </c>
      <c r="AK68" s="234" t="str">
        <f t="shared" si="9"/>
        <v/>
      </c>
      <c r="AL68" s="148" t="str">
        <f t="shared" si="9"/>
        <v/>
      </c>
      <c r="AM68" s="148" t="str">
        <f t="shared" si="9"/>
        <v/>
      </c>
      <c r="AN68" s="148" t="str">
        <f t="shared" si="9"/>
        <v/>
      </c>
      <c r="AO68" s="148" t="str">
        <f t="shared" si="9"/>
        <v/>
      </c>
      <c r="AP68" s="148" t="str">
        <f t="shared" si="9"/>
        <v/>
      </c>
      <c r="AQ68" s="148" t="str">
        <f t="shared" si="9"/>
        <v/>
      </c>
    </row>
    <row r="69" spans="2:43" x14ac:dyDescent="0.35">
      <c r="B69" s="17"/>
      <c r="C69" s="225">
        <v>20512002090</v>
      </c>
      <c r="D69" s="154" t="s">
        <v>372</v>
      </c>
      <c r="F69" s="147">
        <v>6909486</v>
      </c>
      <c r="G69" s="147">
        <v>6325768</v>
      </c>
      <c r="H69" s="147">
        <v>7352418</v>
      </c>
      <c r="I69" s="147">
        <v>6919808</v>
      </c>
      <c r="J69" s="147"/>
      <c r="K69" s="147"/>
      <c r="L69" s="147"/>
      <c r="M69" s="147"/>
      <c r="N69" s="147"/>
      <c r="O69" s="147"/>
      <c r="P69" s="147"/>
      <c r="Q69" s="147"/>
      <c r="S69" s="147">
        <v>54217538</v>
      </c>
      <c r="T69" s="147">
        <v>49880405</v>
      </c>
      <c r="U69" s="147">
        <v>58471876</v>
      </c>
      <c r="V69" s="147">
        <v>54834946</v>
      </c>
      <c r="W69" s="147"/>
      <c r="X69" s="147"/>
      <c r="Y69" s="147"/>
      <c r="Z69" s="147"/>
      <c r="AA69" s="147"/>
      <c r="AB69" s="147"/>
      <c r="AC69" s="147"/>
      <c r="AD69" s="147"/>
      <c r="AF69" s="148">
        <f t="shared" si="9"/>
        <v>0.12744005454471208</v>
      </c>
      <c r="AG69" s="148">
        <f t="shared" si="9"/>
        <v>0.12681869764289203</v>
      </c>
      <c r="AH69" s="148">
        <f t="shared" si="9"/>
        <v>0.12574281009899529</v>
      </c>
      <c r="AI69" s="234">
        <f t="shared" si="9"/>
        <v>0.12619339499303966</v>
      </c>
      <c r="AJ69" s="234" t="str">
        <f t="shared" si="9"/>
        <v/>
      </c>
      <c r="AK69" s="234" t="str">
        <f t="shared" si="9"/>
        <v/>
      </c>
      <c r="AL69" s="148" t="str">
        <f t="shared" si="9"/>
        <v/>
      </c>
      <c r="AM69" s="148" t="str">
        <f t="shared" si="9"/>
        <v/>
      </c>
      <c r="AN69" s="148" t="str">
        <f t="shared" si="9"/>
        <v/>
      </c>
      <c r="AO69" s="148" t="str">
        <f t="shared" si="9"/>
        <v/>
      </c>
      <c r="AP69" s="148" t="str">
        <f t="shared" si="9"/>
        <v/>
      </c>
      <c r="AQ69" s="148" t="str">
        <f t="shared" si="9"/>
        <v/>
      </c>
    </row>
    <row r="70" spans="2:43" x14ac:dyDescent="0.35">
      <c r="B70" s="17"/>
      <c r="C70" s="225">
        <v>20384891943</v>
      </c>
      <c r="D70" s="154" t="s">
        <v>373</v>
      </c>
      <c r="F70" s="147">
        <v>550884</v>
      </c>
      <c r="G70" s="147">
        <v>504856</v>
      </c>
      <c r="H70" s="147">
        <v>607235</v>
      </c>
      <c r="I70" s="147">
        <v>601952</v>
      </c>
      <c r="J70" s="147"/>
      <c r="K70" s="147"/>
      <c r="L70" s="147"/>
      <c r="M70" s="147"/>
      <c r="N70" s="147"/>
      <c r="O70" s="147"/>
      <c r="P70" s="147"/>
      <c r="Q70" s="147"/>
      <c r="S70" s="147">
        <v>4187297</v>
      </c>
      <c r="T70" s="147">
        <v>3791286</v>
      </c>
      <c r="U70" s="147">
        <v>4661287</v>
      </c>
      <c r="V70" s="147">
        <v>4468120</v>
      </c>
      <c r="W70" s="147"/>
      <c r="X70" s="147"/>
      <c r="Y70" s="147"/>
      <c r="Z70" s="147"/>
      <c r="AA70" s="147"/>
      <c r="AB70" s="147"/>
      <c r="AC70" s="147"/>
      <c r="AD70" s="147"/>
      <c r="AF70" s="148">
        <f t="shared" si="9"/>
        <v>0.13156076581145307</v>
      </c>
      <c r="AG70" s="148">
        <f t="shared" si="9"/>
        <v>0.1331622040647949</v>
      </c>
      <c r="AH70" s="148">
        <f t="shared" si="9"/>
        <v>0.1302719613703254</v>
      </c>
      <c r="AI70" s="234">
        <f t="shared" si="9"/>
        <v>0.13472153836512896</v>
      </c>
      <c r="AJ70" s="234" t="str">
        <f t="shared" si="9"/>
        <v/>
      </c>
      <c r="AK70" s="234" t="str">
        <f t="shared" si="9"/>
        <v/>
      </c>
      <c r="AL70" s="148" t="str">
        <f t="shared" si="9"/>
        <v/>
      </c>
      <c r="AM70" s="148" t="str">
        <f t="shared" si="9"/>
        <v/>
      </c>
      <c r="AN70" s="148" t="str">
        <f t="shared" si="9"/>
        <v/>
      </c>
      <c r="AO70" s="148" t="str">
        <f t="shared" si="9"/>
        <v/>
      </c>
      <c r="AP70" s="148" t="str">
        <f t="shared" si="9"/>
        <v/>
      </c>
      <c r="AQ70" s="148" t="str">
        <f t="shared" si="9"/>
        <v/>
      </c>
    </row>
    <row r="71" spans="2:43" x14ac:dyDescent="0.35">
      <c r="B71" s="17"/>
      <c r="C71" s="225">
        <v>20531502508</v>
      </c>
      <c r="D71" s="154" t="s">
        <v>374</v>
      </c>
      <c r="F71" s="147">
        <v>342847</v>
      </c>
      <c r="G71" s="147">
        <v>290785</v>
      </c>
      <c r="H71" s="147">
        <v>363401</v>
      </c>
      <c r="I71" s="147">
        <v>347106</v>
      </c>
      <c r="J71" s="147"/>
      <c r="K71" s="147"/>
      <c r="L71" s="147"/>
      <c r="M71" s="147"/>
      <c r="N71" s="147"/>
      <c r="O71" s="147"/>
      <c r="P71" s="147"/>
      <c r="Q71" s="147"/>
      <c r="S71" s="147">
        <v>2136275</v>
      </c>
      <c r="T71" s="147">
        <v>1922243</v>
      </c>
      <c r="U71" s="147">
        <v>2319650</v>
      </c>
      <c r="V71" s="147">
        <v>2196450</v>
      </c>
      <c r="W71" s="147"/>
      <c r="X71" s="147"/>
      <c r="Y71" s="147"/>
      <c r="Z71" s="147"/>
      <c r="AA71" s="147"/>
      <c r="AB71" s="147"/>
      <c r="AC71" s="147"/>
      <c r="AD71" s="147"/>
      <c r="AF71" s="148">
        <f t="shared" si="9"/>
        <v>0.1604882330224339</v>
      </c>
      <c r="AG71" s="148">
        <f t="shared" si="9"/>
        <v>0.15127379836992513</v>
      </c>
      <c r="AH71" s="148">
        <f t="shared" si="9"/>
        <v>0.15666199642187398</v>
      </c>
      <c r="AI71" s="234">
        <f t="shared" si="9"/>
        <v>0.15803045823943182</v>
      </c>
      <c r="AJ71" s="234" t="str">
        <f t="shared" si="9"/>
        <v/>
      </c>
      <c r="AK71" s="234" t="str">
        <f t="shared" si="9"/>
        <v/>
      </c>
      <c r="AL71" s="148" t="str">
        <f t="shared" si="9"/>
        <v/>
      </c>
      <c r="AM71" s="148" t="str">
        <f t="shared" si="9"/>
        <v/>
      </c>
      <c r="AN71" s="148" t="str">
        <f t="shared" si="9"/>
        <v/>
      </c>
      <c r="AO71" s="148" t="str">
        <f t="shared" si="9"/>
        <v/>
      </c>
      <c r="AP71" s="148" t="str">
        <f t="shared" si="9"/>
        <v/>
      </c>
      <c r="AQ71" s="148" t="str">
        <f t="shared" si="9"/>
        <v/>
      </c>
    </row>
    <row r="72" spans="2:43" x14ac:dyDescent="0.35">
      <c r="B72" s="17"/>
      <c r="C72" s="225">
        <v>20515346113</v>
      </c>
      <c r="D72" s="154" t="s">
        <v>375</v>
      </c>
      <c r="F72" s="147">
        <v>411123</v>
      </c>
      <c r="G72" s="147">
        <v>385537</v>
      </c>
      <c r="H72" s="147">
        <v>436777</v>
      </c>
      <c r="I72" s="147">
        <v>418849</v>
      </c>
      <c r="J72" s="147"/>
      <c r="K72" s="147"/>
      <c r="L72" s="147"/>
      <c r="M72" s="147"/>
      <c r="N72" s="147"/>
      <c r="O72" s="147"/>
      <c r="P72" s="147"/>
      <c r="Q72" s="147"/>
      <c r="S72" s="147">
        <v>2751105</v>
      </c>
      <c r="T72" s="147">
        <v>2531485</v>
      </c>
      <c r="U72" s="147">
        <v>2928310</v>
      </c>
      <c r="V72" s="147">
        <v>2871523</v>
      </c>
      <c r="W72" s="147"/>
      <c r="X72" s="147"/>
      <c r="Y72" s="147"/>
      <c r="Z72" s="147"/>
      <c r="AA72" s="147"/>
      <c r="AB72" s="147"/>
      <c r="AC72" s="147"/>
      <c r="AD72" s="147"/>
      <c r="AF72" s="148">
        <f t="shared" si="9"/>
        <v>0.14943922532945852</v>
      </c>
      <c r="AG72" s="148">
        <f t="shared" si="9"/>
        <v>0.15229677442291778</v>
      </c>
      <c r="AH72" s="148">
        <f t="shared" si="9"/>
        <v>0.14915668081589722</v>
      </c>
      <c r="AI72" s="234">
        <f t="shared" si="9"/>
        <v>0.14586301415659914</v>
      </c>
      <c r="AJ72" s="234" t="str">
        <f t="shared" si="9"/>
        <v/>
      </c>
      <c r="AK72" s="234" t="str">
        <f t="shared" si="9"/>
        <v/>
      </c>
      <c r="AL72" s="148" t="str">
        <f t="shared" si="9"/>
        <v/>
      </c>
      <c r="AM72" s="148" t="str">
        <f t="shared" si="9"/>
        <v/>
      </c>
      <c r="AN72" s="148" t="str">
        <f t="shared" si="9"/>
        <v/>
      </c>
      <c r="AO72" s="148" t="str">
        <f t="shared" si="9"/>
        <v/>
      </c>
      <c r="AP72" s="148" t="str">
        <f t="shared" si="9"/>
        <v/>
      </c>
      <c r="AQ72" s="148" t="str">
        <f t="shared" si="9"/>
        <v/>
      </c>
    </row>
    <row r="73" spans="2:43" x14ac:dyDescent="0.35">
      <c r="B73" s="17"/>
      <c r="C73" s="225">
        <v>20515774182</v>
      </c>
      <c r="D73" s="154" t="s">
        <v>446</v>
      </c>
      <c r="F73" s="147">
        <v>125967</v>
      </c>
      <c r="G73" s="147">
        <v>79751</v>
      </c>
      <c r="H73" s="147">
        <v>39868</v>
      </c>
      <c r="I73" s="147">
        <v>24530</v>
      </c>
      <c r="J73" s="147"/>
      <c r="K73" s="147"/>
      <c r="L73" s="147"/>
      <c r="M73" s="147"/>
      <c r="N73" s="147"/>
      <c r="O73" s="147"/>
      <c r="P73" s="147"/>
      <c r="Q73" s="147"/>
      <c r="S73" s="147">
        <v>886634</v>
      </c>
      <c r="T73" s="147">
        <v>612195</v>
      </c>
      <c r="U73" s="147">
        <v>375561</v>
      </c>
      <c r="V73" s="147">
        <v>293597</v>
      </c>
      <c r="W73" s="147"/>
      <c r="X73" s="147"/>
      <c r="Y73" s="147"/>
      <c r="Z73" s="147"/>
      <c r="AA73" s="147"/>
      <c r="AB73" s="147"/>
      <c r="AC73" s="147"/>
      <c r="AD73" s="147"/>
      <c r="AF73" s="148">
        <f t="shared" si="9"/>
        <v>0.14207327939149639</v>
      </c>
      <c r="AG73" s="148">
        <f t="shared" si="9"/>
        <v>0.13027058371923977</v>
      </c>
      <c r="AH73" s="148">
        <f t="shared" si="9"/>
        <v>0.10615585750384092</v>
      </c>
      <c r="AI73" s="234">
        <f t="shared" si="9"/>
        <v>8.3549900033038485E-2</v>
      </c>
      <c r="AJ73" s="234" t="str">
        <f t="shared" si="9"/>
        <v/>
      </c>
      <c r="AK73" s="234" t="str">
        <f t="shared" si="9"/>
        <v/>
      </c>
      <c r="AL73" s="148" t="str">
        <f t="shared" si="9"/>
        <v/>
      </c>
      <c r="AM73" s="148" t="str">
        <f t="shared" si="9"/>
        <v/>
      </c>
      <c r="AN73" s="148" t="str">
        <f t="shared" si="9"/>
        <v/>
      </c>
      <c r="AO73" s="148" t="str">
        <f t="shared" si="9"/>
        <v/>
      </c>
      <c r="AP73" s="148" t="str">
        <f t="shared" si="9"/>
        <v/>
      </c>
      <c r="AQ73" s="148" t="str">
        <f t="shared" si="9"/>
        <v/>
      </c>
    </row>
    <row r="74" spans="2:43" x14ac:dyDescent="0.35">
      <c r="B74" s="17"/>
      <c r="C74" s="225">
        <v>20547141068</v>
      </c>
      <c r="D74" s="154" t="s">
        <v>376</v>
      </c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F74" s="148" t="str">
        <f t="shared" si="9"/>
        <v/>
      </c>
      <c r="AG74" s="148" t="str">
        <f t="shared" si="9"/>
        <v/>
      </c>
      <c r="AH74" s="148" t="str">
        <f t="shared" si="9"/>
        <v/>
      </c>
      <c r="AI74" s="234" t="str">
        <f t="shared" si="9"/>
        <v/>
      </c>
      <c r="AJ74" s="234" t="str">
        <f t="shared" si="9"/>
        <v/>
      </c>
      <c r="AK74" s="234" t="str">
        <f t="shared" si="9"/>
        <v/>
      </c>
      <c r="AL74" s="148" t="str">
        <f t="shared" si="9"/>
        <v/>
      </c>
      <c r="AM74" s="148" t="str">
        <f t="shared" si="9"/>
        <v/>
      </c>
      <c r="AN74" s="148" t="str">
        <f t="shared" si="9"/>
        <v/>
      </c>
      <c r="AO74" s="148" t="str">
        <f t="shared" si="9"/>
        <v/>
      </c>
      <c r="AP74" s="148" t="str">
        <f t="shared" si="9"/>
        <v/>
      </c>
      <c r="AQ74" s="148" t="str">
        <f t="shared" si="9"/>
        <v/>
      </c>
    </row>
    <row r="75" spans="2:43" x14ac:dyDescent="0.35">
      <c r="B75" s="17"/>
      <c r="C75" s="225">
        <v>20514196428</v>
      </c>
      <c r="D75" s="154" t="s">
        <v>377</v>
      </c>
      <c r="F75" s="147">
        <v>5111</v>
      </c>
      <c r="G75" s="147"/>
      <c r="H75" s="147">
        <v>103488</v>
      </c>
      <c r="I75" s="147"/>
      <c r="J75" s="147"/>
      <c r="K75" s="147"/>
      <c r="L75" s="147"/>
      <c r="M75" s="147"/>
      <c r="N75" s="147"/>
      <c r="O75" s="147"/>
      <c r="P75" s="147"/>
      <c r="Q75" s="147"/>
      <c r="S75" s="147">
        <v>47691</v>
      </c>
      <c r="T75" s="147"/>
      <c r="U75" s="147">
        <v>706398</v>
      </c>
      <c r="V75" s="147"/>
      <c r="W75" s="147"/>
      <c r="X75" s="147"/>
      <c r="Y75" s="147"/>
      <c r="Z75" s="147"/>
      <c r="AA75" s="147"/>
      <c r="AB75" s="147"/>
      <c r="AC75" s="147"/>
      <c r="AD75" s="147"/>
      <c r="AF75" s="148">
        <f t="shared" si="9"/>
        <v>0.10716906753894864</v>
      </c>
      <c r="AG75" s="148" t="str">
        <f t="shared" si="9"/>
        <v/>
      </c>
      <c r="AH75" s="148">
        <f t="shared" si="9"/>
        <v>0.14650098103335513</v>
      </c>
      <c r="AI75" s="234" t="str">
        <f t="shared" si="9"/>
        <v/>
      </c>
      <c r="AJ75" s="234" t="str">
        <f t="shared" si="9"/>
        <v/>
      </c>
      <c r="AK75" s="234" t="str">
        <f t="shared" si="9"/>
        <v/>
      </c>
      <c r="AL75" s="148" t="str">
        <f t="shared" si="9"/>
        <v/>
      </c>
      <c r="AM75" s="148" t="str">
        <f t="shared" si="9"/>
        <v/>
      </c>
      <c r="AN75" s="148" t="str">
        <f t="shared" si="9"/>
        <v/>
      </c>
      <c r="AO75" s="148" t="str">
        <f t="shared" si="9"/>
        <v/>
      </c>
      <c r="AP75" s="148" t="str">
        <f t="shared" si="9"/>
        <v/>
      </c>
      <c r="AQ75" s="148" t="str">
        <f t="shared" si="9"/>
        <v/>
      </c>
    </row>
    <row r="76" spans="2:43" x14ac:dyDescent="0.35">
      <c r="B76" s="17"/>
      <c r="C76" s="225">
        <v>20100025168</v>
      </c>
      <c r="D76" s="154" t="s">
        <v>378</v>
      </c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F76" s="148" t="str">
        <f t="shared" si="9"/>
        <v/>
      </c>
      <c r="AG76" s="148" t="str">
        <f t="shared" si="9"/>
        <v/>
      </c>
      <c r="AH76" s="148" t="str">
        <f t="shared" si="9"/>
        <v/>
      </c>
      <c r="AI76" s="234" t="str">
        <f t="shared" si="9"/>
        <v/>
      </c>
      <c r="AJ76" s="234" t="str">
        <f t="shared" si="9"/>
        <v/>
      </c>
      <c r="AK76" s="234" t="str">
        <f t="shared" si="9"/>
        <v/>
      </c>
      <c r="AL76" s="148" t="str">
        <f t="shared" si="9"/>
        <v/>
      </c>
      <c r="AM76" s="148" t="str">
        <f t="shared" si="9"/>
        <v/>
      </c>
      <c r="AN76" s="148" t="str">
        <f t="shared" si="9"/>
        <v/>
      </c>
      <c r="AO76" s="148" t="str">
        <f t="shared" si="9"/>
        <v/>
      </c>
      <c r="AP76" s="148" t="str">
        <f t="shared" si="9"/>
        <v/>
      </c>
      <c r="AQ76" s="148" t="str">
        <f t="shared" si="9"/>
        <v/>
      </c>
    </row>
    <row r="77" spans="2:43" x14ac:dyDescent="0.35">
      <c r="B77" s="17"/>
      <c r="C77" s="225">
        <v>20549650440</v>
      </c>
      <c r="D77" s="154" t="s">
        <v>379</v>
      </c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F77" s="148" t="str">
        <f t="shared" si="9"/>
        <v/>
      </c>
      <c r="AG77" s="148" t="str">
        <f t="shared" si="9"/>
        <v/>
      </c>
      <c r="AH77" s="148" t="str">
        <f t="shared" si="9"/>
        <v/>
      </c>
      <c r="AI77" s="234" t="str">
        <f t="shared" si="9"/>
        <v/>
      </c>
      <c r="AJ77" s="234" t="str">
        <f t="shared" si="9"/>
        <v/>
      </c>
      <c r="AK77" s="234" t="str">
        <f t="shared" si="9"/>
        <v/>
      </c>
      <c r="AL77" s="148" t="str">
        <f t="shared" si="9"/>
        <v/>
      </c>
      <c r="AM77" s="148" t="str">
        <f t="shared" si="9"/>
        <v/>
      </c>
      <c r="AN77" s="148" t="str">
        <f t="shared" si="9"/>
        <v/>
      </c>
      <c r="AO77" s="148" t="str">
        <f t="shared" si="9"/>
        <v/>
      </c>
      <c r="AP77" s="148" t="str">
        <f t="shared" si="9"/>
        <v/>
      </c>
      <c r="AQ77" s="148" t="str">
        <f t="shared" si="9"/>
        <v/>
      </c>
    </row>
    <row r="78" spans="2:43" x14ac:dyDescent="0.35">
      <c r="B78" s="17"/>
      <c r="C78" s="225">
        <v>20531366132</v>
      </c>
      <c r="D78" s="154" t="s">
        <v>380</v>
      </c>
      <c r="F78" s="147">
        <v>64338</v>
      </c>
      <c r="G78" s="147">
        <v>51014</v>
      </c>
      <c r="H78" s="147">
        <v>63457</v>
      </c>
      <c r="I78" s="147">
        <v>57031</v>
      </c>
      <c r="J78" s="147"/>
      <c r="K78" s="147"/>
      <c r="L78" s="147"/>
      <c r="M78" s="147"/>
      <c r="N78" s="147"/>
      <c r="O78" s="147"/>
      <c r="P78" s="147"/>
      <c r="Q78" s="147"/>
      <c r="S78" s="147">
        <v>301986</v>
      </c>
      <c r="T78" s="147">
        <v>207443</v>
      </c>
      <c r="U78" s="147">
        <v>296678</v>
      </c>
      <c r="V78" s="147">
        <v>273494</v>
      </c>
      <c r="W78" s="147"/>
      <c r="X78" s="147"/>
      <c r="Y78" s="147"/>
      <c r="Z78" s="147"/>
      <c r="AA78" s="147"/>
      <c r="AB78" s="147"/>
      <c r="AC78" s="147"/>
      <c r="AD78" s="147"/>
      <c r="AF78" s="148">
        <f t="shared" si="9"/>
        <v>0.21304961157139735</v>
      </c>
      <c r="AG78" s="148">
        <f t="shared" si="9"/>
        <v>0.24591815583075832</v>
      </c>
      <c r="AH78" s="148">
        <f t="shared" si="9"/>
        <v>0.21389182885148209</v>
      </c>
      <c r="AI78" s="234">
        <f t="shared" si="9"/>
        <v>0.20852742656146023</v>
      </c>
      <c r="AJ78" s="234" t="str">
        <f t="shared" si="9"/>
        <v/>
      </c>
      <c r="AK78" s="234" t="str">
        <f t="shared" si="9"/>
        <v/>
      </c>
      <c r="AL78" s="148" t="str">
        <f t="shared" si="9"/>
        <v/>
      </c>
      <c r="AM78" s="148" t="str">
        <f t="shared" si="9"/>
        <v/>
      </c>
      <c r="AN78" s="148" t="str">
        <f t="shared" si="9"/>
        <v/>
      </c>
      <c r="AO78" s="148" t="str">
        <f t="shared" si="9"/>
        <v/>
      </c>
      <c r="AP78" s="148" t="str">
        <f t="shared" si="9"/>
        <v/>
      </c>
      <c r="AQ78" s="148" t="str">
        <f t="shared" si="9"/>
        <v/>
      </c>
    </row>
    <row r="79" spans="2:43" x14ac:dyDescent="0.35">
      <c r="B79" s="17"/>
      <c r="C79" s="225">
        <v>20523915399</v>
      </c>
      <c r="D79" s="154" t="s">
        <v>381</v>
      </c>
      <c r="F79" s="147">
        <v>9348</v>
      </c>
      <c r="G79" s="147">
        <v>11285</v>
      </c>
      <c r="H79" s="147">
        <v>14923</v>
      </c>
      <c r="I79" s="147">
        <v>10789</v>
      </c>
      <c r="J79" s="147"/>
      <c r="K79" s="147"/>
      <c r="L79" s="147"/>
      <c r="M79" s="147"/>
      <c r="N79" s="147"/>
      <c r="O79" s="147"/>
      <c r="P79" s="147"/>
      <c r="Q79" s="147"/>
      <c r="S79" s="147">
        <v>74173</v>
      </c>
      <c r="T79" s="147">
        <v>60869</v>
      </c>
      <c r="U79" s="147">
        <v>90507</v>
      </c>
      <c r="V79" s="147">
        <v>79411</v>
      </c>
      <c r="W79" s="147"/>
      <c r="X79" s="147"/>
      <c r="Y79" s="147"/>
      <c r="Z79" s="147"/>
      <c r="AA79" s="147"/>
      <c r="AB79" s="147"/>
      <c r="AC79" s="147"/>
      <c r="AD79" s="147"/>
      <c r="AF79" s="148">
        <f t="shared" si="9"/>
        <v>0.12602968735254069</v>
      </c>
      <c r="AG79" s="148">
        <f t="shared" si="9"/>
        <v>0.18539815012567973</v>
      </c>
      <c r="AH79" s="148">
        <f t="shared" si="9"/>
        <v>0.16488227429922547</v>
      </c>
      <c r="AI79" s="234">
        <f t="shared" si="9"/>
        <v>0.1358627897898276</v>
      </c>
      <c r="AJ79" s="234" t="str">
        <f t="shared" si="9"/>
        <v/>
      </c>
      <c r="AK79" s="234" t="str">
        <f t="shared" si="9"/>
        <v/>
      </c>
      <c r="AL79" s="148" t="str">
        <f t="shared" si="9"/>
        <v/>
      </c>
      <c r="AM79" s="148" t="str">
        <f t="shared" si="9"/>
        <v/>
      </c>
      <c r="AN79" s="148" t="str">
        <f t="shared" si="9"/>
        <v/>
      </c>
      <c r="AO79" s="148" t="str">
        <f t="shared" si="9"/>
        <v/>
      </c>
      <c r="AP79" s="148" t="str">
        <f t="shared" si="9"/>
        <v/>
      </c>
      <c r="AQ79" s="148" t="str">
        <f t="shared" si="9"/>
        <v/>
      </c>
    </row>
    <row r="80" spans="2:43" x14ac:dyDescent="0.35">
      <c r="B80" s="17"/>
      <c r="C80" s="225">
        <v>20601785961</v>
      </c>
      <c r="D80" s="154" t="s">
        <v>382</v>
      </c>
      <c r="F80" s="147">
        <v>44680</v>
      </c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S80" s="147">
        <v>469542</v>
      </c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F80" s="148">
        <f t="shared" si="9"/>
        <v>9.5156556814938814E-2</v>
      </c>
      <c r="AG80" s="148" t="str">
        <f t="shared" si="9"/>
        <v/>
      </c>
      <c r="AH80" s="148" t="str">
        <f t="shared" si="9"/>
        <v/>
      </c>
      <c r="AI80" s="234" t="str">
        <f t="shared" si="9"/>
        <v/>
      </c>
      <c r="AJ80" s="234" t="str">
        <f t="shared" si="9"/>
        <v/>
      </c>
      <c r="AK80" s="234" t="str">
        <f t="shared" si="9"/>
        <v/>
      </c>
      <c r="AL80" s="148" t="str">
        <f t="shared" si="9"/>
        <v/>
      </c>
      <c r="AM80" s="148" t="str">
        <f t="shared" si="9"/>
        <v/>
      </c>
      <c r="AN80" s="148" t="str">
        <f t="shared" si="9"/>
        <v/>
      </c>
      <c r="AO80" s="148" t="str">
        <f t="shared" si="9"/>
        <v/>
      </c>
      <c r="AP80" s="148" t="str">
        <f t="shared" si="9"/>
        <v/>
      </c>
      <c r="AQ80" s="148" t="str">
        <f t="shared" si="9"/>
        <v/>
      </c>
    </row>
    <row r="81" spans="2:43" x14ac:dyDescent="0.35">
      <c r="B81" s="17"/>
      <c r="C81" s="225">
        <v>20136096592</v>
      </c>
      <c r="D81" s="154" t="s">
        <v>383</v>
      </c>
      <c r="F81" s="147">
        <v>12180</v>
      </c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S81" s="147">
        <v>113960</v>
      </c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F81" s="148">
        <f t="shared" si="9"/>
        <v>0.10687960687960688</v>
      </c>
      <c r="AG81" s="148" t="str">
        <f t="shared" si="9"/>
        <v/>
      </c>
      <c r="AH81" s="148" t="str">
        <f t="shared" si="9"/>
        <v/>
      </c>
      <c r="AI81" s="234" t="str">
        <f t="shared" si="9"/>
        <v/>
      </c>
      <c r="AJ81" s="234" t="str">
        <f t="shared" si="9"/>
        <v/>
      </c>
      <c r="AK81" s="234" t="str">
        <f t="shared" si="9"/>
        <v/>
      </c>
      <c r="AL81" s="148" t="str">
        <f t="shared" si="9"/>
        <v/>
      </c>
      <c r="AM81" s="148" t="str">
        <f t="shared" si="9"/>
        <v/>
      </c>
      <c r="AN81" s="148" t="str">
        <f t="shared" si="9"/>
        <v/>
      </c>
      <c r="AO81" s="148" t="str">
        <f t="shared" si="9"/>
        <v/>
      </c>
      <c r="AP81" s="148" t="str">
        <f t="shared" si="9"/>
        <v/>
      </c>
      <c r="AQ81" s="148" t="str">
        <f t="shared" si="9"/>
        <v/>
      </c>
    </row>
    <row r="82" spans="2:43" x14ac:dyDescent="0.35">
      <c r="B82" s="17"/>
      <c r="C82" s="225">
        <v>20486562341</v>
      </c>
      <c r="D82" s="154" t="s">
        <v>384</v>
      </c>
      <c r="F82" s="147">
        <v>24147</v>
      </c>
      <c r="G82" s="147">
        <v>20330</v>
      </c>
      <c r="H82" s="147">
        <v>27847</v>
      </c>
      <c r="I82" s="147">
        <v>29990</v>
      </c>
      <c r="J82" s="147"/>
      <c r="K82" s="147"/>
      <c r="L82" s="147"/>
      <c r="M82" s="147"/>
      <c r="N82" s="147"/>
      <c r="O82" s="147"/>
      <c r="P82" s="147"/>
      <c r="Q82" s="147"/>
      <c r="S82" s="147">
        <v>151652</v>
      </c>
      <c r="T82" s="147">
        <v>125301</v>
      </c>
      <c r="U82" s="147">
        <v>155627</v>
      </c>
      <c r="V82" s="147">
        <v>150842</v>
      </c>
      <c r="W82" s="147"/>
      <c r="X82" s="147"/>
      <c r="Y82" s="147"/>
      <c r="Z82" s="147"/>
      <c r="AA82" s="147"/>
      <c r="AB82" s="147"/>
      <c r="AC82" s="147"/>
      <c r="AD82" s="147"/>
      <c r="AF82" s="148">
        <f t="shared" si="9"/>
        <v>0.15922638672750772</v>
      </c>
      <c r="AG82" s="148">
        <f t="shared" si="9"/>
        <v>0.16224930367674639</v>
      </c>
      <c r="AH82" s="148">
        <f t="shared" si="9"/>
        <v>0.1789342466281558</v>
      </c>
      <c r="AI82" s="234">
        <f t="shared" si="9"/>
        <v>0.19881730552498642</v>
      </c>
      <c r="AJ82" s="234" t="str">
        <f t="shared" si="9"/>
        <v/>
      </c>
      <c r="AK82" s="234" t="str">
        <f t="shared" si="9"/>
        <v/>
      </c>
      <c r="AL82" s="148" t="str">
        <f t="shared" si="9"/>
        <v/>
      </c>
      <c r="AM82" s="148" t="str">
        <f t="shared" si="9"/>
        <v/>
      </c>
      <c r="AN82" s="148" t="str">
        <f t="shared" si="9"/>
        <v/>
      </c>
      <c r="AO82" s="148" t="str">
        <f t="shared" si="9"/>
        <v/>
      </c>
      <c r="AP82" s="148" t="str">
        <f t="shared" si="9"/>
        <v/>
      </c>
      <c r="AQ82" s="148" t="str">
        <f t="shared" si="9"/>
        <v/>
      </c>
    </row>
    <row r="83" spans="2:43" x14ac:dyDescent="0.35">
      <c r="B83" s="17"/>
      <c r="C83" s="225">
        <v>71711119</v>
      </c>
      <c r="D83" s="154" t="s">
        <v>385</v>
      </c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F83" s="148" t="str">
        <f t="shared" si="9"/>
        <v/>
      </c>
      <c r="AG83" s="148" t="str">
        <f t="shared" si="9"/>
        <v/>
      </c>
      <c r="AH83" s="148" t="str">
        <f t="shared" si="9"/>
        <v/>
      </c>
      <c r="AI83" s="234" t="str">
        <f t="shared" si="9"/>
        <v/>
      </c>
      <c r="AJ83" s="234" t="str">
        <f t="shared" si="9"/>
        <v/>
      </c>
      <c r="AK83" s="234" t="str">
        <f t="shared" si="9"/>
        <v/>
      </c>
      <c r="AL83" s="148" t="str">
        <f t="shared" si="9"/>
        <v/>
      </c>
      <c r="AM83" s="148" t="str">
        <f t="shared" si="9"/>
        <v/>
      </c>
      <c r="AN83" s="148" t="str">
        <f t="shared" si="9"/>
        <v/>
      </c>
      <c r="AO83" s="148" t="str">
        <f t="shared" si="9"/>
        <v/>
      </c>
      <c r="AP83" s="148" t="str">
        <f t="shared" si="9"/>
        <v/>
      </c>
      <c r="AQ83" s="148" t="str">
        <f t="shared" si="9"/>
        <v/>
      </c>
    </row>
    <row r="84" spans="2:43" x14ac:dyDescent="0.35">
      <c r="B84" s="17"/>
      <c r="C84" s="225">
        <v>20504179215</v>
      </c>
      <c r="D84" s="154" t="s">
        <v>386</v>
      </c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F84" s="148" t="str">
        <f t="shared" si="9"/>
        <v/>
      </c>
      <c r="AG84" s="148" t="str">
        <f t="shared" si="9"/>
        <v/>
      </c>
      <c r="AH84" s="148" t="str">
        <f t="shared" si="9"/>
        <v/>
      </c>
      <c r="AI84" s="234" t="str">
        <f t="shared" si="9"/>
        <v/>
      </c>
      <c r="AJ84" s="234" t="str">
        <f t="shared" si="9"/>
        <v/>
      </c>
      <c r="AK84" s="234" t="str">
        <f t="shared" si="9"/>
        <v/>
      </c>
      <c r="AL84" s="148" t="str">
        <f t="shared" si="9"/>
        <v/>
      </c>
      <c r="AM84" s="148" t="str">
        <f t="shared" si="9"/>
        <v/>
      </c>
      <c r="AN84" s="148" t="str">
        <f t="shared" si="9"/>
        <v/>
      </c>
      <c r="AO84" s="148" t="str">
        <f t="shared" si="9"/>
        <v/>
      </c>
      <c r="AP84" s="148" t="str">
        <f t="shared" si="9"/>
        <v/>
      </c>
      <c r="AQ84" s="148" t="str">
        <f t="shared" si="9"/>
        <v/>
      </c>
    </row>
    <row r="85" spans="2:43" x14ac:dyDescent="0.35">
      <c r="B85" s="17"/>
      <c r="C85" s="225">
        <v>20514374032</v>
      </c>
      <c r="D85" s="154" t="s">
        <v>387</v>
      </c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F85" s="148" t="str">
        <f t="shared" si="9"/>
        <v/>
      </c>
      <c r="AG85" s="148" t="str">
        <f t="shared" si="9"/>
        <v/>
      </c>
      <c r="AH85" s="148" t="str">
        <f t="shared" si="9"/>
        <v/>
      </c>
      <c r="AI85" s="234" t="str">
        <f t="shared" si="9"/>
        <v/>
      </c>
      <c r="AJ85" s="234" t="str">
        <f t="shared" si="9"/>
        <v/>
      </c>
      <c r="AK85" s="234" t="str">
        <f t="shared" si="9"/>
        <v/>
      </c>
      <c r="AL85" s="148" t="str">
        <f t="shared" si="9"/>
        <v/>
      </c>
      <c r="AM85" s="148" t="str">
        <f t="shared" si="9"/>
        <v/>
      </c>
      <c r="AN85" s="148" t="str">
        <f t="shared" si="9"/>
        <v/>
      </c>
      <c r="AO85" s="148" t="str">
        <f t="shared" si="9"/>
        <v/>
      </c>
      <c r="AP85" s="148" t="str">
        <f t="shared" si="9"/>
        <v/>
      </c>
      <c r="AQ85" s="148" t="str">
        <f t="shared" si="9"/>
        <v/>
      </c>
    </row>
    <row r="86" spans="2:43" x14ac:dyDescent="0.35">
      <c r="B86" s="17"/>
      <c r="C86" s="225">
        <v>20515846949</v>
      </c>
      <c r="D86" s="154" t="s">
        <v>388</v>
      </c>
      <c r="F86" s="147">
        <v>11708</v>
      </c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S86" s="147">
        <v>24788</v>
      </c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F86" s="148">
        <f t="shared" si="9"/>
        <v>0.47232531870259803</v>
      </c>
      <c r="AG86" s="148" t="str">
        <f t="shared" si="9"/>
        <v/>
      </c>
      <c r="AH86" s="148" t="str">
        <f t="shared" si="9"/>
        <v/>
      </c>
      <c r="AI86" s="234" t="str">
        <f t="shared" si="9"/>
        <v/>
      </c>
      <c r="AJ86" s="234" t="str">
        <f t="shared" si="9"/>
        <v/>
      </c>
      <c r="AK86" s="234" t="str">
        <f t="shared" si="9"/>
        <v/>
      </c>
      <c r="AL86" s="148" t="str">
        <f t="shared" si="9"/>
        <v/>
      </c>
      <c r="AM86" s="148" t="str">
        <f t="shared" si="9"/>
        <v/>
      </c>
      <c r="AN86" s="148" t="str">
        <f t="shared" si="9"/>
        <v/>
      </c>
      <c r="AO86" s="148" t="str">
        <f t="shared" si="9"/>
        <v/>
      </c>
      <c r="AP86" s="148" t="str">
        <f t="shared" si="9"/>
        <v/>
      </c>
      <c r="AQ86" s="148" t="str">
        <f t="shared" si="9"/>
        <v/>
      </c>
    </row>
    <row r="87" spans="2:43" x14ac:dyDescent="0.35">
      <c r="B87" s="17"/>
      <c r="C87" s="225">
        <v>20513362596</v>
      </c>
      <c r="D87" s="154" t="s">
        <v>389</v>
      </c>
      <c r="F87" s="147">
        <v>7520</v>
      </c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S87" s="147">
        <v>107982</v>
      </c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F87" s="148">
        <f t="shared" si="9"/>
        <v>6.9641236502380022E-2</v>
      </c>
      <c r="AG87" s="148" t="str">
        <f t="shared" si="9"/>
        <v/>
      </c>
      <c r="AH87" s="148" t="str">
        <f t="shared" si="9"/>
        <v/>
      </c>
      <c r="AI87" s="234" t="str">
        <f t="shared" si="9"/>
        <v/>
      </c>
      <c r="AJ87" s="234" t="str">
        <f t="shared" si="9"/>
        <v/>
      </c>
      <c r="AK87" s="234" t="str">
        <f t="shared" si="9"/>
        <v/>
      </c>
      <c r="AL87" s="148" t="str">
        <f t="shared" si="9"/>
        <v/>
      </c>
      <c r="AM87" s="148" t="str">
        <f t="shared" si="9"/>
        <v/>
      </c>
      <c r="AN87" s="148" t="str">
        <f t="shared" si="9"/>
        <v/>
      </c>
      <c r="AO87" s="148" t="str">
        <f t="shared" si="9"/>
        <v/>
      </c>
      <c r="AP87" s="148" t="str">
        <f t="shared" si="9"/>
        <v/>
      </c>
      <c r="AQ87" s="148" t="str">
        <f t="shared" si="9"/>
        <v/>
      </c>
    </row>
    <row r="88" spans="2:43" x14ac:dyDescent="0.35">
      <c r="B88" s="14" t="s">
        <v>390</v>
      </c>
      <c r="C88" s="227"/>
      <c r="D88" s="14"/>
      <c r="F88" s="149">
        <f t="shared" ref="F88:Q88" si="10">+SUM(F68:F87)</f>
        <v>15224240</v>
      </c>
      <c r="G88" s="149">
        <f t="shared" si="10"/>
        <v>13795370</v>
      </c>
      <c r="H88" s="149">
        <f t="shared" si="10"/>
        <v>16017824</v>
      </c>
      <c r="I88" s="149">
        <f t="shared" si="10"/>
        <v>15202277</v>
      </c>
      <c r="J88" s="149">
        <f t="shared" si="10"/>
        <v>0</v>
      </c>
      <c r="K88" s="149">
        <f t="shared" si="10"/>
        <v>0</v>
      </c>
      <c r="L88" s="149">
        <f t="shared" si="10"/>
        <v>0</v>
      </c>
      <c r="M88" s="149">
        <f t="shared" si="10"/>
        <v>0</v>
      </c>
      <c r="N88" s="149">
        <f t="shared" si="10"/>
        <v>0</v>
      </c>
      <c r="O88" s="149">
        <f t="shared" si="10"/>
        <v>0</v>
      </c>
      <c r="P88" s="149">
        <f t="shared" si="10"/>
        <v>0</v>
      </c>
      <c r="Q88" s="149">
        <f t="shared" si="10"/>
        <v>0</v>
      </c>
      <c r="S88" s="149">
        <f t="shared" ref="S88:AD88" si="11">+SUM(S68:S87)</f>
        <v>119354833</v>
      </c>
      <c r="T88" s="149">
        <f t="shared" si="11"/>
        <v>108661832</v>
      </c>
      <c r="U88" s="149">
        <f t="shared" si="11"/>
        <v>128027831</v>
      </c>
      <c r="V88" s="149">
        <f t="shared" si="11"/>
        <v>119180205</v>
      </c>
      <c r="W88" s="149">
        <f t="shared" si="11"/>
        <v>0</v>
      </c>
      <c r="X88" s="149">
        <f t="shared" si="11"/>
        <v>0</v>
      </c>
      <c r="Y88" s="149">
        <f t="shared" si="11"/>
        <v>0</v>
      </c>
      <c r="Z88" s="149">
        <f t="shared" si="11"/>
        <v>0</v>
      </c>
      <c r="AA88" s="149">
        <f t="shared" si="11"/>
        <v>0</v>
      </c>
      <c r="AB88" s="149">
        <f t="shared" si="11"/>
        <v>0</v>
      </c>
      <c r="AC88" s="149">
        <f t="shared" si="11"/>
        <v>0</v>
      </c>
      <c r="AD88" s="149">
        <f t="shared" si="11"/>
        <v>0</v>
      </c>
      <c r="AF88" s="150">
        <f t="shared" si="9"/>
        <v>0.12755444934517229</v>
      </c>
      <c r="AG88" s="150">
        <f t="shared" si="9"/>
        <v>0.12695690608271726</v>
      </c>
      <c r="AH88" s="150">
        <f t="shared" si="9"/>
        <v>0.12511204692673422</v>
      </c>
      <c r="AI88" s="235">
        <f t="shared" si="9"/>
        <v>0.12755706369191092</v>
      </c>
      <c r="AJ88" s="235" t="str">
        <f t="shared" si="9"/>
        <v/>
      </c>
      <c r="AK88" s="235" t="str">
        <f t="shared" si="9"/>
        <v/>
      </c>
      <c r="AL88" s="150" t="str">
        <f t="shared" si="9"/>
        <v/>
      </c>
      <c r="AM88" s="150" t="str">
        <f t="shared" si="9"/>
        <v/>
      </c>
      <c r="AN88" s="150" t="str">
        <f t="shared" si="9"/>
        <v/>
      </c>
      <c r="AO88" s="150" t="str">
        <f t="shared" si="9"/>
        <v/>
      </c>
      <c r="AP88" s="150" t="str">
        <f t="shared" si="9"/>
        <v/>
      </c>
      <c r="AQ88" s="150" t="str">
        <f t="shared" si="9"/>
        <v/>
      </c>
    </row>
    <row r="89" spans="2:43" x14ac:dyDescent="0.35">
      <c r="B89" s="17"/>
      <c r="C89" s="225"/>
      <c r="D89" s="17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F89" s="152"/>
      <c r="AG89" s="152"/>
      <c r="AH89" s="152"/>
      <c r="AI89" s="236"/>
      <c r="AJ89" s="236"/>
      <c r="AK89" s="236"/>
      <c r="AL89" s="152"/>
      <c r="AM89" s="152"/>
      <c r="AN89" s="152"/>
      <c r="AO89" s="152"/>
    </row>
    <row r="90" spans="2:43" x14ac:dyDescent="0.35">
      <c r="B90" s="17" t="s">
        <v>91</v>
      </c>
      <c r="C90" s="225">
        <v>20492092313</v>
      </c>
      <c r="D90" s="154" t="s">
        <v>391</v>
      </c>
      <c r="F90" s="147">
        <v>10287255</v>
      </c>
      <c r="G90" s="147">
        <v>9991236</v>
      </c>
      <c r="H90" s="147">
        <v>12873725</v>
      </c>
      <c r="I90" s="147">
        <v>11757231</v>
      </c>
      <c r="J90" s="147"/>
      <c r="K90" s="147"/>
      <c r="L90" s="147"/>
      <c r="M90" s="147"/>
      <c r="N90" s="147"/>
      <c r="O90" s="147"/>
      <c r="P90" s="147"/>
      <c r="Q90" s="147"/>
      <c r="S90" s="147">
        <v>93206242</v>
      </c>
      <c r="T90" s="147">
        <v>92920431</v>
      </c>
      <c r="U90" s="147">
        <v>117864801</v>
      </c>
      <c r="V90" s="147">
        <v>104996024</v>
      </c>
      <c r="W90" s="147"/>
      <c r="X90" s="147"/>
      <c r="Y90" s="147"/>
      <c r="Z90" s="147"/>
      <c r="AA90" s="147"/>
      <c r="AB90" s="147"/>
      <c r="AC90" s="147"/>
      <c r="AD90" s="147"/>
      <c r="AF90" s="148">
        <f t="shared" ref="AF90:AQ110" si="12">+IFERROR(F90/S90,"")</f>
        <v>0.11037088052536224</v>
      </c>
      <c r="AG90" s="148">
        <f t="shared" si="12"/>
        <v>0.10752464116314743</v>
      </c>
      <c r="AH90" s="148">
        <f t="shared" si="12"/>
        <v>0.10922450885061097</v>
      </c>
      <c r="AI90" s="234">
        <f t="shared" si="12"/>
        <v>0.11197786880006047</v>
      </c>
      <c r="AJ90" s="234" t="str">
        <f t="shared" si="12"/>
        <v/>
      </c>
      <c r="AK90" s="234" t="str">
        <f t="shared" si="12"/>
        <v/>
      </c>
      <c r="AL90" s="148" t="str">
        <f t="shared" si="12"/>
        <v/>
      </c>
      <c r="AM90" s="148" t="str">
        <f t="shared" si="12"/>
        <v/>
      </c>
      <c r="AN90" s="148" t="str">
        <f t="shared" si="12"/>
        <v/>
      </c>
      <c r="AO90" s="148" t="str">
        <f t="shared" si="12"/>
        <v/>
      </c>
      <c r="AP90" s="148" t="str">
        <f t="shared" si="12"/>
        <v/>
      </c>
      <c r="AQ90" s="148" t="str">
        <f t="shared" si="12"/>
        <v/>
      </c>
    </row>
    <row r="91" spans="2:43" x14ac:dyDescent="0.35">
      <c r="B91" s="17"/>
      <c r="C91" s="225">
        <v>20141189850</v>
      </c>
      <c r="D91" s="154" t="s">
        <v>392</v>
      </c>
      <c r="F91" s="147">
        <v>919228</v>
      </c>
      <c r="G91" s="147"/>
      <c r="H91" s="147">
        <v>1399040</v>
      </c>
      <c r="I91" s="147"/>
      <c r="J91" s="147"/>
      <c r="K91" s="147"/>
      <c r="L91" s="147"/>
      <c r="M91" s="147"/>
      <c r="N91" s="147"/>
      <c r="O91" s="147"/>
      <c r="P91" s="147"/>
      <c r="Q91" s="147"/>
      <c r="S91" s="147">
        <v>8430564</v>
      </c>
      <c r="T91" s="147"/>
      <c r="U91" s="147">
        <v>11458968</v>
      </c>
      <c r="V91" s="147"/>
      <c r="W91" s="147"/>
      <c r="X91" s="147"/>
      <c r="Y91" s="147"/>
      <c r="Z91" s="147"/>
      <c r="AA91" s="147"/>
      <c r="AB91" s="147"/>
      <c r="AC91" s="147"/>
      <c r="AD91" s="147"/>
      <c r="AF91" s="148">
        <f t="shared" si="12"/>
        <v>0.10903517249854221</v>
      </c>
      <c r="AG91" s="148" t="str">
        <f t="shared" si="12"/>
        <v/>
      </c>
      <c r="AH91" s="148">
        <f t="shared" si="12"/>
        <v>0.12209127383897049</v>
      </c>
      <c r="AI91" s="234" t="str">
        <f t="shared" si="12"/>
        <v/>
      </c>
      <c r="AJ91" s="234" t="str">
        <f t="shared" si="12"/>
        <v/>
      </c>
      <c r="AK91" s="234" t="str">
        <f t="shared" si="12"/>
        <v/>
      </c>
      <c r="AL91" s="148" t="str">
        <f t="shared" si="12"/>
        <v/>
      </c>
      <c r="AM91" s="148" t="str">
        <f t="shared" si="12"/>
        <v/>
      </c>
      <c r="AN91" s="148" t="str">
        <f t="shared" si="12"/>
        <v/>
      </c>
      <c r="AO91" s="148" t="str">
        <f t="shared" si="12"/>
        <v/>
      </c>
      <c r="AP91" s="148" t="str">
        <f t="shared" si="12"/>
        <v/>
      </c>
      <c r="AQ91" s="148" t="str">
        <f t="shared" si="12"/>
        <v/>
      </c>
    </row>
    <row r="92" spans="2:43" x14ac:dyDescent="0.35">
      <c r="B92" s="17"/>
      <c r="C92" s="225">
        <v>20378890161</v>
      </c>
      <c r="D92" s="154" t="s">
        <v>393</v>
      </c>
      <c r="F92" s="147">
        <v>54694</v>
      </c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S92" s="147">
        <v>137527</v>
      </c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F92" s="148">
        <f t="shared" si="12"/>
        <v>0.39769645233299644</v>
      </c>
      <c r="AG92" s="148" t="str">
        <f t="shared" si="12"/>
        <v/>
      </c>
      <c r="AH92" s="148" t="str">
        <f t="shared" si="12"/>
        <v/>
      </c>
      <c r="AI92" s="234" t="str">
        <f t="shared" si="12"/>
        <v/>
      </c>
      <c r="AJ92" s="234" t="str">
        <f t="shared" si="12"/>
        <v/>
      </c>
      <c r="AK92" s="234" t="str">
        <f t="shared" si="12"/>
        <v/>
      </c>
      <c r="AL92" s="148" t="str">
        <f t="shared" si="12"/>
        <v/>
      </c>
      <c r="AM92" s="148" t="str">
        <f t="shared" si="12"/>
        <v/>
      </c>
      <c r="AN92" s="148" t="str">
        <f t="shared" si="12"/>
        <v/>
      </c>
      <c r="AO92" s="148" t="str">
        <f t="shared" si="12"/>
        <v/>
      </c>
      <c r="AP92" s="148" t="str">
        <f t="shared" si="12"/>
        <v/>
      </c>
      <c r="AQ92" s="148" t="str">
        <f t="shared" si="12"/>
        <v/>
      </c>
    </row>
    <row r="93" spans="2:43" x14ac:dyDescent="0.35">
      <c r="B93" s="17"/>
      <c r="C93" s="225">
        <v>20467675436</v>
      </c>
      <c r="D93" s="154" t="s">
        <v>394</v>
      </c>
      <c r="F93" s="147">
        <v>1635274</v>
      </c>
      <c r="G93" s="147">
        <v>1567458</v>
      </c>
      <c r="H93" s="147">
        <v>1665338</v>
      </c>
      <c r="I93" s="147">
        <v>1602615</v>
      </c>
      <c r="J93" s="147"/>
      <c r="K93" s="147"/>
      <c r="L93" s="147"/>
      <c r="M93" s="147"/>
      <c r="N93" s="147"/>
      <c r="O93" s="147"/>
      <c r="P93" s="147"/>
      <c r="Q93" s="147"/>
      <c r="S93" s="147">
        <v>13560212</v>
      </c>
      <c r="T93" s="147">
        <v>12716655</v>
      </c>
      <c r="U93" s="147">
        <v>14211693</v>
      </c>
      <c r="V93" s="147">
        <v>13004412</v>
      </c>
      <c r="W93" s="147"/>
      <c r="X93" s="147"/>
      <c r="Y93" s="147"/>
      <c r="Z93" s="147"/>
      <c r="AA93" s="147"/>
      <c r="AB93" s="147"/>
      <c r="AC93" s="147"/>
      <c r="AD93" s="147"/>
      <c r="AF93" s="148">
        <f t="shared" si="12"/>
        <v>0.12059354234284833</v>
      </c>
      <c r="AG93" s="148">
        <f t="shared" si="12"/>
        <v>0.12326024414439174</v>
      </c>
      <c r="AH93" s="148">
        <f t="shared" si="12"/>
        <v>0.11718083130560167</v>
      </c>
      <c r="AI93" s="234">
        <f t="shared" si="12"/>
        <v>0.12323625243494285</v>
      </c>
      <c r="AJ93" s="234" t="str">
        <f t="shared" si="12"/>
        <v/>
      </c>
      <c r="AK93" s="234" t="str">
        <f t="shared" si="12"/>
        <v/>
      </c>
      <c r="AL93" s="148" t="str">
        <f t="shared" si="12"/>
        <v/>
      </c>
      <c r="AM93" s="148" t="str">
        <f t="shared" si="12"/>
        <v/>
      </c>
      <c r="AN93" s="148" t="str">
        <f t="shared" si="12"/>
        <v/>
      </c>
      <c r="AO93" s="148" t="str">
        <f t="shared" si="12"/>
        <v/>
      </c>
      <c r="AP93" s="148" t="str">
        <f t="shared" si="12"/>
        <v/>
      </c>
      <c r="AQ93" s="148" t="str">
        <f t="shared" si="12"/>
        <v/>
      </c>
    </row>
    <row r="94" spans="2:43" x14ac:dyDescent="0.35">
      <c r="B94" s="17"/>
      <c r="C94" s="225">
        <v>20601844916</v>
      </c>
      <c r="D94" s="154" t="s">
        <v>395</v>
      </c>
      <c r="F94" s="147">
        <v>68208</v>
      </c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S94" s="147">
        <v>535786</v>
      </c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F94" s="148">
        <f t="shared" si="12"/>
        <v>0.12730455816314723</v>
      </c>
      <c r="AG94" s="148" t="str">
        <f t="shared" si="12"/>
        <v/>
      </c>
      <c r="AH94" s="148" t="str">
        <f t="shared" si="12"/>
        <v/>
      </c>
      <c r="AI94" s="234" t="str">
        <f t="shared" si="12"/>
        <v/>
      </c>
      <c r="AJ94" s="234" t="str">
        <f t="shared" si="12"/>
        <v/>
      </c>
      <c r="AK94" s="234" t="str">
        <f t="shared" si="12"/>
        <v/>
      </c>
      <c r="AL94" s="148" t="str">
        <f t="shared" si="12"/>
        <v/>
      </c>
      <c r="AM94" s="148" t="str">
        <f t="shared" si="12"/>
        <v/>
      </c>
      <c r="AN94" s="148" t="str">
        <f t="shared" si="12"/>
        <v/>
      </c>
      <c r="AO94" s="148" t="str">
        <f t="shared" si="12"/>
        <v/>
      </c>
      <c r="AP94" s="148" t="str">
        <f t="shared" si="12"/>
        <v/>
      </c>
      <c r="AQ94" s="148" t="str">
        <f t="shared" si="12"/>
        <v/>
      </c>
    </row>
    <row r="95" spans="2:43" x14ac:dyDescent="0.35">
      <c r="B95" s="17"/>
      <c r="C95" s="225">
        <v>20502257987</v>
      </c>
      <c r="D95" s="154" t="s">
        <v>396</v>
      </c>
      <c r="F95" s="147">
        <v>390888</v>
      </c>
      <c r="G95" s="147">
        <v>366890</v>
      </c>
      <c r="H95" s="147">
        <v>465704</v>
      </c>
      <c r="I95" s="147">
        <v>405341</v>
      </c>
      <c r="J95" s="147"/>
      <c r="K95" s="147"/>
      <c r="L95" s="147"/>
      <c r="M95" s="147"/>
      <c r="N95" s="147"/>
      <c r="O95" s="147"/>
      <c r="P95" s="147"/>
      <c r="Q95" s="147"/>
      <c r="S95" s="147">
        <v>5984803</v>
      </c>
      <c r="T95" s="147">
        <v>5189859</v>
      </c>
      <c r="U95" s="147">
        <v>6087775</v>
      </c>
      <c r="V95" s="147">
        <v>5227395</v>
      </c>
      <c r="W95" s="147"/>
      <c r="X95" s="147"/>
      <c r="Y95" s="147"/>
      <c r="Z95" s="147"/>
      <c r="AA95" s="147"/>
      <c r="AB95" s="147"/>
      <c r="AC95" s="147"/>
      <c r="AD95" s="147"/>
      <c r="AF95" s="148">
        <f t="shared" si="12"/>
        <v>6.5313428027622633E-2</v>
      </c>
      <c r="AG95" s="148">
        <f t="shared" si="12"/>
        <v>7.0693635414757899E-2</v>
      </c>
      <c r="AH95" s="148">
        <f t="shared" si="12"/>
        <v>7.6498228006127031E-2</v>
      </c>
      <c r="AI95" s="234">
        <f t="shared" si="12"/>
        <v>7.7541681851094085E-2</v>
      </c>
      <c r="AJ95" s="234" t="str">
        <f t="shared" si="12"/>
        <v/>
      </c>
      <c r="AK95" s="234" t="str">
        <f t="shared" si="12"/>
        <v/>
      </c>
      <c r="AL95" s="148" t="str">
        <f t="shared" si="12"/>
        <v/>
      </c>
      <c r="AM95" s="148" t="str">
        <f t="shared" si="12"/>
        <v/>
      </c>
      <c r="AN95" s="148" t="str">
        <f t="shared" si="12"/>
        <v/>
      </c>
      <c r="AO95" s="148" t="str">
        <f t="shared" si="12"/>
        <v/>
      </c>
      <c r="AP95" s="148" t="str">
        <f t="shared" si="12"/>
        <v/>
      </c>
      <c r="AQ95" s="148" t="str">
        <f t="shared" si="12"/>
        <v/>
      </c>
    </row>
    <row r="96" spans="2:43" x14ac:dyDescent="0.35">
      <c r="B96" s="17"/>
      <c r="C96" s="225">
        <v>20340546653</v>
      </c>
      <c r="D96" s="154" t="s">
        <v>397</v>
      </c>
      <c r="F96" s="147">
        <v>47915</v>
      </c>
      <c r="G96" s="147">
        <v>52075</v>
      </c>
      <c r="H96" s="147">
        <v>107113</v>
      </c>
      <c r="I96" s="147">
        <v>37675</v>
      </c>
      <c r="J96" s="147"/>
      <c r="K96" s="147"/>
      <c r="L96" s="147"/>
      <c r="M96" s="147"/>
      <c r="N96" s="147"/>
      <c r="O96" s="147"/>
      <c r="P96" s="147"/>
      <c r="Q96" s="147"/>
      <c r="S96" s="147">
        <v>427370</v>
      </c>
      <c r="T96" s="147">
        <v>332779</v>
      </c>
      <c r="U96" s="147">
        <v>506755</v>
      </c>
      <c r="V96" s="147">
        <v>446376</v>
      </c>
      <c r="W96" s="147"/>
      <c r="X96" s="147"/>
      <c r="Y96" s="147"/>
      <c r="Z96" s="147"/>
      <c r="AA96" s="147"/>
      <c r="AB96" s="147"/>
      <c r="AC96" s="147"/>
      <c r="AD96" s="147"/>
      <c r="AF96" s="148">
        <f t="shared" si="12"/>
        <v>0.11211596508879894</v>
      </c>
      <c r="AG96" s="148">
        <f t="shared" si="12"/>
        <v>0.15648523494571473</v>
      </c>
      <c r="AH96" s="148">
        <f t="shared" si="12"/>
        <v>0.2113703860840051</v>
      </c>
      <c r="AI96" s="234">
        <f t="shared" si="12"/>
        <v>8.4401939172356943E-2</v>
      </c>
      <c r="AJ96" s="234" t="str">
        <f t="shared" si="12"/>
        <v/>
      </c>
      <c r="AK96" s="234" t="str">
        <f t="shared" si="12"/>
        <v/>
      </c>
      <c r="AL96" s="148" t="str">
        <f t="shared" si="12"/>
        <v/>
      </c>
      <c r="AM96" s="148" t="str">
        <f t="shared" si="12"/>
        <v/>
      </c>
      <c r="AN96" s="148" t="str">
        <f t="shared" si="12"/>
        <v/>
      </c>
      <c r="AO96" s="148" t="str">
        <f t="shared" si="12"/>
        <v/>
      </c>
      <c r="AP96" s="148" t="str">
        <f t="shared" si="12"/>
        <v/>
      </c>
      <c r="AQ96" s="148" t="str">
        <f t="shared" si="12"/>
        <v/>
      </c>
    </row>
    <row r="97" spans="2:43" x14ac:dyDescent="0.35">
      <c r="B97" s="17"/>
      <c r="C97" s="225">
        <v>20388853752</v>
      </c>
      <c r="D97" s="154" t="s">
        <v>398</v>
      </c>
      <c r="F97" s="147">
        <v>213345</v>
      </c>
      <c r="G97" s="147">
        <v>166741</v>
      </c>
      <c r="H97" s="147">
        <v>209231</v>
      </c>
      <c r="I97" s="147">
        <v>261976</v>
      </c>
      <c r="J97" s="147"/>
      <c r="K97" s="147"/>
      <c r="L97" s="147"/>
      <c r="M97" s="147"/>
      <c r="N97" s="147"/>
      <c r="O97" s="147"/>
      <c r="P97" s="147"/>
      <c r="Q97" s="147"/>
      <c r="S97" s="147">
        <v>1321509</v>
      </c>
      <c r="T97" s="147">
        <v>1106182</v>
      </c>
      <c r="U97" s="147">
        <v>1146966</v>
      </c>
      <c r="V97" s="147">
        <v>1219134</v>
      </c>
      <c r="W97" s="147"/>
      <c r="X97" s="147"/>
      <c r="Y97" s="147"/>
      <c r="Z97" s="147"/>
      <c r="AA97" s="147"/>
      <c r="AB97" s="147"/>
      <c r="AC97" s="147"/>
      <c r="AD97" s="147"/>
      <c r="AF97" s="148">
        <f t="shared" si="12"/>
        <v>0.16144044421944914</v>
      </c>
      <c r="AG97" s="148">
        <f t="shared" si="12"/>
        <v>0.15073559323872562</v>
      </c>
      <c r="AH97" s="148">
        <f t="shared" si="12"/>
        <v>0.18242127491137489</v>
      </c>
      <c r="AI97" s="234">
        <f t="shared" si="12"/>
        <v>0.214886960744266</v>
      </c>
      <c r="AJ97" s="234" t="str">
        <f t="shared" si="12"/>
        <v/>
      </c>
      <c r="AK97" s="234" t="str">
        <f t="shared" si="12"/>
        <v/>
      </c>
      <c r="AL97" s="148" t="str">
        <f t="shared" si="12"/>
        <v/>
      </c>
      <c r="AM97" s="148" t="str">
        <f t="shared" si="12"/>
        <v/>
      </c>
      <c r="AN97" s="148" t="str">
        <f t="shared" si="12"/>
        <v/>
      </c>
      <c r="AO97" s="148" t="str">
        <f t="shared" si="12"/>
        <v/>
      </c>
      <c r="AP97" s="148" t="str">
        <f t="shared" si="12"/>
        <v/>
      </c>
      <c r="AQ97" s="148" t="str">
        <f t="shared" si="12"/>
        <v/>
      </c>
    </row>
    <row r="98" spans="2:43" x14ac:dyDescent="0.35">
      <c r="B98" s="17"/>
      <c r="C98" s="225">
        <v>20494007488</v>
      </c>
      <c r="D98" s="154" t="s">
        <v>399</v>
      </c>
      <c r="F98" s="147">
        <v>203954</v>
      </c>
      <c r="G98" s="147"/>
      <c r="H98" s="147">
        <v>313896</v>
      </c>
      <c r="I98" s="147"/>
      <c r="J98" s="147"/>
      <c r="K98" s="147"/>
      <c r="L98" s="147"/>
      <c r="M98" s="147"/>
      <c r="N98" s="147"/>
      <c r="O98" s="147"/>
      <c r="P98" s="147"/>
      <c r="Q98" s="147"/>
      <c r="S98" s="147">
        <v>1744035</v>
      </c>
      <c r="T98" s="147"/>
      <c r="U98" s="147">
        <v>2208319</v>
      </c>
      <c r="V98" s="147"/>
      <c r="W98" s="147"/>
      <c r="X98" s="147"/>
      <c r="Y98" s="147"/>
      <c r="Z98" s="147"/>
      <c r="AA98" s="147"/>
      <c r="AB98" s="147"/>
      <c r="AC98" s="147"/>
      <c r="AD98" s="147"/>
      <c r="AF98" s="148">
        <f t="shared" si="12"/>
        <v>0.11694375399576271</v>
      </c>
      <c r="AG98" s="148" t="str">
        <f t="shared" si="12"/>
        <v/>
      </c>
      <c r="AH98" s="148">
        <f t="shared" si="12"/>
        <v>0.14214250749099203</v>
      </c>
      <c r="AI98" s="234" t="str">
        <f t="shared" si="12"/>
        <v/>
      </c>
      <c r="AJ98" s="234" t="str">
        <f t="shared" si="12"/>
        <v/>
      </c>
      <c r="AK98" s="234" t="str">
        <f t="shared" si="12"/>
        <v/>
      </c>
      <c r="AL98" s="148" t="str">
        <f t="shared" si="12"/>
        <v/>
      </c>
      <c r="AM98" s="148" t="str">
        <f t="shared" si="12"/>
        <v/>
      </c>
      <c r="AN98" s="148" t="str">
        <f t="shared" si="12"/>
        <v/>
      </c>
      <c r="AO98" s="148" t="str">
        <f t="shared" si="12"/>
        <v/>
      </c>
      <c r="AP98" s="148" t="str">
        <f t="shared" si="12"/>
        <v/>
      </c>
      <c r="AQ98" s="148" t="str">
        <f t="shared" si="12"/>
        <v/>
      </c>
    </row>
    <row r="99" spans="2:43" x14ac:dyDescent="0.35">
      <c r="B99" s="17"/>
      <c r="C99" s="225">
        <v>20212331377</v>
      </c>
      <c r="D99" s="154" t="s">
        <v>400</v>
      </c>
      <c r="F99" s="147">
        <v>55284</v>
      </c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S99" s="147">
        <v>271157</v>
      </c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F99" s="148">
        <f t="shared" si="12"/>
        <v>0.20388188392702383</v>
      </c>
      <c r="AG99" s="148" t="str">
        <f t="shared" si="12"/>
        <v/>
      </c>
      <c r="AH99" s="148" t="str">
        <f t="shared" si="12"/>
        <v/>
      </c>
      <c r="AI99" s="234" t="str">
        <f t="shared" si="12"/>
        <v/>
      </c>
      <c r="AJ99" s="234" t="str">
        <f t="shared" si="12"/>
        <v/>
      </c>
      <c r="AK99" s="234" t="str">
        <f t="shared" si="12"/>
        <v/>
      </c>
      <c r="AL99" s="148" t="str">
        <f t="shared" si="12"/>
        <v/>
      </c>
      <c r="AM99" s="148" t="str">
        <f t="shared" si="12"/>
        <v/>
      </c>
      <c r="AN99" s="148" t="str">
        <f t="shared" si="12"/>
        <v/>
      </c>
      <c r="AO99" s="148" t="str">
        <f t="shared" si="12"/>
        <v/>
      </c>
      <c r="AP99" s="148" t="str">
        <f t="shared" si="12"/>
        <v/>
      </c>
      <c r="AQ99" s="148" t="str">
        <f t="shared" si="12"/>
        <v/>
      </c>
    </row>
    <row r="100" spans="2:43" x14ac:dyDescent="0.35">
      <c r="B100" s="17"/>
      <c r="C100" s="225">
        <v>20374412524</v>
      </c>
      <c r="D100" s="154" t="s">
        <v>401</v>
      </c>
      <c r="F100" s="147">
        <v>5638</v>
      </c>
      <c r="G100" s="147"/>
      <c r="H100" s="147">
        <v>37095</v>
      </c>
      <c r="I100" s="147"/>
      <c r="J100" s="147"/>
      <c r="K100" s="147"/>
      <c r="L100" s="147"/>
      <c r="M100" s="147"/>
      <c r="N100" s="147"/>
      <c r="O100" s="147"/>
      <c r="P100" s="147"/>
      <c r="Q100" s="147"/>
      <c r="S100" s="147">
        <v>58438</v>
      </c>
      <c r="T100" s="147"/>
      <c r="U100" s="147">
        <v>284455</v>
      </c>
      <c r="V100" s="147"/>
      <c r="W100" s="147"/>
      <c r="X100" s="147"/>
      <c r="Y100" s="147"/>
      <c r="Z100" s="147"/>
      <c r="AA100" s="147"/>
      <c r="AB100" s="147"/>
      <c r="AC100" s="147"/>
      <c r="AD100" s="147"/>
      <c r="AF100" s="148">
        <f t="shared" si="12"/>
        <v>9.6478318902084262E-2</v>
      </c>
      <c r="AG100" s="148" t="str">
        <f t="shared" si="12"/>
        <v/>
      </c>
      <c r="AH100" s="148">
        <f t="shared" si="12"/>
        <v>0.13040727004271327</v>
      </c>
      <c r="AI100" s="234" t="str">
        <f t="shared" si="12"/>
        <v/>
      </c>
      <c r="AJ100" s="234" t="str">
        <f t="shared" si="12"/>
        <v/>
      </c>
      <c r="AK100" s="234" t="str">
        <f t="shared" si="12"/>
        <v/>
      </c>
      <c r="AL100" s="148" t="str">
        <f t="shared" si="12"/>
        <v/>
      </c>
      <c r="AM100" s="148" t="str">
        <f t="shared" si="12"/>
        <v/>
      </c>
      <c r="AN100" s="148" t="str">
        <f t="shared" si="12"/>
        <v/>
      </c>
      <c r="AO100" s="148" t="str">
        <f t="shared" si="12"/>
        <v/>
      </c>
      <c r="AP100" s="148" t="str">
        <f t="shared" si="12"/>
        <v/>
      </c>
      <c r="AQ100" s="148" t="str">
        <f t="shared" si="12"/>
        <v/>
      </c>
    </row>
    <row r="101" spans="2:43" x14ac:dyDescent="0.35">
      <c r="B101" s="17"/>
      <c r="C101" s="225">
        <v>20492470873</v>
      </c>
      <c r="D101" s="154" t="s">
        <v>402</v>
      </c>
      <c r="F101" s="147">
        <v>173832</v>
      </c>
      <c r="G101" s="147">
        <v>217909</v>
      </c>
      <c r="H101" s="147">
        <v>232798</v>
      </c>
      <c r="I101" s="147">
        <v>187523</v>
      </c>
      <c r="J101" s="147"/>
      <c r="K101" s="147"/>
      <c r="L101" s="147"/>
      <c r="M101" s="147"/>
      <c r="N101" s="147"/>
      <c r="O101" s="147"/>
      <c r="P101" s="147"/>
      <c r="Q101" s="147"/>
      <c r="S101" s="147">
        <v>1076058</v>
      </c>
      <c r="T101" s="147">
        <v>1274901</v>
      </c>
      <c r="U101" s="147">
        <v>1236515</v>
      </c>
      <c r="V101" s="147">
        <v>1297922</v>
      </c>
      <c r="W101" s="147"/>
      <c r="X101" s="147"/>
      <c r="Y101" s="147"/>
      <c r="Z101" s="147"/>
      <c r="AA101" s="147"/>
      <c r="AB101" s="147"/>
      <c r="AC101" s="147"/>
      <c r="AD101" s="147"/>
      <c r="AF101" s="148">
        <f t="shared" si="12"/>
        <v>0.16154519551920063</v>
      </c>
      <c r="AG101" s="148">
        <f t="shared" si="12"/>
        <v>0.17092229122104383</v>
      </c>
      <c r="AH101" s="148">
        <f t="shared" si="12"/>
        <v>0.18826945083561461</v>
      </c>
      <c r="AI101" s="234">
        <f t="shared" si="12"/>
        <v>0.14447940631255191</v>
      </c>
      <c r="AJ101" s="234" t="str">
        <f t="shared" si="12"/>
        <v/>
      </c>
      <c r="AK101" s="234" t="str">
        <f t="shared" si="12"/>
        <v/>
      </c>
      <c r="AL101" s="148" t="str">
        <f t="shared" si="12"/>
        <v/>
      </c>
      <c r="AM101" s="148" t="str">
        <f t="shared" si="12"/>
        <v/>
      </c>
      <c r="AN101" s="148" t="str">
        <f t="shared" si="12"/>
        <v/>
      </c>
      <c r="AO101" s="148" t="str">
        <f t="shared" si="12"/>
        <v/>
      </c>
      <c r="AP101" s="148" t="str">
        <f t="shared" si="12"/>
        <v/>
      </c>
      <c r="AQ101" s="148" t="str">
        <f t="shared" si="12"/>
        <v/>
      </c>
    </row>
    <row r="102" spans="2:43" x14ac:dyDescent="0.35">
      <c r="B102" s="17"/>
      <c r="C102" s="225">
        <v>20608122649</v>
      </c>
      <c r="D102" s="154" t="s">
        <v>403</v>
      </c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F102" s="148" t="str">
        <f t="shared" si="12"/>
        <v/>
      </c>
      <c r="AG102" s="148" t="str">
        <f t="shared" si="12"/>
        <v/>
      </c>
      <c r="AH102" s="148" t="str">
        <f t="shared" si="12"/>
        <v/>
      </c>
      <c r="AI102" s="234" t="str">
        <f t="shared" si="12"/>
        <v/>
      </c>
      <c r="AJ102" s="234" t="str">
        <f t="shared" si="12"/>
        <v/>
      </c>
      <c r="AK102" s="234" t="str">
        <f t="shared" si="12"/>
        <v/>
      </c>
      <c r="AL102" s="148" t="str">
        <f t="shared" si="12"/>
        <v/>
      </c>
      <c r="AM102" s="148" t="str">
        <f t="shared" si="12"/>
        <v/>
      </c>
      <c r="AN102" s="148" t="str">
        <f t="shared" si="12"/>
        <v/>
      </c>
      <c r="AO102" s="148" t="str">
        <f t="shared" si="12"/>
        <v/>
      </c>
      <c r="AP102" s="148" t="str">
        <f t="shared" si="12"/>
        <v/>
      </c>
      <c r="AQ102" s="148" t="str">
        <f t="shared" si="12"/>
        <v/>
      </c>
    </row>
    <row r="103" spans="2:43" x14ac:dyDescent="0.35">
      <c r="B103" s="17"/>
      <c r="C103" s="225">
        <v>20542290979</v>
      </c>
      <c r="D103" s="154" t="s">
        <v>404</v>
      </c>
      <c r="F103" s="147">
        <v>244213</v>
      </c>
      <c r="G103" s="147">
        <v>45597</v>
      </c>
      <c r="H103" s="147">
        <v>57985</v>
      </c>
      <c r="I103" s="147">
        <v>56368</v>
      </c>
      <c r="J103" s="147"/>
      <c r="K103" s="147"/>
      <c r="L103" s="147"/>
      <c r="M103" s="147"/>
      <c r="N103" s="147"/>
      <c r="O103" s="147"/>
      <c r="P103" s="147"/>
      <c r="Q103" s="147"/>
      <c r="S103" s="147">
        <v>531556</v>
      </c>
      <c r="T103" s="147">
        <v>267126</v>
      </c>
      <c r="U103" s="147">
        <v>254586</v>
      </c>
      <c r="V103" s="147">
        <v>236008</v>
      </c>
      <c r="W103" s="147"/>
      <c r="X103" s="147"/>
      <c r="Y103" s="147"/>
      <c r="Z103" s="147"/>
      <c r="AA103" s="147"/>
      <c r="AB103" s="147"/>
      <c r="AC103" s="147"/>
      <c r="AD103" s="147"/>
      <c r="AF103" s="148">
        <f t="shared" si="12"/>
        <v>0.45943042689763636</v>
      </c>
      <c r="AG103" s="148">
        <f t="shared" si="12"/>
        <v>0.1706947283304508</v>
      </c>
      <c r="AH103" s="148">
        <f t="shared" si="12"/>
        <v>0.22776193506320064</v>
      </c>
      <c r="AI103" s="234">
        <f t="shared" si="12"/>
        <v>0.23883936137758041</v>
      </c>
      <c r="AJ103" s="234" t="str">
        <f t="shared" si="12"/>
        <v/>
      </c>
      <c r="AK103" s="234" t="str">
        <f t="shared" si="12"/>
        <v/>
      </c>
      <c r="AL103" s="148" t="str">
        <f t="shared" si="12"/>
        <v/>
      </c>
      <c r="AM103" s="148" t="str">
        <f t="shared" si="12"/>
        <v/>
      </c>
      <c r="AN103" s="148" t="str">
        <f t="shared" si="12"/>
        <v/>
      </c>
      <c r="AO103" s="148" t="str">
        <f t="shared" si="12"/>
        <v/>
      </c>
      <c r="AP103" s="148" t="str">
        <f t="shared" si="12"/>
        <v/>
      </c>
      <c r="AQ103" s="148" t="str">
        <f t="shared" si="12"/>
        <v/>
      </c>
    </row>
    <row r="104" spans="2:43" x14ac:dyDescent="0.35">
      <c r="B104" s="17"/>
      <c r="C104" s="225">
        <v>20551701264</v>
      </c>
      <c r="D104" s="154" t="s">
        <v>405</v>
      </c>
      <c r="F104" s="147">
        <v>54816</v>
      </c>
      <c r="G104" s="147">
        <v>19119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S104" s="147">
        <v>232523</v>
      </c>
      <c r="T104" s="147">
        <v>54162</v>
      </c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F104" s="148">
        <f t="shared" si="12"/>
        <v>0.23574442098201037</v>
      </c>
      <c r="AG104" s="148">
        <f t="shared" si="12"/>
        <v>0.35299656585798161</v>
      </c>
      <c r="AH104" s="148" t="str">
        <f t="shared" si="12"/>
        <v/>
      </c>
      <c r="AI104" s="234" t="str">
        <f t="shared" si="12"/>
        <v/>
      </c>
      <c r="AJ104" s="234" t="str">
        <f t="shared" si="12"/>
        <v/>
      </c>
      <c r="AK104" s="234" t="str">
        <f t="shared" si="12"/>
        <v/>
      </c>
      <c r="AL104" s="148" t="str">
        <f t="shared" si="12"/>
        <v/>
      </c>
      <c r="AM104" s="148" t="str">
        <f t="shared" si="12"/>
        <v/>
      </c>
      <c r="AN104" s="148" t="str">
        <f t="shared" si="12"/>
        <v/>
      </c>
      <c r="AO104" s="148" t="str">
        <f t="shared" si="12"/>
        <v/>
      </c>
      <c r="AP104" s="148" t="str">
        <f t="shared" si="12"/>
        <v/>
      </c>
      <c r="AQ104" s="148" t="str">
        <f t="shared" si="12"/>
        <v/>
      </c>
    </row>
    <row r="105" spans="2:43" x14ac:dyDescent="0.35">
      <c r="B105" s="17"/>
      <c r="C105" s="225">
        <v>20608931156</v>
      </c>
      <c r="D105" s="154" t="s">
        <v>406</v>
      </c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F105" s="148" t="str">
        <f t="shared" si="12"/>
        <v/>
      </c>
      <c r="AG105" s="148" t="str">
        <f t="shared" si="12"/>
        <v/>
      </c>
      <c r="AH105" s="148" t="str">
        <f t="shared" si="12"/>
        <v/>
      </c>
      <c r="AI105" s="234" t="str">
        <f t="shared" si="12"/>
        <v/>
      </c>
      <c r="AJ105" s="234" t="str">
        <f t="shared" si="12"/>
        <v/>
      </c>
      <c r="AK105" s="234" t="str">
        <f t="shared" si="12"/>
        <v/>
      </c>
      <c r="AL105" s="148" t="str">
        <f t="shared" si="12"/>
        <v/>
      </c>
      <c r="AM105" s="148" t="str">
        <f t="shared" si="12"/>
        <v/>
      </c>
      <c r="AN105" s="148" t="str">
        <f t="shared" si="12"/>
        <v/>
      </c>
      <c r="AO105" s="148" t="str">
        <f t="shared" si="12"/>
        <v/>
      </c>
      <c r="AP105" s="148" t="str">
        <f t="shared" si="12"/>
        <v/>
      </c>
      <c r="AQ105" s="148" t="str">
        <f t="shared" si="12"/>
        <v/>
      </c>
    </row>
    <row r="106" spans="2:43" x14ac:dyDescent="0.35">
      <c r="B106" s="17"/>
      <c r="C106" s="225">
        <v>20524257514</v>
      </c>
      <c r="D106" s="154" t="s">
        <v>407</v>
      </c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F106" s="148" t="str">
        <f t="shared" si="12"/>
        <v/>
      </c>
      <c r="AG106" s="148" t="str">
        <f t="shared" si="12"/>
        <v/>
      </c>
      <c r="AH106" s="148" t="str">
        <f t="shared" si="12"/>
        <v/>
      </c>
      <c r="AI106" s="234" t="str">
        <f t="shared" si="12"/>
        <v/>
      </c>
      <c r="AJ106" s="234" t="str">
        <f t="shared" si="12"/>
        <v/>
      </c>
      <c r="AK106" s="234" t="str">
        <f t="shared" si="12"/>
        <v/>
      </c>
      <c r="AL106" s="148" t="str">
        <f t="shared" si="12"/>
        <v/>
      </c>
      <c r="AM106" s="148" t="str">
        <f t="shared" si="12"/>
        <v/>
      </c>
      <c r="AN106" s="148" t="str">
        <f t="shared" si="12"/>
        <v/>
      </c>
      <c r="AO106" s="148" t="str">
        <f t="shared" si="12"/>
        <v/>
      </c>
      <c r="AP106" s="148" t="str">
        <f t="shared" si="12"/>
        <v/>
      </c>
      <c r="AQ106" s="148" t="str">
        <f t="shared" si="12"/>
        <v/>
      </c>
    </row>
    <row r="107" spans="2:43" x14ac:dyDescent="0.35">
      <c r="B107" s="17"/>
      <c r="C107" s="225">
        <v>20537519461</v>
      </c>
      <c r="D107" s="154" t="s">
        <v>408</v>
      </c>
      <c r="F107" s="147">
        <v>45282</v>
      </c>
      <c r="G107" s="147">
        <v>33725</v>
      </c>
      <c r="H107" s="147">
        <v>21153</v>
      </c>
      <c r="I107" s="147">
        <v>38049</v>
      </c>
      <c r="J107" s="147"/>
      <c r="K107" s="147"/>
      <c r="L107" s="147"/>
      <c r="M107" s="147"/>
      <c r="N107" s="147"/>
      <c r="O107" s="147"/>
      <c r="P107" s="147"/>
      <c r="Q107" s="147"/>
      <c r="S107" s="147">
        <v>301630</v>
      </c>
      <c r="T107" s="147">
        <v>250076</v>
      </c>
      <c r="U107" s="147">
        <v>152315</v>
      </c>
      <c r="V107" s="147">
        <v>227786</v>
      </c>
      <c r="W107" s="147"/>
      <c r="X107" s="147"/>
      <c r="Y107" s="147"/>
      <c r="Z107" s="147"/>
      <c r="AA107" s="147"/>
      <c r="AB107" s="147"/>
      <c r="AC107" s="147"/>
      <c r="AD107" s="147"/>
      <c r="AF107" s="148">
        <f t="shared" si="12"/>
        <v>0.1501243245035308</v>
      </c>
      <c r="AG107" s="148">
        <f t="shared" si="12"/>
        <v>0.1348590028631296</v>
      </c>
      <c r="AH107" s="148">
        <f t="shared" si="12"/>
        <v>0.13887667005875981</v>
      </c>
      <c r="AI107" s="234">
        <f t="shared" si="12"/>
        <v>0.16703836056649662</v>
      </c>
      <c r="AJ107" s="234" t="str">
        <f t="shared" si="12"/>
        <v/>
      </c>
      <c r="AK107" s="234" t="str">
        <f t="shared" si="12"/>
        <v/>
      </c>
      <c r="AL107" s="148" t="str">
        <f t="shared" si="12"/>
        <v/>
      </c>
      <c r="AM107" s="148" t="str">
        <f t="shared" si="12"/>
        <v/>
      </c>
      <c r="AN107" s="148" t="str">
        <f t="shared" si="12"/>
        <v/>
      </c>
      <c r="AO107" s="148" t="str">
        <f t="shared" si="12"/>
        <v/>
      </c>
      <c r="AP107" s="148" t="str">
        <f t="shared" si="12"/>
        <v/>
      </c>
      <c r="AQ107" s="148" t="str">
        <f t="shared" si="12"/>
        <v/>
      </c>
    </row>
    <row r="108" spans="2:43" x14ac:dyDescent="0.35">
      <c r="B108" s="17"/>
      <c r="C108" s="225">
        <v>20538827224</v>
      </c>
      <c r="D108" s="154" t="s">
        <v>409</v>
      </c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F108" s="148" t="str">
        <f t="shared" si="12"/>
        <v/>
      </c>
      <c r="AG108" s="148" t="str">
        <f t="shared" si="12"/>
        <v/>
      </c>
      <c r="AH108" s="148" t="str">
        <f t="shared" si="12"/>
        <v/>
      </c>
      <c r="AI108" s="234" t="str">
        <f t="shared" si="12"/>
        <v/>
      </c>
      <c r="AJ108" s="234" t="str">
        <f t="shared" si="12"/>
        <v/>
      </c>
      <c r="AK108" s="234" t="str">
        <f t="shared" si="12"/>
        <v/>
      </c>
      <c r="AL108" s="148" t="str">
        <f t="shared" si="12"/>
        <v/>
      </c>
      <c r="AM108" s="148" t="str">
        <f t="shared" si="12"/>
        <v/>
      </c>
      <c r="AN108" s="148" t="str">
        <f t="shared" si="12"/>
        <v/>
      </c>
      <c r="AO108" s="148" t="str">
        <f t="shared" si="12"/>
        <v/>
      </c>
      <c r="AP108" s="148" t="str">
        <f t="shared" si="12"/>
        <v/>
      </c>
      <c r="AQ108" s="148" t="str">
        <f t="shared" si="12"/>
        <v/>
      </c>
    </row>
    <row r="109" spans="2:43" x14ac:dyDescent="0.35">
      <c r="B109" s="17"/>
      <c r="C109" s="225">
        <v>20547839651</v>
      </c>
      <c r="D109" s="154" t="s">
        <v>410</v>
      </c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F109" s="148" t="str">
        <f t="shared" si="12"/>
        <v/>
      </c>
      <c r="AG109" s="148" t="str">
        <f t="shared" si="12"/>
        <v/>
      </c>
      <c r="AH109" s="148" t="str">
        <f t="shared" si="12"/>
        <v/>
      </c>
      <c r="AI109" s="234" t="str">
        <f t="shared" si="12"/>
        <v/>
      </c>
      <c r="AJ109" s="234" t="str">
        <f t="shared" si="12"/>
        <v/>
      </c>
      <c r="AK109" s="234" t="str">
        <f t="shared" si="12"/>
        <v/>
      </c>
      <c r="AL109" s="148" t="str">
        <f t="shared" si="12"/>
        <v/>
      </c>
      <c r="AM109" s="148" t="str">
        <f t="shared" si="12"/>
        <v/>
      </c>
      <c r="AN109" s="148" t="str">
        <f t="shared" si="12"/>
        <v/>
      </c>
      <c r="AO109" s="148" t="str">
        <f t="shared" si="12"/>
        <v/>
      </c>
      <c r="AP109" s="148" t="str">
        <f t="shared" si="12"/>
        <v/>
      </c>
      <c r="AQ109" s="148" t="str">
        <f t="shared" si="12"/>
        <v/>
      </c>
    </row>
    <row r="110" spans="2:43" x14ac:dyDescent="0.35">
      <c r="B110" s="14" t="s">
        <v>411</v>
      </c>
      <c r="C110" s="227"/>
      <c r="D110" s="14"/>
      <c r="F110" s="149">
        <f t="shared" ref="F110:Q110" si="13">+SUM(F90:F109)</f>
        <v>14399826</v>
      </c>
      <c r="G110" s="149">
        <f t="shared" si="13"/>
        <v>12460750</v>
      </c>
      <c r="H110" s="149">
        <f t="shared" si="13"/>
        <v>17383078</v>
      </c>
      <c r="I110" s="149">
        <f t="shared" si="13"/>
        <v>14346778</v>
      </c>
      <c r="J110" s="149">
        <f t="shared" si="13"/>
        <v>0</v>
      </c>
      <c r="K110" s="149">
        <f t="shared" si="13"/>
        <v>0</v>
      </c>
      <c r="L110" s="149">
        <f t="shared" si="13"/>
        <v>0</v>
      </c>
      <c r="M110" s="149">
        <f t="shared" si="13"/>
        <v>0</v>
      </c>
      <c r="N110" s="149">
        <f t="shared" si="13"/>
        <v>0</v>
      </c>
      <c r="O110" s="149">
        <f t="shared" si="13"/>
        <v>0</v>
      </c>
      <c r="P110" s="149">
        <f t="shared" si="13"/>
        <v>0</v>
      </c>
      <c r="Q110" s="149">
        <f t="shared" si="13"/>
        <v>0</v>
      </c>
      <c r="S110" s="149">
        <f t="shared" ref="S110:AD110" si="14">+SUM(S90:S109)</f>
        <v>127819410</v>
      </c>
      <c r="T110" s="149">
        <f t="shared" si="14"/>
        <v>114112171</v>
      </c>
      <c r="U110" s="149">
        <f t="shared" si="14"/>
        <v>155413148</v>
      </c>
      <c r="V110" s="149">
        <f t="shared" si="14"/>
        <v>126655057</v>
      </c>
      <c r="W110" s="149">
        <f t="shared" si="14"/>
        <v>0</v>
      </c>
      <c r="X110" s="149">
        <f t="shared" si="14"/>
        <v>0</v>
      </c>
      <c r="Y110" s="149">
        <f t="shared" si="14"/>
        <v>0</v>
      </c>
      <c r="Z110" s="149">
        <f t="shared" si="14"/>
        <v>0</v>
      </c>
      <c r="AA110" s="149">
        <f t="shared" si="14"/>
        <v>0</v>
      </c>
      <c r="AB110" s="149">
        <f t="shared" si="14"/>
        <v>0</v>
      </c>
      <c r="AC110" s="149">
        <f t="shared" si="14"/>
        <v>0</v>
      </c>
      <c r="AD110" s="149">
        <f t="shared" si="14"/>
        <v>0</v>
      </c>
      <c r="AF110" s="150">
        <f t="shared" si="12"/>
        <v>0.11265758463444636</v>
      </c>
      <c r="AG110" s="150">
        <f t="shared" si="12"/>
        <v>0.10919737912969862</v>
      </c>
      <c r="AH110" s="150">
        <f t="shared" si="12"/>
        <v>0.11185075538139154</v>
      </c>
      <c r="AI110" s="235">
        <f t="shared" si="12"/>
        <v>0.11327441903879132</v>
      </c>
      <c r="AJ110" s="235" t="str">
        <f t="shared" si="12"/>
        <v/>
      </c>
      <c r="AK110" s="235" t="str">
        <f t="shared" si="12"/>
        <v/>
      </c>
      <c r="AL110" s="150" t="str">
        <f t="shared" si="12"/>
        <v/>
      </c>
      <c r="AM110" s="150" t="str">
        <f t="shared" si="12"/>
        <v/>
      </c>
      <c r="AN110" s="150" t="str">
        <f t="shared" si="12"/>
        <v/>
      </c>
      <c r="AO110" s="150" t="str">
        <f t="shared" si="12"/>
        <v/>
      </c>
      <c r="AP110" s="150" t="str">
        <f t="shared" si="12"/>
        <v/>
      </c>
      <c r="AQ110" s="150" t="str">
        <f t="shared" si="12"/>
        <v/>
      </c>
    </row>
    <row r="111" spans="2:43" x14ac:dyDescent="0.35">
      <c r="B111" s="17"/>
      <c r="C111" s="225"/>
      <c r="D111" s="17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F111" s="11"/>
      <c r="AG111" s="11"/>
      <c r="AH111" s="11"/>
      <c r="AI111" s="237"/>
      <c r="AJ111" s="237"/>
      <c r="AK111" s="237"/>
      <c r="AL111" s="11"/>
      <c r="AM111" s="11"/>
      <c r="AN111" s="11"/>
      <c r="AO111" s="11"/>
    </row>
    <row r="112" spans="2:43" x14ac:dyDescent="0.35">
      <c r="B112" s="17"/>
      <c r="C112" s="225"/>
      <c r="D112" s="17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F112" s="11"/>
      <c r="AG112" s="11"/>
      <c r="AH112" s="11"/>
      <c r="AI112" s="237"/>
      <c r="AJ112" s="237"/>
      <c r="AK112" s="237"/>
      <c r="AL112" s="11"/>
      <c r="AM112" s="11"/>
      <c r="AN112" s="11"/>
      <c r="AO112" s="11"/>
    </row>
    <row r="113" spans="2:41" x14ac:dyDescent="0.35">
      <c r="B113" s="17"/>
      <c r="C113" s="225"/>
      <c r="D113" s="17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F113" s="11"/>
      <c r="AG113" s="11"/>
      <c r="AH113" s="11"/>
      <c r="AI113" s="237"/>
      <c r="AJ113" s="237"/>
      <c r="AK113" s="237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Vista Total</vt:lpstr>
      <vt:lpstr>Facturacion Visa</vt:lpstr>
      <vt:lpstr>Facturación Amex</vt:lpstr>
      <vt:lpstr>Facturación MasterCard</vt:lpstr>
      <vt:lpstr>Amex - mov x medio de tx</vt:lpstr>
      <vt:lpstr>Visa - txs x medio de tx</vt:lpstr>
      <vt:lpstr>Visa - imp x medio de tx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Condori Flores, Ian Kevin</cp:lastModifiedBy>
  <cp:lastPrinted>2025-04-28T19:10:51Z</cp:lastPrinted>
  <dcterms:created xsi:type="dcterms:W3CDTF">2011-01-05T19:45:10Z</dcterms:created>
  <dcterms:modified xsi:type="dcterms:W3CDTF">2026-05-07T15:02:21Z</dcterms:modified>
</cp:coreProperties>
</file>