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3.xml" ContentType="application/vnd.openxmlformats-officedocument.drawingml.chart+xml"/>
  <Override PartName="/xl/drawings/drawing3.xml" ContentType="application/vnd.openxmlformats-officedocument.drawingml.chartshapes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22.xml" ContentType="application/vnd.openxmlformats-officedocument.drawingml.chart+xml"/>
  <Override PartName="/xl/drawings/drawing5.xml" ContentType="application/vnd.openxmlformats-officedocument.drawingml.chartshapes+xml"/>
  <Override PartName="/xl/charts/chart23.xml" ContentType="application/vnd.openxmlformats-officedocument.drawingml.chart+xml"/>
  <Override PartName="/xl/drawings/drawing6.xml" ContentType="application/vnd.openxmlformats-officedocument.drawingml.chartshapes+xml"/>
  <Override PartName="/xl/charts/chart24.xml" ContentType="application/vnd.openxmlformats-officedocument.drawingml.chart+xml"/>
  <Override PartName="/xl/drawings/drawing7.xml" ContentType="application/vnd.openxmlformats-officedocument.drawingml.chartshapes+xml"/>
  <Override PartName="/xl/charts/chart25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26.xml" ContentType="application/vnd.openxmlformats-officedocument.drawingml.chart+xml"/>
  <Override PartName="/xl/drawings/drawing10.xml" ContentType="application/vnd.openxmlformats-officedocument.drawingml.chartshape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11.xml" ContentType="application/vnd.openxmlformats-officedocument.drawing+xml"/>
  <Override PartName="/xl/charts/chart32.xml" ContentType="application/vnd.openxmlformats-officedocument.drawingml.chart+xml"/>
  <Override PartName="/xl/drawings/drawing12.xml" ContentType="application/vnd.openxmlformats-officedocument.drawingml.chartshapes+xml"/>
  <Override PartName="/xl/charts/chart33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3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3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3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3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3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3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4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4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4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4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4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4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pivotTables/pivotTable8.xml" ContentType="application/vnd.openxmlformats-officedocument.spreadsheetml.pivotTable+xml"/>
  <Override PartName="/xl/drawings/drawing15.xml" ContentType="application/vnd.openxmlformats-officedocument.drawing+xml"/>
  <Override PartName="/xl/charts/chart46.xml" ContentType="application/vnd.openxmlformats-officedocument.drawingml.chart+xml"/>
  <Override PartName="/xl/drawings/drawing16.xml" ContentType="application/vnd.openxmlformats-officedocument.drawing+xml"/>
  <Override PartName="/xl/charts/chart4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7.xml" ContentType="application/vnd.openxmlformats-officedocument.drawing+xml"/>
  <Override PartName="/xl/charts/chart4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4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omments2.xml" ContentType="application/vnd.openxmlformats-officedocument.spreadsheetml.comments+xml"/>
  <Override PartName="/xl/drawings/drawing18.xml" ContentType="application/vnd.openxmlformats-officedocument.drawing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9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terbankpe-my.sharepoint.com/personal/payments_intercorp_com_pe/Documents/01. Estrategia/02. Proyecciones/Tarjetas/04. Abril 26/TC/"/>
    </mc:Choice>
  </mc:AlternateContent>
  <xr:revisionPtr revIDLastSave="1" documentId="8_{AD3EEC5C-684A-44EC-9259-F77DDEE539E1}" xr6:coauthVersionLast="47" xr6:coauthVersionMax="47" xr10:uidLastSave="{CA54DFAC-DFF0-45B7-B807-11573D3FF29B}"/>
  <bookViews>
    <workbookView xWindow="-110" yWindow="-110" windowWidth="19420" windowHeight="11500" tabRatio="835" firstSheet="7" activeTab="7" xr2:uid="{00000000-000D-0000-FFFF-FFFF00000000}"/>
  </bookViews>
  <sheets>
    <sheet name="FactuScore (2)" sheetId="42" state="hidden" r:id="rId1"/>
    <sheet name="PyCCuotas" sheetId="33" state="hidden" r:id="rId2"/>
    <sheet name="CuotasaAnterior" sheetId="32" state="hidden" r:id="rId3"/>
    <sheet name="cuotas diario" sheetId="37" state="hidden" r:id="rId4"/>
    <sheet name="AMEX" sheetId="31" state="hidden" r:id="rId5"/>
    <sheet name="Ejer" sheetId="40" state="hidden" r:id="rId6"/>
    <sheet name="CuotasActual" sheetId="34" state="hidden" r:id="rId7"/>
    <sheet name="Resumen" sheetId="1" r:id="rId8"/>
    <sheet name="Hoja3" sheetId="47" r:id="rId9"/>
    <sheet name="Res" sheetId="44" state="hidden" r:id="rId10"/>
    <sheet name="Proyección_indicadores" sheetId="12" r:id="rId11"/>
    <sheet name="Resumen Digital" sheetId="21" state="hidden" r:id="rId12"/>
    <sheet name="Proyección_indicadores_digital" sheetId="22" state="hidden" r:id="rId13"/>
    <sheet name="FactuScore" sheetId="41" state="hidden" r:id="rId14"/>
    <sheet name="FactuSemanal" sheetId="38" state="hidden" r:id="rId15"/>
    <sheet name="Graf_PowerBI" sheetId="28" r:id="rId16"/>
    <sheet name="Hoja2" sheetId="43" state="hidden" r:id="rId17"/>
    <sheet name="Hoja1" sheetId="35" state="hidden" r:id="rId18"/>
    <sheet name="Querys" sheetId="13" state="hidden" r:id="rId19"/>
    <sheet name="Fecha Proceso" sheetId="23" state="hidden" r:id="rId20"/>
    <sheet name="Facturación_Procesada" sheetId="29" state="hidden" r:id="rId21"/>
    <sheet name="Facturación_Procesada - Prop" sheetId="46" r:id="rId22"/>
    <sheet name="Fecha Proceso - Propuestado" sheetId="45" r:id="rId23"/>
    <sheet name="Tabla_Fec_Proceso" sheetId="24" r:id="rId24"/>
    <sheet name="Denegaciones Histórica" sheetId="30" state="hidden" r:id="rId25"/>
  </sheets>
  <externalReferences>
    <externalReference r:id="rId26"/>
  </externalReferences>
  <calcPr calcId="191028"/>
  <pivotCaches>
    <pivotCache cacheId="463" r:id="rId27"/>
    <pivotCache cacheId="464" r:id="rId28"/>
    <pivotCache cacheId="465" r:id="rId29"/>
    <pivotCache cacheId="466" r:id="rId30"/>
    <pivotCache cacheId="467" r:id="rId31"/>
    <pivotCache cacheId="468" r:id="rId32"/>
    <pivotCache cacheId="469" r:id="rId33"/>
    <pivotCache cacheId="470" r:id="rId3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V56" i="1"/>
  <c r="N37" i="12"/>
  <c r="L37" i="12"/>
  <c r="Q90" i="28"/>
  <c r="Q89" i="28"/>
  <c r="Q88" i="28"/>
  <c r="Q87" i="28"/>
  <c r="Q86" i="28"/>
  <c r="Q85" i="28"/>
  <c r="Q84" i="28"/>
  <c r="Q83" i="28"/>
  <c r="Q82" i="28"/>
  <c r="Q81" i="28"/>
  <c r="Q80" i="28"/>
  <c r="Q79" i="28"/>
  <c r="Q78" i="28"/>
  <c r="Q77" i="28"/>
  <c r="Q76" i="28"/>
  <c r="Q75" i="28"/>
  <c r="Q74" i="28"/>
  <c r="Q73" i="28"/>
  <c r="Q72" i="28"/>
  <c r="Q71" i="28"/>
  <c r="Q70" i="28"/>
  <c r="Q69" i="28"/>
  <c r="Q68" i="28"/>
  <c r="Q67" i="28"/>
  <c r="Q66" i="28"/>
  <c r="Q65" i="28"/>
  <c r="Q64" i="28"/>
  <c r="Q63" i="28"/>
  <c r="Q62" i="28"/>
  <c r="Q61" i="28"/>
  <c r="Q60" i="28"/>
  <c r="Q59" i="28"/>
  <c r="Q58" i="28"/>
  <c r="Q57" i="28"/>
  <c r="Q56" i="28"/>
  <c r="Q55" i="28"/>
  <c r="Q54" i="28"/>
  <c r="Q53" i="28"/>
  <c r="Q52" i="28"/>
  <c r="Q51" i="28"/>
  <c r="Q50" i="28"/>
  <c r="Q49" i="28"/>
  <c r="Q48" i="28"/>
  <c r="Q47" i="28"/>
  <c r="Q46" i="28"/>
  <c r="Q45" i="28"/>
  <c r="Q44" i="28"/>
  <c r="Q43" i="28"/>
  <c r="Q42" i="28"/>
  <c r="Q41" i="28"/>
  <c r="Q40" i="28"/>
  <c r="Q39" i="28"/>
  <c r="Q38" i="28"/>
  <c r="Q37" i="28"/>
  <c r="Q36" i="28"/>
  <c r="Q35" i="28"/>
  <c r="Q34" i="28"/>
  <c r="Q33" i="28"/>
  <c r="Q32" i="28"/>
  <c r="Q31" i="28"/>
  <c r="Q30" i="28"/>
  <c r="Q29" i="28"/>
  <c r="Q28" i="28"/>
  <c r="Q27" i="28"/>
  <c r="Q26" i="28"/>
  <c r="Q25" i="28"/>
  <c r="Q24" i="28"/>
  <c r="Q23" i="28"/>
  <c r="Q22" i="28"/>
  <c r="Q21" i="28"/>
  <c r="Q20" i="28"/>
  <c r="Q19" i="28"/>
  <c r="Q18" i="28"/>
  <c r="Q17" i="28"/>
  <c r="Q16" i="28"/>
  <c r="Q15" i="28"/>
  <c r="Q14" i="28"/>
  <c r="Q13" i="28"/>
  <c r="Q12" i="28"/>
  <c r="Q11" i="28"/>
  <c r="Q10" i="28"/>
  <c r="Q9" i="28"/>
  <c r="Q8" i="28"/>
  <c r="Q7" i="28"/>
  <c r="Q6" i="28"/>
  <c r="Q5" i="28"/>
  <c r="Q74" i="12" l="1"/>
  <c r="Q75" i="12"/>
  <c r="Q76" i="12"/>
  <c r="Q77" i="12"/>
  <c r="S74" i="12"/>
  <c r="S75" i="12"/>
  <c r="S76" i="12"/>
  <c r="S77" i="12"/>
  <c r="S73" i="12"/>
  <c r="Q73" i="12"/>
  <c r="N74" i="12"/>
  <c r="N75" i="12"/>
  <c r="N76" i="12"/>
  <c r="N77" i="12"/>
  <c r="N73" i="12"/>
  <c r="L74" i="12"/>
  <c r="L75" i="12"/>
  <c r="L76" i="12"/>
  <c r="L77" i="12"/>
  <c r="L73" i="12"/>
  <c r="S35" i="12"/>
  <c r="S36" i="12"/>
  <c r="S37" i="12"/>
  <c r="S38" i="12"/>
  <c r="S34" i="12"/>
  <c r="Q35" i="12"/>
  <c r="Q36" i="12"/>
  <c r="Q37" i="12"/>
  <c r="Q38" i="12"/>
  <c r="Q34" i="12"/>
  <c r="N35" i="12"/>
  <c r="N36" i="12"/>
  <c r="N38" i="12"/>
  <c r="N34" i="12"/>
  <c r="L35" i="12"/>
  <c r="L36" i="12"/>
  <c r="L38" i="12"/>
  <c r="L34" i="12"/>
  <c r="S72" i="12" l="1"/>
  <c r="Q72" i="12"/>
  <c r="L72" i="12"/>
  <c r="S33" i="12"/>
  <c r="Q33" i="12"/>
  <c r="N33" i="12"/>
  <c r="L33" i="12"/>
  <c r="AQ36" i="47" l="1"/>
  <c r="AP5" i="47" l="1"/>
  <c r="AP6" i="47"/>
  <c r="AP7" i="47"/>
  <c r="AP8" i="47"/>
  <c r="AP9" i="47"/>
  <c r="AP10" i="47"/>
  <c r="AP11" i="47"/>
  <c r="AP12" i="47"/>
  <c r="AP13" i="47"/>
  <c r="AP14" i="47"/>
  <c r="AP15" i="47"/>
  <c r="AP16" i="47"/>
  <c r="AP17" i="47"/>
  <c r="AP18" i="47"/>
  <c r="AP19" i="47"/>
  <c r="AP20" i="47"/>
  <c r="AP21" i="47"/>
  <c r="AP22" i="47"/>
  <c r="AP23" i="47"/>
  <c r="AP24" i="47"/>
  <c r="AP25" i="47"/>
  <c r="AP26" i="47"/>
  <c r="AP27" i="47"/>
  <c r="AP28" i="47"/>
  <c r="AP29" i="47"/>
  <c r="AP30" i="47"/>
  <c r="AP31" i="47"/>
  <c r="AP32" i="47"/>
  <c r="AP33" i="47"/>
  <c r="AP34" i="47"/>
  <c r="AP4" i="47"/>
  <c r="AJ7" i="47"/>
  <c r="AJ8" i="47"/>
  <c r="AJ9" i="47"/>
  <c r="AJ10" i="47"/>
  <c r="AJ11" i="47"/>
  <c r="AJ12" i="47"/>
  <c r="AJ13" i="47"/>
  <c r="AJ14" i="47"/>
  <c r="AJ15" i="47"/>
  <c r="AJ16" i="47"/>
  <c r="AJ17" i="47"/>
  <c r="AJ18" i="47"/>
  <c r="AJ19" i="47"/>
  <c r="AJ20" i="47"/>
  <c r="AJ21" i="47"/>
  <c r="AJ22" i="47"/>
  <c r="AJ23" i="47"/>
  <c r="AJ24" i="47"/>
  <c r="AJ25" i="47"/>
  <c r="AJ26" i="47"/>
  <c r="AJ27" i="47"/>
  <c r="AJ28" i="47"/>
  <c r="AJ29" i="47"/>
  <c r="AJ30" i="47"/>
  <c r="AJ31" i="47"/>
  <c r="AJ32" i="47"/>
  <c r="AJ33" i="47"/>
  <c r="AJ34" i="47"/>
  <c r="AJ35" i="47"/>
  <c r="AJ36" i="47"/>
  <c r="AJ6" i="47"/>
  <c r="U36" i="47" l="1"/>
  <c r="V36" i="47"/>
  <c r="P29" i="47"/>
  <c r="P28" i="47"/>
  <c r="L7" i="47"/>
  <c r="M7" i="47"/>
  <c r="L8" i="47"/>
  <c r="M8" i="47"/>
  <c r="L9" i="47"/>
  <c r="M9" i="47"/>
  <c r="L10" i="47"/>
  <c r="M10" i="47"/>
  <c r="L11" i="47"/>
  <c r="M11" i="47"/>
  <c r="L12" i="47"/>
  <c r="M12" i="47"/>
  <c r="L13" i="47"/>
  <c r="M13" i="47"/>
  <c r="L14" i="47"/>
  <c r="M14" i="47"/>
  <c r="L15" i="47"/>
  <c r="M15" i="47"/>
  <c r="L16" i="47"/>
  <c r="M16" i="47"/>
  <c r="L17" i="47"/>
  <c r="M17" i="47"/>
  <c r="L18" i="47"/>
  <c r="M18" i="47"/>
  <c r="L19" i="47"/>
  <c r="M19" i="47"/>
  <c r="L20" i="47"/>
  <c r="M20" i="47"/>
  <c r="L21" i="47"/>
  <c r="M21" i="47"/>
  <c r="L22" i="47"/>
  <c r="M22" i="47"/>
  <c r="L23" i="47"/>
  <c r="M23" i="47"/>
  <c r="L24" i="47"/>
  <c r="M24" i="47"/>
  <c r="L25" i="47"/>
  <c r="M25" i="47"/>
  <c r="L26" i="47"/>
  <c r="M26" i="47"/>
  <c r="L27" i="47"/>
  <c r="M27" i="47"/>
  <c r="L28" i="47"/>
  <c r="M28" i="47"/>
  <c r="L29" i="47"/>
  <c r="M29" i="47"/>
  <c r="M6" i="47"/>
  <c r="L6" i="47"/>
  <c r="M35" i="47"/>
  <c r="L35" i="47"/>
  <c r="M34" i="47"/>
  <c r="L34" i="47"/>
  <c r="M33" i="47"/>
  <c r="L33" i="47"/>
  <c r="N29" i="47" l="1"/>
  <c r="O29" i="47" s="1"/>
  <c r="R29" i="47" s="1"/>
  <c r="N28" i="47"/>
  <c r="O28" i="47" s="1"/>
  <c r="R28" i="47" s="1"/>
  <c r="J98" i="1"/>
  <c r="J101" i="1"/>
  <c r="J100" i="1"/>
  <c r="J99" i="1"/>
  <c r="J97" i="1"/>
  <c r="J96" i="1"/>
  <c r="J93" i="1"/>
  <c r="J92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R30" i="47" l="1"/>
  <c r="N30" i="47"/>
  <c r="S68" i="12"/>
  <c r="S69" i="12"/>
  <c r="S70" i="12"/>
  <c r="S71" i="12"/>
  <c r="Q68" i="12"/>
  <c r="Q69" i="12"/>
  <c r="Q70" i="12"/>
  <c r="Q71" i="12"/>
  <c r="N68" i="12"/>
  <c r="N69" i="12"/>
  <c r="N70" i="12"/>
  <c r="N71" i="12"/>
  <c r="N72" i="12"/>
  <c r="L68" i="12"/>
  <c r="L69" i="12"/>
  <c r="L70" i="12"/>
  <c r="L71" i="12"/>
  <c r="L29" i="12"/>
  <c r="L30" i="12"/>
  <c r="L31" i="12"/>
  <c r="L32" i="12"/>
  <c r="N29" i="12"/>
  <c r="N30" i="12"/>
  <c r="N31" i="12"/>
  <c r="N32" i="12"/>
  <c r="Q29" i="12"/>
  <c r="Q30" i="12"/>
  <c r="Q31" i="12"/>
  <c r="Q32" i="12"/>
  <c r="S29" i="12"/>
  <c r="S30" i="12"/>
  <c r="S31" i="12"/>
  <c r="S32" i="12"/>
  <c r="S67" i="12" l="1"/>
  <c r="Q67" i="12"/>
  <c r="N67" i="12"/>
  <c r="L67" i="12"/>
  <c r="S28" i="12"/>
  <c r="Q28" i="12"/>
  <c r="N28" i="12"/>
  <c r="L28" i="12"/>
  <c r="I65" i="1" l="1"/>
  <c r="I66" i="1"/>
  <c r="L65" i="12"/>
  <c r="L66" i="12"/>
  <c r="N65" i="12"/>
  <c r="N66" i="12"/>
  <c r="Q65" i="12"/>
  <c r="Q66" i="12"/>
  <c r="S65" i="12"/>
  <c r="S66" i="12"/>
  <c r="S64" i="12"/>
  <c r="Q64" i="12"/>
  <c r="Q26" i="12"/>
  <c r="Q27" i="12"/>
  <c r="Q24" i="12"/>
  <c r="Q22" i="12"/>
  <c r="Q23" i="12"/>
  <c r="Q25" i="12"/>
  <c r="S26" i="12"/>
  <c r="S27" i="12"/>
  <c r="N26" i="12"/>
  <c r="N27" i="12"/>
  <c r="L26" i="12"/>
  <c r="L27" i="12"/>
  <c r="N64" i="12"/>
  <c r="L64" i="12"/>
  <c r="S25" i="12"/>
  <c r="N25" i="12"/>
  <c r="L25" i="12"/>
  <c r="E102" i="28"/>
  <c r="F102" i="28" s="1"/>
  <c r="E101" i="28" l="1"/>
  <c r="I61" i="1"/>
  <c r="S22" i="12" l="1"/>
  <c r="S23" i="12"/>
  <c r="S24" i="12"/>
  <c r="N22" i="12"/>
  <c r="N23" i="12"/>
  <c r="N24" i="12"/>
  <c r="L22" i="12"/>
  <c r="L23" i="12"/>
  <c r="L24" i="12"/>
  <c r="S21" i="12"/>
  <c r="Q21" i="12"/>
  <c r="N21" i="12"/>
  <c r="L21" i="12"/>
  <c r="S61" i="12"/>
  <c r="S62" i="12"/>
  <c r="S63" i="12"/>
  <c r="Q61" i="12"/>
  <c r="Q62" i="12"/>
  <c r="Q63" i="12"/>
  <c r="N61" i="12"/>
  <c r="N62" i="12"/>
  <c r="N63" i="12"/>
  <c r="L61" i="12"/>
  <c r="L62" i="12"/>
  <c r="L63" i="12"/>
  <c r="S60" i="12"/>
  <c r="Q60" i="12"/>
  <c r="N60" i="12"/>
  <c r="L60" i="12"/>
  <c r="J63" i="1"/>
  <c r="S58" i="12"/>
  <c r="S59" i="12"/>
  <c r="S57" i="12"/>
  <c r="Q58" i="12"/>
  <c r="Q59" i="12"/>
  <c r="Q57" i="12"/>
  <c r="N58" i="12"/>
  <c r="N59" i="12"/>
  <c r="N57" i="12"/>
  <c r="L58" i="12"/>
  <c r="L59" i="12"/>
  <c r="L57" i="12"/>
  <c r="S19" i="12"/>
  <c r="S20" i="12"/>
  <c r="S18" i="12"/>
  <c r="Q19" i="12"/>
  <c r="Q20" i="12"/>
  <c r="Q18" i="12"/>
  <c r="N19" i="12"/>
  <c r="N20" i="12"/>
  <c r="N18" i="12"/>
  <c r="L19" i="12"/>
  <c r="L20" i="12"/>
  <c r="L18" i="12"/>
  <c r="D5" i="1"/>
  <c r="E5" i="1"/>
  <c r="J3" i="1" s="1"/>
  <c r="L72" i="1"/>
  <c r="L73" i="1"/>
  <c r="L74" i="1"/>
  <c r="L75" i="1"/>
  <c r="L76" i="1"/>
  <c r="L77" i="1"/>
  <c r="L78" i="1"/>
  <c r="L79" i="1"/>
  <c r="C4" i="12"/>
  <c r="C3" i="12"/>
  <c r="F4" i="12" l="1"/>
  <c r="F3" i="12"/>
  <c r="C108" i="1" l="1"/>
  <c r="D110" i="1"/>
  <c r="D109" i="1"/>
  <c r="D108" i="1"/>
  <c r="D107" i="1"/>
  <c r="E110" i="1"/>
  <c r="E109" i="1"/>
  <c r="E108" i="1"/>
  <c r="E107" i="1"/>
  <c r="C111" i="1"/>
  <c r="C109" i="1"/>
  <c r="C107" i="1"/>
  <c r="B111" i="1"/>
  <c r="B110" i="1"/>
  <c r="B109" i="1"/>
  <c r="B108" i="1"/>
  <c r="G2" i="1"/>
  <c r="C60" i="1"/>
  <c r="H1" i="46"/>
  <c r="S13" i="12" l="1"/>
  <c r="S14" i="12"/>
  <c r="S15" i="12"/>
  <c r="S16" i="12"/>
  <c r="S17" i="12"/>
  <c r="Q13" i="12"/>
  <c r="Q14" i="12"/>
  <c r="Q15" i="12"/>
  <c r="Q16" i="12"/>
  <c r="Q17" i="12"/>
  <c r="S12" i="12"/>
  <c r="Q12" i="12"/>
  <c r="N13" i="12"/>
  <c r="N14" i="12"/>
  <c r="N15" i="12"/>
  <c r="N16" i="12"/>
  <c r="N17" i="12"/>
  <c r="N12" i="12"/>
  <c r="L13" i="12"/>
  <c r="L14" i="12"/>
  <c r="L15" i="12"/>
  <c r="L16" i="12"/>
  <c r="L17" i="12"/>
  <c r="L12" i="12"/>
  <c r="S52" i="12"/>
  <c r="S53" i="12"/>
  <c r="S54" i="12"/>
  <c r="S55" i="12"/>
  <c r="S56" i="12"/>
  <c r="Q52" i="12"/>
  <c r="Q53" i="12"/>
  <c r="Q54" i="12"/>
  <c r="Q55" i="12"/>
  <c r="Q56" i="12"/>
  <c r="N52" i="12"/>
  <c r="N53" i="12"/>
  <c r="N54" i="12"/>
  <c r="N55" i="12"/>
  <c r="N56" i="12"/>
  <c r="L52" i="12"/>
  <c r="L53" i="12"/>
  <c r="L54" i="12"/>
  <c r="L55" i="12"/>
  <c r="L56" i="12"/>
  <c r="S51" i="12"/>
  <c r="Q51" i="12"/>
  <c r="N51" i="12"/>
  <c r="L51" i="12"/>
  <c r="AI19" i="45" l="1"/>
  <c r="AJ19" i="45"/>
  <c r="D48" i="1"/>
  <c r="D39" i="1"/>
  <c r="D36" i="1"/>
  <c r="D33" i="1"/>
  <c r="D25" i="1"/>
  <c r="E48" i="1"/>
  <c r="E46" i="1"/>
  <c r="E39" i="1"/>
  <c r="E36" i="1"/>
  <c r="E33" i="1"/>
  <c r="E25" i="1"/>
  <c r="E17" i="1"/>
  <c r="D40" i="12" l="1"/>
  <c r="E40" i="12"/>
  <c r="H101" i="1" l="1"/>
  <c r="H100" i="1"/>
  <c r="H99" i="1"/>
  <c r="I102" i="1"/>
  <c r="F24" i="24"/>
  <c r="H102" i="1" l="1"/>
  <c r="C30" i="46" l="1"/>
  <c r="R89" i="28" l="1"/>
  <c r="K89" i="28"/>
  <c r="G89" i="28"/>
  <c r="I89" i="28" s="1"/>
  <c r="F89" i="28"/>
  <c r="J89" i="28" l="1"/>
  <c r="C31" i="46"/>
  <c r="I60" i="1" l="1"/>
  <c r="K34" i="12" l="1"/>
  <c r="K35" i="12"/>
  <c r="K36" i="12"/>
  <c r="K37" i="12"/>
  <c r="K38" i="12"/>
  <c r="P37" i="12"/>
  <c r="R37" i="12"/>
  <c r="P38" i="12"/>
  <c r="R38" i="12"/>
  <c r="M37" i="12"/>
  <c r="M38" i="12"/>
  <c r="H37" i="12"/>
  <c r="H38" i="12"/>
  <c r="R76" i="12"/>
  <c r="R77" i="12"/>
  <c r="P77" i="12"/>
  <c r="M76" i="12"/>
  <c r="M77" i="12"/>
  <c r="K77" i="12"/>
  <c r="H76" i="12"/>
  <c r="H77" i="12"/>
  <c r="F100" i="1"/>
  <c r="G100" i="1"/>
  <c r="F101" i="1"/>
  <c r="G101" i="1"/>
  <c r="E102" i="1"/>
  <c r="D102" i="1"/>
  <c r="E43" i="1" l="1"/>
  <c r="E47" i="1"/>
  <c r="F32" i="46" l="1"/>
  <c r="S88" i="28" l="1"/>
  <c r="I88" i="28"/>
  <c r="I87" i="28"/>
  <c r="I86" i="28"/>
  <c r="I85" i="28"/>
  <c r="I84" i="28"/>
  <c r="I83" i="28"/>
  <c r="I82" i="28"/>
  <c r="I81" i="28"/>
  <c r="I80" i="28"/>
  <c r="I79" i="28"/>
  <c r="I78" i="28"/>
  <c r="I77" i="28"/>
  <c r="I76" i="28"/>
  <c r="I75" i="28"/>
  <c r="I74" i="28"/>
  <c r="I73" i="28"/>
  <c r="I72" i="28"/>
  <c r="I71" i="28"/>
  <c r="I70" i="28"/>
  <c r="I69" i="28"/>
  <c r="I68" i="28"/>
  <c r="I67" i="28"/>
  <c r="I66" i="28"/>
  <c r="I65" i="28"/>
  <c r="I64" i="28"/>
  <c r="I63" i="28"/>
  <c r="I62" i="28"/>
  <c r="I61" i="28"/>
  <c r="I60" i="28"/>
  <c r="I59" i="28"/>
  <c r="I58" i="28"/>
  <c r="I57" i="28"/>
  <c r="I56" i="28"/>
  <c r="I55" i="28"/>
  <c r="I54" i="28"/>
  <c r="I53" i="28"/>
  <c r="I52" i="28"/>
  <c r="I51" i="28"/>
  <c r="I50" i="28"/>
  <c r="I49" i="28"/>
  <c r="I48" i="28"/>
  <c r="I47" i="28"/>
  <c r="I46" i="28"/>
  <c r="I45" i="28"/>
  <c r="I44" i="28"/>
  <c r="I43" i="28"/>
  <c r="I42" i="28"/>
  <c r="I41" i="28"/>
  <c r="I40" i="28"/>
  <c r="I39" i="28"/>
  <c r="I38" i="28"/>
  <c r="I37" i="28"/>
  <c r="I36" i="28"/>
  <c r="I35" i="28"/>
  <c r="I34" i="28"/>
  <c r="I33" i="28"/>
  <c r="I32" i="28"/>
  <c r="I31" i="28"/>
  <c r="I30" i="28"/>
  <c r="I29" i="28"/>
  <c r="I28" i="28"/>
  <c r="I27" i="28"/>
  <c r="I26" i="28"/>
  <c r="I25" i="28"/>
  <c r="I24" i="28"/>
  <c r="I23" i="28"/>
  <c r="I22" i="28"/>
  <c r="I21" i="28"/>
  <c r="I20" i="28"/>
  <c r="I19" i="28"/>
  <c r="I18" i="28"/>
  <c r="I17" i="28"/>
  <c r="I16" i="28"/>
  <c r="I15" i="28"/>
  <c r="I14" i="28"/>
  <c r="I13" i="28"/>
  <c r="I12" i="28"/>
  <c r="I11" i="28"/>
  <c r="I10" i="28"/>
  <c r="I9" i="28"/>
  <c r="I8" i="28"/>
  <c r="I7" i="28"/>
  <c r="I6" i="28"/>
  <c r="G99" i="1" l="1"/>
  <c r="G98" i="1"/>
  <c r="G97" i="1"/>
  <c r="G96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K87" i="28" l="1"/>
  <c r="H36" i="12" l="1"/>
  <c r="P76" i="12" l="1"/>
  <c r="K76" i="12"/>
  <c r="V9" i="12"/>
  <c r="Q14" i="24" l="1"/>
  <c r="Q15" i="24"/>
  <c r="Q16" i="24"/>
  <c r="Q17" i="24"/>
  <c r="Q18" i="24"/>
  <c r="Q19" i="24"/>
  <c r="Q20" i="24"/>
  <c r="AA5" i="28" l="1"/>
  <c r="L64" i="46" l="1"/>
  <c r="J64" i="46"/>
  <c r="H64" i="46"/>
  <c r="E64" i="46"/>
  <c r="D64" i="46"/>
  <c r="L63" i="46"/>
  <c r="J63" i="46"/>
  <c r="H63" i="46"/>
  <c r="E63" i="46"/>
  <c r="D63" i="46"/>
  <c r="L62" i="46"/>
  <c r="J62" i="46"/>
  <c r="H62" i="46"/>
  <c r="E62" i="46"/>
  <c r="D62" i="46"/>
  <c r="L61" i="46"/>
  <c r="J61" i="46"/>
  <c r="H61" i="46"/>
  <c r="E61" i="46"/>
  <c r="D61" i="46"/>
  <c r="L60" i="46"/>
  <c r="J60" i="46"/>
  <c r="H60" i="46"/>
  <c r="E60" i="46"/>
  <c r="D60" i="46"/>
  <c r="L59" i="46"/>
  <c r="J59" i="46"/>
  <c r="H59" i="46"/>
  <c r="E59" i="46"/>
  <c r="D59" i="46"/>
  <c r="L58" i="46"/>
  <c r="J58" i="46"/>
  <c r="H58" i="46"/>
  <c r="E58" i="46"/>
  <c r="D58" i="46"/>
  <c r="L57" i="46"/>
  <c r="J57" i="46"/>
  <c r="H57" i="46"/>
  <c r="E57" i="46"/>
  <c r="D57" i="46"/>
  <c r="L56" i="46"/>
  <c r="J56" i="46"/>
  <c r="H56" i="46"/>
  <c r="E56" i="46"/>
  <c r="D56" i="46"/>
  <c r="L55" i="46"/>
  <c r="J55" i="46"/>
  <c r="H55" i="46"/>
  <c r="E55" i="46"/>
  <c r="D55" i="46"/>
  <c r="L54" i="46"/>
  <c r="J54" i="46"/>
  <c r="H54" i="46"/>
  <c r="E54" i="46"/>
  <c r="D54" i="46"/>
  <c r="L53" i="46"/>
  <c r="J53" i="46"/>
  <c r="H53" i="46"/>
  <c r="E53" i="46"/>
  <c r="D53" i="46"/>
  <c r="L52" i="46"/>
  <c r="J52" i="46"/>
  <c r="H52" i="46"/>
  <c r="E52" i="46"/>
  <c r="D52" i="46"/>
  <c r="L51" i="46"/>
  <c r="J51" i="46"/>
  <c r="H51" i="46"/>
  <c r="E51" i="46"/>
  <c r="D51" i="46"/>
  <c r="L50" i="46"/>
  <c r="J50" i="46"/>
  <c r="H50" i="46"/>
  <c r="E50" i="46"/>
  <c r="D50" i="46"/>
  <c r="L49" i="46"/>
  <c r="J49" i="46"/>
  <c r="H49" i="46"/>
  <c r="E49" i="46"/>
  <c r="D49" i="46"/>
  <c r="L48" i="46"/>
  <c r="J48" i="46"/>
  <c r="H48" i="46"/>
  <c r="E48" i="46"/>
  <c r="D48" i="46"/>
  <c r="L47" i="46"/>
  <c r="J47" i="46"/>
  <c r="H47" i="46"/>
  <c r="E47" i="46"/>
  <c r="D47" i="46"/>
  <c r="L46" i="46"/>
  <c r="J46" i="46"/>
  <c r="H46" i="46"/>
  <c r="E46" i="46"/>
  <c r="D46" i="46"/>
  <c r="L45" i="46"/>
  <c r="J45" i="46"/>
  <c r="H45" i="46"/>
  <c r="E45" i="46"/>
  <c r="D45" i="46"/>
  <c r="L44" i="46"/>
  <c r="J44" i="46"/>
  <c r="H44" i="46"/>
  <c r="E44" i="46"/>
  <c r="D44" i="46"/>
  <c r="L43" i="46"/>
  <c r="J43" i="46"/>
  <c r="H43" i="46"/>
  <c r="E43" i="46"/>
  <c r="D43" i="46"/>
  <c r="L42" i="46"/>
  <c r="J42" i="46"/>
  <c r="H42" i="46"/>
  <c r="E42" i="46"/>
  <c r="D42" i="46"/>
  <c r="L41" i="46"/>
  <c r="J41" i="46"/>
  <c r="H41" i="46"/>
  <c r="E41" i="46"/>
  <c r="D41" i="46"/>
  <c r="L40" i="46"/>
  <c r="J40" i="46"/>
  <c r="H40" i="46"/>
  <c r="E40" i="46"/>
  <c r="D40" i="46"/>
  <c r="L39" i="46"/>
  <c r="J39" i="46"/>
  <c r="H39" i="46"/>
  <c r="E39" i="46"/>
  <c r="D39" i="46"/>
  <c r="L38" i="46"/>
  <c r="J38" i="46"/>
  <c r="H38" i="46"/>
  <c r="E38" i="46"/>
  <c r="D38" i="46"/>
  <c r="L37" i="46"/>
  <c r="J37" i="46"/>
  <c r="H37" i="46"/>
  <c r="E37" i="46"/>
  <c r="D37" i="46"/>
  <c r="L36" i="46"/>
  <c r="J36" i="46"/>
  <c r="H36" i="46"/>
  <c r="E36" i="46"/>
  <c r="D36" i="46"/>
  <c r="L35" i="46"/>
  <c r="J35" i="46"/>
  <c r="H35" i="46"/>
  <c r="E35" i="46"/>
  <c r="D35" i="46"/>
  <c r="J34" i="46"/>
  <c r="H34" i="46"/>
  <c r="E34" i="46"/>
  <c r="D34" i="46"/>
  <c r="L30" i="46"/>
  <c r="J30" i="46"/>
  <c r="L29" i="46"/>
  <c r="J29" i="46"/>
  <c r="C29" i="46"/>
  <c r="L28" i="46"/>
  <c r="J28" i="46"/>
  <c r="C28" i="46"/>
  <c r="J27" i="46"/>
  <c r="C27" i="46"/>
  <c r="L26" i="46"/>
  <c r="J26" i="46"/>
  <c r="C26" i="46"/>
  <c r="L25" i="46"/>
  <c r="J25" i="46"/>
  <c r="L24" i="46"/>
  <c r="J24" i="46"/>
  <c r="L23" i="46"/>
  <c r="J23" i="46"/>
  <c r="C23" i="46"/>
  <c r="C22" i="46"/>
  <c r="L21" i="46"/>
  <c r="J21" i="46"/>
  <c r="C21" i="46"/>
  <c r="L20" i="46"/>
  <c r="J20" i="46"/>
  <c r="C20" i="46"/>
  <c r="L19" i="46"/>
  <c r="J19" i="46"/>
  <c r="C19" i="46"/>
  <c r="L18" i="46"/>
  <c r="J18" i="46"/>
  <c r="C18" i="46"/>
  <c r="L17" i="46"/>
  <c r="J17" i="46"/>
  <c r="C17" i="46"/>
  <c r="C16" i="46"/>
  <c r="L15" i="46"/>
  <c r="J15" i="46"/>
  <c r="C15" i="46"/>
  <c r="L14" i="46"/>
  <c r="J14" i="46"/>
  <c r="C14" i="46"/>
  <c r="L13" i="46"/>
  <c r="J13" i="46"/>
  <c r="C13" i="46"/>
  <c r="L12" i="46"/>
  <c r="J12" i="46"/>
  <c r="C12" i="46"/>
  <c r="L11" i="46"/>
  <c r="J11" i="46"/>
  <c r="C11" i="46"/>
  <c r="C10" i="46"/>
  <c r="L9" i="46"/>
  <c r="J9" i="46"/>
  <c r="C9" i="46"/>
  <c r="L8" i="46"/>
  <c r="J8" i="46"/>
  <c r="C8" i="46"/>
  <c r="L7" i="46"/>
  <c r="J7" i="46"/>
  <c r="C7" i="46"/>
  <c r="L6" i="46"/>
  <c r="J6" i="46"/>
  <c r="C6" i="46"/>
  <c r="L5" i="46"/>
  <c r="J5" i="46"/>
  <c r="C5" i="46"/>
  <c r="L4" i="46"/>
  <c r="J4" i="46"/>
  <c r="C4" i="46"/>
  <c r="L3" i="46"/>
  <c r="J3" i="46"/>
  <c r="C3" i="46"/>
  <c r="A3" i="46"/>
  <c r="L2" i="46"/>
  <c r="J2" i="46"/>
  <c r="C2" i="46"/>
  <c r="B2" i="46"/>
  <c r="AM101" i="45"/>
  <c r="AM100" i="45"/>
  <c r="AM99" i="45"/>
  <c r="AM98" i="45"/>
  <c r="I73" i="45"/>
  <c r="H73" i="45"/>
  <c r="G73" i="45"/>
  <c r="F73" i="45"/>
  <c r="E73" i="45"/>
  <c r="D73" i="45"/>
  <c r="AB68" i="45"/>
  <c r="AB103" i="45" s="1"/>
  <c r="AA68" i="45"/>
  <c r="AA103" i="45" s="1"/>
  <c r="Z68" i="45"/>
  <c r="Z103" i="45" s="1"/>
  <c r="Y68" i="45"/>
  <c r="Y103" i="45" s="1"/>
  <c r="X68" i="45"/>
  <c r="X103" i="45" s="1"/>
  <c r="W68" i="45"/>
  <c r="W103" i="45" s="1"/>
  <c r="V68" i="45"/>
  <c r="V103" i="45" s="1"/>
  <c r="U68" i="45"/>
  <c r="U103" i="45" s="1"/>
  <c r="T68" i="45"/>
  <c r="T103" i="45" s="1"/>
  <c r="S68" i="45"/>
  <c r="S103" i="45" s="1"/>
  <c r="R68" i="45"/>
  <c r="R103" i="45" s="1"/>
  <c r="Q68" i="45"/>
  <c r="Q103" i="45" s="1"/>
  <c r="P68" i="45"/>
  <c r="P103" i="45" s="1"/>
  <c r="O68" i="45"/>
  <c r="O103" i="45" s="1"/>
  <c r="N68" i="45"/>
  <c r="N103" i="45" s="1"/>
  <c r="M68" i="45"/>
  <c r="M103" i="45" s="1"/>
  <c r="L68" i="45"/>
  <c r="L103" i="45" s="1"/>
  <c r="K68" i="45"/>
  <c r="K103" i="45" s="1"/>
  <c r="J68" i="45"/>
  <c r="J103" i="45" s="1"/>
  <c r="I68" i="45"/>
  <c r="I103" i="45" s="1"/>
  <c r="H68" i="45"/>
  <c r="H103" i="45" s="1"/>
  <c r="G68" i="45"/>
  <c r="G103" i="45" s="1"/>
  <c r="F68" i="45"/>
  <c r="F103" i="45" s="1"/>
  <c r="E68" i="45"/>
  <c r="E103" i="45" s="1"/>
  <c r="D68" i="45"/>
  <c r="D103" i="45" s="1"/>
  <c r="C68" i="45"/>
  <c r="Y67" i="45"/>
  <c r="Y102" i="45" s="1"/>
  <c r="X67" i="45"/>
  <c r="X102" i="45" s="1"/>
  <c r="W67" i="45"/>
  <c r="W102" i="45" s="1"/>
  <c r="V67" i="45"/>
  <c r="V102" i="45" s="1"/>
  <c r="U67" i="45"/>
  <c r="U102" i="45" s="1"/>
  <c r="T67" i="45"/>
  <c r="T102" i="45" s="1"/>
  <c r="S67" i="45"/>
  <c r="S102" i="45" s="1"/>
  <c r="R67" i="45"/>
  <c r="R102" i="45" s="1"/>
  <c r="Q67" i="45"/>
  <c r="Q102" i="45" s="1"/>
  <c r="P67" i="45"/>
  <c r="P102" i="45" s="1"/>
  <c r="O67" i="45"/>
  <c r="O102" i="45" s="1"/>
  <c r="N67" i="45"/>
  <c r="N102" i="45" s="1"/>
  <c r="M67" i="45"/>
  <c r="M102" i="45" s="1"/>
  <c r="L67" i="45"/>
  <c r="L102" i="45" s="1"/>
  <c r="K67" i="45"/>
  <c r="K102" i="45" s="1"/>
  <c r="J67" i="45"/>
  <c r="J102" i="45" s="1"/>
  <c r="I67" i="45"/>
  <c r="I102" i="45" s="1"/>
  <c r="H67" i="45"/>
  <c r="H102" i="45" s="1"/>
  <c r="G67" i="45"/>
  <c r="G102" i="45" s="1"/>
  <c r="F67" i="45"/>
  <c r="F102" i="45" s="1"/>
  <c r="E67" i="45"/>
  <c r="E102" i="45" s="1"/>
  <c r="D67" i="45"/>
  <c r="D102" i="45" s="1"/>
  <c r="C67" i="45"/>
  <c r="Y66" i="45"/>
  <c r="Y101" i="45" s="1"/>
  <c r="X66" i="45"/>
  <c r="X101" i="45" s="1"/>
  <c r="W66" i="45"/>
  <c r="W101" i="45" s="1"/>
  <c r="V66" i="45"/>
  <c r="V101" i="45" s="1"/>
  <c r="U66" i="45"/>
  <c r="U101" i="45" s="1"/>
  <c r="T66" i="45"/>
  <c r="T101" i="45" s="1"/>
  <c r="S66" i="45"/>
  <c r="S101" i="45" s="1"/>
  <c r="R66" i="45"/>
  <c r="R101" i="45" s="1"/>
  <c r="Q66" i="45"/>
  <c r="Q101" i="45" s="1"/>
  <c r="P66" i="45"/>
  <c r="P101" i="45" s="1"/>
  <c r="O66" i="45"/>
  <c r="O101" i="45" s="1"/>
  <c r="N66" i="45"/>
  <c r="N101" i="45" s="1"/>
  <c r="M66" i="45"/>
  <c r="M101" i="45" s="1"/>
  <c r="L66" i="45"/>
  <c r="L101" i="45" s="1"/>
  <c r="K66" i="45"/>
  <c r="K101" i="45" s="1"/>
  <c r="J66" i="45"/>
  <c r="J101" i="45" s="1"/>
  <c r="I66" i="45"/>
  <c r="I101" i="45" s="1"/>
  <c r="H66" i="45"/>
  <c r="H101" i="45" s="1"/>
  <c r="G66" i="45"/>
  <c r="G101" i="45" s="1"/>
  <c r="F66" i="45"/>
  <c r="F101" i="45" s="1"/>
  <c r="E66" i="45"/>
  <c r="E101" i="45" s="1"/>
  <c r="D66" i="45"/>
  <c r="D101" i="45" s="1"/>
  <c r="C66" i="45"/>
  <c r="Y65" i="45"/>
  <c r="Y100" i="45" s="1"/>
  <c r="X65" i="45"/>
  <c r="X100" i="45" s="1"/>
  <c r="W65" i="45"/>
  <c r="W100" i="45" s="1"/>
  <c r="V65" i="45"/>
  <c r="V100" i="45" s="1"/>
  <c r="U65" i="45"/>
  <c r="U100" i="45" s="1"/>
  <c r="T65" i="45"/>
  <c r="T100" i="45" s="1"/>
  <c r="S65" i="45"/>
  <c r="S100" i="45" s="1"/>
  <c r="R65" i="45"/>
  <c r="R100" i="45" s="1"/>
  <c r="Q65" i="45"/>
  <c r="Q100" i="45" s="1"/>
  <c r="P65" i="45"/>
  <c r="P100" i="45" s="1"/>
  <c r="O65" i="45"/>
  <c r="O100" i="45" s="1"/>
  <c r="N65" i="45"/>
  <c r="N100" i="45" s="1"/>
  <c r="M65" i="45"/>
  <c r="M100" i="45" s="1"/>
  <c r="L65" i="45"/>
  <c r="L100" i="45" s="1"/>
  <c r="K65" i="45"/>
  <c r="K100" i="45" s="1"/>
  <c r="J65" i="45"/>
  <c r="J100" i="45" s="1"/>
  <c r="I65" i="45"/>
  <c r="I100" i="45" s="1"/>
  <c r="H65" i="45"/>
  <c r="H100" i="45" s="1"/>
  <c r="G65" i="45"/>
  <c r="G100" i="45" s="1"/>
  <c r="F65" i="45"/>
  <c r="F100" i="45" s="1"/>
  <c r="E65" i="45"/>
  <c r="E100" i="45" s="1"/>
  <c r="D65" i="45"/>
  <c r="D100" i="45" s="1"/>
  <c r="C65" i="45"/>
  <c r="V64" i="45"/>
  <c r="V99" i="45" s="1"/>
  <c r="U64" i="45"/>
  <c r="U99" i="45" s="1"/>
  <c r="T64" i="45"/>
  <c r="T99" i="45" s="1"/>
  <c r="S64" i="45"/>
  <c r="S99" i="45" s="1"/>
  <c r="R64" i="45"/>
  <c r="R99" i="45" s="1"/>
  <c r="Q64" i="45"/>
  <c r="Q99" i="45" s="1"/>
  <c r="P64" i="45"/>
  <c r="P99" i="45" s="1"/>
  <c r="O64" i="45"/>
  <c r="O99" i="45" s="1"/>
  <c r="N64" i="45"/>
  <c r="N99" i="45" s="1"/>
  <c r="M64" i="45"/>
  <c r="M99" i="45" s="1"/>
  <c r="L64" i="45"/>
  <c r="L99" i="45" s="1"/>
  <c r="K64" i="45"/>
  <c r="K99" i="45" s="1"/>
  <c r="J64" i="45"/>
  <c r="J99" i="45" s="1"/>
  <c r="I64" i="45"/>
  <c r="I99" i="45" s="1"/>
  <c r="H64" i="45"/>
  <c r="H99" i="45" s="1"/>
  <c r="G64" i="45"/>
  <c r="G99" i="45" s="1"/>
  <c r="F64" i="45"/>
  <c r="F99" i="45" s="1"/>
  <c r="E64" i="45"/>
  <c r="E99" i="45" s="1"/>
  <c r="D64" i="45"/>
  <c r="D99" i="45" s="1"/>
  <c r="C64" i="45"/>
  <c r="X64" i="45" s="1"/>
  <c r="X99" i="45" s="1"/>
  <c r="U63" i="45"/>
  <c r="U98" i="45" s="1"/>
  <c r="T63" i="45"/>
  <c r="T98" i="45" s="1"/>
  <c r="S63" i="45"/>
  <c r="S98" i="45" s="1"/>
  <c r="R63" i="45"/>
  <c r="R98" i="45" s="1"/>
  <c r="Q63" i="45"/>
  <c r="Q98" i="45" s="1"/>
  <c r="P63" i="45"/>
  <c r="P98" i="45" s="1"/>
  <c r="O63" i="45"/>
  <c r="O98" i="45" s="1"/>
  <c r="N63" i="45"/>
  <c r="N98" i="45" s="1"/>
  <c r="M63" i="45"/>
  <c r="M98" i="45" s="1"/>
  <c r="L63" i="45"/>
  <c r="L98" i="45" s="1"/>
  <c r="K63" i="45"/>
  <c r="K98" i="45" s="1"/>
  <c r="J63" i="45"/>
  <c r="J98" i="45" s="1"/>
  <c r="I63" i="45"/>
  <c r="I98" i="45" s="1"/>
  <c r="H63" i="45"/>
  <c r="H98" i="45" s="1"/>
  <c r="G63" i="45"/>
  <c r="G98" i="45" s="1"/>
  <c r="F63" i="45"/>
  <c r="F98" i="45" s="1"/>
  <c r="E63" i="45"/>
  <c r="E98" i="45" s="1"/>
  <c r="D63" i="45"/>
  <c r="D98" i="45" s="1"/>
  <c r="C63" i="45"/>
  <c r="V63" i="45" s="1"/>
  <c r="V98" i="45" s="1"/>
  <c r="U62" i="45"/>
  <c r="U97" i="45" s="1"/>
  <c r="T62" i="45"/>
  <c r="T97" i="45" s="1"/>
  <c r="S62" i="45"/>
  <c r="S97" i="45" s="1"/>
  <c r="R62" i="45"/>
  <c r="R97" i="45" s="1"/>
  <c r="Q62" i="45"/>
  <c r="Q97" i="45" s="1"/>
  <c r="P62" i="45"/>
  <c r="P97" i="45" s="1"/>
  <c r="O62" i="45"/>
  <c r="O97" i="45" s="1"/>
  <c r="N62" i="45"/>
  <c r="N97" i="45" s="1"/>
  <c r="M62" i="45"/>
  <c r="M97" i="45" s="1"/>
  <c r="L62" i="45"/>
  <c r="L97" i="45" s="1"/>
  <c r="K62" i="45"/>
  <c r="K97" i="45" s="1"/>
  <c r="J62" i="45"/>
  <c r="J97" i="45" s="1"/>
  <c r="I62" i="45"/>
  <c r="I97" i="45" s="1"/>
  <c r="H62" i="45"/>
  <c r="H97" i="45" s="1"/>
  <c r="G62" i="45"/>
  <c r="G97" i="45" s="1"/>
  <c r="F62" i="45"/>
  <c r="F97" i="45" s="1"/>
  <c r="E62" i="45"/>
  <c r="E97" i="45" s="1"/>
  <c r="D62" i="45"/>
  <c r="D97" i="45" s="1"/>
  <c r="U61" i="45"/>
  <c r="U96" i="45" s="1"/>
  <c r="T61" i="45"/>
  <c r="T96" i="45" s="1"/>
  <c r="S61" i="45"/>
  <c r="S96" i="45" s="1"/>
  <c r="R61" i="45"/>
  <c r="R96" i="45" s="1"/>
  <c r="Q61" i="45"/>
  <c r="Q96" i="45" s="1"/>
  <c r="P61" i="45"/>
  <c r="P96" i="45" s="1"/>
  <c r="O61" i="45"/>
  <c r="O96" i="45" s="1"/>
  <c r="N61" i="45"/>
  <c r="N96" i="45" s="1"/>
  <c r="M61" i="45"/>
  <c r="M96" i="45" s="1"/>
  <c r="L61" i="45"/>
  <c r="L96" i="45" s="1"/>
  <c r="K61" i="45"/>
  <c r="K96" i="45" s="1"/>
  <c r="J61" i="45"/>
  <c r="J96" i="45" s="1"/>
  <c r="I61" i="45"/>
  <c r="I96" i="45" s="1"/>
  <c r="H61" i="45"/>
  <c r="H96" i="45" s="1"/>
  <c r="G61" i="45"/>
  <c r="G96" i="45" s="1"/>
  <c r="F61" i="45"/>
  <c r="F96" i="45" s="1"/>
  <c r="E61" i="45"/>
  <c r="E96" i="45" s="1"/>
  <c r="D61" i="45"/>
  <c r="D96" i="45" s="1"/>
  <c r="R60" i="45"/>
  <c r="R95" i="45" s="1"/>
  <c r="Q60" i="45"/>
  <c r="Q95" i="45" s="1"/>
  <c r="P60" i="45"/>
  <c r="P95" i="45" s="1"/>
  <c r="O60" i="45"/>
  <c r="O95" i="45" s="1"/>
  <c r="N60" i="45"/>
  <c r="N95" i="45" s="1"/>
  <c r="M60" i="45"/>
  <c r="M95" i="45" s="1"/>
  <c r="L60" i="45"/>
  <c r="L95" i="45" s="1"/>
  <c r="K60" i="45"/>
  <c r="K95" i="45" s="1"/>
  <c r="J60" i="45"/>
  <c r="J95" i="45" s="1"/>
  <c r="I60" i="45"/>
  <c r="I95" i="45" s="1"/>
  <c r="H60" i="45"/>
  <c r="H95" i="45" s="1"/>
  <c r="G60" i="45"/>
  <c r="G95" i="45" s="1"/>
  <c r="F60" i="45"/>
  <c r="F95" i="45" s="1"/>
  <c r="E60" i="45"/>
  <c r="E95" i="45" s="1"/>
  <c r="D60" i="45"/>
  <c r="D95" i="45" s="1"/>
  <c r="C60" i="45"/>
  <c r="AE60" i="45" s="1"/>
  <c r="AE95" i="45" s="1"/>
  <c r="R59" i="45"/>
  <c r="R94" i="45" s="1"/>
  <c r="Q59" i="45"/>
  <c r="Q94" i="45" s="1"/>
  <c r="P59" i="45"/>
  <c r="P94" i="45" s="1"/>
  <c r="O59" i="45"/>
  <c r="O94" i="45" s="1"/>
  <c r="N59" i="45"/>
  <c r="N94" i="45" s="1"/>
  <c r="M59" i="45"/>
  <c r="M94" i="45" s="1"/>
  <c r="L59" i="45"/>
  <c r="L94" i="45" s="1"/>
  <c r="K59" i="45"/>
  <c r="K94" i="45" s="1"/>
  <c r="J59" i="45"/>
  <c r="J94" i="45" s="1"/>
  <c r="I59" i="45"/>
  <c r="I94" i="45" s="1"/>
  <c r="H59" i="45"/>
  <c r="H94" i="45" s="1"/>
  <c r="G59" i="45"/>
  <c r="G94" i="45" s="1"/>
  <c r="F59" i="45"/>
  <c r="F94" i="45" s="1"/>
  <c r="E59" i="45"/>
  <c r="E94" i="45" s="1"/>
  <c r="D59" i="45"/>
  <c r="D94" i="45" s="1"/>
  <c r="C59" i="45"/>
  <c r="AE59" i="45" s="1"/>
  <c r="AE94" i="45" s="1"/>
  <c r="R58" i="45"/>
  <c r="R93" i="45" s="1"/>
  <c r="Q58" i="45"/>
  <c r="Q93" i="45" s="1"/>
  <c r="P58" i="45"/>
  <c r="P93" i="45" s="1"/>
  <c r="O58" i="45"/>
  <c r="O93" i="45" s="1"/>
  <c r="N58" i="45"/>
  <c r="N93" i="45" s="1"/>
  <c r="M58" i="45"/>
  <c r="M93" i="45" s="1"/>
  <c r="L58" i="45"/>
  <c r="L93" i="45" s="1"/>
  <c r="K58" i="45"/>
  <c r="K93" i="45" s="1"/>
  <c r="J58" i="45"/>
  <c r="J93" i="45" s="1"/>
  <c r="I58" i="45"/>
  <c r="I93" i="45" s="1"/>
  <c r="H58" i="45"/>
  <c r="H93" i="45" s="1"/>
  <c r="G58" i="45"/>
  <c r="G93" i="45" s="1"/>
  <c r="F58" i="45"/>
  <c r="F93" i="45" s="1"/>
  <c r="E58" i="45"/>
  <c r="E93" i="45" s="1"/>
  <c r="D58" i="45"/>
  <c r="D93" i="45" s="1"/>
  <c r="C58" i="45"/>
  <c r="AE58" i="45" s="1"/>
  <c r="AE93" i="45" s="1"/>
  <c r="O57" i="45"/>
  <c r="O92" i="45" s="1"/>
  <c r="N57" i="45"/>
  <c r="N92" i="45" s="1"/>
  <c r="M57" i="45"/>
  <c r="M92" i="45" s="1"/>
  <c r="L57" i="45"/>
  <c r="L92" i="45" s="1"/>
  <c r="K57" i="45"/>
  <c r="K92" i="45" s="1"/>
  <c r="J57" i="45"/>
  <c r="J92" i="45" s="1"/>
  <c r="I57" i="45"/>
  <c r="I92" i="45" s="1"/>
  <c r="H57" i="45"/>
  <c r="H92" i="45" s="1"/>
  <c r="G57" i="45"/>
  <c r="G92" i="45" s="1"/>
  <c r="F57" i="45"/>
  <c r="F92" i="45" s="1"/>
  <c r="E57" i="45"/>
  <c r="E92" i="45" s="1"/>
  <c r="D57" i="45"/>
  <c r="D92" i="45" s="1"/>
  <c r="C57" i="45"/>
  <c r="AD57" i="45" s="1"/>
  <c r="AD92" i="45" s="1"/>
  <c r="AG56" i="45"/>
  <c r="AG91" i="45" s="1"/>
  <c r="AF56" i="45"/>
  <c r="AF91" i="45" s="1"/>
  <c r="N56" i="45"/>
  <c r="N91" i="45" s="1"/>
  <c r="M56" i="45"/>
  <c r="M91" i="45" s="1"/>
  <c r="L56" i="45"/>
  <c r="L91" i="45" s="1"/>
  <c r="K56" i="45"/>
  <c r="K91" i="45" s="1"/>
  <c r="J56" i="45"/>
  <c r="J91" i="45" s="1"/>
  <c r="I56" i="45"/>
  <c r="I91" i="45" s="1"/>
  <c r="H56" i="45"/>
  <c r="H91" i="45" s="1"/>
  <c r="G56" i="45"/>
  <c r="G91" i="45" s="1"/>
  <c r="F56" i="45"/>
  <c r="F91" i="45" s="1"/>
  <c r="E56" i="45"/>
  <c r="E91" i="45" s="1"/>
  <c r="D56" i="45"/>
  <c r="D91" i="45" s="1"/>
  <c r="C56" i="45"/>
  <c r="R56" i="45" s="1"/>
  <c r="R91" i="45" s="1"/>
  <c r="AG55" i="45"/>
  <c r="AG90" i="45" s="1"/>
  <c r="AF55" i="45"/>
  <c r="AF90" i="45" s="1"/>
  <c r="N55" i="45"/>
  <c r="N90" i="45" s="1"/>
  <c r="M55" i="45"/>
  <c r="M90" i="45" s="1"/>
  <c r="L55" i="45"/>
  <c r="L90" i="45" s="1"/>
  <c r="K55" i="45"/>
  <c r="K90" i="45" s="1"/>
  <c r="J55" i="45"/>
  <c r="J90" i="45" s="1"/>
  <c r="I55" i="45"/>
  <c r="I90" i="45" s="1"/>
  <c r="H55" i="45"/>
  <c r="H90" i="45" s="1"/>
  <c r="G55" i="45"/>
  <c r="G90" i="45" s="1"/>
  <c r="F55" i="45"/>
  <c r="F90" i="45" s="1"/>
  <c r="E55" i="45"/>
  <c r="E90" i="45" s="1"/>
  <c r="D55" i="45"/>
  <c r="D90" i="45" s="1"/>
  <c r="C55" i="45"/>
  <c r="R55" i="45" s="1"/>
  <c r="R90" i="45" s="1"/>
  <c r="AG54" i="45"/>
  <c r="AG89" i="45" s="1"/>
  <c r="AF54" i="45"/>
  <c r="AF89" i="45" s="1"/>
  <c r="N54" i="45"/>
  <c r="N89" i="45" s="1"/>
  <c r="M54" i="45"/>
  <c r="M89" i="45" s="1"/>
  <c r="L54" i="45"/>
  <c r="L89" i="45" s="1"/>
  <c r="K54" i="45"/>
  <c r="K89" i="45" s="1"/>
  <c r="J54" i="45"/>
  <c r="J89" i="45" s="1"/>
  <c r="I54" i="45"/>
  <c r="I89" i="45" s="1"/>
  <c r="H54" i="45"/>
  <c r="H89" i="45" s="1"/>
  <c r="G54" i="45"/>
  <c r="G89" i="45" s="1"/>
  <c r="F54" i="45"/>
  <c r="F89" i="45" s="1"/>
  <c r="E54" i="45"/>
  <c r="E89" i="45" s="1"/>
  <c r="D54" i="45"/>
  <c r="D89" i="45" s="1"/>
  <c r="C54" i="45"/>
  <c r="R54" i="45" s="1"/>
  <c r="R89" i="45" s="1"/>
  <c r="AG53" i="45"/>
  <c r="AG88" i="45" s="1"/>
  <c r="AF53" i="45"/>
  <c r="AF88" i="45" s="1"/>
  <c r="AE53" i="45"/>
  <c r="AE88" i="45" s="1"/>
  <c r="K53" i="45"/>
  <c r="K88" i="45" s="1"/>
  <c r="J53" i="45"/>
  <c r="J88" i="45" s="1"/>
  <c r="I53" i="45"/>
  <c r="I88" i="45" s="1"/>
  <c r="H53" i="45"/>
  <c r="H88" i="45" s="1"/>
  <c r="G53" i="45"/>
  <c r="G88" i="45" s="1"/>
  <c r="F53" i="45"/>
  <c r="F88" i="45" s="1"/>
  <c r="E53" i="45"/>
  <c r="E88" i="45" s="1"/>
  <c r="D53" i="45"/>
  <c r="D88" i="45" s="1"/>
  <c r="C53" i="45"/>
  <c r="R53" i="45" s="1"/>
  <c r="R88" i="45" s="1"/>
  <c r="AG52" i="45"/>
  <c r="AG87" i="45" s="1"/>
  <c r="AF52" i="45"/>
  <c r="AF87" i="45" s="1"/>
  <c r="AE52" i="45"/>
  <c r="AE87" i="45" s="1"/>
  <c r="K52" i="45"/>
  <c r="K87" i="45" s="1"/>
  <c r="J52" i="45"/>
  <c r="J87" i="45" s="1"/>
  <c r="I52" i="45"/>
  <c r="I87" i="45" s="1"/>
  <c r="H52" i="45"/>
  <c r="H87" i="45" s="1"/>
  <c r="G52" i="45"/>
  <c r="G87" i="45" s="1"/>
  <c r="F52" i="45"/>
  <c r="F87" i="45" s="1"/>
  <c r="E52" i="45"/>
  <c r="E87" i="45" s="1"/>
  <c r="D52" i="45"/>
  <c r="D87" i="45" s="1"/>
  <c r="C52" i="45"/>
  <c r="R52" i="45" s="1"/>
  <c r="R87" i="45" s="1"/>
  <c r="AG51" i="45"/>
  <c r="AG86" i="45" s="1"/>
  <c r="AF51" i="45"/>
  <c r="AF86" i="45" s="1"/>
  <c r="AE51" i="45"/>
  <c r="AE86" i="45" s="1"/>
  <c r="K51" i="45"/>
  <c r="K86" i="45" s="1"/>
  <c r="J51" i="45"/>
  <c r="J86" i="45" s="1"/>
  <c r="I51" i="45"/>
  <c r="I86" i="45" s="1"/>
  <c r="H51" i="45"/>
  <c r="H86" i="45" s="1"/>
  <c r="G51" i="45"/>
  <c r="G86" i="45" s="1"/>
  <c r="F51" i="45"/>
  <c r="F86" i="45" s="1"/>
  <c r="E51" i="45"/>
  <c r="E86" i="45" s="1"/>
  <c r="D51" i="45"/>
  <c r="D86" i="45" s="1"/>
  <c r="C51" i="45"/>
  <c r="R51" i="45" s="1"/>
  <c r="R86" i="45" s="1"/>
  <c r="AG50" i="45"/>
  <c r="AG85" i="45" s="1"/>
  <c r="AF50" i="45"/>
  <c r="AF85" i="45" s="1"/>
  <c r="AE50" i="45"/>
  <c r="AE85" i="45" s="1"/>
  <c r="AD50" i="45"/>
  <c r="AD85" i="45" s="1"/>
  <c r="AC50" i="45"/>
  <c r="AC85" i="45" s="1"/>
  <c r="AB50" i="45"/>
  <c r="AB85" i="45" s="1"/>
  <c r="AA50" i="45"/>
  <c r="AA85" i="45" s="1"/>
  <c r="H50" i="45"/>
  <c r="H85" i="45" s="1"/>
  <c r="G50" i="45"/>
  <c r="G85" i="45" s="1"/>
  <c r="F50" i="45"/>
  <c r="F85" i="45" s="1"/>
  <c r="E50" i="45"/>
  <c r="E85" i="45" s="1"/>
  <c r="D50" i="45"/>
  <c r="D85" i="45" s="1"/>
  <c r="C50" i="45"/>
  <c r="R50" i="45" s="1"/>
  <c r="R85" i="45" s="1"/>
  <c r="AG49" i="45"/>
  <c r="AG84" i="45" s="1"/>
  <c r="AF49" i="45"/>
  <c r="AF84" i="45" s="1"/>
  <c r="AE49" i="45"/>
  <c r="AE84" i="45" s="1"/>
  <c r="AD49" i="45"/>
  <c r="AD84" i="45" s="1"/>
  <c r="AC49" i="45"/>
  <c r="AC84" i="45" s="1"/>
  <c r="AB49" i="45"/>
  <c r="AB84" i="45" s="1"/>
  <c r="AA49" i="45"/>
  <c r="AA84" i="45" s="1"/>
  <c r="G49" i="45"/>
  <c r="G84" i="45" s="1"/>
  <c r="F49" i="45"/>
  <c r="F84" i="45" s="1"/>
  <c r="E49" i="45"/>
  <c r="E84" i="45" s="1"/>
  <c r="D49" i="45"/>
  <c r="D84" i="45" s="1"/>
  <c r="C49" i="45"/>
  <c r="R49" i="45" s="1"/>
  <c r="R84" i="45" s="1"/>
  <c r="AG48" i="45"/>
  <c r="AG83" i="45" s="1"/>
  <c r="AF48" i="45"/>
  <c r="AF83" i="45" s="1"/>
  <c r="AE48" i="45"/>
  <c r="AE83" i="45" s="1"/>
  <c r="AD48" i="45"/>
  <c r="AD83" i="45" s="1"/>
  <c r="AC48" i="45"/>
  <c r="AC83" i="45" s="1"/>
  <c r="AB48" i="45"/>
  <c r="AB83" i="45" s="1"/>
  <c r="AA48" i="45"/>
  <c r="AA83" i="45" s="1"/>
  <c r="G48" i="45"/>
  <c r="G83" i="45" s="1"/>
  <c r="F48" i="45"/>
  <c r="F83" i="45" s="1"/>
  <c r="E48" i="45"/>
  <c r="E83" i="45" s="1"/>
  <c r="D48" i="45"/>
  <c r="D83" i="45" s="1"/>
  <c r="C48" i="45"/>
  <c r="O48" i="45" s="1"/>
  <c r="O83" i="45" s="1"/>
  <c r="AG47" i="45"/>
  <c r="AG82" i="45" s="1"/>
  <c r="AF47" i="45"/>
  <c r="AF82" i="45" s="1"/>
  <c r="AE47" i="45"/>
  <c r="AE82" i="45" s="1"/>
  <c r="AD47" i="45"/>
  <c r="AD82" i="45" s="1"/>
  <c r="AC47" i="45"/>
  <c r="AC82" i="45" s="1"/>
  <c r="AB47" i="45"/>
  <c r="AB82" i="45" s="1"/>
  <c r="AA47" i="45"/>
  <c r="AA82" i="45" s="1"/>
  <c r="G47" i="45"/>
  <c r="G82" i="45" s="1"/>
  <c r="F47" i="45"/>
  <c r="F82" i="45" s="1"/>
  <c r="E47" i="45"/>
  <c r="E82" i="45" s="1"/>
  <c r="D47" i="45"/>
  <c r="D82" i="45" s="1"/>
  <c r="C47" i="45"/>
  <c r="O47" i="45" s="1"/>
  <c r="O82" i="45" s="1"/>
  <c r="AG46" i="45"/>
  <c r="AG81" i="45" s="1"/>
  <c r="AF46" i="45"/>
  <c r="AF81" i="45" s="1"/>
  <c r="AE46" i="45"/>
  <c r="AE81" i="45" s="1"/>
  <c r="AD46" i="45"/>
  <c r="AD81" i="45" s="1"/>
  <c r="AC46" i="45"/>
  <c r="AC81" i="45" s="1"/>
  <c r="AB46" i="45"/>
  <c r="AB81" i="45" s="1"/>
  <c r="AA46" i="45"/>
  <c r="AA81" i="45" s="1"/>
  <c r="Z46" i="45"/>
  <c r="Z81" i="45" s="1"/>
  <c r="Y46" i="45"/>
  <c r="Y81" i="45" s="1"/>
  <c r="X46" i="45"/>
  <c r="X81" i="45" s="1"/>
  <c r="D46" i="45"/>
  <c r="D81" i="45" s="1"/>
  <c r="C46" i="45"/>
  <c r="O46" i="45" s="1"/>
  <c r="O81" i="45" s="1"/>
  <c r="AG45" i="45"/>
  <c r="AG80" i="45" s="1"/>
  <c r="AF45" i="45"/>
  <c r="AF80" i="45" s="1"/>
  <c r="AE45" i="45"/>
  <c r="AE80" i="45" s="1"/>
  <c r="AD45" i="45"/>
  <c r="AD80" i="45" s="1"/>
  <c r="AC45" i="45"/>
  <c r="AC80" i="45" s="1"/>
  <c r="AB45" i="45"/>
  <c r="AB80" i="45" s="1"/>
  <c r="AA45" i="45"/>
  <c r="AA80" i="45" s="1"/>
  <c r="Z45" i="45"/>
  <c r="Z80" i="45" s="1"/>
  <c r="Y45" i="45"/>
  <c r="Y80" i="45" s="1"/>
  <c r="X45" i="45"/>
  <c r="X80" i="45" s="1"/>
  <c r="D45" i="45"/>
  <c r="D80" i="45" s="1"/>
  <c r="C45" i="45"/>
  <c r="O45" i="45" s="1"/>
  <c r="O80" i="45" s="1"/>
  <c r="AG44" i="45"/>
  <c r="AG79" i="45" s="1"/>
  <c r="AF44" i="45"/>
  <c r="AF79" i="45" s="1"/>
  <c r="AE44" i="45"/>
  <c r="AE79" i="45" s="1"/>
  <c r="AD44" i="45"/>
  <c r="AD79" i="45" s="1"/>
  <c r="AC44" i="45"/>
  <c r="AC79" i="45" s="1"/>
  <c r="AB44" i="45"/>
  <c r="AB79" i="45" s="1"/>
  <c r="AA44" i="45"/>
  <c r="AA79" i="45" s="1"/>
  <c r="Z44" i="45"/>
  <c r="Z79" i="45" s="1"/>
  <c r="Y44" i="45"/>
  <c r="Y79" i="45" s="1"/>
  <c r="X44" i="45"/>
  <c r="X79" i="45" s="1"/>
  <c r="D44" i="45"/>
  <c r="D79" i="45" s="1"/>
  <c r="C44" i="45"/>
  <c r="O44" i="45" s="1"/>
  <c r="O79" i="45" s="1"/>
  <c r="AG43" i="45"/>
  <c r="AG78" i="45" s="1"/>
  <c r="AF43" i="45"/>
  <c r="AF78" i="45" s="1"/>
  <c r="AE43" i="45"/>
  <c r="AE78" i="45" s="1"/>
  <c r="AD43" i="45"/>
  <c r="AD78" i="45" s="1"/>
  <c r="AC43" i="45"/>
  <c r="AC78" i="45" s="1"/>
  <c r="AB43" i="45"/>
  <c r="AB78" i="45" s="1"/>
  <c r="AA43" i="45"/>
  <c r="AA78" i="45" s="1"/>
  <c r="Z43" i="45"/>
  <c r="Z78" i="45" s="1"/>
  <c r="Y43" i="45"/>
  <c r="Y78" i="45" s="1"/>
  <c r="X43" i="45"/>
  <c r="X78" i="45" s="1"/>
  <c r="W43" i="45"/>
  <c r="W78" i="45" s="1"/>
  <c r="V43" i="45"/>
  <c r="V78" i="45" s="1"/>
  <c r="U43" i="45"/>
  <c r="U78" i="45" s="1"/>
  <c r="T43" i="45"/>
  <c r="T78" i="45" s="1"/>
  <c r="C43" i="45"/>
  <c r="N43" i="45" s="1"/>
  <c r="N78" i="45" s="1"/>
  <c r="AG42" i="45"/>
  <c r="AG77" i="45" s="1"/>
  <c r="AF42" i="45"/>
  <c r="AF77" i="45" s="1"/>
  <c r="AE42" i="45"/>
  <c r="AE77" i="45" s="1"/>
  <c r="AD42" i="45"/>
  <c r="AD77" i="45" s="1"/>
  <c r="AC42" i="45"/>
  <c r="AC77" i="45" s="1"/>
  <c r="AB42" i="45"/>
  <c r="AB77" i="45" s="1"/>
  <c r="AA42" i="45"/>
  <c r="AA77" i="45" s="1"/>
  <c r="Z42" i="45"/>
  <c r="Z77" i="45" s="1"/>
  <c r="Y42" i="45"/>
  <c r="Y77" i="45" s="1"/>
  <c r="X42" i="45"/>
  <c r="X77" i="45" s="1"/>
  <c r="W42" i="45"/>
  <c r="W77" i="45" s="1"/>
  <c r="V42" i="45"/>
  <c r="V77" i="45" s="1"/>
  <c r="U42" i="45"/>
  <c r="U77" i="45" s="1"/>
  <c r="T42" i="45"/>
  <c r="T77" i="45" s="1"/>
  <c r="C42" i="45"/>
  <c r="D42" i="45" s="1"/>
  <c r="D77" i="45" s="1"/>
  <c r="AG41" i="45"/>
  <c r="AG76" i="45" s="1"/>
  <c r="AF41" i="45"/>
  <c r="AF76" i="45" s="1"/>
  <c r="AE41" i="45"/>
  <c r="AE76" i="45" s="1"/>
  <c r="AD41" i="45"/>
  <c r="AD76" i="45" s="1"/>
  <c r="AC41" i="45"/>
  <c r="AC76" i="45" s="1"/>
  <c r="AB41" i="45"/>
  <c r="AB76" i="45" s="1"/>
  <c r="AA41" i="45"/>
  <c r="AA76" i="45" s="1"/>
  <c r="Z41" i="45"/>
  <c r="Z76" i="45" s="1"/>
  <c r="Y41" i="45"/>
  <c r="Y76" i="45" s="1"/>
  <c r="X41" i="45"/>
  <c r="X76" i="45" s="1"/>
  <c r="W41" i="45"/>
  <c r="W76" i="45" s="1"/>
  <c r="V41" i="45"/>
  <c r="V76" i="45" s="1"/>
  <c r="U41" i="45"/>
  <c r="U76" i="45" s="1"/>
  <c r="T41" i="45"/>
  <c r="T76" i="45" s="1"/>
  <c r="C41" i="45"/>
  <c r="D41" i="45" s="1"/>
  <c r="D76" i="45" s="1"/>
  <c r="AG40" i="45"/>
  <c r="AG75" i="45" s="1"/>
  <c r="AF40" i="45"/>
  <c r="AF75" i="45" s="1"/>
  <c r="AE40" i="45"/>
  <c r="AE75" i="45" s="1"/>
  <c r="AD40" i="45"/>
  <c r="AD75" i="45" s="1"/>
  <c r="AC40" i="45"/>
  <c r="AC75" i="45" s="1"/>
  <c r="AB40" i="45"/>
  <c r="AB75" i="45" s="1"/>
  <c r="AA40" i="45"/>
  <c r="AA75" i="45" s="1"/>
  <c r="Z40" i="45"/>
  <c r="Z75" i="45" s="1"/>
  <c r="Y40" i="45"/>
  <c r="Y75" i="45" s="1"/>
  <c r="X40" i="45"/>
  <c r="X75" i="45" s="1"/>
  <c r="W40" i="45"/>
  <c r="W75" i="45" s="1"/>
  <c r="V40" i="45"/>
  <c r="V75" i="45" s="1"/>
  <c r="U40" i="45"/>
  <c r="U75" i="45" s="1"/>
  <c r="T40" i="45"/>
  <c r="T75" i="45" s="1"/>
  <c r="C40" i="45"/>
  <c r="D40" i="45" s="1"/>
  <c r="D75" i="45" s="1"/>
  <c r="AG39" i="45"/>
  <c r="AF39" i="45"/>
  <c r="AF74" i="45" s="1"/>
  <c r="AE39" i="45"/>
  <c r="AD39" i="45"/>
  <c r="AD74" i="45" s="1"/>
  <c r="AC39" i="45"/>
  <c r="AB39" i="45"/>
  <c r="AA39" i="45"/>
  <c r="Z39" i="45"/>
  <c r="Y39" i="45"/>
  <c r="X39" i="45"/>
  <c r="W39" i="45"/>
  <c r="V39" i="45"/>
  <c r="U39" i="45"/>
  <c r="T39" i="45"/>
  <c r="T74" i="45" s="1"/>
  <c r="S39" i="45"/>
  <c r="R39" i="45"/>
  <c r="Q39" i="45"/>
  <c r="C39" i="45"/>
  <c r="D39" i="45" s="1"/>
  <c r="A39" i="45"/>
  <c r="A40" i="45" s="1"/>
  <c r="AH38" i="45"/>
  <c r="D36" i="45"/>
  <c r="D71" i="45" s="1"/>
  <c r="C34" i="45"/>
  <c r="C33" i="45"/>
  <c r="C32" i="45"/>
  <c r="C31" i="45"/>
  <c r="C30" i="45"/>
  <c r="C29" i="45"/>
  <c r="C28" i="45"/>
  <c r="C27" i="45"/>
  <c r="C26" i="45"/>
  <c r="C25" i="45"/>
  <c r="C24" i="45"/>
  <c r="C23" i="45"/>
  <c r="C22" i="45"/>
  <c r="C21" i="45"/>
  <c r="C20" i="45"/>
  <c r="C19" i="45"/>
  <c r="C18" i="45"/>
  <c r="C17" i="45"/>
  <c r="C16" i="45"/>
  <c r="C15" i="45"/>
  <c r="C14" i="45"/>
  <c r="C13" i="45"/>
  <c r="C12" i="45"/>
  <c r="C11" i="45"/>
  <c r="C10" i="45"/>
  <c r="C9" i="45"/>
  <c r="C8" i="45"/>
  <c r="C7" i="45"/>
  <c r="C6" i="45"/>
  <c r="C5" i="45"/>
  <c r="A5" i="45"/>
  <c r="A6" i="45" s="1"/>
  <c r="D2" i="45"/>
  <c r="E1" i="45"/>
  <c r="F1" i="45" s="1"/>
  <c r="W46" i="45" l="1"/>
  <c r="W81" i="45" s="1"/>
  <c r="V46" i="45"/>
  <c r="V81" i="45" s="1"/>
  <c r="T44" i="45"/>
  <c r="T79" i="45" s="1"/>
  <c r="U44" i="45"/>
  <c r="U79" i="45" s="1"/>
  <c r="T45" i="45"/>
  <c r="T80" i="45" s="1"/>
  <c r="V45" i="45"/>
  <c r="V80" i="45" s="1"/>
  <c r="T46" i="45"/>
  <c r="T81" i="45" s="1"/>
  <c r="I50" i="45"/>
  <c r="I85" i="45" s="1"/>
  <c r="V44" i="45"/>
  <c r="V79" i="45" s="1"/>
  <c r="W44" i="45"/>
  <c r="W79" i="45" s="1"/>
  <c r="U45" i="45"/>
  <c r="U80" i="45" s="1"/>
  <c r="W45" i="45"/>
  <c r="W80" i="45" s="1"/>
  <c r="U46" i="45"/>
  <c r="U81" i="45" s="1"/>
  <c r="R57" i="45"/>
  <c r="R92" i="45" s="1"/>
  <c r="Y64" i="45"/>
  <c r="Y99" i="45" s="1"/>
  <c r="P57" i="45"/>
  <c r="P92" i="45" s="1"/>
  <c r="Q57" i="45"/>
  <c r="Q92" i="45" s="1"/>
  <c r="P39" i="45"/>
  <c r="P74" i="45" s="1"/>
  <c r="D43" i="45"/>
  <c r="D78" i="45" s="1"/>
  <c r="J50" i="45"/>
  <c r="J85" i="45" s="1"/>
  <c r="W64" i="45"/>
  <c r="W99" i="45" s="1"/>
  <c r="K50" i="45"/>
  <c r="K85" i="45" s="1"/>
  <c r="AA51" i="45"/>
  <c r="AA86" i="45" s="1"/>
  <c r="AA52" i="45"/>
  <c r="AA87" i="45" s="1"/>
  <c r="AA53" i="45"/>
  <c r="AA88" i="45" s="1"/>
  <c r="AB51" i="45"/>
  <c r="AB86" i="45" s="1"/>
  <c r="AB52" i="45"/>
  <c r="AB87" i="45" s="1"/>
  <c r="AB53" i="45"/>
  <c r="AB88" i="45" s="1"/>
  <c r="N39" i="45"/>
  <c r="N74" i="45" s="1"/>
  <c r="AC51" i="45"/>
  <c r="AC86" i="45" s="1"/>
  <c r="AC52" i="45"/>
  <c r="AC87" i="45" s="1"/>
  <c r="AC53" i="45"/>
  <c r="AC88" i="45" s="1"/>
  <c r="M39" i="45"/>
  <c r="M74" i="45" s="1"/>
  <c r="O39" i="45"/>
  <c r="O74" i="45" s="1"/>
  <c r="AD51" i="45"/>
  <c r="AD86" i="45" s="1"/>
  <c r="AD52" i="45"/>
  <c r="AD87" i="45" s="1"/>
  <c r="AD53" i="45"/>
  <c r="AD88" i="45" s="1"/>
  <c r="AB67" i="45"/>
  <c r="AB102" i="45" s="1"/>
  <c r="Z67" i="45"/>
  <c r="Z102" i="45" s="1"/>
  <c r="AA67" i="45"/>
  <c r="AA102" i="45" s="1"/>
  <c r="D37" i="45"/>
  <c r="S60" i="45"/>
  <c r="S95" i="45" s="1"/>
  <c r="T60" i="45"/>
  <c r="T95" i="45" s="1"/>
  <c r="U60" i="45"/>
  <c r="U95" i="45" s="1"/>
  <c r="U58" i="45"/>
  <c r="U93" i="45" s="1"/>
  <c r="T59" i="45"/>
  <c r="T94" i="45" s="1"/>
  <c r="U59" i="45"/>
  <c r="U94" i="45" s="1"/>
  <c r="AB55" i="45"/>
  <c r="AB90" i="45" s="1"/>
  <c r="AC55" i="45"/>
  <c r="AC90" i="45" s="1"/>
  <c r="AD55" i="45"/>
  <c r="AD90" i="45" s="1"/>
  <c r="AE55" i="45"/>
  <c r="AE90" i="45" s="1"/>
  <c r="Z65" i="45"/>
  <c r="Z100" i="45" s="1"/>
  <c r="AB65" i="45"/>
  <c r="AB100" i="45" s="1"/>
  <c r="AA65" i="45"/>
  <c r="AA100" i="45" s="1"/>
  <c r="AH65" i="45"/>
  <c r="AI65" i="45" s="1"/>
  <c r="Z64" i="45"/>
  <c r="Z99" i="45" s="1"/>
  <c r="S57" i="45"/>
  <c r="S92" i="45" s="1"/>
  <c r="T57" i="45"/>
  <c r="T92" i="45" s="1"/>
  <c r="U57" i="45"/>
  <c r="U92" i="45" s="1"/>
  <c r="AA56" i="45"/>
  <c r="AA91" i="45" s="1"/>
  <c r="AB56" i="45"/>
  <c r="AB91" i="45" s="1"/>
  <c r="AC56" i="45"/>
  <c r="AC91" i="45" s="1"/>
  <c r="AD56" i="45"/>
  <c r="AD91" i="45" s="1"/>
  <c r="AE56" i="45"/>
  <c r="AE91" i="45" s="1"/>
  <c r="AA64" i="45"/>
  <c r="AA99" i="45" s="1"/>
  <c r="AB64" i="45"/>
  <c r="AB99" i="45" s="1"/>
  <c r="S59" i="45"/>
  <c r="S94" i="45" s="1"/>
  <c r="S58" i="45"/>
  <c r="S93" i="45" s="1"/>
  <c r="T58" i="45"/>
  <c r="T93" i="45" s="1"/>
  <c r="AA55" i="45"/>
  <c r="AA90" i="45" s="1"/>
  <c r="P41" i="45"/>
  <c r="P76" i="45" s="1"/>
  <c r="Q41" i="45"/>
  <c r="Q76" i="45" s="1"/>
  <c r="O41" i="45"/>
  <c r="O76" i="45" s="1"/>
  <c r="V48" i="45"/>
  <c r="V83" i="45" s="1"/>
  <c r="N51" i="45"/>
  <c r="N86" i="45" s="1"/>
  <c r="N42" i="45"/>
  <c r="N77" i="45" s="1"/>
  <c r="O42" i="45"/>
  <c r="O77" i="45" s="1"/>
  <c r="N41" i="45"/>
  <c r="N76" i="45" s="1"/>
  <c r="S41" i="45"/>
  <c r="S76" i="45" s="1"/>
  <c r="E43" i="45"/>
  <c r="E78" i="45" s="1"/>
  <c r="G45" i="45"/>
  <c r="G80" i="45" s="1"/>
  <c r="F43" i="45"/>
  <c r="F78" i="45" s="1"/>
  <c r="AA54" i="45"/>
  <c r="AA89" i="45" s="1"/>
  <c r="V47" i="45"/>
  <c r="V82" i="45" s="1"/>
  <c r="Z47" i="45"/>
  <c r="Z82" i="45" s="1"/>
  <c r="AB54" i="45"/>
  <c r="AB89" i="45" s="1"/>
  <c r="M41" i="45"/>
  <c r="M76" i="45" s="1"/>
  <c r="AC54" i="45"/>
  <c r="AC89" i="45" s="1"/>
  <c r="AD54" i="45"/>
  <c r="AD89" i="45" s="1"/>
  <c r="AE54" i="45"/>
  <c r="AE89" i="45" s="1"/>
  <c r="V49" i="45"/>
  <c r="V84" i="45" s="1"/>
  <c r="Z49" i="45"/>
  <c r="Z84" i="45" s="1"/>
  <c r="E45" i="45"/>
  <c r="E80" i="45" s="1"/>
  <c r="G43" i="45"/>
  <c r="G78" i="45" s="1"/>
  <c r="F45" i="45"/>
  <c r="F80" i="45" s="1"/>
  <c r="L53" i="45"/>
  <c r="L88" i="45" s="1"/>
  <c r="M53" i="45"/>
  <c r="M88" i="45" s="1"/>
  <c r="N53" i="45"/>
  <c r="N88" i="45" s="1"/>
  <c r="S40" i="45"/>
  <c r="S75" i="45" s="1"/>
  <c r="M42" i="45"/>
  <c r="M77" i="45" s="1"/>
  <c r="Y47" i="45"/>
  <c r="Y82" i="45" s="1"/>
  <c r="U48" i="45"/>
  <c r="U83" i="45" s="1"/>
  <c r="Y49" i="45"/>
  <c r="Y84" i="45" s="1"/>
  <c r="M51" i="45"/>
  <c r="M86" i="45" s="1"/>
  <c r="N40" i="45"/>
  <c r="N75" i="45" s="1"/>
  <c r="P42" i="45"/>
  <c r="P77" i="45" s="1"/>
  <c r="T47" i="45"/>
  <c r="T82" i="45" s="1"/>
  <c r="X48" i="45"/>
  <c r="X83" i="45" s="1"/>
  <c r="T49" i="45"/>
  <c r="T84" i="45" s="1"/>
  <c r="L50" i="45"/>
  <c r="L85" i="45" s="1"/>
  <c r="L52" i="45"/>
  <c r="L87" i="45" s="1"/>
  <c r="W48" i="45"/>
  <c r="W83" i="45" s="1"/>
  <c r="O40" i="45"/>
  <c r="O75" i="45" s="1"/>
  <c r="Q42" i="45"/>
  <c r="Q77" i="45" s="1"/>
  <c r="E44" i="45"/>
  <c r="E79" i="45" s="1"/>
  <c r="E46" i="45"/>
  <c r="E81" i="45" s="1"/>
  <c r="U47" i="45"/>
  <c r="U82" i="45" s="1"/>
  <c r="Y48" i="45"/>
  <c r="Y83" i="45" s="1"/>
  <c r="U49" i="45"/>
  <c r="U84" i="45" s="1"/>
  <c r="M50" i="45"/>
  <c r="M85" i="45" s="1"/>
  <c r="M52" i="45"/>
  <c r="M87" i="45" s="1"/>
  <c r="P40" i="45"/>
  <c r="P75" i="45" s="1"/>
  <c r="R42" i="45"/>
  <c r="R77" i="45" s="1"/>
  <c r="F44" i="45"/>
  <c r="F79" i="45" s="1"/>
  <c r="F46" i="45"/>
  <c r="F81" i="45" s="1"/>
  <c r="Z48" i="45"/>
  <c r="Z83" i="45" s="1"/>
  <c r="N50" i="45"/>
  <c r="N85" i="45" s="1"/>
  <c r="N52" i="45"/>
  <c r="N87" i="45" s="1"/>
  <c r="Q40" i="45"/>
  <c r="Q75" i="45" s="1"/>
  <c r="R41" i="45"/>
  <c r="R76" i="45" s="1"/>
  <c r="S42" i="45"/>
  <c r="S77" i="45" s="1"/>
  <c r="G44" i="45"/>
  <c r="G79" i="45" s="1"/>
  <c r="G46" i="45"/>
  <c r="G81" i="45" s="1"/>
  <c r="W47" i="45"/>
  <c r="W82" i="45" s="1"/>
  <c r="W49" i="45"/>
  <c r="W84" i="45" s="1"/>
  <c r="M40" i="45"/>
  <c r="M75" i="45" s="1"/>
  <c r="R40" i="45"/>
  <c r="R75" i="45" s="1"/>
  <c r="X47" i="45"/>
  <c r="X82" i="45" s="1"/>
  <c r="T48" i="45"/>
  <c r="T83" i="45" s="1"/>
  <c r="X49" i="45"/>
  <c r="X84" i="45" s="1"/>
  <c r="L51" i="45"/>
  <c r="L86" i="45" s="1"/>
  <c r="Z66" i="45"/>
  <c r="Z101" i="45" s="1"/>
  <c r="AB66" i="45"/>
  <c r="AB101" i="45" s="1"/>
  <c r="AA66" i="45"/>
  <c r="AA101" i="45" s="1"/>
  <c r="A74" i="45"/>
  <c r="A75" i="45" s="1"/>
  <c r="AH66" i="45"/>
  <c r="AI66" i="45" s="1"/>
  <c r="AH59" i="45"/>
  <c r="AI59" i="45" s="1"/>
  <c r="AH50" i="45"/>
  <c r="AI50" i="45" s="1"/>
  <c r="AH67" i="45"/>
  <c r="X60" i="45"/>
  <c r="X95" i="45" s="1"/>
  <c r="AH60" i="45"/>
  <c r="AI60" i="45" s="1"/>
  <c r="AH42" i="45"/>
  <c r="AI42" i="45" s="1"/>
  <c r="X59" i="45"/>
  <c r="X94" i="45" s="1"/>
  <c r="AC60" i="45"/>
  <c r="AC95" i="45" s="1"/>
  <c r="AG60" i="45"/>
  <c r="AG95" i="45" s="1"/>
  <c r="AG59" i="45"/>
  <c r="AG94" i="45" s="1"/>
  <c r="W58" i="45"/>
  <c r="W93" i="45" s="1"/>
  <c r="X58" i="45"/>
  <c r="X93" i="45" s="1"/>
  <c r="Y63" i="45"/>
  <c r="Y98" i="45" s="1"/>
  <c r="W59" i="45"/>
  <c r="W94" i="45" s="1"/>
  <c r="V60" i="45"/>
  <c r="V95" i="45" s="1"/>
  <c r="AH49" i="45"/>
  <c r="AI49" i="45" s="1"/>
  <c r="AH56" i="45"/>
  <c r="AI56" i="45" s="1"/>
  <c r="W50" i="45"/>
  <c r="W85" i="45" s="1"/>
  <c r="Y59" i="45"/>
  <c r="Y94" i="45" s="1"/>
  <c r="Y60" i="45"/>
  <c r="Y95" i="45" s="1"/>
  <c r="F41" i="45"/>
  <c r="F76" i="45" s="1"/>
  <c r="H41" i="45"/>
  <c r="H76" i="45" s="1"/>
  <c r="X63" i="45"/>
  <c r="X98" i="45" s="1"/>
  <c r="V54" i="45"/>
  <c r="V89" i="45" s="1"/>
  <c r="AH44" i="45"/>
  <c r="AI44" i="45" s="1"/>
  <c r="L48" i="45"/>
  <c r="L83" i="45" s="1"/>
  <c r="V50" i="45"/>
  <c r="V85" i="45" s="1"/>
  <c r="T54" i="45"/>
  <c r="T89" i="45" s="1"/>
  <c r="AH54" i="45"/>
  <c r="AI54" i="45" s="1"/>
  <c r="AH45" i="45"/>
  <c r="AI45" i="45" s="1"/>
  <c r="E39" i="45"/>
  <c r="E74" i="45" s="1"/>
  <c r="R47" i="45"/>
  <c r="R82" i="45" s="1"/>
  <c r="X50" i="45"/>
  <c r="X85" i="45" s="1"/>
  <c r="W54" i="45"/>
  <c r="W89" i="45" s="1"/>
  <c r="F39" i="45"/>
  <c r="F74" i="45" s="1"/>
  <c r="X54" i="45"/>
  <c r="X89" i="45" s="1"/>
  <c r="P46" i="45"/>
  <c r="P81" i="45" s="1"/>
  <c r="I39" i="45"/>
  <c r="I74" i="45" s="1"/>
  <c r="J39" i="45"/>
  <c r="J74" i="45" s="1"/>
  <c r="E40" i="45"/>
  <c r="E75" i="45" s="1"/>
  <c r="E41" i="45"/>
  <c r="E76" i="45" s="1"/>
  <c r="H45" i="45"/>
  <c r="H80" i="45" s="1"/>
  <c r="G39" i="45"/>
  <c r="G74" i="45" s="1"/>
  <c r="P45" i="45"/>
  <c r="P80" i="45" s="1"/>
  <c r="R45" i="45"/>
  <c r="R80" i="45" s="1"/>
  <c r="I41" i="45"/>
  <c r="I76" i="45" s="1"/>
  <c r="V56" i="45"/>
  <c r="V91" i="45" s="1"/>
  <c r="J41" i="45"/>
  <c r="J76" i="45" s="1"/>
  <c r="W56" i="45"/>
  <c r="W91" i="45" s="1"/>
  <c r="K48" i="45"/>
  <c r="K83" i="45" s="1"/>
  <c r="S54" i="45"/>
  <c r="S89" i="45" s="1"/>
  <c r="Y56" i="45"/>
  <c r="Y91" i="45" s="1"/>
  <c r="AH57" i="45"/>
  <c r="AI57" i="45" s="1"/>
  <c r="X53" i="45"/>
  <c r="X88" i="45" s="1"/>
  <c r="AH46" i="45"/>
  <c r="AI46" i="45" s="1"/>
  <c r="M46" i="45"/>
  <c r="M81" i="45" s="1"/>
  <c r="P47" i="45"/>
  <c r="P82" i="45" s="1"/>
  <c r="J48" i="45"/>
  <c r="J83" i="45" s="1"/>
  <c r="Q54" i="45"/>
  <c r="Q89" i="45" s="1"/>
  <c r="Y55" i="45"/>
  <c r="Y90" i="45" s="1"/>
  <c r="U56" i="45"/>
  <c r="U91" i="45" s="1"/>
  <c r="AC57" i="45"/>
  <c r="AC92" i="45" s="1"/>
  <c r="V58" i="45"/>
  <c r="V93" i="45" s="1"/>
  <c r="W63" i="45"/>
  <c r="W98" i="45" s="1"/>
  <c r="AH58" i="45"/>
  <c r="AI58" i="45" s="1"/>
  <c r="G41" i="45"/>
  <c r="G76" i="45" s="1"/>
  <c r="M48" i="45"/>
  <c r="M83" i="45" s="1"/>
  <c r="M49" i="45"/>
  <c r="M84" i="45" s="1"/>
  <c r="Y53" i="45"/>
  <c r="Y88" i="45" s="1"/>
  <c r="U54" i="45"/>
  <c r="U89" i="45" s="1"/>
  <c r="X56" i="45"/>
  <c r="X91" i="45" s="1"/>
  <c r="AG57" i="45"/>
  <c r="AG92" i="45" s="1"/>
  <c r="Y58" i="45"/>
  <c r="Y93" i="45" s="1"/>
  <c r="V59" i="45"/>
  <c r="V94" i="45" s="1"/>
  <c r="AG63" i="45"/>
  <c r="AG98" i="45" s="1"/>
  <c r="AE57" i="45"/>
  <c r="AE92" i="45" s="1"/>
  <c r="AH53" i="45"/>
  <c r="AI53" i="45" s="1"/>
  <c r="P48" i="45"/>
  <c r="P83" i="45" s="1"/>
  <c r="U52" i="45"/>
  <c r="U87" i="45" s="1"/>
  <c r="AC58" i="45"/>
  <c r="AC93" i="45" s="1"/>
  <c r="W53" i="45"/>
  <c r="W88" i="45" s="1"/>
  <c r="AF58" i="45"/>
  <c r="AF93" i="45" s="1"/>
  <c r="K41" i="45"/>
  <c r="K76" i="45" s="1"/>
  <c r="E42" i="45"/>
  <c r="E77" i="45" s="1"/>
  <c r="H46" i="45"/>
  <c r="H81" i="45" s="1"/>
  <c r="S50" i="45"/>
  <c r="S85" i="45" s="1"/>
  <c r="Y54" i="45"/>
  <c r="Y89" i="45" s="1"/>
  <c r="T55" i="45"/>
  <c r="T90" i="45" s="1"/>
  <c r="AC59" i="45"/>
  <c r="AC94" i="45" s="1"/>
  <c r="W60" i="45"/>
  <c r="W95" i="45" s="1"/>
  <c r="AG64" i="45"/>
  <c r="AG99" i="45" s="1"/>
  <c r="R48" i="45"/>
  <c r="R83" i="45" s="1"/>
  <c r="S48" i="45"/>
  <c r="S83" i="45" s="1"/>
  <c r="AH63" i="45"/>
  <c r="AI63" i="45" s="1"/>
  <c r="H42" i="45"/>
  <c r="H77" i="45" s="1"/>
  <c r="I46" i="45"/>
  <c r="I81" i="45" s="1"/>
  <c r="U55" i="45"/>
  <c r="U90" i="45" s="1"/>
  <c r="V57" i="45"/>
  <c r="V92" i="45" s="1"/>
  <c r="AF59" i="45"/>
  <c r="AF94" i="45" s="1"/>
  <c r="Q55" i="45"/>
  <c r="Q90" i="45" s="1"/>
  <c r="J46" i="45"/>
  <c r="J81" i="45" s="1"/>
  <c r="V55" i="45"/>
  <c r="V90" i="45" s="1"/>
  <c r="Q56" i="45"/>
  <c r="Q91" i="45" s="1"/>
  <c r="W57" i="45"/>
  <c r="W92" i="45" s="1"/>
  <c r="V61" i="45"/>
  <c r="V96" i="45" s="1"/>
  <c r="S46" i="45"/>
  <c r="S81" i="45" s="1"/>
  <c r="S55" i="45"/>
  <c r="S90" i="45" s="1"/>
  <c r="AG58" i="45"/>
  <c r="AG93" i="45" s="1"/>
  <c r="K42" i="45"/>
  <c r="K77" i="45" s="1"/>
  <c r="AH55" i="45"/>
  <c r="AI55" i="45" s="1"/>
  <c r="L42" i="45"/>
  <c r="L77" i="45" s="1"/>
  <c r="I44" i="45"/>
  <c r="I79" i="45" s="1"/>
  <c r="K46" i="45"/>
  <c r="K81" i="45" s="1"/>
  <c r="H48" i="45"/>
  <c r="H83" i="45" s="1"/>
  <c r="W55" i="45"/>
  <c r="W90" i="45" s="1"/>
  <c r="S56" i="45"/>
  <c r="S91" i="45" s="1"/>
  <c r="X57" i="45"/>
  <c r="X92" i="45" s="1"/>
  <c r="AF57" i="45"/>
  <c r="AF92" i="45" s="1"/>
  <c r="AH64" i="45"/>
  <c r="AI64" i="45" s="1"/>
  <c r="AH48" i="45"/>
  <c r="AI48" i="45" s="1"/>
  <c r="H39" i="45"/>
  <c r="H74" i="45" s="1"/>
  <c r="L46" i="45"/>
  <c r="L81" i="45" s="1"/>
  <c r="H47" i="45"/>
  <c r="H82" i="45" s="1"/>
  <c r="I48" i="45"/>
  <c r="I83" i="45" s="1"/>
  <c r="Y50" i="45"/>
  <c r="Y85" i="45" s="1"/>
  <c r="X55" i="45"/>
  <c r="X90" i="45" s="1"/>
  <c r="T56" i="45"/>
  <c r="T91" i="45" s="1"/>
  <c r="Y57" i="45"/>
  <c r="Y92" i="45" s="1"/>
  <c r="AF60" i="45"/>
  <c r="AF95" i="45" s="1"/>
  <c r="V62" i="45"/>
  <c r="V97" i="45" s="1"/>
  <c r="P51" i="45"/>
  <c r="P86" i="45" s="1"/>
  <c r="Y52" i="45"/>
  <c r="Y87" i="45" s="1"/>
  <c r="V53" i="45"/>
  <c r="V88" i="45" s="1"/>
  <c r="Q52" i="45"/>
  <c r="Q87" i="45" s="1"/>
  <c r="S53" i="45"/>
  <c r="S88" i="45" s="1"/>
  <c r="T53" i="45"/>
  <c r="T88" i="45" s="1"/>
  <c r="X52" i="45"/>
  <c r="X87" i="45" s="1"/>
  <c r="U53" i="45"/>
  <c r="U88" i="45" s="1"/>
  <c r="F40" i="45"/>
  <c r="F75" i="45" s="1"/>
  <c r="F42" i="45"/>
  <c r="F77" i="45" s="1"/>
  <c r="J43" i="45"/>
  <c r="J78" i="45" s="1"/>
  <c r="I45" i="45"/>
  <c r="I80" i="45" s="1"/>
  <c r="Q46" i="45"/>
  <c r="Q81" i="45" s="1"/>
  <c r="I47" i="45"/>
  <c r="I82" i="45" s="1"/>
  <c r="AH47" i="45"/>
  <c r="AI47" i="45" s="1"/>
  <c r="H49" i="45"/>
  <c r="H84" i="45" s="1"/>
  <c r="P50" i="45"/>
  <c r="P85" i="45" s="1"/>
  <c r="X51" i="45"/>
  <c r="X86" i="45" s="1"/>
  <c r="S52" i="45"/>
  <c r="S87" i="45" s="1"/>
  <c r="G40" i="45"/>
  <c r="G75" i="45" s="1"/>
  <c r="G42" i="45"/>
  <c r="G77" i="45" s="1"/>
  <c r="K43" i="45"/>
  <c r="K78" i="45" s="1"/>
  <c r="S44" i="45"/>
  <c r="S79" i="45" s="1"/>
  <c r="J45" i="45"/>
  <c r="J80" i="45" s="1"/>
  <c r="R46" i="45"/>
  <c r="R81" i="45" s="1"/>
  <c r="J47" i="45"/>
  <c r="J82" i="45" s="1"/>
  <c r="Q48" i="45"/>
  <c r="Q83" i="45" s="1"/>
  <c r="I49" i="45"/>
  <c r="I84" i="45" s="1"/>
  <c r="Q50" i="45"/>
  <c r="Q85" i="45" s="1"/>
  <c r="Y51" i="45"/>
  <c r="Y86" i="45" s="1"/>
  <c r="T52" i="45"/>
  <c r="T87" i="45" s="1"/>
  <c r="Q44" i="45"/>
  <c r="Q79" i="45" s="1"/>
  <c r="K45" i="45"/>
  <c r="K80" i="45" s="1"/>
  <c r="K47" i="45"/>
  <c r="K82" i="45" s="1"/>
  <c r="AH43" i="45"/>
  <c r="AI43" i="45" s="1"/>
  <c r="I40" i="45"/>
  <c r="I75" i="45" s="1"/>
  <c r="AH51" i="45"/>
  <c r="AI51" i="45" s="1"/>
  <c r="I43" i="45"/>
  <c r="I78" i="45" s="1"/>
  <c r="H40" i="45"/>
  <c r="H75" i="45" s="1"/>
  <c r="L43" i="45"/>
  <c r="L78" i="45" s="1"/>
  <c r="J49" i="45"/>
  <c r="J84" i="45" s="1"/>
  <c r="I42" i="45"/>
  <c r="I77" i="45" s="1"/>
  <c r="M43" i="45"/>
  <c r="M78" i="45" s="1"/>
  <c r="L45" i="45"/>
  <c r="L80" i="45" s="1"/>
  <c r="L47" i="45"/>
  <c r="L82" i="45" s="1"/>
  <c r="K49" i="45"/>
  <c r="K84" i="45" s="1"/>
  <c r="T50" i="45"/>
  <c r="T85" i="45" s="1"/>
  <c r="V52" i="45"/>
  <c r="V87" i="45" s="1"/>
  <c r="AH52" i="45"/>
  <c r="AI52" i="45" s="1"/>
  <c r="J40" i="45"/>
  <c r="J75" i="45" s="1"/>
  <c r="J42" i="45"/>
  <c r="J77" i="45" s="1"/>
  <c r="O43" i="45"/>
  <c r="O78" i="45" s="1"/>
  <c r="H44" i="45"/>
  <c r="H79" i="45" s="1"/>
  <c r="M45" i="45"/>
  <c r="M80" i="45" s="1"/>
  <c r="M47" i="45"/>
  <c r="M82" i="45" s="1"/>
  <c r="L49" i="45"/>
  <c r="L84" i="45" s="1"/>
  <c r="U50" i="45"/>
  <c r="U85" i="45" s="1"/>
  <c r="W52" i="45"/>
  <c r="W87" i="45" s="1"/>
  <c r="Q53" i="45"/>
  <c r="Q88" i="45" s="1"/>
  <c r="R43" i="45"/>
  <c r="R78" i="45" s="1"/>
  <c r="J44" i="45"/>
  <c r="J79" i="45" s="1"/>
  <c r="Q45" i="45"/>
  <c r="Q80" i="45" s="1"/>
  <c r="Q47" i="45"/>
  <c r="Q82" i="45" s="1"/>
  <c r="P49" i="45"/>
  <c r="P84" i="45" s="1"/>
  <c r="Q51" i="45"/>
  <c r="Q86" i="45" s="1"/>
  <c r="S43" i="45"/>
  <c r="S78" i="45" s="1"/>
  <c r="K44" i="45"/>
  <c r="K79" i="45" s="1"/>
  <c r="Q49" i="45"/>
  <c r="Q84" i="45" s="1"/>
  <c r="S51" i="45"/>
  <c r="S86" i="45" s="1"/>
  <c r="L44" i="45"/>
  <c r="L79" i="45" s="1"/>
  <c r="S45" i="45"/>
  <c r="S80" i="45" s="1"/>
  <c r="S47" i="45"/>
  <c r="S82" i="45" s="1"/>
  <c r="S49" i="45"/>
  <c r="S84" i="45" s="1"/>
  <c r="T51" i="45"/>
  <c r="T86" i="45" s="1"/>
  <c r="U51" i="45"/>
  <c r="U86" i="45" s="1"/>
  <c r="Q43" i="45"/>
  <c r="Q78" i="45" s="1"/>
  <c r="M44" i="45"/>
  <c r="M79" i="45" s="1"/>
  <c r="H43" i="45"/>
  <c r="H78" i="45" s="1"/>
  <c r="P44" i="45"/>
  <c r="P79" i="45" s="1"/>
  <c r="V51" i="45"/>
  <c r="V86" i="45" s="1"/>
  <c r="P52" i="45"/>
  <c r="P87" i="45" s="1"/>
  <c r="W51" i="45"/>
  <c r="W86" i="45" s="1"/>
  <c r="R44" i="45"/>
  <c r="R79" i="45" s="1"/>
  <c r="A4" i="46"/>
  <c r="B3" i="46"/>
  <c r="B40" i="45"/>
  <c r="A41" i="45"/>
  <c r="D74" i="45"/>
  <c r="G1" i="45"/>
  <c r="F2" i="45"/>
  <c r="A7" i="45"/>
  <c r="B6" i="45"/>
  <c r="AE74" i="45"/>
  <c r="AH68" i="45"/>
  <c r="U74" i="45"/>
  <c r="AG74" i="45"/>
  <c r="R74" i="45"/>
  <c r="V74" i="45"/>
  <c r="B5" i="45"/>
  <c r="E36" i="45"/>
  <c r="K39" i="45"/>
  <c r="W74" i="45"/>
  <c r="AH39" i="45"/>
  <c r="AI39" i="45" s="1"/>
  <c r="L39" i="45"/>
  <c r="X74" i="45"/>
  <c r="K40" i="45"/>
  <c r="K75" i="45" s="1"/>
  <c r="AH40" i="45"/>
  <c r="AI40" i="45" s="1"/>
  <c r="AH41" i="45"/>
  <c r="AI41" i="45" s="1"/>
  <c r="E71" i="45"/>
  <c r="D72" i="45"/>
  <c r="E2" i="45"/>
  <c r="Y74" i="45"/>
  <c r="L40" i="45"/>
  <c r="L75" i="45" s="1"/>
  <c r="L41" i="45"/>
  <c r="L76" i="45" s="1"/>
  <c r="S74" i="45"/>
  <c r="B39" i="45"/>
  <c r="Z74" i="45"/>
  <c r="P43" i="45"/>
  <c r="P78" i="45" s="1"/>
  <c r="AA74" i="45"/>
  <c r="AB74" i="45"/>
  <c r="Q74" i="45"/>
  <c r="AC74" i="45"/>
  <c r="N44" i="45"/>
  <c r="N79" i="45" s="1"/>
  <c r="N45" i="45"/>
  <c r="N80" i="45" s="1"/>
  <c r="N46" i="45"/>
  <c r="N81" i="45" s="1"/>
  <c r="N47" i="45"/>
  <c r="N82" i="45" s="1"/>
  <c r="N48" i="45"/>
  <c r="N83" i="45" s="1"/>
  <c r="N49" i="45"/>
  <c r="N84" i="45" s="1"/>
  <c r="Z50" i="45"/>
  <c r="Z85" i="45" s="1"/>
  <c r="Z51" i="45"/>
  <c r="Z86" i="45" s="1"/>
  <c r="Z52" i="45"/>
  <c r="Z87" i="45" s="1"/>
  <c r="Z53" i="45"/>
  <c r="Z88" i="45" s="1"/>
  <c r="Z54" i="45"/>
  <c r="Z89" i="45" s="1"/>
  <c r="Z55" i="45"/>
  <c r="Z90" i="45" s="1"/>
  <c r="Z56" i="45"/>
  <c r="Z91" i="45" s="1"/>
  <c r="Z57" i="45"/>
  <c r="Z92" i="45" s="1"/>
  <c r="Z58" i="45"/>
  <c r="Z93" i="45" s="1"/>
  <c r="Z59" i="45"/>
  <c r="Z94" i="45" s="1"/>
  <c r="Z60" i="45"/>
  <c r="Z95" i="45" s="1"/>
  <c r="Z63" i="45"/>
  <c r="Z98" i="45" s="1"/>
  <c r="O49" i="45"/>
  <c r="O84" i="45" s="1"/>
  <c r="O50" i="45"/>
  <c r="O85" i="45" s="1"/>
  <c r="O51" i="45"/>
  <c r="O86" i="45" s="1"/>
  <c r="O52" i="45"/>
  <c r="O87" i="45" s="1"/>
  <c r="O53" i="45"/>
  <c r="O88" i="45" s="1"/>
  <c r="O54" i="45"/>
  <c r="O89" i="45" s="1"/>
  <c r="O55" i="45"/>
  <c r="O90" i="45" s="1"/>
  <c r="O56" i="45"/>
  <c r="O91" i="45" s="1"/>
  <c r="AA57" i="45"/>
  <c r="AA92" i="45" s="1"/>
  <c r="AA58" i="45"/>
  <c r="AA93" i="45" s="1"/>
  <c r="AA59" i="45"/>
  <c r="AA94" i="45" s="1"/>
  <c r="AA60" i="45"/>
  <c r="AA95" i="45" s="1"/>
  <c r="AA63" i="45"/>
  <c r="AA98" i="45" s="1"/>
  <c r="P53" i="45"/>
  <c r="P88" i="45" s="1"/>
  <c r="P54" i="45"/>
  <c r="P89" i="45" s="1"/>
  <c r="P55" i="45"/>
  <c r="P90" i="45" s="1"/>
  <c r="P56" i="45"/>
  <c r="P91" i="45" s="1"/>
  <c r="AB57" i="45"/>
  <c r="AB92" i="45" s="1"/>
  <c r="AB58" i="45"/>
  <c r="AB93" i="45" s="1"/>
  <c r="AB59" i="45"/>
  <c r="AB94" i="45" s="1"/>
  <c r="AB60" i="45"/>
  <c r="AB95" i="45" s="1"/>
  <c r="AB63" i="45"/>
  <c r="AB98" i="45" s="1"/>
  <c r="AC68" i="45"/>
  <c r="AC103" i="45" s="1"/>
  <c r="AC63" i="45"/>
  <c r="AC98" i="45" s="1"/>
  <c r="AC64" i="45"/>
  <c r="AC99" i="45" s="1"/>
  <c r="AC65" i="45"/>
  <c r="AC100" i="45" s="1"/>
  <c r="AC66" i="45"/>
  <c r="AC101" i="45" s="1"/>
  <c r="AC67" i="45"/>
  <c r="AC102" i="45" s="1"/>
  <c r="AD68" i="45"/>
  <c r="AD103" i="45" s="1"/>
  <c r="AD58" i="45"/>
  <c r="AD93" i="45" s="1"/>
  <c r="AD59" i="45"/>
  <c r="AD94" i="45" s="1"/>
  <c r="AD60" i="45"/>
  <c r="AD95" i="45" s="1"/>
  <c r="AD63" i="45"/>
  <c r="AD98" i="45" s="1"/>
  <c r="AD64" i="45"/>
  <c r="AD99" i="45" s="1"/>
  <c r="AD65" i="45"/>
  <c r="AD100" i="45" s="1"/>
  <c r="AD66" i="45"/>
  <c r="AD101" i="45" s="1"/>
  <c r="AD67" i="45"/>
  <c r="AD102" i="45" s="1"/>
  <c r="AE68" i="45"/>
  <c r="AE103" i="45" s="1"/>
  <c r="AE63" i="45"/>
  <c r="AE98" i="45" s="1"/>
  <c r="AE64" i="45"/>
  <c r="AE99" i="45" s="1"/>
  <c r="AE65" i="45"/>
  <c r="AE100" i="45" s="1"/>
  <c r="AE66" i="45"/>
  <c r="AE101" i="45" s="1"/>
  <c r="AE67" i="45"/>
  <c r="AE102" i="45" s="1"/>
  <c r="AF68" i="45"/>
  <c r="AF103" i="45" s="1"/>
  <c r="AF63" i="45"/>
  <c r="AF98" i="45" s="1"/>
  <c r="AF64" i="45"/>
  <c r="AF99" i="45" s="1"/>
  <c r="AF65" i="45"/>
  <c r="AF100" i="45" s="1"/>
  <c r="AF66" i="45"/>
  <c r="AF101" i="45" s="1"/>
  <c r="AF67" i="45"/>
  <c r="AF102" i="45" s="1"/>
  <c r="AG68" i="45"/>
  <c r="AG103" i="45" s="1"/>
  <c r="AG65" i="45"/>
  <c r="AG100" i="45" s="1"/>
  <c r="AG66" i="45"/>
  <c r="AG101" i="45" s="1"/>
  <c r="AG67" i="45"/>
  <c r="AG102" i="45" s="1"/>
  <c r="D69" i="45" l="1"/>
  <c r="B74" i="45"/>
  <c r="D104" i="45"/>
  <c r="D2" i="46" s="1"/>
  <c r="E104" i="45"/>
  <c r="D3" i="46" s="1"/>
  <c r="E69" i="45"/>
  <c r="F104" i="45"/>
  <c r="D4" i="46" s="1"/>
  <c r="G104" i="45"/>
  <c r="D5" i="46" s="1"/>
  <c r="J104" i="45"/>
  <c r="D8" i="46" s="1"/>
  <c r="H104" i="45"/>
  <c r="D6" i="46" s="1"/>
  <c r="H69" i="45"/>
  <c r="M69" i="45"/>
  <c r="I104" i="45"/>
  <c r="D7" i="46" s="1"/>
  <c r="T104" i="45"/>
  <c r="D18" i="46" s="1"/>
  <c r="U69" i="45"/>
  <c r="U104" i="45"/>
  <c r="D19" i="46" s="1"/>
  <c r="I69" i="45"/>
  <c r="V69" i="45"/>
  <c r="P104" i="45"/>
  <c r="D14" i="46" s="1"/>
  <c r="V104" i="45"/>
  <c r="D20" i="46" s="1"/>
  <c r="F69" i="45"/>
  <c r="T69" i="45"/>
  <c r="M104" i="45"/>
  <c r="D11" i="46" s="1"/>
  <c r="J69" i="45"/>
  <c r="R104" i="45"/>
  <c r="D16" i="46" s="1"/>
  <c r="Q104" i="45"/>
  <c r="D15" i="46" s="1"/>
  <c r="S69" i="45"/>
  <c r="R69" i="45"/>
  <c r="Q69" i="45"/>
  <c r="S104" i="45"/>
  <c r="D17" i="46" s="1"/>
  <c r="G69" i="45"/>
  <c r="A5" i="46"/>
  <c r="B4" i="46"/>
  <c r="A8" i="45"/>
  <c r="B7" i="45"/>
  <c r="G2" i="45"/>
  <c r="H1" i="45"/>
  <c r="O104" i="45"/>
  <c r="D13" i="46" s="1"/>
  <c r="O69" i="45"/>
  <c r="N104" i="45"/>
  <c r="D12" i="46" s="1"/>
  <c r="K74" i="45"/>
  <c r="K104" i="45" s="1"/>
  <c r="D9" i="46" s="1"/>
  <c r="K69" i="45"/>
  <c r="L74" i="45"/>
  <c r="L104" i="45" s="1"/>
  <c r="D10" i="46" s="1"/>
  <c r="L69" i="45"/>
  <c r="N69" i="45"/>
  <c r="P69" i="45"/>
  <c r="F71" i="45"/>
  <c r="E72" i="45"/>
  <c r="B41" i="45"/>
  <c r="A42" i="45"/>
  <c r="A76" i="45"/>
  <c r="B75" i="45"/>
  <c r="F36" i="45"/>
  <c r="E37" i="45"/>
  <c r="B5" i="46" l="1"/>
  <c r="A6" i="46"/>
  <c r="A9" i="45"/>
  <c r="B8" i="45"/>
  <c r="G71" i="45"/>
  <c r="F72" i="45"/>
  <c r="F37" i="45"/>
  <c r="G36" i="45"/>
  <c r="H2" i="45"/>
  <c r="I1" i="45"/>
  <c r="B76" i="45"/>
  <c r="A77" i="45"/>
  <c r="B42" i="45"/>
  <c r="A43" i="45"/>
  <c r="A7" i="46" l="1"/>
  <c r="B6" i="46"/>
  <c r="H36" i="45"/>
  <c r="G37" i="45"/>
  <c r="H71" i="45"/>
  <c r="G72" i="45"/>
  <c r="B43" i="45"/>
  <c r="A44" i="45"/>
  <c r="A78" i="45"/>
  <c r="B77" i="45"/>
  <c r="I2" i="45"/>
  <c r="J1" i="45"/>
  <c r="B9" i="45"/>
  <c r="A10" i="45"/>
  <c r="B7" i="46" l="1"/>
  <c r="A8" i="46"/>
  <c r="A11" i="45"/>
  <c r="B10" i="45"/>
  <c r="I36" i="45"/>
  <c r="H37" i="45"/>
  <c r="K1" i="45"/>
  <c r="J2" i="45"/>
  <c r="A79" i="45"/>
  <c r="B78" i="45"/>
  <c r="B44" i="45"/>
  <c r="A45" i="45"/>
  <c r="I71" i="45"/>
  <c r="H72" i="45"/>
  <c r="A9" i="46" l="1"/>
  <c r="B8" i="46"/>
  <c r="A12" i="45"/>
  <c r="B11" i="45"/>
  <c r="J71" i="45"/>
  <c r="I72" i="45"/>
  <c r="B45" i="45"/>
  <c r="A46" i="45"/>
  <c r="A80" i="45"/>
  <c r="B79" i="45"/>
  <c r="K2" i="45"/>
  <c r="L1" i="45"/>
  <c r="J36" i="45"/>
  <c r="I37" i="45"/>
  <c r="A10" i="46" l="1"/>
  <c r="B9" i="46"/>
  <c r="A13" i="45"/>
  <c r="B12" i="45"/>
  <c r="K36" i="45"/>
  <c r="J37" i="45"/>
  <c r="A81" i="45"/>
  <c r="B80" i="45"/>
  <c r="M1" i="45"/>
  <c r="L2" i="45"/>
  <c r="B46" i="45"/>
  <c r="A47" i="45"/>
  <c r="J72" i="45"/>
  <c r="K71" i="45"/>
  <c r="B10" i="46" l="1"/>
  <c r="A11" i="46"/>
  <c r="K72" i="45"/>
  <c r="L71" i="45"/>
  <c r="A82" i="45"/>
  <c r="B81" i="45"/>
  <c r="K37" i="45"/>
  <c r="L36" i="45"/>
  <c r="A14" i="45"/>
  <c r="B13" i="45"/>
  <c r="B47" i="45"/>
  <c r="A48" i="45"/>
  <c r="N1" i="45"/>
  <c r="M2" i="45"/>
  <c r="A12" i="46" l="1"/>
  <c r="B11" i="46"/>
  <c r="L72" i="45"/>
  <c r="M71" i="45"/>
  <c r="A83" i="45"/>
  <c r="B82" i="45"/>
  <c r="O1" i="45"/>
  <c r="N2" i="45"/>
  <c r="B48" i="45"/>
  <c r="A49" i="45"/>
  <c r="B14" i="45"/>
  <c r="A15" i="45"/>
  <c r="L37" i="45"/>
  <c r="M36" i="45"/>
  <c r="B12" i="46" l="1"/>
  <c r="A13" i="46"/>
  <c r="O2" i="45"/>
  <c r="P1" i="45"/>
  <c r="B83" i="45"/>
  <c r="A84" i="45"/>
  <c r="M72" i="45"/>
  <c r="N71" i="45"/>
  <c r="N36" i="45"/>
  <c r="M37" i="45"/>
  <c r="A16" i="45"/>
  <c r="B15" i="45"/>
  <c r="B49" i="45"/>
  <c r="A50" i="45"/>
  <c r="A14" i="46" l="1"/>
  <c r="B13" i="46"/>
  <c r="B50" i="45"/>
  <c r="A51" i="45"/>
  <c r="P2" i="45"/>
  <c r="Q1" i="45"/>
  <c r="A17" i="45"/>
  <c r="B16" i="45"/>
  <c r="N37" i="45"/>
  <c r="O36" i="45"/>
  <c r="N72" i="45"/>
  <c r="O71" i="45"/>
  <c r="A85" i="45"/>
  <c r="B84" i="45"/>
  <c r="B14" i="46" l="1"/>
  <c r="A15" i="46"/>
  <c r="B51" i="45"/>
  <c r="A52" i="45"/>
  <c r="A86" i="45"/>
  <c r="B85" i="45"/>
  <c r="O72" i="45"/>
  <c r="P71" i="45"/>
  <c r="Q2" i="45"/>
  <c r="R1" i="45"/>
  <c r="O37" i="45"/>
  <c r="P36" i="45"/>
  <c r="B17" i="45"/>
  <c r="A18" i="45"/>
  <c r="B15" i="46" l="1"/>
  <c r="A16" i="46"/>
  <c r="A87" i="45"/>
  <c r="B86" i="45"/>
  <c r="B52" i="45"/>
  <c r="A53" i="45"/>
  <c r="A19" i="45"/>
  <c r="B18" i="45"/>
  <c r="P37" i="45"/>
  <c r="Q36" i="45"/>
  <c r="Q71" i="45"/>
  <c r="P72" i="45"/>
  <c r="R2" i="45"/>
  <c r="S1" i="45"/>
  <c r="A17" i="46" l="1"/>
  <c r="B16" i="46"/>
  <c r="B53" i="45"/>
  <c r="A54" i="45"/>
  <c r="B87" i="45"/>
  <c r="A88" i="45"/>
  <c r="S2" i="45"/>
  <c r="T1" i="45"/>
  <c r="R71" i="45"/>
  <c r="Q72" i="45"/>
  <c r="R36" i="45"/>
  <c r="Q37" i="45"/>
  <c r="B19" i="45"/>
  <c r="A20" i="45"/>
  <c r="A18" i="46" l="1"/>
  <c r="B17" i="46"/>
  <c r="A21" i="45"/>
  <c r="B20" i="45"/>
  <c r="S36" i="45"/>
  <c r="R37" i="45"/>
  <c r="S71" i="45"/>
  <c r="R72" i="45"/>
  <c r="T2" i="45"/>
  <c r="U1" i="45"/>
  <c r="B88" i="45"/>
  <c r="A89" i="45"/>
  <c r="B54" i="45"/>
  <c r="A55" i="45"/>
  <c r="B18" i="46" l="1"/>
  <c r="A19" i="46"/>
  <c r="A22" i="45"/>
  <c r="B21" i="45"/>
  <c r="B55" i="45"/>
  <c r="A56" i="45"/>
  <c r="T36" i="45"/>
  <c r="S37" i="45"/>
  <c r="A90" i="45"/>
  <c r="B89" i="45"/>
  <c r="V1" i="45"/>
  <c r="U2" i="45"/>
  <c r="T71" i="45"/>
  <c r="S72" i="45"/>
  <c r="B19" i="46" l="1"/>
  <c r="A20" i="46"/>
  <c r="U36" i="45"/>
  <c r="T37" i="45"/>
  <c r="B56" i="45"/>
  <c r="A57" i="45"/>
  <c r="A23" i="45"/>
  <c r="B22" i="45"/>
  <c r="U71" i="45"/>
  <c r="T72" i="45"/>
  <c r="W1" i="45"/>
  <c r="V2" i="45"/>
  <c r="A91" i="45"/>
  <c r="B90" i="45"/>
  <c r="A21" i="46" l="1"/>
  <c r="B20" i="46"/>
  <c r="V36" i="45"/>
  <c r="U37" i="45"/>
  <c r="B91" i="45"/>
  <c r="A92" i="45"/>
  <c r="B57" i="45"/>
  <c r="A58" i="45"/>
  <c r="X1" i="45"/>
  <c r="W2" i="45"/>
  <c r="V71" i="45"/>
  <c r="U72" i="45"/>
  <c r="A24" i="45"/>
  <c r="B23" i="45"/>
  <c r="B21" i="46" l="1"/>
  <c r="A22" i="46"/>
  <c r="A25" i="45"/>
  <c r="B24" i="45"/>
  <c r="W36" i="45"/>
  <c r="V37" i="45"/>
  <c r="V72" i="45"/>
  <c r="W71" i="45"/>
  <c r="X2" i="45"/>
  <c r="Y1" i="45"/>
  <c r="B58" i="45"/>
  <c r="A59" i="45"/>
  <c r="B92" i="45"/>
  <c r="A93" i="45"/>
  <c r="A23" i="46" l="1"/>
  <c r="B22" i="46"/>
  <c r="W37" i="45"/>
  <c r="X36" i="45"/>
  <c r="A26" i="45"/>
  <c r="B25" i="45"/>
  <c r="B59" i="45"/>
  <c r="A60" i="45"/>
  <c r="A94" i="45"/>
  <c r="B93" i="45"/>
  <c r="Z1" i="45"/>
  <c r="Y2" i="45"/>
  <c r="W72" i="45"/>
  <c r="X71" i="45"/>
  <c r="B23" i="46" l="1"/>
  <c r="A24" i="46"/>
  <c r="X72" i="45"/>
  <c r="Y71" i="45"/>
  <c r="X37" i="45"/>
  <c r="Y36" i="45"/>
  <c r="B26" i="45"/>
  <c r="A27" i="45"/>
  <c r="AA1" i="45"/>
  <c r="Z2" i="45"/>
  <c r="A95" i="45"/>
  <c r="B94" i="45"/>
  <c r="B60" i="45"/>
  <c r="A61" i="45"/>
  <c r="A25" i="46" l="1"/>
  <c r="B24" i="46"/>
  <c r="B61" i="45"/>
  <c r="A62" i="45"/>
  <c r="B95" i="45"/>
  <c r="A96" i="45"/>
  <c r="A28" i="45"/>
  <c r="B27" i="45"/>
  <c r="AA2" i="45"/>
  <c r="AB1" i="45"/>
  <c r="Z36" i="45"/>
  <c r="Y37" i="45"/>
  <c r="Y72" i="45"/>
  <c r="Z71" i="45"/>
  <c r="A26" i="46" l="1"/>
  <c r="B25" i="46"/>
  <c r="Z72" i="45"/>
  <c r="AA71" i="45"/>
  <c r="Z37" i="45"/>
  <c r="AA36" i="45"/>
  <c r="AB2" i="45"/>
  <c r="AC1" i="45"/>
  <c r="B28" i="45"/>
  <c r="A29" i="45"/>
  <c r="B96" i="45"/>
  <c r="A97" i="45"/>
  <c r="B62" i="45"/>
  <c r="A63" i="45"/>
  <c r="B26" i="46" l="1"/>
  <c r="A27" i="46"/>
  <c r="A98" i="45"/>
  <c r="B97" i="45"/>
  <c r="AA72" i="45"/>
  <c r="AB71" i="45"/>
  <c r="A30" i="45"/>
  <c r="B29" i="45"/>
  <c r="AA37" i="45"/>
  <c r="AB36" i="45"/>
  <c r="B63" i="45"/>
  <c r="A64" i="45"/>
  <c r="AC2" i="45"/>
  <c r="AD1" i="45"/>
  <c r="A28" i="46" l="1"/>
  <c r="B27" i="46"/>
  <c r="AD2" i="45"/>
  <c r="AE1" i="45"/>
  <c r="A99" i="45"/>
  <c r="B98" i="45"/>
  <c r="AC71" i="45"/>
  <c r="AB72" i="45"/>
  <c r="B64" i="45"/>
  <c r="A65" i="45"/>
  <c r="AB37" i="45"/>
  <c r="AC36" i="45"/>
  <c r="A31" i="45"/>
  <c r="B30" i="45"/>
  <c r="B28" i="46" l="1"/>
  <c r="A29" i="46"/>
  <c r="A30" i="46" s="1"/>
  <c r="AD71" i="45"/>
  <c r="AC72" i="45"/>
  <c r="B99" i="45"/>
  <c r="A100" i="45"/>
  <c r="AE2" i="45"/>
  <c r="AF1" i="45"/>
  <c r="B31" i="45"/>
  <c r="A32" i="45"/>
  <c r="AC37" i="45"/>
  <c r="AD36" i="45"/>
  <c r="B65" i="45"/>
  <c r="A66" i="45"/>
  <c r="A31" i="46" l="1"/>
  <c r="B30" i="46"/>
  <c r="B29" i="46"/>
  <c r="AE36" i="45"/>
  <c r="AD37" i="45"/>
  <c r="B100" i="45"/>
  <c r="A101" i="45"/>
  <c r="AE71" i="45"/>
  <c r="AD72" i="45"/>
  <c r="B66" i="45"/>
  <c r="A67" i="45"/>
  <c r="A33" i="45"/>
  <c r="B32" i="45"/>
  <c r="AF2" i="45"/>
  <c r="AG1" i="45"/>
  <c r="B31" i="46" l="1"/>
  <c r="AE37" i="45"/>
  <c r="AF36" i="45"/>
  <c r="AG2" i="45"/>
  <c r="A34" i="45"/>
  <c r="B33" i="45"/>
  <c r="B67" i="45"/>
  <c r="A68" i="45"/>
  <c r="AF71" i="45"/>
  <c r="AE72" i="45"/>
  <c r="B101" i="45"/>
  <c r="A102" i="45"/>
  <c r="B102" i="45" l="1"/>
  <c r="A103" i="45"/>
  <c r="AG71" i="45"/>
  <c r="AF72" i="45"/>
  <c r="B68" i="45"/>
  <c r="B34" i="45"/>
  <c r="AG36" i="45"/>
  <c r="AF37" i="45"/>
  <c r="AG37" i="45" l="1"/>
  <c r="AG72" i="45"/>
  <c r="B103" i="45"/>
  <c r="K6" i="1" l="1"/>
  <c r="K10" i="1"/>
  <c r="K13" i="1"/>
  <c r="K16" i="1"/>
  <c r="K18" i="1"/>
  <c r="K19" i="1"/>
  <c r="K20" i="1"/>
  <c r="K21" i="1"/>
  <c r="K22" i="1"/>
  <c r="K26" i="1"/>
  <c r="K27" i="1"/>
  <c r="K28" i="1"/>
  <c r="K29" i="1"/>
  <c r="K30" i="1"/>
  <c r="K46" i="1"/>
  <c r="B33" i="1" l="1"/>
  <c r="T54" i="1" l="1"/>
  <c r="W54" i="1" s="1"/>
  <c r="K33" i="1"/>
  <c r="L33" i="1"/>
  <c r="B54" i="1"/>
  <c r="E75" i="23"/>
  <c r="F75" i="23"/>
  <c r="G75" i="23"/>
  <c r="H75" i="23"/>
  <c r="I75" i="23"/>
  <c r="B107" i="1"/>
  <c r="K76" i="28" l="1"/>
  <c r="G47" i="12" l="1"/>
  <c r="F47" i="12"/>
  <c r="E47" i="12"/>
  <c r="D47" i="12"/>
  <c r="O92" i="1"/>
  <c r="O93" i="1"/>
  <c r="O96" i="1"/>
  <c r="O97" i="1"/>
  <c r="O98" i="1"/>
  <c r="O99" i="1"/>
  <c r="O100" i="1"/>
  <c r="V89" i="1" l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Z17" i="28" l="1"/>
  <c r="S74" i="1" l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73" i="1"/>
  <c r="K77" i="28" l="1"/>
  <c r="K78" i="28"/>
  <c r="K79" i="28"/>
  <c r="K80" i="28"/>
  <c r="K81" i="28"/>
  <c r="K82" i="28"/>
  <c r="K83" i="28"/>
  <c r="K84" i="28"/>
  <c r="K85" i="28"/>
  <c r="K86" i="28"/>
  <c r="C32" i="29" l="1"/>
  <c r="C35" i="23"/>
  <c r="R73" i="1" l="1"/>
  <c r="R72" i="1"/>
  <c r="M30" i="1" l="1"/>
  <c r="M29" i="1"/>
  <c r="M28" i="1"/>
  <c r="M27" i="1"/>
  <c r="M26" i="1"/>
  <c r="M22" i="1"/>
  <c r="M21" i="1"/>
  <c r="M20" i="1"/>
  <c r="M19" i="1"/>
  <c r="M18" i="1"/>
  <c r="M16" i="1"/>
  <c r="M13" i="1"/>
  <c r="M10" i="1"/>
  <c r="M6" i="1"/>
  <c r="K4" i="12" l="1"/>
  <c r="C3" i="1"/>
  <c r="D59" i="1" s="1"/>
  <c r="J48" i="1" l="1"/>
  <c r="J46" i="1"/>
  <c r="J47" i="1"/>
  <c r="Q92" i="1" l="1"/>
  <c r="Q93" i="1"/>
  <c r="Q96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A58" i="1" l="1"/>
  <c r="E52" i="1" s="1"/>
  <c r="A3" i="29"/>
  <c r="A4" i="29" l="1"/>
  <c r="A5" i="29" s="1"/>
  <c r="A6" i="29" s="1"/>
  <c r="A7" i="29" s="1"/>
  <c r="A8" i="29" s="1"/>
  <c r="A9" i="29" s="1"/>
  <c r="A10" i="29" s="1"/>
  <c r="A11" i="29" s="1"/>
  <c r="A12" i="29" s="1"/>
  <c r="A13" i="29" s="1"/>
  <c r="A14" i="29" s="1"/>
  <c r="A15" i="29" s="1"/>
  <c r="A16" i="29" s="1"/>
  <c r="A17" i="29" s="1"/>
  <c r="A18" i="29" s="1"/>
  <c r="A19" i="29" s="1"/>
  <c r="A20" i="29" s="1"/>
  <c r="A21" i="29" s="1"/>
  <c r="A22" i="29" s="1"/>
  <c r="A23" i="29" s="1"/>
  <c r="A24" i="29" s="1"/>
  <c r="A25" i="29" s="1"/>
  <c r="A26" i="29" s="1"/>
  <c r="A27" i="29" s="1"/>
  <c r="A28" i="29" s="1"/>
  <c r="A29" i="29" s="1"/>
  <c r="A30" i="29" s="1"/>
  <c r="B30" i="29" l="1"/>
  <c r="A31" i="29"/>
  <c r="R76" i="1"/>
  <c r="R88" i="1"/>
  <c r="R74" i="1"/>
  <c r="R77" i="1"/>
  <c r="R89" i="1"/>
  <c r="R84" i="1"/>
  <c r="R85" i="1"/>
  <c r="R87" i="1"/>
  <c r="R78" i="1"/>
  <c r="R90" i="1"/>
  <c r="R79" i="1"/>
  <c r="R91" i="1"/>
  <c r="R80" i="1"/>
  <c r="R92" i="1"/>
  <c r="R81" i="1"/>
  <c r="R75" i="1"/>
  <c r="R82" i="1"/>
  <c r="R86" i="1"/>
  <c r="R83" i="1"/>
  <c r="A32" i="29" l="1"/>
  <c r="B32" i="29" s="1"/>
  <c r="B31" i="29"/>
  <c r="H9" i="12"/>
  <c r="G1" i="29" l="1"/>
  <c r="C70" i="23"/>
  <c r="AG70" i="23" l="1"/>
  <c r="AG106" i="23" s="1"/>
  <c r="AD70" i="23"/>
  <c r="AD106" i="23" s="1"/>
  <c r="AH70" i="23"/>
  <c r="AH106" i="23" s="1"/>
  <c r="AE70" i="23"/>
  <c r="AE106" i="23" s="1"/>
  <c r="AF70" i="23"/>
  <c r="AF106" i="23" s="1"/>
  <c r="AI70" i="23"/>
  <c r="AA12" i="28" l="1"/>
  <c r="AI39" i="23" l="1"/>
  <c r="J61" i="1" l="1"/>
  <c r="J60" i="1" l="1"/>
  <c r="J33" i="1" l="1"/>
  <c r="P17" i="1" l="1"/>
  <c r="N33" i="1"/>
  <c r="M33" i="1"/>
  <c r="J59" i="1" l="1"/>
  <c r="P5" i="28" l="1"/>
  <c r="P6" i="28"/>
  <c r="P7" i="28"/>
  <c r="P8" i="28"/>
  <c r="P9" i="28"/>
  <c r="P10" i="28"/>
  <c r="P11" i="28"/>
  <c r="P12" i="28"/>
  <c r="P13" i="28"/>
  <c r="P14" i="28"/>
  <c r="P15" i="28"/>
  <c r="P16" i="28"/>
  <c r="P17" i="28"/>
  <c r="P18" i="28"/>
  <c r="P19" i="28"/>
  <c r="P20" i="28"/>
  <c r="P21" i="28"/>
  <c r="P22" i="28"/>
  <c r="P23" i="28"/>
  <c r="P24" i="28"/>
  <c r="P25" i="28"/>
  <c r="P26" i="28"/>
  <c r="P27" i="28"/>
  <c r="P28" i="28"/>
  <c r="P29" i="28"/>
  <c r="P30" i="28"/>
  <c r="P31" i="28"/>
  <c r="P32" i="28"/>
  <c r="P33" i="28"/>
  <c r="P34" i="28"/>
  <c r="P35" i="28"/>
  <c r="P36" i="28"/>
  <c r="P37" i="28"/>
  <c r="P38" i="28"/>
  <c r="P39" i="28"/>
  <c r="P40" i="28"/>
  <c r="P41" i="28"/>
  <c r="P42" i="28"/>
  <c r="P43" i="28"/>
  <c r="P44" i="28"/>
  <c r="P45" i="28"/>
  <c r="P46" i="28"/>
  <c r="P47" i="28"/>
  <c r="P48" i="28"/>
  <c r="P49" i="28"/>
  <c r="P50" i="28"/>
  <c r="P51" i="28"/>
  <c r="P52" i="28"/>
  <c r="P53" i="28"/>
  <c r="P54" i="28"/>
  <c r="P55" i="28"/>
  <c r="P56" i="28"/>
  <c r="P57" i="28"/>
  <c r="P58" i="28"/>
  <c r="P59" i="28"/>
  <c r="P60" i="28"/>
  <c r="P61" i="28"/>
  <c r="P62" i="28"/>
  <c r="P63" i="28"/>
  <c r="P64" i="28"/>
  <c r="P65" i="28"/>
  <c r="P66" i="28"/>
  <c r="P67" i="28"/>
  <c r="P68" i="28"/>
  <c r="P69" i="28"/>
  <c r="P70" i="28"/>
  <c r="P71" i="28"/>
  <c r="P72" i="28"/>
  <c r="P73" i="28"/>
  <c r="P74" i="28"/>
  <c r="P75" i="28"/>
  <c r="P76" i="28"/>
  <c r="P77" i="28"/>
  <c r="P78" i="28"/>
  <c r="P79" i="28"/>
  <c r="P80" i="28"/>
  <c r="P81" i="28"/>
  <c r="P4" i="28"/>
  <c r="H108" i="1" l="1"/>
  <c r="H107" i="1"/>
  <c r="I108" i="1" l="1"/>
  <c r="O4" i="1" l="1"/>
  <c r="AI10" i="28"/>
  <c r="O15" i="28" l="1"/>
  <c r="O14" i="28"/>
  <c r="O13" i="28"/>
  <c r="O12" i="28"/>
  <c r="O11" i="28"/>
  <c r="O10" i="28"/>
  <c r="O9" i="28"/>
  <c r="O8" i="28"/>
  <c r="O7" i="28"/>
  <c r="O6" i="28"/>
  <c r="O5" i="28"/>
  <c r="O4" i="28"/>
  <c r="L2" i="29" l="1"/>
  <c r="L6" i="29"/>
  <c r="R11" i="12" l="1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9" i="12"/>
  <c r="S11" i="12" l="1"/>
  <c r="R48" i="12"/>
  <c r="P48" i="12"/>
  <c r="P93" i="1" l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9" i="12" l="1"/>
  <c r="K9" i="12"/>
  <c r="M9" i="12" l="1"/>
  <c r="H10" i="12" l="1"/>
  <c r="K10" i="12"/>
  <c r="M10" i="12"/>
  <c r="H11" i="12"/>
  <c r="K11" i="12"/>
  <c r="M11" i="12"/>
  <c r="H12" i="12"/>
  <c r="K12" i="12"/>
  <c r="M12" i="12"/>
  <c r="H48" i="12"/>
  <c r="J48" i="12"/>
  <c r="K48" i="12"/>
  <c r="M48" i="12"/>
  <c r="H49" i="12"/>
  <c r="K49" i="12"/>
  <c r="M49" i="12"/>
  <c r="H50" i="12" l="1"/>
  <c r="K50" i="12"/>
  <c r="M50" i="12"/>
  <c r="H51" i="12"/>
  <c r="K51" i="12"/>
  <c r="M51" i="12"/>
  <c r="H52" i="12"/>
  <c r="K52" i="12"/>
  <c r="M52" i="12"/>
  <c r="H53" i="12"/>
  <c r="K53" i="12"/>
  <c r="M53" i="12"/>
  <c r="H54" i="12"/>
  <c r="K54" i="12"/>
  <c r="M54" i="12"/>
  <c r="H55" i="12"/>
  <c r="K55" i="12"/>
  <c r="M55" i="12"/>
  <c r="H56" i="12"/>
  <c r="K56" i="12"/>
  <c r="M56" i="12"/>
  <c r="H57" i="12"/>
  <c r="K57" i="12"/>
  <c r="M57" i="12"/>
  <c r="H58" i="12"/>
  <c r="K58" i="12"/>
  <c r="M58" i="12"/>
  <c r="H59" i="12"/>
  <c r="K59" i="12"/>
  <c r="M59" i="12"/>
  <c r="H60" i="12"/>
  <c r="K60" i="12"/>
  <c r="M60" i="12"/>
  <c r="H61" i="12"/>
  <c r="K61" i="12"/>
  <c r="M61" i="12"/>
  <c r="H62" i="12"/>
  <c r="K62" i="12"/>
  <c r="M62" i="12"/>
  <c r="H63" i="12"/>
  <c r="K63" i="12"/>
  <c r="M63" i="12"/>
  <c r="H64" i="12"/>
  <c r="K64" i="12"/>
  <c r="M64" i="12"/>
  <c r="H65" i="12"/>
  <c r="K65" i="12"/>
  <c r="M65" i="12"/>
  <c r="H66" i="12"/>
  <c r="K66" i="12"/>
  <c r="M66" i="12"/>
  <c r="H67" i="12"/>
  <c r="K67" i="12"/>
  <c r="M67" i="12"/>
  <c r="H68" i="12"/>
  <c r="K68" i="12"/>
  <c r="M68" i="12"/>
  <c r="H69" i="12"/>
  <c r="K69" i="12"/>
  <c r="M69" i="12"/>
  <c r="H70" i="12"/>
  <c r="K70" i="12"/>
  <c r="M70" i="12"/>
  <c r="H71" i="12"/>
  <c r="K71" i="12"/>
  <c r="M71" i="12"/>
  <c r="H72" i="12"/>
  <c r="K72" i="12"/>
  <c r="M72" i="12"/>
  <c r="H73" i="12"/>
  <c r="K73" i="12"/>
  <c r="M73" i="12"/>
  <c r="H74" i="12"/>
  <c r="K74" i="12"/>
  <c r="M74" i="12"/>
  <c r="H75" i="12"/>
  <c r="K75" i="12"/>
  <c r="M75" i="12"/>
  <c r="L50" i="12" l="1"/>
  <c r="N50" i="12"/>
  <c r="O77" i="12"/>
  <c r="O76" i="12"/>
  <c r="N49" i="12"/>
  <c r="L49" i="12"/>
  <c r="P10" i="12"/>
  <c r="R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H13" i="12"/>
  <c r="K13" i="12"/>
  <c r="M13" i="12"/>
  <c r="H14" i="12"/>
  <c r="K14" i="12"/>
  <c r="M14" i="12"/>
  <c r="H15" i="12"/>
  <c r="K15" i="12"/>
  <c r="M15" i="12"/>
  <c r="H16" i="12"/>
  <c r="K16" i="12"/>
  <c r="M16" i="12"/>
  <c r="H17" i="12"/>
  <c r="K17" i="12"/>
  <c r="M17" i="12"/>
  <c r="H18" i="12"/>
  <c r="K18" i="12"/>
  <c r="M18" i="12"/>
  <c r="H19" i="12"/>
  <c r="K19" i="12"/>
  <c r="M19" i="12"/>
  <c r="H20" i="12"/>
  <c r="K20" i="12"/>
  <c r="M20" i="12"/>
  <c r="H21" i="12"/>
  <c r="K21" i="12"/>
  <c r="M21" i="12"/>
  <c r="H22" i="12"/>
  <c r="K22" i="12"/>
  <c r="M22" i="12"/>
  <c r="H23" i="12"/>
  <c r="K23" i="12"/>
  <c r="M23" i="12"/>
  <c r="H24" i="12"/>
  <c r="K24" i="12"/>
  <c r="M24" i="12"/>
  <c r="H25" i="12"/>
  <c r="K25" i="12"/>
  <c r="M25" i="12"/>
  <c r="H26" i="12"/>
  <c r="K26" i="12"/>
  <c r="M26" i="12"/>
  <c r="H27" i="12"/>
  <c r="K27" i="12"/>
  <c r="M27" i="12"/>
  <c r="H28" i="12"/>
  <c r="K28" i="12"/>
  <c r="M28" i="12"/>
  <c r="H29" i="12"/>
  <c r="K29" i="12"/>
  <c r="M29" i="12"/>
  <c r="H30" i="12"/>
  <c r="K30" i="12"/>
  <c r="M30" i="12"/>
  <c r="H31" i="12"/>
  <c r="K31" i="12"/>
  <c r="M31" i="12"/>
  <c r="H32" i="12"/>
  <c r="K32" i="12"/>
  <c r="M32" i="12"/>
  <c r="H33" i="12"/>
  <c r="K33" i="12"/>
  <c r="M33" i="12"/>
  <c r="O38" i="12" l="1"/>
  <c r="O37" i="12"/>
  <c r="L11" i="12"/>
  <c r="S10" i="12"/>
  <c r="S9" i="12"/>
  <c r="R49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R62" i="12"/>
  <c r="R63" i="12"/>
  <c r="R64" i="12"/>
  <c r="R65" i="12"/>
  <c r="R66" i="12"/>
  <c r="R67" i="12"/>
  <c r="R68" i="12"/>
  <c r="R69" i="12"/>
  <c r="R70" i="12"/>
  <c r="R71" i="12"/>
  <c r="R72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71" i="12"/>
  <c r="P70" i="12"/>
  <c r="P69" i="12"/>
  <c r="P68" i="12"/>
  <c r="P67" i="12"/>
  <c r="P66" i="12"/>
  <c r="P65" i="12"/>
  <c r="P64" i="12"/>
  <c r="P63" i="12"/>
  <c r="P62" i="12"/>
  <c r="P72" i="12"/>
  <c r="P73" i="12"/>
  <c r="R73" i="12"/>
  <c r="P74" i="12"/>
  <c r="R74" i="12"/>
  <c r="P75" i="12"/>
  <c r="R75" i="12"/>
  <c r="T75" i="12" l="1"/>
  <c r="T63" i="12"/>
  <c r="T64" i="12"/>
  <c r="T52" i="12"/>
  <c r="T51" i="12"/>
  <c r="T58" i="12"/>
  <c r="Q50" i="12"/>
  <c r="T50" i="12" s="1"/>
  <c r="S50" i="12"/>
  <c r="T57" i="12"/>
  <c r="T53" i="12"/>
  <c r="T56" i="12"/>
  <c r="T55" i="12"/>
  <c r="S49" i="12"/>
  <c r="T54" i="12"/>
  <c r="Q49" i="12"/>
  <c r="T49" i="12" s="1"/>
  <c r="S48" i="12"/>
  <c r="Q48" i="12"/>
  <c r="T48" i="12" s="1"/>
  <c r="T70" i="12" l="1"/>
  <c r="T72" i="12"/>
  <c r="T69" i="12"/>
  <c r="T60" i="12"/>
  <c r="T76" i="12"/>
  <c r="T77" i="12"/>
  <c r="T59" i="12"/>
  <c r="T71" i="12"/>
  <c r="T65" i="12"/>
  <c r="T74" i="12"/>
  <c r="T66" i="12"/>
  <c r="T73" i="12"/>
  <c r="T67" i="12"/>
  <c r="T61" i="12"/>
  <c r="T68" i="12"/>
  <c r="T62" i="12"/>
  <c r="L91" i="28"/>
  <c r="C33" i="23" l="1"/>
  <c r="C34" i="23"/>
  <c r="C68" i="23"/>
  <c r="C69" i="23"/>
  <c r="AA69" i="23" s="1"/>
  <c r="AA105" i="23" s="1"/>
  <c r="D68" i="23"/>
  <c r="D104" i="23" s="1"/>
  <c r="E68" i="23"/>
  <c r="E104" i="23" s="1"/>
  <c r="F68" i="23"/>
  <c r="F104" i="23" s="1"/>
  <c r="G68" i="23"/>
  <c r="G104" i="23" s="1"/>
  <c r="H68" i="23"/>
  <c r="H104" i="23" s="1"/>
  <c r="I68" i="23"/>
  <c r="I104" i="23" s="1"/>
  <c r="J68" i="23"/>
  <c r="J104" i="23" s="1"/>
  <c r="K68" i="23"/>
  <c r="K104" i="23" s="1"/>
  <c r="L68" i="23"/>
  <c r="L104" i="23" s="1"/>
  <c r="M68" i="23"/>
  <c r="M104" i="23" s="1"/>
  <c r="N68" i="23"/>
  <c r="N104" i="23" s="1"/>
  <c r="O68" i="23"/>
  <c r="O104" i="23" s="1"/>
  <c r="P68" i="23"/>
  <c r="P104" i="23" s="1"/>
  <c r="Q68" i="23"/>
  <c r="Q104" i="23" s="1"/>
  <c r="R68" i="23"/>
  <c r="R104" i="23" s="1"/>
  <c r="S68" i="23"/>
  <c r="S104" i="23" s="1"/>
  <c r="T68" i="23"/>
  <c r="T104" i="23" s="1"/>
  <c r="U68" i="23"/>
  <c r="U104" i="23" s="1"/>
  <c r="V68" i="23"/>
  <c r="V104" i="23" s="1"/>
  <c r="W68" i="23"/>
  <c r="W104" i="23" s="1"/>
  <c r="X68" i="23"/>
  <c r="X104" i="23" s="1"/>
  <c r="Y68" i="23"/>
  <c r="Y104" i="23" s="1"/>
  <c r="D69" i="23"/>
  <c r="D105" i="23" s="1"/>
  <c r="E69" i="23"/>
  <c r="E105" i="23" s="1"/>
  <c r="F69" i="23"/>
  <c r="F105" i="23" s="1"/>
  <c r="G69" i="23"/>
  <c r="G105" i="23" s="1"/>
  <c r="H69" i="23"/>
  <c r="H105" i="23" s="1"/>
  <c r="I69" i="23"/>
  <c r="I105" i="23" s="1"/>
  <c r="J69" i="23"/>
  <c r="J105" i="23" s="1"/>
  <c r="K69" i="23"/>
  <c r="K105" i="23" s="1"/>
  <c r="L69" i="23"/>
  <c r="L105" i="23" s="1"/>
  <c r="M69" i="23"/>
  <c r="M105" i="23" s="1"/>
  <c r="N69" i="23"/>
  <c r="N105" i="23" s="1"/>
  <c r="O69" i="23"/>
  <c r="O105" i="23" s="1"/>
  <c r="P69" i="23"/>
  <c r="P105" i="23" s="1"/>
  <c r="Q69" i="23"/>
  <c r="Q105" i="23" s="1"/>
  <c r="R69" i="23"/>
  <c r="R105" i="23" s="1"/>
  <c r="S69" i="23"/>
  <c r="S105" i="23" s="1"/>
  <c r="T69" i="23"/>
  <c r="T105" i="23" s="1"/>
  <c r="U69" i="23"/>
  <c r="U105" i="23" s="1"/>
  <c r="V69" i="23"/>
  <c r="V105" i="23" s="1"/>
  <c r="W69" i="23"/>
  <c r="W105" i="23" s="1"/>
  <c r="X69" i="23"/>
  <c r="X105" i="23" s="1"/>
  <c r="Y69" i="23"/>
  <c r="Y105" i="23" s="1"/>
  <c r="Z69" i="23"/>
  <c r="Z105" i="23" s="1"/>
  <c r="AE40" i="23"/>
  <c r="AF40" i="23"/>
  <c r="AF76" i="23" s="1"/>
  <c r="AG40" i="23"/>
  <c r="AG76" i="23" s="1"/>
  <c r="AH40" i="23"/>
  <c r="AH76" i="23" s="1"/>
  <c r="AE41" i="23"/>
  <c r="AF41" i="23"/>
  <c r="AF77" i="23" s="1"/>
  <c r="AG41" i="23"/>
  <c r="AG77" i="23" s="1"/>
  <c r="AH41" i="23"/>
  <c r="AH77" i="23" s="1"/>
  <c r="AE42" i="23"/>
  <c r="AF42" i="23"/>
  <c r="AF78" i="23" s="1"/>
  <c r="AG42" i="23"/>
  <c r="AG78" i="23" s="1"/>
  <c r="AH42" i="23"/>
  <c r="AH78" i="23" s="1"/>
  <c r="AE43" i="23"/>
  <c r="AF43" i="23"/>
  <c r="AF79" i="23" s="1"/>
  <c r="AG43" i="23"/>
  <c r="AG79" i="23" s="1"/>
  <c r="AH43" i="23"/>
  <c r="AH79" i="23" s="1"/>
  <c r="AE44" i="23"/>
  <c r="AF44" i="23"/>
  <c r="AF80" i="23" s="1"/>
  <c r="AG44" i="23"/>
  <c r="AG80" i="23" s="1"/>
  <c r="AH44" i="23"/>
  <c r="AH80" i="23" s="1"/>
  <c r="AE45" i="23"/>
  <c r="AF45" i="23"/>
  <c r="AF81" i="23" s="1"/>
  <c r="AG45" i="23"/>
  <c r="AG81" i="23" s="1"/>
  <c r="AH45" i="23"/>
  <c r="AH81" i="23" s="1"/>
  <c r="AE46" i="23"/>
  <c r="AF46" i="23"/>
  <c r="AF82" i="23" s="1"/>
  <c r="AG46" i="23"/>
  <c r="AG82" i="23" s="1"/>
  <c r="AH46" i="23"/>
  <c r="AH82" i="23" s="1"/>
  <c r="AE47" i="23"/>
  <c r="AF47" i="23"/>
  <c r="AF83" i="23" s="1"/>
  <c r="AG47" i="23"/>
  <c r="AG83" i="23" s="1"/>
  <c r="AH47" i="23"/>
  <c r="AH83" i="23" s="1"/>
  <c r="AE48" i="23"/>
  <c r="AF48" i="23"/>
  <c r="AF84" i="23" s="1"/>
  <c r="AG48" i="23"/>
  <c r="AG84" i="23" s="1"/>
  <c r="AH48" i="23"/>
  <c r="AH84" i="23" s="1"/>
  <c r="AE49" i="23"/>
  <c r="AF49" i="23"/>
  <c r="AF85" i="23" s="1"/>
  <c r="AG49" i="23"/>
  <c r="AG85" i="23" s="1"/>
  <c r="AH49" i="23"/>
  <c r="AH85" i="23" s="1"/>
  <c r="AE50" i="23"/>
  <c r="AF50" i="23"/>
  <c r="AF86" i="23" s="1"/>
  <c r="AG50" i="23"/>
  <c r="AG86" i="23" s="1"/>
  <c r="AH50" i="23"/>
  <c r="AH86" i="23" s="1"/>
  <c r="AE51" i="23"/>
  <c r="AF51" i="23"/>
  <c r="AF87" i="23" s="1"/>
  <c r="AG51" i="23"/>
  <c r="AG87" i="23" s="1"/>
  <c r="AH51" i="23"/>
  <c r="AH87" i="23" s="1"/>
  <c r="AE52" i="23"/>
  <c r="AF52" i="23"/>
  <c r="AF88" i="23" s="1"/>
  <c r="AG52" i="23"/>
  <c r="AG88" i="23" s="1"/>
  <c r="AH52" i="23"/>
  <c r="AH88" i="23" s="1"/>
  <c r="AE53" i="23"/>
  <c r="AF53" i="23"/>
  <c r="AF89" i="23" s="1"/>
  <c r="AG53" i="23"/>
  <c r="AG89" i="23" s="1"/>
  <c r="AH53" i="23"/>
  <c r="AH89" i="23" s="1"/>
  <c r="AE54" i="23"/>
  <c r="AF54" i="23"/>
  <c r="AF90" i="23" s="1"/>
  <c r="AG54" i="23"/>
  <c r="AG90" i="23" s="1"/>
  <c r="AH54" i="23"/>
  <c r="AH90" i="23" s="1"/>
  <c r="AE55" i="23"/>
  <c r="AF55" i="23"/>
  <c r="AF91" i="23" s="1"/>
  <c r="AG55" i="23"/>
  <c r="AG91" i="23" s="1"/>
  <c r="AH55" i="23"/>
  <c r="AH91" i="23" s="1"/>
  <c r="AF56" i="23"/>
  <c r="AF92" i="23" s="1"/>
  <c r="AG56" i="23"/>
  <c r="AG92" i="23" s="1"/>
  <c r="AH56" i="23"/>
  <c r="AH92" i="23" s="1"/>
  <c r="AG57" i="23"/>
  <c r="AG93" i="23" s="1"/>
  <c r="AH57" i="23"/>
  <c r="AH93" i="23" s="1"/>
  <c r="AH58" i="23"/>
  <c r="AH94" i="23" s="1"/>
  <c r="AB69" i="23" l="1"/>
  <c r="AB105" i="23" s="1"/>
  <c r="AD68" i="23"/>
  <c r="AD104" i="23" s="1"/>
  <c r="AI68" i="23"/>
  <c r="AE69" i="23"/>
  <c r="AE105" i="23" s="1"/>
  <c r="AI69" i="23"/>
  <c r="Z68" i="23"/>
  <c r="Z104" i="23" s="1"/>
  <c r="AC69" i="23"/>
  <c r="AC105" i="23" s="1"/>
  <c r="AD69" i="23"/>
  <c r="AD105" i="23" s="1"/>
  <c r="AH69" i="23"/>
  <c r="AH105" i="23" s="1"/>
  <c r="AG69" i="23"/>
  <c r="AG105" i="23" s="1"/>
  <c r="AF69" i="23"/>
  <c r="AF105" i="23" s="1"/>
  <c r="AC68" i="23"/>
  <c r="AC104" i="23" s="1"/>
  <c r="AB68" i="23"/>
  <c r="AB104" i="23" s="1"/>
  <c r="AA68" i="23"/>
  <c r="AA104" i="23" s="1"/>
  <c r="AH68" i="23"/>
  <c r="AH104" i="23" s="1"/>
  <c r="AG68" i="23"/>
  <c r="AG104" i="23" s="1"/>
  <c r="AE68" i="23"/>
  <c r="AE104" i="23" s="1"/>
  <c r="AF68" i="23"/>
  <c r="AF104" i="23" s="1"/>
  <c r="E91" i="28" l="1"/>
  <c r="O73" i="12" l="1"/>
  <c r="O74" i="12"/>
  <c r="O68" i="12"/>
  <c r="O54" i="12"/>
  <c r="O65" i="12"/>
  <c r="O55" i="12"/>
  <c r="O58" i="12"/>
  <c r="O71" i="12"/>
  <c r="O66" i="12"/>
  <c r="O70" i="12"/>
  <c r="O61" i="12"/>
  <c r="O75" i="12"/>
  <c r="O57" i="12"/>
  <c r="O72" i="12"/>
  <c r="O67" i="12"/>
  <c r="O64" i="12"/>
  <c r="O63" i="12"/>
  <c r="O56" i="12"/>
  <c r="O60" i="12"/>
  <c r="O59" i="12"/>
  <c r="O52" i="12"/>
  <c r="O51" i="12"/>
  <c r="O50" i="12"/>
  <c r="O49" i="12"/>
  <c r="O53" i="12"/>
  <c r="O62" i="12"/>
  <c r="O69" i="12"/>
  <c r="N48" i="12"/>
  <c r="L48" i="12"/>
  <c r="O48" i="12" s="1"/>
  <c r="L101" i="1" l="1"/>
  <c r="L100" i="1"/>
  <c r="H34" i="12" l="1"/>
  <c r="H35" i="12"/>
  <c r="L80" i="1" l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6" i="1"/>
  <c r="L97" i="1"/>
  <c r="L98" i="1"/>
  <c r="L99" i="1"/>
  <c r="F11" i="21" l="1"/>
  <c r="F5" i="21"/>
  <c r="E11" i="21"/>
  <c r="E10" i="21"/>
  <c r="E5" i="21"/>
  <c r="D75" i="23" l="1"/>
  <c r="F134" i="1" l="1"/>
  <c r="K61" i="28" l="1"/>
  <c r="K62" i="28"/>
  <c r="K63" i="28"/>
  <c r="K64" i="28"/>
  <c r="K65" i="28"/>
  <c r="K66" i="28"/>
  <c r="K67" i="28"/>
  <c r="K68" i="28"/>
  <c r="K69" i="28"/>
  <c r="K70" i="28"/>
  <c r="K73" i="28"/>
  <c r="K74" i="28"/>
  <c r="K75" i="28"/>
  <c r="D72" i="21" l="1"/>
  <c r="M34" i="12" l="1"/>
  <c r="P34" i="12"/>
  <c r="M35" i="12"/>
  <c r="P35" i="12"/>
  <c r="M36" i="12"/>
  <c r="P36" i="12"/>
  <c r="H79" i="22"/>
  <c r="K79" i="22"/>
  <c r="M79" i="22"/>
  <c r="P79" i="22"/>
  <c r="R79" i="22"/>
  <c r="H38" i="22"/>
  <c r="K38" i="22"/>
  <c r="M38" i="22"/>
  <c r="P38" i="22"/>
  <c r="R38" i="22"/>
  <c r="T33" i="12" l="1"/>
  <c r="T38" i="12"/>
  <c r="T31" i="12"/>
  <c r="T30" i="12"/>
  <c r="T28" i="12"/>
  <c r="T36" i="12"/>
  <c r="T34" i="12"/>
  <c r="T26" i="12"/>
  <c r="T29" i="12"/>
  <c r="T16" i="12"/>
  <c r="T13" i="12"/>
  <c r="T24" i="12"/>
  <c r="T19" i="12"/>
  <c r="T37" i="12"/>
  <c r="Q11" i="12"/>
  <c r="T11" i="12" s="1"/>
  <c r="T25" i="12"/>
  <c r="T32" i="12"/>
  <c r="T14" i="12"/>
  <c r="T20" i="12"/>
  <c r="N11" i="12"/>
  <c r="T35" i="12"/>
  <c r="T27" i="12"/>
  <c r="T23" i="12"/>
  <c r="O21" i="12"/>
  <c r="O20" i="12"/>
  <c r="O17" i="12"/>
  <c r="O23" i="12"/>
  <c r="O25" i="12"/>
  <c r="O13" i="12"/>
  <c r="O16" i="12"/>
  <c r="O33" i="12"/>
  <c r="O32" i="12"/>
  <c r="O31" i="12"/>
  <c r="O11" i="12"/>
  <c r="O19" i="12"/>
  <c r="O14" i="12"/>
  <c r="O18" i="12"/>
  <c r="O15" i="12"/>
  <c r="O30" i="12"/>
  <c r="O24" i="12"/>
  <c r="O29" i="12"/>
  <c r="O28" i="12"/>
  <c r="O27" i="12"/>
  <c r="O12" i="12"/>
  <c r="O26" i="12"/>
  <c r="T22" i="12"/>
  <c r="O22" i="12"/>
  <c r="N10" i="12"/>
  <c r="Q10" i="12"/>
  <c r="T10" i="12" s="1"/>
  <c r="L10" i="12"/>
  <c r="O10" i="12" s="1"/>
  <c r="Q9" i="12"/>
  <c r="L9" i="12"/>
  <c r="O9" i="12" s="1"/>
  <c r="N9" i="12"/>
  <c r="T9" i="12" l="1"/>
  <c r="T18" i="12"/>
  <c r="T12" i="12"/>
  <c r="T17" i="12"/>
  <c r="T15" i="12"/>
  <c r="T21" i="12"/>
  <c r="D135" i="1" l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34" i="1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87" i="12"/>
  <c r="D84" i="12" l="1"/>
  <c r="F96" i="12" l="1"/>
  <c r="F90" i="12"/>
  <c r="F91" i="12"/>
  <c r="F92" i="12"/>
  <c r="F93" i="12"/>
  <c r="F94" i="12"/>
  <c r="F95" i="12"/>
  <c r="F88" i="12"/>
  <c r="F89" i="12"/>
  <c r="F87" i="12"/>
  <c r="F72" i="1" l="1"/>
  <c r="C60" i="23" l="1"/>
  <c r="AH60" i="23" s="1"/>
  <c r="AH96" i="23" s="1"/>
  <c r="C67" i="23"/>
  <c r="AE60" i="23" l="1"/>
  <c r="AG60" i="23"/>
  <c r="AG96" i="23" s="1"/>
  <c r="AF60" i="23"/>
  <c r="AF96" i="23" s="1"/>
  <c r="AE67" i="23"/>
  <c r="AF67" i="23"/>
  <c r="AF103" i="23" s="1"/>
  <c r="AG67" i="23"/>
  <c r="AG103" i="23" s="1"/>
  <c r="AH67" i="23"/>
  <c r="AH103" i="23" s="1"/>
  <c r="C66" i="23"/>
  <c r="C65" i="23"/>
  <c r="C64" i="23"/>
  <c r="C61" i="23"/>
  <c r="AH61" i="23" s="1"/>
  <c r="AH97" i="23" s="1"/>
  <c r="AE61" i="23" l="1"/>
  <c r="AF61" i="23"/>
  <c r="AF97" i="23" s="1"/>
  <c r="AG61" i="23"/>
  <c r="AG97" i="23" s="1"/>
  <c r="AH64" i="23"/>
  <c r="AH100" i="23" s="1"/>
  <c r="AG64" i="23"/>
  <c r="AG100" i="23" s="1"/>
  <c r="AE64" i="23"/>
  <c r="AF64" i="23"/>
  <c r="AF100" i="23" s="1"/>
  <c r="AE65" i="23"/>
  <c r="AH65" i="23"/>
  <c r="AH101" i="23" s="1"/>
  <c r="AF65" i="23"/>
  <c r="AF101" i="23" s="1"/>
  <c r="AG65" i="23"/>
  <c r="AG101" i="23" s="1"/>
  <c r="AE66" i="23"/>
  <c r="AF66" i="23"/>
  <c r="AH66" i="23"/>
  <c r="AG66" i="23"/>
  <c r="AG102" i="23" l="1"/>
  <c r="AH102" i="23"/>
  <c r="AF102" i="23"/>
  <c r="M164" i="1"/>
  <c r="F3" i="22" l="1"/>
  <c r="C3" i="22"/>
  <c r="H32" i="22"/>
  <c r="H33" i="22"/>
  <c r="H34" i="22"/>
  <c r="H35" i="22"/>
  <c r="H36" i="22"/>
  <c r="H37" i="22"/>
  <c r="H39" i="22"/>
  <c r="F4" i="22"/>
  <c r="C4" i="22"/>
  <c r="H77" i="22"/>
  <c r="H78" i="22"/>
  <c r="H80" i="22"/>
  <c r="E72" i="21" l="1"/>
  <c r="F78" i="21" l="1"/>
  <c r="F107" i="21" l="1"/>
  <c r="J72" i="21" l="1"/>
  <c r="F88" i="1"/>
  <c r="K72" i="28" l="1"/>
  <c r="I41" i="21" l="1"/>
  <c r="H41" i="21" s="1"/>
  <c r="F48" i="12" l="1"/>
  <c r="I48" i="12" s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34" i="1"/>
  <c r="I59" i="21" l="1"/>
  <c r="I60" i="21"/>
  <c r="I61" i="21"/>
  <c r="I62" i="21"/>
  <c r="I65" i="21"/>
  <c r="I66" i="21"/>
  <c r="I67" i="21"/>
  <c r="I68" i="21"/>
  <c r="H68" i="21" s="1"/>
  <c r="I69" i="21"/>
  <c r="H69" i="21" s="1"/>
  <c r="I70" i="21"/>
  <c r="H70" i="21" s="1"/>
  <c r="H72" i="21" s="1"/>
  <c r="B63" i="1" l="1"/>
  <c r="B64" i="1" s="1"/>
  <c r="K59" i="28" l="1"/>
  <c r="W50" i="22" l="1"/>
  <c r="W51" i="22" s="1"/>
  <c r="W52" i="22" s="1"/>
  <c r="W53" i="22" s="1"/>
  <c r="W54" i="22" s="1"/>
  <c r="W55" i="22" s="1"/>
  <c r="W56" i="22" s="1"/>
  <c r="W57" i="22" s="1"/>
  <c r="W58" i="22" s="1"/>
  <c r="W59" i="22" s="1"/>
  <c r="W60" i="22" s="1"/>
  <c r="W61" i="22" s="1"/>
  <c r="W62" i="22" s="1"/>
  <c r="W63" i="22" s="1"/>
  <c r="W64" i="22" s="1"/>
  <c r="W65" i="22" s="1"/>
  <c r="W66" i="22" s="1"/>
  <c r="W67" i="22" s="1"/>
  <c r="W68" i="22" s="1"/>
  <c r="W69" i="22" s="1"/>
  <c r="W70" i="22" s="1"/>
  <c r="W71" i="22" s="1"/>
  <c r="W72" i="22" s="1"/>
  <c r="F79" i="21"/>
  <c r="F80" i="21"/>
  <c r="F81" i="21"/>
  <c r="F82" i="21"/>
  <c r="F83" i="21"/>
  <c r="F84" i="21"/>
  <c r="F85" i="21"/>
  <c r="F86" i="21"/>
  <c r="F87" i="21"/>
  <c r="F88" i="21"/>
  <c r="F89" i="21"/>
  <c r="F90" i="21"/>
  <c r="F91" i="21"/>
  <c r="F92" i="21"/>
  <c r="F93" i="21"/>
  <c r="F94" i="21"/>
  <c r="F95" i="21"/>
  <c r="F96" i="21"/>
  <c r="F97" i="21"/>
  <c r="F98" i="21"/>
  <c r="F99" i="21"/>
  <c r="F100" i="21"/>
  <c r="F101" i="21"/>
  <c r="F102" i="21"/>
  <c r="F103" i="21"/>
  <c r="F104" i="21"/>
  <c r="F105" i="21"/>
  <c r="F106" i="21"/>
  <c r="F87" i="1" l="1"/>
  <c r="F89" i="1"/>
  <c r="F90" i="1"/>
  <c r="F91" i="1"/>
  <c r="F92" i="1"/>
  <c r="F93" i="1"/>
  <c r="F96" i="1"/>
  <c r="F97" i="1"/>
  <c r="F98" i="1"/>
  <c r="F99" i="1"/>
  <c r="A5" i="23" l="1"/>
  <c r="I50" i="21"/>
  <c r="I51" i="21"/>
  <c r="I52" i="21"/>
  <c r="I53" i="21"/>
  <c r="I54" i="21"/>
  <c r="I49" i="21"/>
  <c r="I42" i="21"/>
  <c r="I43" i="21"/>
  <c r="I44" i="21"/>
  <c r="I45" i="21"/>
  <c r="I46" i="21"/>
  <c r="I47" i="21"/>
  <c r="I48" i="21"/>
  <c r="K41" i="21" l="1"/>
  <c r="K58" i="28" l="1"/>
  <c r="K46" i="28"/>
  <c r="C5" i="21" l="1"/>
  <c r="H5" i="21" s="1"/>
  <c r="J5" i="21" l="1"/>
  <c r="I5" i="21"/>
  <c r="F9" i="12" l="1"/>
  <c r="I9" i="12" l="1"/>
  <c r="F50" i="22"/>
  <c r="E9" i="21" l="1"/>
  <c r="E7" i="21" s="1"/>
  <c r="D47" i="1" l="1"/>
  <c r="E8" i="21"/>
  <c r="F39" i="22"/>
  <c r="I39" i="22" s="1"/>
  <c r="I145" i="28" l="1"/>
  <c r="K168" i="28" l="1"/>
  <c r="K107" i="28"/>
  <c r="K108" i="28"/>
  <c r="K109" i="28"/>
  <c r="K110" i="28"/>
  <c r="K111" i="28"/>
  <c r="K112" i="28"/>
  <c r="K113" i="28"/>
  <c r="K114" i="28"/>
  <c r="K115" i="28"/>
  <c r="K116" i="28"/>
  <c r="K117" i="28"/>
  <c r="K118" i="28"/>
  <c r="K119" i="28"/>
  <c r="K120" i="28"/>
  <c r="K121" i="28"/>
  <c r="K122" i="28"/>
  <c r="K123" i="28"/>
  <c r="K124" i="28"/>
  <c r="K125" i="28"/>
  <c r="K126" i="28"/>
  <c r="K127" i="28"/>
  <c r="K128" i="28"/>
  <c r="K129" i="28"/>
  <c r="K130" i="28"/>
  <c r="K131" i="28"/>
  <c r="K132" i="28"/>
  <c r="K133" i="28"/>
  <c r="K134" i="28"/>
  <c r="K135" i="28"/>
  <c r="K136" i="28"/>
  <c r="K137" i="28"/>
  <c r="K138" i="28"/>
  <c r="K139" i="28"/>
  <c r="K140" i="28"/>
  <c r="K141" i="28"/>
  <c r="K142" i="28"/>
  <c r="K143" i="28"/>
  <c r="K144" i="28"/>
  <c r="K145" i="28"/>
  <c r="K146" i="28"/>
  <c r="K147" i="28"/>
  <c r="K148" i="28"/>
  <c r="K149" i="28"/>
  <c r="K150" i="28"/>
  <c r="K151" i="28"/>
  <c r="K152" i="28"/>
  <c r="K153" i="28"/>
  <c r="K154" i="28"/>
  <c r="K155" i="28"/>
  <c r="K156" i="28"/>
  <c r="K157" i="28"/>
  <c r="K158" i="28"/>
  <c r="K159" i="28"/>
  <c r="K160" i="28"/>
  <c r="K161" i="28"/>
  <c r="K162" i="28"/>
  <c r="K163" i="28"/>
  <c r="K164" i="28"/>
  <c r="K165" i="28"/>
  <c r="K166" i="28"/>
  <c r="K167" i="28"/>
  <c r="O134" i="1" l="1"/>
  <c r="B72" i="1" l="1"/>
  <c r="D46" i="1" l="1"/>
  <c r="K76" i="22" l="1"/>
  <c r="M76" i="22"/>
  <c r="P76" i="22"/>
  <c r="R76" i="22"/>
  <c r="K77" i="22"/>
  <c r="M77" i="22"/>
  <c r="P77" i="22"/>
  <c r="R77" i="22"/>
  <c r="K78" i="22"/>
  <c r="M78" i="22"/>
  <c r="P78" i="22"/>
  <c r="R78" i="22"/>
  <c r="K80" i="22"/>
  <c r="M80" i="22"/>
  <c r="P80" i="22"/>
  <c r="R80" i="22"/>
  <c r="K35" i="22"/>
  <c r="M35" i="22"/>
  <c r="P35" i="22"/>
  <c r="R35" i="22"/>
  <c r="K36" i="22"/>
  <c r="M36" i="22"/>
  <c r="P36" i="22"/>
  <c r="R36" i="22"/>
  <c r="K37" i="22"/>
  <c r="M37" i="22"/>
  <c r="P37" i="22"/>
  <c r="R37" i="22"/>
  <c r="K39" i="22"/>
  <c r="M39" i="22"/>
  <c r="P39" i="22"/>
  <c r="R39" i="22"/>
  <c r="I105" i="28" l="1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120" i="28"/>
  <c r="I121" i="28"/>
  <c r="I122" i="28"/>
  <c r="I123" i="28"/>
  <c r="I124" i="28"/>
  <c r="I125" i="28"/>
  <c r="I126" i="28"/>
  <c r="I127" i="28"/>
  <c r="I128" i="28"/>
  <c r="I129" i="28"/>
  <c r="I130" i="28"/>
  <c r="I131" i="28"/>
  <c r="I132" i="28"/>
  <c r="I133" i="28"/>
  <c r="I134" i="28"/>
  <c r="I135" i="28"/>
  <c r="I136" i="28"/>
  <c r="I137" i="28"/>
  <c r="I138" i="28"/>
  <c r="I139" i="28"/>
  <c r="I140" i="28"/>
  <c r="I141" i="28"/>
  <c r="I142" i="28"/>
  <c r="I143" i="28"/>
  <c r="I144" i="28"/>
  <c r="I146" i="28"/>
  <c r="I147" i="28"/>
  <c r="I148" i="28"/>
  <c r="I149" i="28"/>
  <c r="I150" i="28"/>
  <c r="I151" i="28"/>
  <c r="I152" i="28"/>
  <c r="I153" i="28"/>
  <c r="I154" i="28"/>
  <c r="I155" i="28"/>
  <c r="I156" i="28"/>
  <c r="I157" i="28"/>
  <c r="I158" i="28"/>
  <c r="I159" i="28"/>
  <c r="I160" i="28"/>
  <c r="I161" i="28"/>
  <c r="I162" i="28"/>
  <c r="I163" i="28"/>
  <c r="I164" i="28"/>
  <c r="I165" i="28"/>
  <c r="I166" i="28"/>
  <c r="I167" i="28"/>
  <c r="N61" i="28"/>
  <c r="N62" i="28"/>
  <c r="N63" i="28"/>
  <c r="N64" i="28"/>
  <c r="N65" i="28"/>
  <c r="N66" i="28"/>
  <c r="K56" i="28" l="1"/>
  <c r="K57" i="28"/>
  <c r="K60" i="28"/>
  <c r="AH6" i="28" l="1"/>
  <c r="K70" i="21" l="1"/>
  <c r="F70" i="21"/>
  <c r="N53" i="28" l="1"/>
  <c r="N54" i="28"/>
  <c r="N55" i="28"/>
  <c r="N56" i="28"/>
  <c r="N57" i="28"/>
  <c r="N58" i="28"/>
  <c r="N59" i="28"/>
  <c r="N60" i="28"/>
  <c r="N52" i="28"/>
  <c r="K5" i="28" l="1"/>
  <c r="K6" i="28"/>
  <c r="K7" i="28"/>
  <c r="K8" i="28"/>
  <c r="K9" i="28"/>
  <c r="K10" i="28"/>
  <c r="K11" i="28"/>
  <c r="K12" i="28"/>
  <c r="K13" i="28"/>
  <c r="K14" i="28"/>
  <c r="K15" i="28"/>
  <c r="K16" i="28"/>
  <c r="K17" i="28"/>
  <c r="K18" i="28"/>
  <c r="K19" i="28"/>
  <c r="K20" i="28"/>
  <c r="K21" i="28"/>
  <c r="K22" i="28"/>
  <c r="K23" i="28"/>
  <c r="K24" i="28"/>
  <c r="K25" i="28"/>
  <c r="K26" i="28"/>
  <c r="K27" i="28"/>
  <c r="K28" i="28"/>
  <c r="K29" i="28"/>
  <c r="K30" i="28"/>
  <c r="K31" i="28"/>
  <c r="K32" i="28"/>
  <c r="K33" i="28"/>
  <c r="K34" i="28"/>
  <c r="K35" i="28"/>
  <c r="K36" i="28"/>
  <c r="K37" i="28"/>
  <c r="K38" i="28"/>
  <c r="K39" i="28"/>
  <c r="K40" i="28"/>
  <c r="K41" i="28"/>
  <c r="K42" i="28"/>
  <c r="K43" i="28"/>
  <c r="K44" i="28"/>
  <c r="K45" i="28"/>
  <c r="K47" i="28"/>
  <c r="K48" i="28"/>
  <c r="K49" i="28"/>
  <c r="K50" i="28"/>
  <c r="K51" i="28"/>
  <c r="K52" i="28"/>
  <c r="K53" i="28"/>
  <c r="K54" i="28"/>
  <c r="K55" i="28"/>
  <c r="F4" i="21" l="1"/>
  <c r="C29" i="23" l="1"/>
  <c r="F9" i="21" l="1"/>
  <c r="P64" i="34" l="1"/>
  <c r="Q64" i="34"/>
  <c r="G64" i="34"/>
  <c r="H64" i="34"/>
  <c r="J160" i="28" l="1"/>
  <c r="J161" i="28"/>
  <c r="J162" i="28"/>
  <c r="J57" i="28"/>
  <c r="J58" i="28"/>
  <c r="J59" i="28"/>
  <c r="J60" i="28"/>
  <c r="J61" i="28"/>
  <c r="F157" i="28" l="1"/>
  <c r="F158" i="28"/>
  <c r="F159" i="28"/>
  <c r="F160" i="28"/>
  <c r="F161" i="28"/>
  <c r="F162" i="28"/>
  <c r="F154" i="28"/>
  <c r="F155" i="28"/>
  <c r="F156" i="28"/>
  <c r="F153" i="28"/>
  <c r="F61" i="28"/>
  <c r="F60" i="28"/>
  <c r="F59" i="28"/>
  <c r="F58" i="28"/>
  <c r="F57" i="28"/>
  <c r="F56" i="28"/>
  <c r="F53" i="28"/>
  <c r="F54" i="28"/>
  <c r="F55" i="28"/>
  <c r="F52" i="28"/>
  <c r="B65" i="1" l="1"/>
  <c r="G60" i="34" l="1"/>
  <c r="H60" i="34"/>
  <c r="P56" i="34" l="1"/>
  <c r="Q56" i="34"/>
  <c r="P57" i="34"/>
  <c r="Q57" i="34"/>
  <c r="P58" i="34"/>
  <c r="Q58" i="34"/>
  <c r="P59" i="34"/>
  <c r="Q59" i="34"/>
  <c r="P60" i="34"/>
  <c r="Q60" i="34"/>
  <c r="G56" i="34"/>
  <c r="H56" i="34"/>
  <c r="G57" i="34"/>
  <c r="H57" i="34"/>
  <c r="G58" i="34"/>
  <c r="H58" i="34"/>
  <c r="G59" i="34"/>
  <c r="H59" i="34"/>
  <c r="K68" i="22" l="1"/>
  <c r="M68" i="22"/>
  <c r="P68" i="22"/>
  <c r="R68" i="22"/>
  <c r="K69" i="22"/>
  <c r="M69" i="22"/>
  <c r="P69" i="22"/>
  <c r="R69" i="22"/>
  <c r="K70" i="22"/>
  <c r="M70" i="22"/>
  <c r="P70" i="22"/>
  <c r="R70" i="22"/>
  <c r="K71" i="22"/>
  <c r="M71" i="22"/>
  <c r="P71" i="22"/>
  <c r="R71" i="22"/>
  <c r="K72" i="22"/>
  <c r="M72" i="22"/>
  <c r="P72" i="22"/>
  <c r="R72" i="22"/>
  <c r="K73" i="22"/>
  <c r="M73" i="22"/>
  <c r="P73" i="22"/>
  <c r="R73" i="22"/>
  <c r="K74" i="22"/>
  <c r="M74" i="22"/>
  <c r="P74" i="22"/>
  <c r="R74" i="22"/>
  <c r="K75" i="22"/>
  <c r="M75" i="22"/>
  <c r="P75" i="22"/>
  <c r="R75" i="22"/>
  <c r="S58" i="34" l="1"/>
  <c r="B31" i="1" l="1"/>
  <c r="B34" i="1"/>
  <c r="K34" i="1" s="1"/>
  <c r="M31" i="1" l="1"/>
  <c r="K31" i="1"/>
  <c r="AK63" i="41" l="1"/>
  <c r="AK55" i="41" s="1"/>
  <c r="AK64" i="41"/>
  <c r="AK56" i="41" s="1"/>
  <c r="AK65" i="41"/>
  <c r="AK57" i="41" s="1"/>
  <c r="AK66" i="41"/>
  <c r="AK58" i="41" s="1"/>
  <c r="AK67" i="41"/>
  <c r="AK59" i="41" s="1"/>
  <c r="AK62" i="41"/>
  <c r="AK54" i="41" s="1"/>
  <c r="AK60" i="41" l="1"/>
  <c r="C28" i="23"/>
  <c r="H4" i="43" l="1"/>
  <c r="H5" i="43"/>
  <c r="H7" i="43"/>
  <c r="H6" i="43"/>
  <c r="K57" i="21" l="1"/>
  <c r="K56" i="21"/>
  <c r="K55" i="21"/>
  <c r="F54" i="21" l="1"/>
  <c r="F55" i="21"/>
  <c r="F56" i="21"/>
  <c r="T56" i="21"/>
  <c r="F57" i="21"/>
  <c r="T57" i="21"/>
  <c r="K54" i="21"/>
  <c r="T54" i="21"/>
  <c r="T55" i="21"/>
  <c r="P53" i="34" l="1"/>
  <c r="Q53" i="34"/>
  <c r="P54" i="34"/>
  <c r="Q54" i="34"/>
  <c r="P55" i="34"/>
  <c r="Q55" i="34"/>
  <c r="Q52" i="34"/>
  <c r="P52" i="34"/>
  <c r="G54" i="34"/>
  <c r="H54" i="34"/>
  <c r="G55" i="34"/>
  <c r="H55" i="34"/>
  <c r="H53" i="34"/>
  <c r="G53" i="34"/>
  <c r="H52" i="34"/>
  <c r="S54" i="34" l="1"/>
  <c r="S53" i="34"/>
  <c r="S55" i="34"/>
  <c r="AG11" i="22" l="1"/>
  <c r="AG12" i="22" s="1"/>
  <c r="AG13" i="22" s="1"/>
  <c r="AG14" i="22" s="1"/>
  <c r="AG15" i="22" s="1"/>
  <c r="AG16" i="22" s="1"/>
  <c r="AG17" i="22" s="1"/>
  <c r="AG10" i="12"/>
  <c r="AG11" i="12" s="1"/>
  <c r="AG12" i="12" s="1"/>
  <c r="AG13" i="12" s="1"/>
  <c r="AG14" i="12" s="1"/>
  <c r="AG15" i="12" s="1"/>
  <c r="AG16" i="12" s="1"/>
  <c r="AG17" i="12" s="1"/>
  <c r="AG18" i="12" s="1"/>
  <c r="AG19" i="12" s="1"/>
  <c r="AG20" i="12" s="1"/>
  <c r="AG21" i="12" s="1"/>
  <c r="AG22" i="12" s="1"/>
  <c r="AG23" i="12" s="1"/>
  <c r="AG24" i="12" s="1"/>
  <c r="AG25" i="12" s="1"/>
  <c r="AG26" i="12" s="1"/>
  <c r="F69" i="21" l="1"/>
  <c r="K69" i="21"/>
  <c r="K54" i="22" l="1"/>
  <c r="M54" i="22"/>
  <c r="P54" i="22"/>
  <c r="R54" i="22"/>
  <c r="K55" i="22"/>
  <c r="M55" i="22"/>
  <c r="P55" i="22"/>
  <c r="R55" i="22"/>
  <c r="K56" i="22"/>
  <c r="M56" i="22"/>
  <c r="P56" i="22"/>
  <c r="R56" i="22"/>
  <c r="K57" i="22"/>
  <c r="M57" i="22"/>
  <c r="P57" i="22"/>
  <c r="R57" i="22"/>
  <c r="K58" i="22"/>
  <c r="M58" i="22"/>
  <c r="P58" i="22"/>
  <c r="R58" i="22"/>
  <c r="K59" i="22"/>
  <c r="M59" i="22"/>
  <c r="P59" i="22"/>
  <c r="R59" i="22"/>
  <c r="K60" i="22"/>
  <c r="M60" i="22"/>
  <c r="P60" i="22"/>
  <c r="R60" i="22"/>
  <c r="K61" i="22"/>
  <c r="M61" i="22"/>
  <c r="P61" i="22"/>
  <c r="R61" i="22"/>
  <c r="K62" i="22"/>
  <c r="M62" i="22"/>
  <c r="P62" i="22"/>
  <c r="R62" i="22"/>
  <c r="K63" i="22"/>
  <c r="M63" i="22"/>
  <c r="P63" i="22"/>
  <c r="R63" i="22"/>
  <c r="K64" i="22"/>
  <c r="M64" i="22"/>
  <c r="P64" i="22"/>
  <c r="R64" i="22"/>
  <c r="K65" i="22"/>
  <c r="M65" i="22"/>
  <c r="P65" i="22"/>
  <c r="R65" i="22"/>
  <c r="K66" i="22"/>
  <c r="M66" i="22"/>
  <c r="P66" i="22"/>
  <c r="R66" i="22"/>
  <c r="K67" i="22"/>
  <c r="M67" i="22"/>
  <c r="P67" i="22"/>
  <c r="R67" i="22"/>
  <c r="K33" i="22"/>
  <c r="M33" i="22"/>
  <c r="P33" i="22"/>
  <c r="R33" i="22"/>
  <c r="K34" i="22"/>
  <c r="M34" i="22"/>
  <c r="P34" i="22"/>
  <c r="R34" i="22"/>
  <c r="AI81" i="42" l="1"/>
  <c r="AI80" i="42"/>
  <c r="AJ74" i="42" s="1"/>
  <c r="AK74" i="42" s="1"/>
  <c r="AL74" i="42" s="1"/>
  <c r="AA76" i="42" s="1"/>
  <c r="V164" i="42"/>
  <c r="U164" i="42"/>
  <c r="T164" i="42"/>
  <c r="S164" i="42"/>
  <c r="R164" i="42"/>
  <c r="Q164" i="42"/>
  <c r="P164" i="42"/>
  <c r="O164" i="42"/>
  <c r="N164" i="42"/>
  <c r="M164" i="42"/>
  <c r="L164" i="42"/>
  <c r="K164" i="42"/>
  <c r="J164" i="42"/>
  <c r="I164" i="42"/>
  <c r="H164" i="42"/>
  <c r="G164" i="42"/>
  <c r="F164" i="42"/>
  <c r="E164" i="42"/>
  <c r="D164" i="42"/>
  <c r="C164" i="42"/>
  <c r="B164" i="42"/>
  <c r="V163" i="42"/>
  <c r="U163" i="42"/>
  <c r="T163" i="42"/>
  <c r="S163" i="42"/>
  <c r="R163" i="42"/>
  <c r="Q163" i="42"/>
  <c r="P163" i="42"/>
  <c r="O163" i="42"/>
  <c r="N163" i="42"/>
  <c r="M163" i="42"/>
  <c r="L163" i="42"/>
  <c r="K163" i="42"/>
  <c r="J163" i="42"/>
  <c r="I163" i="42"/>
  <c r="H163" i="42"/>
  <c r="G163" i="42"/>
  <c r="F163" i="42"/>
  <c r="E163" i="42"/>
  <c r="D163" i="42"/>
  <c r="C163" i="42"/>
  <c r="B163" i="42"/>
  <c r="V162" i="42"/>
  <c r="U162" i="42"/>
  <c r="T162" i="42"/>
  <c r="S162" i="42"/>
  <c r="R162" i="42"/>
  <c r="Q162" i="42"/>
  <c r="P162" i="42"/>
  <c r="O162" i="42"/>
  <c r="N162" i="42"/>
  <c r="M162" i="42"/>
  <c r="L162" i="42"/>
  <c r="K162" i="42"/>
  <c r="J162" i="42"/>
  <c r="I162" i="42"/>
  <c r="H162" i="42"/>
  <c r="G162" i="42"/>
  <c r="F162" i="42"/>
  <c r="E162" i="42"/>
  <c r="D162" i="42"/>
  <c r="C162" i="42"/>
  <c r="B162" i="42"/>
  <c r="V145" i="42"/>
  <c r="U145" i="42"/>
  <c r="T145" i="42"/>
  <c r="S145" i="42"/>
  <c r="R145" i="42"/>
  <c r="Q145" i="42"/>
  <c r="P145" i="42"/>
  <c r="O145" i="42"/>
  <c r="N145" i="42"/>
  <c r="M145" i="42"/>
  <c r="L145" i="42"/>
  <c r="K145" i="42"/>
  <c r="J145" i="42"/>
  <c r="I145" i="42"/>
  <c r="H145" i="42"/>
  <c r="G145" i="42"/>
  <c r="F145" i="42"/>
  <c r="E145" i="42"/>
  <c r="D145" i="42"/>
  <c r="C145" i="42"/>
  <c r="B145" i="42"/>
  <c r="V144" i="42"/>
  <c r="U144" i="42"/>
  <c r="T144" i="42"/>
  <c r="S144" i="42"/>
  <c r="R144" i="42"/>
  <c r="Q144" i="42"/>
  <c r="P144" i="42"/>
  <c r="O144" i="42"/>
  <c r="N144" i="42"/>
  <c r="M144" i="42"/>
  <c r="L144" i="42"/>
  <c r="K144" i="42"/>
  <c r="J144" i="42"/>
  <c r="I144" i="42"/>
  <c r="H144" i="42"/>
  <c r="G144" i="42"/>
  <c r="F144" i="42"/>
  <c r="E144" i="42"/>
  <c r="D144" i="42"/>
  <c r="C144" i="42"/>
  <c r="B144" i="42"/>
  <c r="V143" i="42"/>
  <c r="U143" i="42"/>
  <c r="T143" i="42"/>
  <c r="S143" i="42"/>
  <c r="R143" i="42"/>
  <c r="Q143" i="42"/>
  <c r="P143" i="42"/>
  <c r="O143" i="42"/>
  <c r="N143" i="42"/>
  <c r="M143" i="42"/>
  <c r="L143" i="42"/>
  <c r="K143" i="42"/>
  <c r="J143" i="42"/>
  <c r="I143" i="42"/>
  <c r="H143" i="42"/>
  <c r="G143" i="42"/>
  <c r="F143" i="42"/>
  <c r="E143" i="42"/>
  <c r="D143" i="42"/>
  <c r="C143" i="42"/>
  <c r="B143" i="42"/>
  <c r="V126" i="42"/>
  <c r="U126" i="42"/>
  <c r="T126" i="42"/>
  <c r="S126" i="42"/>
  <c r="R126" i="42"/>
  <c r="Q126" i="42"/>
  <c r="P126" i="42"/>
  <c r="O126" i="42"/>
  <c r="N126" i="42"/>
  <c r="M126" i="42"/>
  <c r="L126" i="42"/>
  <c r="K126" i="42"/>
  <c r="J126" i="42"/>
  <c r="I126" i="42"/>
  <c r="H126" i="42"/>
  <c r="G126" i="42"/>
  <c r="F126" i="42"/>
  <c r="E126" i="42"/>
  <c r="D126" i="42"/>
  <c r="C126" i="42"/>
  <c r="B126" i="42"/>
  <c r="V125" i="42"/>
  <c r="U125" i="42"/>
  <c r="T125" i="42"/>
  <c r="S125" i="42"/>
  <c r="R125" i="42"/>
  <c r="Q125" i="42"/>
  <c r="P125" i="42"/>
  <c r="O125" i="42"/>
  <c r="N125" i="42"/>
  <c r="M125" i="42"/>
  <c r="L125" i="42"/>
  <c r="K125" i="42"/>
  <c r="J125" i="42"/>
  <c r="I125" i="42"/>
  <c r="H125" i="42"/>
  <c r="G125" i="42"/>
  <c r="F125" i="42"/>
  <c r="E125" i="42"/>
  <c r="D125" i="42"/>
  <c r="C125" i="42"/>
  <c r="B125" i="42"/>
  <c r="V124" i="42"/>
  <c r="U124" i="42"/>
  <c r="T124" i="42"/>
  <c r="S124" i="42"/>
  <c r="R124" i="42"/>
  <c r="Q124" i="42"/>
  <c r="P124" i="42"/>
  <c r="O124" i="42"/>
  <c r="N124" i="42"/>
  <c r="M124" i="42"/>
  <c r="L124" i="42"/>
  <c r="K124" i="42"/>
  <c r="J124" i="42"/>
  <c r="I124" i="42"/>
  <c r="H124" i="42"/>
  <c r="G124" i="42"/>
  <c r="F124" i="42"/>
  <c r="E124" i="42"/>
  <c r="D124" i="42"/>
  <c r="C124" i="42"/>
  <c r="B124" i="42"/>
  <c r="W120" i="42"/>
  <c r="V120" i="42"/>
  <c r="U120" i="42"/>
  <c r="T120" i="42"/>
  <c r="S120" i="42"/>
  <c r="R120" i="42"/>
  <c r="Q120" i="42"/>
  <c r="P120" i="42"/>
  <c r="O120" i="42"/>
  <c r="N120" i="42"/>
  <c r="M120" i="42"/>
  <c r="L120" i="42"/>
  <c r="K120" i="42"/>
  <c r="J120" i="42"/>
  <c r="I120" i="42"/>
  <c r="H120" i="42"/>
  <c r="G120" i="42"/>
  <c r="F120" i="42"/>
  <c r="E120" i="42"/>
  <c r="D120" i="42"/>
  <c r="C120" i="42"/>
  <c r="B120" i="42"/>
  <c r="W119" i="42"/>
  <c r="V119" i="42"/>
  <c r="U119" i="42"/>
  <c r="T119" i="42"/>
  <c r="S119" i="42"/>
  <c r="R119" i="42"/>
  <c r="Q119" i="42"/>
  <c r="P119" i="42"/>
  <c r="O119" i="42"/>
  <c r="N119" i="42"/>
  <c r="M119" i="42"/>
  <c r="L119" i="42"/>
  <c r="K119" i="42"/>
  <c r="J119" i="42"/>
  <c r="I119" i="42"/>
  <c r="H119" i="42"/>
  <c r="G119" i="42"/>
  <c r="F119" i="42"/>
  <c r="E119" i="42"/>
  <c r="D119" i="42"/>
  <c r="C119" i="42"/>
  <c r="B119" i="42"/>
  <c r="W118" i="42"/>
  <c r="V118" i="42"/>
  <c r="U118" i="42"/>
  <c r="T118" i="42"/>
  <c r="S118" i="42"/>
  <c r="R118" i="42"/>
  <c r="Q118" i="42"/>
  <c r="P118" i="42"/>
  <c r="O118" i="42"/>
  <c r="N118" i="42"/>
  <c r="M118" i="42"/>
  <c r="L118" i="42"/>
  <c r="K118" i="42"/>
  <c r="J118" i="42"/>
  <c r="I118" i="42"/>
  <c r="H118" i="42"/>
  <c r="G118" i="42"/>
  <c r="F118" i="42"/>
  <c r="E118" i="42"/>
  <c r="D118" i="42"/>
  <c r="C118" i="42"/>
  <c r="B118" i="42"/>
  <c r="W117" i="42"/>
  <c r="V117" i="42"/>
  <c r="U117" i="42"/>
  <c r="T117" i="42"/>
  <c r="S117" i="42"/>
  <c r="R117" i="42"/>
  <c r="Q117" i="42"/>
  <c r="P117" i="42"/>
  <c r="O117" i="42"/>
  <c r="N117" i="42"/>
  <c r="M117" i="42"/>
  <c r="L117" i="42"/>
  <c r="K117" i="42"/>
  <c r="J117" i="42"/>
  <c r="I117" i="42"/>
  <c r="H117" i="42"/>
  <c r="G117" i="42"/>
  <c r="F117" i="42"/>
  <c r="E117" i="42"/>
  <c r="D117" i="42"/>
  <c r="C117" i="42"/>
  <c r="B117" i="42"/>
  <c r="W116" i="42"/>
  <c r="V116" i="42"/>
  <c r="U116" i="42"/>
  <c r="T116" i="42"/>
  <c r="S116" i="42"/>
  <c r="R116" i="42"/>
  <c r="Q116" i="42"/>
  <c r="P116" i="42"/>
  <c r="O116" i="42"/>
  <c r="N116" i="42"/>
  <c r="M116" i="42"/>
  <c r="L116" i="42"/>
  <c r="K116" i="42"/>
  <c r="J116" i="42"/>
  <c r="I116" i="42"/>
  <c r="H116" i="42"/>
  <c r="G116" i="42"/>
  <c r="F116" i="42"/>
  <c r="E116" i="42"/>
  <c r="D116" i="42"/>
  <c r="C116" i="42"/>
  <c r="B116" i="42"/>
  <c r="W115" i="42"/>
  <c r="V115" i="42"/>
  <c r="U115" i="42"/>
  <c r="T115" i="42"/>
  <c r="S115" i="42"/>
  <c r="R115" i="42"/>
  <c r="Q115" i="42"/>
  <c r="P115" i="42"/>
  <c r="O115" i="42"/>
  <c r="N115" i="42"/>
  <c r="M115" i="42"/>
  <c r="L115" i="42"/>
  <c r="K115" i="42"/>
  <c r="J115" i="42"/>
  <c r="I115" i="42"/>
  <c r="H115" i="42"/>
  <c r="G115" i="42"/>
  <c r="F115" i="42"/>
  <c r="E115" i="42"/>
  <c r="D115" i="42"/>
  <c r="C115" i="42"/>
  <c r="B115" i="42"/>
  <c r="W114" i="42"/>
  <c r="V114" i="42"/>
  <c r="U114" i="42"/>
  <c r="T114" i="42"/>
  <c r="S114" i="42"/>
  <c r="R114" i="42"/>
  <c r="Q114" i="42"/>
  <c r="P114" i="42"/>
  <c r="O114" i="42"/>
  <c r="N114" i="42"/>
  <c r="M114" i="42"/>
  <c r="L114" i="42"/>
  <c r="K114" i="42"/>
  <c r="J114" i="42"/>
  <c r="I114" i="42"/>
  <c r="H114" i="42"/>
  <c r="G114" i="42"/>
  <c r="F114" i="42"/>
  <c r="E114" i="42"/>
  <c r="D114" i="42"/>
  <c r="C114" i="42"/>
  <c r="B114" i="42"/>
  <c r="V110" i="42"/>
  <c r="U110" i="42"/>
  <c r="T110" i="42"/>
  <c r="S110" i="42"/>
  <c r="R110" i="42"/>
  <c r="Q110" i="42"/>
  <c r="P110" i="42"/>
  <c r="O110" i="42"/>
  <c r="N110" i="42"/>
  <c r="M110" i="42"/>
  <c r="L110" i="42"/>
  <c r="K110" i="42"/>
  <c r="J110" i="42"/>
  <c r="I110" i="42"/>
  <c r="H110" i="42"/>
  <c r="G110" i="42"/>
  <c r="F110" i="42"/>
  <c r="E110" i="42"/>
  <c r="D110" i="42"/>
  <c r="C110" i="42"/>
  <c r="B110" i="42"/>
  <c r="V109" i="42"/>
  <c r="U109" i="42"/>
  <c r="T109" i="42"/>
  <c r="S109" i="42"/>
  <c r="R109" i="42"/>
  <c r="Q109" i="42"/>
  <c r="P109" i="42"/>
  <c r="O109" i="42"/>
  <c r="N109" i="42"/>
  <c r="M109" i="42"/>
  <c r="L109" i="42"/>
  <c r="K109" i="42"/>
  <c r="J109" i="42"/>
  <c r="I109" i="42"/>
  <c r="H109" i="42"/>
  <c r="G109" i="42"/>
  <c r="F109" i="42"/>
  <c r="E109" i="42"/>
  <c r="D109" i="42"/>
  <c r="C109" i="42"/>
  <c r="B109" i="42"/>
  <c r="V108" i="42"/>
  <c r="U108" i="42"/>
  <c r="T108" i="42"/>
  <c r="S108" i="42"/>
  <c r="R108" i="42"/>
  <c r="Q108" i="42"/>
  <c r="P108" i="42"/>
  <c r="O108" i="42"/>
  <c r="N108" i="42"/>
  <c r="M108" i="42"/>
  <c r="L108" i="42"/>
  <c r="K108" i="42"/>
  <c r="J108" i="42"/>
  <c r="I108" i="42"/>
  <c r="H108" i="42"/>
  <c r="G108" i="42"/>
  <c r="F108" i="42"/>
  <c r="E108" i="42"/>
  <c r="D108" i="42"/>
  <c r="C108" i="42"/>
  <c r="B108" i="42"/>
  <c r="V107" i="42"/>
  <c r="U107" i="42"/>
  <c r="T107" i="42"/>
  <c r="S107" i="42"/>
  <c r="R107" i="42"/>
  <c r="Q107" i="42"/>
  <c r="P107" i="42"/>
  <c r="O107" i="42"/>
  <c r="N107" i="42"/>
  <c r="M107" i="42"/>
  <c r="L107" i="42"/>
  <c r="K107" i="42"/>
  <c r="J107" i="42"/>
  <c r="I107" i="42"/>
  <c r="H107" i="42"/>
  <c r="G107" i="42"/>
  <c r="F107" i="42"/>
  <c r="E107" i="42"/>
  <c r="D107" i="42"/>
  <c r="C107" i="42"/>
  <c r="B107" i="42"/>
  <c r="V106" i="42"/>
  <c r="U106" i="42"/>
  <c r="T106" i="42"/>
  <c r="S106" i="42"/>
  <c r="R106" i="42"/>
  <c r="Q106" i="42"/>
  <c r="P106" i="42"/>
  <c r="O106" i="42"/>
  <c r="N106" i="42"/>
  <c r="M106" i="42"/>
  <c r="L106" i="42"/>
  <c r="K106" i="42"/>
  <c r="J106" i="42"/>
  <c r="I106" i="42"/>
  <c r="H106" i="42"/>
  <c r="G106" i="42"/>
  <c r="F106" i="42"/>
  <c r="E106" i="42"/>
  <c r="D106" i="42"/>
  <c r="C106" i="42"/>
  <c r="B106" i="42"/>
  <c r="V105" i="42"/>
  <c r="U105" i="42"/>
  <c r="T105" i="42"/>
  <c r="S105" i="42"/>
  <c r="R105" i="42"/>
  <c r="Q105" i="42"/>
  <c r="P105" i="42"/>
  <c r="O105" i="42"/>
  <c r="N105" i="42"/>
  <c r="M105" i="42"/>
  <c r="L105" i="42"/>
  <c r="K105" i="42"/>
  <c r="J105" i="42"/>
  <c r="I105" i="42"/>
  <c r="H105" i="42"/>
  <c r="G105" i="42"/>
  <c r="F105" i="42"/>
  <c r="E105" i="42"/>
  <c r="D105" i="42"/>
  <c r="C105" i="42"/>
  <c r="B105" i="42"/>
  <c r="V104" i="42"/>
  <c r="U104" i="42"/>
  <c r="T104" i="42"/>
  <c r="S104" i="42"/>
  <c r="R104" i="42"/>
  <c r="Q104" i="42"/>
  <c r="P104" i="42"/>
  <c r="O104" i="42"/>
  <c r="N104" i="42"/>
  <c r="M104" i="42"/>
  <c r="L104" i="42"/>
  <c r="K104" i="42"/>
  <c r="J104" i="42"/>
  <c r="I104" i="42"/>
  <c r="H104" i="42"/>
  <c r="G104" i="42"/>
  <c r="F104" i="42"/>
  <c r="E104" i="42"/>
  <c r="D104" i="42"/>
  <c r="C104" i="42"/>
  <c r="B104" i="42"/>
  <c r="AO79" i="42"/>
  <c r="AO76" i="42" s="1"/>
  <c r="W67" i="42"/>
  <c r="X62" i="42" s="1"/>
  <c r="Y62" i="42" s="1"/>
  <c r="Z62" i="42" s="1"/>
  <c r="Z34" i="42" s="1"/>
  <c r="W64" i="42"/>
  <c r="AQ60" i="42"/>
  <c r="AS59" i="42"/>
  <c r="AR59" i="42" s="1"/>
  <c r="AP59" i="42"/>
  <c r="AP60" i="42" s="1"/>
  <c r="AS58" i="42"/>
  <c r="AR58" i="42" s="1"/>
  <c r="AS57" i="42"/>
  <c r="AR57" i="42" s="1"/>
  <c r="AS56" i="42"/>
  <c r="AR56" i="42" s="1"/>
  <c r="AS55" i="42"/>
  <c r="AR55" i="42" s="1"/>
  <c r="AS54" i="42"/>
  <c r="AR54" i="42" s="1"/>
  <c r="AQ51" i="42"/>
  <c r="AQ50" i="42"/>
  <c r="AP50" i="42"/>
  <c r="AQ49" i="42"/>
  <c r="AP49" i="42"/>
  <c r="AQ48" i="42"/>
  <c r="AP48" i="42"/>
  <c r="AQ47" i="42"/>
  <c r="AP47" i="42"/>
  <c r="AQ46" i="42"/>
  <c r="AP46" i="42"/>
  <c r="AE43" i="42"/>
  <c r="AE44" i="42" s="1"/>
  <c r="Y43" i="42"/>
  <c r="AO51" i="42" s="1"/>
  <c r="J43" i="42"/>
  <c r="I43" i="42"/>
  <c r="H43" i="42"/>
  <c r="G43" i="42"/>
  <c r="F43" i="42"/>
  <c r="E43" i="42"/>
  <c r="D43" i="42"/>
  <c r="C43" i="42"/>
  <c r="B43" i="42"/>
  <c r="Y42" i="42"/>
  <c r="AO50" i="42" s="1"/>
  <c r="J42" i="42"/>
  <c r="I42" i="42"/>
  <c r="H42" i="42"/>
  <c r="G42" i="42"/>
  <c r="F42" i="42"/>
  <c r="E42" i="42"/>
  <c r="D42" i="42"/>
  <c r="C42" i="42"/>
  <c r="B42" i="42"/>
  <c r="Y41" i="42"/>
  <c r="AO49" i="42" s="1"/>
  <c r="J41" i="42"/>
  <c r="I41" i="42"/>
  <c r="H41" i="42"/>
  <c r="G41" i="42"/>
  <c r="F41" i="42"/>
  <c r="E41" i="42"/>
  <c r="D41" i="42"/>
  <c r="C41" i="42"/>
  <c r="B41" i="42"/>
  <c r="Y40" i="42"/>
  <c r="AO48" i="42" s="1"/>
  <c r="J40" i="42"/>
  <c r="I40" i="42"/>
  <c r="H40" i="42"/>
  <c r="G40" i="42"/>
  <c r="F40" i="42"/>
  <c r="E40" i="42"/>
  <c r="D40" i="42"/>
  <c r="C40" i="42"/>
  <c r="B40" i="42"/>
  <c r="Y39" i="42"/>
  <c r="AO47" i="42" s="1"/>
  <c r="J39" i="42"/>
  <c r="I39" i="42"/>
  <c r="H39" i="42"/>
  <c r="G39" i="42"/>
  <c r="F39" i="42"/>
  <c r="E39" i="42"/>
  <c r="D39" i="42"/>
  <c r="C39" i="42"/>
  <c r="B39" i="42"/>
  <c r="Y38" i="42"/>
  <c r="J38" i="42"/>
  <c r="I38" i="42"/>
  <c r="H38" i="42"/>
  <c r="G38" i="42"/>
  <c r="F38" i="42"/>
  <c r="E38" i="42"/>
  <c r="D38" i="42"/>
  <c r="C38" i="42"/>
  <c r="B38" i="42"/>
  <c r="AC37" i="42"/>
  <c r="Z37" i="42"/>
  <c r="Y37" i="42"/>
  <c r="X37" i="42"/>
  <c r="X35" i="42"/>
  <c r="X40" i="42" s="1"/>
  <c r="W35" i="42"/>
  <c r="W42" i="42" s="1"/>
  <c r="V35" i="42"/>
  <c r="V41" i="42" s="1"/>
  <c r="U35" i="42"/>
  <c r="U43" i="42" s="1"/>
  <c r="T35" i="42"/>
  <c r="T43" i="42" s="1"/>
  <c r="S35" i="42"/>
  <c r="S40" i="42" s="1"/>
  <c r="R35" i="42"/>
  <c r="R40" i="42" s="1"/>
  <c r="Q35" i="42"/>
  <c r="Q41" i="42" s="1"/>
  <c r="P35" i="42"/>
  <c r="P40" i="42" s="1"/>
  <c r="O35" i="42"/>
  <c r="O42" i="42" s="1"/>
  <c r="N35" i="42"/>
  <c r="N41" i="42" s="1"/>
  <c r="M35" i="42"/>
  <c r="M43" i="42" s="1"/>
  <c r="L35" i="42"/>
  <c r="L43" i="42" s="1"/>
  <c r="K35" i="42"/>
  <c r="K40" i="42" s="1"/>
  <c r="E24" i="42"/>
  <c r="G22" i="42"/>
  <c r="F22" i="42"/>
  <c r="G21" i="42"/>
  <c r="F21" i="42"/>
  <c r="G20" i="42"/>
  <c r="F20" i="42"/>
  <c r="G19" i="42"/>
  <c r="F19" i="42"/>
  <c r="G18" i="42"/>
  <c r="F18" i="42"/>
  <c r="G17" i="42"/>
  <c r="F17" i="42"/>
  <c r="AU13" i="42"/>
  <c r="AU21" i="42" s="1"/>
  <c r="AT13" i="42"/>
  <c r="AT22" i="42" s="1"/>
  <c r="AS13" i="42"/>
  <c r="AS21" i="42" s="1"/>
  <c r="I13" i="42"/>
  <c r="D13" i="42"/>
  <c r="D19" i="42" s="1"/>
  <c r="C13" i="42"/>
  <c r="C20" i="42" s="1"/>
  <c r="B13" i="42"/>
  <c r="B21" i="42" s="1"/>
  <c r="I12" i="42"/>
  <c r="H12" i="42"/>
  <c r="H22" i="42" s="1"/>
  <c r="I11" i="42"/>
  <c r="H11" i="42"/>
  <c r="H21" i="42" s="1"/>
  <c r="I10" i="42"/>
  <c r="H10" i="42"/>
  <c r="H20" i="42" s="1"/>
  <c r="I9" i="42"/>
  <c r="H9" i="42"/>
  <c r="H19" i="42" s="1"/>
  <c r="I8" i="42"/>
  <c r="H8" i="42"/>
  <c r="H18" i="42" s="1"/>
  <c r="I7" i="42"/>
  <c r="H7" i="42"/>
  <c r="H17" i="42" s="1"/>
  <c r="I186" i="42" l="1"/>
  <c r="D187" i="42"/>
  <c r="L187" i="42"/>
  <c r="G188" i="42"/>
  <c r="AO78" i="42"/>
  <c r="C17" i="42"/>
  <c r="AO77" i="42"/>
  <c r="AP51" i="42"/>
  <c r="B168" i="42"/>
  <c r="AU20" i="42"/>
  <c r="AT17" i="42"/>
  <c r="Y45" i="42"/>
  <c r="X61" i="42"/>
  <c r="Y61" i="42" s="1"/>
  <c r="Z61" i="42" s="1"/>
  <c r="Z33" i="42" s="1"/>
  <c r="AC33" i="42" s="1"/>
  <c r="AU22" i="42"/>
  <c r="B167" i="42"/>
  <c r="C21" i="42"/>
  <c r="AO75" i="42"/>
  <c r="Z76" i="42"/>
  <c r="B169" i="42"/>
  <c r="C19" i="42"/>
  <c r="AT21" i="42"/>
  <c r="D186" i="42"/>
  <c r="L186" i="42"/>
  <c r="G187" i="42"/>
  <c r="B188" i="42"/>
  <c r="J188" i="42"/>
  <c r="B20" i="42"/>
  <c r="B22" i="42"/>
  <c r="E186" i="42"/>
  <c r="M186" i="42"/>
  <c r="H187" i="42"/>
  <c r="F46" i="42"/>
  <c r="X59" i="42"/>
  <c r="Y59" i="42" s="1"/>
  <c r="Z59" i="42" s="1"/>
  <c r="Z31" i="42" s="1"/>
  <c r="AC31" i="42" s="1"/>
  <c r="AO73" i="42"/>
  <c r="AS22" i="42"/>
  <c r="AO74" i="42"/>
  <c r="AR60" i="42"/>
  <c r="B186" i="42"/>
  <c r="K186" i="42"/>
  <c r="N187" i="42"/>
  <c r="J167" i="42"/>
  <c r="R167" i="42"/>
  <c r="E168" i="42"/>
  <c r="M168" i="42"/>
  <c r="H169" i="42"/>
  <c r="P169" i="42"/>
  <c r="C186" i="42"/>
  <c r="I188" i="42"/>
  <c r="C188" i="42"/>
  <c r="K188" i="42"/>
  <c r="G167" i="42"/>
  <c r="J168" i="42"/>
  <c r="E169" i="42"/>
  <c r="M169" i="42"/>
  <c r="H167" i="42"/>
  <c r="C168" i="42"/>
  <c r="K168" i="42"/>
  <c r="F169" i="42"/>
  <c r="N169" i="42"/>
  <c r="AJ73" i="42"/>
  <c r="AK73" i="42" s="1"/>
  <c r="AJ78" i="42"/>
  <c r="AK78" i="42" s="1"/>
  <c r="AJ77" i="42"/>
  <c r="AK77" i="42" s="1"/>
  <c r="AJ76" i="42"/>
  <c r="AK76" i="42" s="1"/>
  <c r="AJ75" i="42"/>
  <c r="AK75" i="42" s="1"/>
  <c r="H24" i="42"/>
  <c r="D46" i="42"/>
  <c r="S186" i="42"/>
  <c r="F187" i="42"/>
  <c r="V187" i="42"/>
  <c r="Q188" i="42"/>
  <c r="F167" i="42"/>
  <c r="N167" i="42"/>
  <c r="I168" i="42"/>
  <c r="D169" i="42"/>
  <c r="L169" i="42"/>
  <c r="I187" i="42"/>
  <c r="H186" i="42"/>
  <c r="C187" i="42"/>
  <c r="K187" i="42"/>
  <c r="F188" i="42"/>
  <c r="N188" i="42"/>
  <c r="I167" i="42"/>
  <c r="Q167" i="42"/>
  <c r="D168" i="42"/>
  <c r="L168" i="42"/>
  <c r="T168" i="42"/>
  <c r="G169" i="42"/>
  <c r="O169" i="42"/>
  <c r="N186" i="42"/>
  <c r="L188" i="42"/>
  <c r="J186" i="42"/>
  <c r="E187" i="42"/>
  <c r="M187" i="42"/>
  <c r="H188" i="42"/>
  <c r="C167" i="42"/>
  <c r="K167" i="42"/>
  <c r="F168" i="42"/>
  <c r="N168" i="42"/>
  <c r="I169" i="42"/>
  <c r="D188" i="42"/>
  <c r="I47" i="42"/>
  <c r="D167" i="42"/>
  <c r="L167" i="42"/>
  <c r="G168" i="42"/>
  <c r="J169" i="42"/>
  <c r="F186" i="42"/>
  <c r="P43" i="42"/>
  <c r="B45" i="42"/>
  <c r="J45" i="42"/>
  <c r="E167" i="42"/>
  <c r="M167" i="42"/>
  <c r="U167" i="42"/>
  <c r="H168" i="42"/>
  <c r="P168" i="42"/>
  <c r="C169" i="42"/>
  <c r="K169" i="42"/>
  <c r="S169" i="42"/>
  <c r="B46" i="42"/>
  <c r="J46" i="42"/>
  <c r="D47" i="42"/>
  <c r="C46" i="42"/>
  <c r="C45" i="42"/>
  <c r="P38" i="42"/>
  <c r="B47" i="42"/>
  <c r="J47" i="42"/>
  <c r="G46" i="42"/>
  <c r="Q168" i="42"/>
  <c r="T169" i="42"/>
  <c r="U168" i="42"/>
  <c r="P187" i="42"/>
  <c r="S188" i="42"/>
  <c r="U186" i="42"/>
  <c r="V167" i="42"/>
  <c r="R186" i="42"/>
  <c r="U187" i="42"/>
  <c r="P188" i="42"/>
  <c r="P186" i="42"/>
  <c r="S187" i="42"/>
  <c r="V188" i="42"/>
  <c r="P167" i="42"/>
  <c r="S168" i="42"/>
  <c r="V169" i="42"/>
  <c r="Q186" i="42"/>
  <c r="T187" i="42"/>
  <c r="T186" i="42"/>
  <c r="O187" i="42"/>
  <c r="R188" i="42"/>
  <c r="O188" i="42"/>
  <c r="V186" i="42"/>
  <c r="Q187" i="42"/>
  <c r="T188" i="42"/>
  <c r="S167" i="42"/>
  <c r="V168" i="42"/>
  <c r="Q169" i="42"/>
  <c r="T167" i="42"/>
  <c r="O168" i="42"/>
  <c r="R169" i="42"/>
  <c r="O167" i="42"/>
  <c r="R168" i="42"/>
  <c r="U169" i="42"/>
  <c r="X38" i="42"/>
  <c r="G24" i="42"/>
  <c r="P42" i="42"/>
  <c r="P47" i="42" s="1"/>
  <c r="G45" i="42"/>
  <c r="X39" i="42"/>
  <c r="AN47" i="42" s="1"/>
  <c r="E47" i="42"/>
  <c r="F24" i="42"/>
  <c r="H45" i="42"/>
  <c r="F47" i="42"/>
  <c r="X42" i="42"/>
  <c r="AN50" i="42" s="1"/>
  <c r="I45" i="42"/>
  <c r="N39" i="42"/>
  <c r="E46" i="42"/>
  <c r="P41" i="42"/>
  <c r="P46" i="42" s="1"/>
  <c r="G47" i="42"/>
  <c r="N43" i="42"/>
  <c r="V42" i="42"/>
  <c r="D45" i="42"/>
  <c r="P39" i="42"/>
  <c r="X41" i="42"/>
  <c r="AN49" i="42" s="1"/>
  <c r="H47" i="42"/>
  <c r="V39" i="42"/>
  <c r="E45" i="42"/>
  <c r="V38" i="42"/>
  <c r="I46" i="42"/>
  <c r="C47" i="42"/>
  <c r="N42" i="42"/>
  <c r="V43" i="42"/>
  <c r="F45" i="42"/>
  <c r="H46" i="42"/>
  <c r="X43" i="42"/>
  <c r="AN51" i="42" s="1"/>
  <c r="N38" i="42"/>
  <c r="AC34" i="42"/>
  <c r="AN48" i="42"/>
  <c r="D18" i="42"/>
  <c r="D20" i="42"/>
  <c r="R41" i="42"/>
  <c r="R46" i="42" s="1"/>
  <c r="AS17" i="42"/>
  <c r="D21" i="42"/>
  <c r="C22" i="42"/>
  <c r="Q38" i="42"/>
  <c r="O39" i="42"/>
  <c r="W39" i="42"/>
  <c r="M40" i="42"/>
  <c r="U40" i="42"/>
  <c r="K41" i="42"/>
  <c r="K46" i="42" s="1"/>
  <c r="S41" i="42"/>
  <c r="S46" i="42" s="1"/>
  <c r="Q42" i="42"/>
  <c r="O43" i="42"/>
  <c r="O47" i="42" s="1"/>
  <c r="W43" i="42"/>
  <c r="W47" i="42" s="1"/>
  <c r="Y46" i="42"/>
  <c r="X58" i="42"/>
  <c r="Y58" i="42" s="1"/>
  <c r="Z58" i="42" s="1"/>
  <c r="Z32" i="42" s="1"/>
  <c r="L41" i="42"/>
  <c r="L40" i="42"/>
  <c r="N40" i="42"/>
  <c r="N46" i="42" s="1"/>
  <c r="B17" i="42"/>
  <c r="AU17" i="42"/>
  <c r="AT18" i="42"/>
  <c r="AT24" i="42" s="1"/>
  <c r="AS19" i="42"/>
  <c r="K38" i="42"/>
  <c r="S38" i="42"/>
  <c r="Q39" i="42"/>
  <c r="O40" i="42"/>
  <c r="W40" i="42"/>
  <c r="M41" i="42"/>
  <c r="U41" i="42"/>
  <c r="K42" i="42"/>
  <c r="S42" i="42"/>
  <c r="Q43" i="42"/>
  <c r="AS18" i="42"/>
  <c r="D22" i="42"/>
  <c r="V40" i="42"/>
  <c r="V46" i="42" s="1"/>
  <c r="B18" i="42"/>
  <c r="AU18" i="42"/>
  <c r="AT19" i="42"/>
  <c r="AS20" i="42"/>
  <c r="L38" i="42"/>
  <c r="T38" i="42"/>
  <c r="R39" i="42"/>
  <c r="L42" i="42"/>
  <c r="L47" i="42" s="1"/>
  <c r="L52" i="42" s="1"/>
  <c r="T42" i="42"/>
  <c r="T47" i="42" s="1"/>
  <c r="R43" i="42"/>
  <c r="X57" i="42"/>
  <c r="Y57" i="42" s="1"/>
  <c r="Z57" i="42" s="1"/>
  <c r="X60" i="42"/>
  <c r="Y60" i="42" s="1"/>
  <c r="Z60" i="42" s="1"/>
  <c r="Z29" i="42" s="1"/>
  <c r="T40" i="42"/>
  <c r="R38" i="42"/>
  <c r="T41" i="42"/>
  <c r="R42" i="42"/>
  <c r="D17" i="42"/>
  <c r="C18" i="42"/>
  <c r="B19" i="42"/>
  <c r="AU19" i="42"/>
  <c r="AT20" i="42"/>
  <c r="M38" i="42"/>
  <c r="U38" i="42"/>
  <c r="K39" i="42"/>
  <c r="S39" i="42"/>
  <c r="Q40" i="42"/>
  <c r="Q46" i="42" s="1"/>
  <c r="O41" i="42"/>
  <c r="W41" i="42"/>
  <c r="M42" i="42"/>
  <c r="M47" i="42" s="1"/>
  <c r="U42" i="42"/>
  <c r="U47" i="42" s="1"/>
  <c r="K43" i="42"/>
  <c r="S43" i="42"/>
  <c r="AO46" i="42"/>
  <c r="T39" i="42"/>
  <c r="J187" i="42"/>
  <c r="L39" i="42"/>
  <c r="G186" i="42"/>
  <c r="O186" i="42"/>
  <c r="B187" i="42"/>
  <c r="R187" i="42"/>
  <c r="E188" i="42"/>
  <c r="M188" i="42"/>
  <c r="U188" i="42"/>
  <c r="O38" i="42"/>
  <c r="W38" i="42"/>
  <c r="M39" i="42"/>
  <c r="U39" i="42"/>
  <c r="Y47" i="42"/>
  <c r="AF6" i="28"/>
  <c r="AF7" i="28"/>
  <c r="AF8" i="28"/>
  <c r="AF9" i="28"/>
  <c r="AF10" i="28"/>
  <c r="AF11" i="28"/>
  <c r="AF12" i="28"/>
  <c r="AF13" i="28"/>
  <c r="AF14" i="28"/>
  <c r="AF15" i="28"/>
  <c r="AF5" i="28"/>
  <c r="C24" i="42" l="1"/>
  <c r="AL73" i="42"/>
  <c r="AA74" i="42" s="1"/>
  <c r="Z74" i="42"/>
  <c r="AL75" i="42"/>
  <c r="AA75" i="42" s="1"/>
  <c r="Z75" i="42"/>
  <c r="AL76" i="42"/>
  <c r="AA73" i="42" s="1"/>
  <c r="Z73" i="42"/>
  <c r="AL77" i="42"/>
  <c r="AA77" i="42" s="1"/>
  <c r="Z77" i="42"/>
  <c r="AL78" i="42"/>
  <c r="AA78" i="42" s="1"/>
  <c r="Z78" i="42"/>
  <c r="X45" i="42"/>
  <c r="Y50" i="42" s="1"/>
  <c r="AM81" i="42"/>
  <c r="P45" i="42"/>
  <c r="N45" i="42"/>
  <c r="AN46" i="42"/>
  <c r="X46" i="42"/>
  <c r="Y51" i="42" s="1"/>
  <c r="R51" i="42"/>
  <c r="R45" i="42"/>
  <c r="Q45" i="42"/>
  <c r="Q51" i="42"/>
  <c r="W45" i="42"/>
  <c r="V45" i="42"/>
  <c r="D24" i="42"/>
  <c r="N47" i="42"/>
  <c r="N52" i="42" s="1"/>
  <c r="X47" i="42"/>
  <c r="Y52" i="42" s="1"/>
  <c r="V47" i="42"/>
  <c r="W52" i="42" s="1"/>
  <c r="P52" i="42"/>
  <c r="AC29" i="42"/>
  <c r="K47" i="42"/>
  <c r="U45" i="42"/>
  <c r="W46" i="42"/>
  <c r="W51" i="42" s="1"/>
  <c r="B24" i="42"/>
  <c r="Q47" i="42"/>
  <c r="Q52" i="42" s="1"/>
  <c r="S51" i="42"/>
  <c r="U52" i="42"/>
  <c r="M45" i="42"/>
  <c r="O46" i="42"/>
  <c r="R47" i="42"/>
  <c r="AU24" i="42"/>
  <c r="O45" i="42"/>
  <c r="X52" i="42"/>
  <c r="M52" i="42"/>
  <c r="T46" i="42"/>
  <c r="T51" i="42" s="1"/>
  <c r="T45" i="42"/>
  <c r="L46" i="42"/>
  <c r="L51" i="42" s="1"/>
  <c r="AS24" i="42"/>
  <c r="L45" i="42"/>
  <c r="L50" i="42" s="1"/>
  <c r="S45" i="42"/>
  <c r="U46" i="42"/>
  <c r="V51" i="42" s="1"/>
  <c r="Z30" i="42"/>
  <c r="Z64" i="42"/>
  <c r="S47" i="42"/>
  <c r="T52" i="42" s="1"/>
  <c r="K45" i="42"/>
  <c r="AC32" i="42"/>
  <c r="M46" i="42"/>
  <c r="M51" i="42" l="1"/>
  <c r="Q50" i="42"/>
  <c r="AL81" i="42"/>
  <c r="X51" i="42"/>
  <c r="S50" i="42"/>
  <c r="R50" i="42"/>
  <c r="V52" i="42"/>
  <c r="W50" i="42"/>
  <c r="R52" i="42"/>
  <c r="O52" i="42"/>
  <c r="X50" i="42"/>
  <c r="AC30" i="42"/>
  <c r="O51" i="42"/>
  <c r="P51" i="42"/>
  <c r="U51" i="42"/>
  <c r="U50" i="42"/>
  <c r="V50" i="42"/>
  <c r="O50" i="42"/>
  <c r="P50" i="42"/>
  <c r="M50" i="42"/>
  <c r="N50" i="42"/>
  <c r="S52" i="42"/>
  <c r="Z35" i="42"/>
  <c r="Z39" i="42" s="1"/>
  <c r="AC39" i="42" s="1"/>
  <c r="T50" i="42"/>
  <c r="N51" i="42"/>
  <c r="Z43" i="42" l="1"/>
  <c r="AC43" i="42" s="1"/>
  <c r="Z40" i="42"/>
  <c r="Z42" i="42"/>
  <c r="Z38" i="42"/>
  <c r="Z41" i="42"/>
  <c r="AC41" i="42" s="1"/>
  <c r="AC40" i="42" l="1"/>
  <c r="AC46" i="42" s="1"/>
  <c r="AC51" i="42" s="1"/>
  <c r="Z46" i="42"/>
  <c r="Z51" i="42" s="1"/>
  <c r="Z45" i="42"/>
  <c r="Z50" i="42" s="1"/>
  <c r="AC38" i="42"/>
  <c r="AC45" i="42" s="1"/>
  <c r="AC50" i="42" s="1"/>
  <c r="AC42" i="42"/>
  <c r="AC47" i="42" s="1"/>
  <c r="AC52" i="42" s="1"/>
  <c r="Z47" i="42"/>
  <c r="Z52" i="42" s="1"/>
  <c r="E32" i="38" l="1"/>
  <c r="E34" i="38"/>
  <c r="D34" i="38"/>
  <c r="D33" i="38"/>
  <c r="E33" i="38"/>
  <c r="D32" i="38" l="1"/>
  <c r="U16" i="28"/>
  <c r="AJ60" i="41" l="1"/>
  <c r="J5" i="43"/>
  <c r="J4" i="43"/>
  <c r="B30" i="40" l="1"/>
  <c r="B31" i="40" s="1"/>
  <c r="G31" i="40"/>
  <c r="K4" i="40"/>
  <c r="K5" i="40"/>
  <c r="K6" i="40"/>
  <c r="K7" i="40"/>
  <c r="K8" i="40"/>
  <c r="K9" i="40"/>
  <c r="K10" i="40"/>
  <c r="K11" i="40"/>
  <c r="K12" i="40"/>
  <c r="K13" i="40"/>
  <c r="K14" i="40"/>
  <c r="K15" i="40"/>
  <c r="K16" i="40"/>
  <c r="K17" i="40"/>
  <c r="K18" i="40"/>
  <c r="K19" i="40"/>
  <c r="K20" i="40"/>
  <c r="K21" i="40"/>
  <c r="K22" i="40"/>
  <c r="K23" i="40"/>
  <c r="K24" i="40"/>
  <c r="K25" i="40"/>
  <c r="K26" i="40"/>
  <c r="K27" i="40"/>
  <c r="K28" i="40"/>
  <c r="K29" i="40"/>
  <c r="K3" i="40"/>
  <c r="K30" i="40" l="1"/>
  <c r="M85" i="35" l="1"/>
  <c r="N85" i="35"/>
  <c r="L85" i="35"/>
  <c r="M75" i="35"/>
  <c r="N75" i="35"/>
  <c r="L75" i="35"/>
  <c r="AI60" i="41" l="1"/>
  <c r="AI46" i="41"/>
  <c r="AI47" i="41"/>
  <c r="AI48" i="41"/>
  <c r="AI49" i="41"/>
  <c r="AI50" i="41"/>
  <c r="AI51" i="41"/>
  <c r="AH47" i="41"/>
  <c r="AH48" i="41"/>
  <c r="AH49" i="41"/>
  <c r="AH50" i="41"/>
  <c r="AH46" i="41"/>
  <c r="AH59" i="41"/>
  <c r="AH60" i="41" s="1"/>
  <c r="AH51" i="41" l="1"/>
  <c r="V164" i="41" l="1"/>
  <c r="U164" i="41"/>
  <c r="T164" i="41"/>
  <c r="S164" i="41"/>
  <c r="R164" i="41"/>
  <c r="Q164" i="41"/>
  <c r="P164" i="41"/>
  <c r="O164" i="41"/>
  <c r="N164" i="41"/>
  <c r="M164" i="41"/>
  <c r="L164" i="41"/>
  <c r="K164" i="41"/>
  <c r="J164" i="41"/>
  <c r="I164" i="41"/>
  <c r="H164" i="41"/>
  <c r="G164" i="41"/>
  <c r="F164" i="41"/>
  <c r="E164" i="41"/>
  <c r="D164" i="41"/>
  <c r="C164" i="41"/>
  <c r="B164" i="41"/>
  <c r="V163" i="41"/>
  <c r="U163" i="41"/>
  <c r="T163" i="41"/>
  <c r="S163" i="41"/>
  <c r="R163" i="41"/>
  <c r="Q163" i="41"/>
  <c r="P163" i="41"/>
  <c r="O163" i="41"/>
  <c r="N163" i="41"/>
  <c r="M163" i="41"/>
  <c r="L163" i="41"/>
  <c r="K163" i="41"/>
  <c r="J163" i="41"/>
  <c r="I163" i="41"/>
  <c r="H163" i="41"/>
  <c r="G163" i="41"/>
  <c r="F163" i="41"/>
  <c r="E163" i="41"/>
  <c r="D163" i="41"/>
  <c r="C163" i="41"/>
  <c r="B163" i="41"/>
  <c r="V162" i="41"/>
  <c r="U162" i="41"/>
  <c r="T162" i="41"/>
  <c r="S162" i="41"/>
  <c r="R162" i="41"/>
  <c r="Q162" i="41"/>
  <c r="P162" i="41"/>
  <c r="O162" i="41"/>
  <c r="N162" i="41"/>
  <c r="M162" i="41"/>
  <c r="L162" i="41"/>
  <c r="K162" i="41"/>
  <c r="J162" i="41"/>
  <c r="I162" i="41"/>
  <c r="H162" i="41"/>
  <c r="G162" i="41"/>
  <c r="F162" i="41"/>
  <c r="E162" i="41"/>
  <c r="D162" i="41"/>
  <c r="C162" i="41"/>
  <c r="B162" i="41"/>
  <c r="V145" i="41"/>
  <c r="V188" i="41" s="1"/>
  <c r="U145" i="41"/>
  <c r="T145" i="41"/>
  <c r="S145" i="41"/>
  <c r="R145" i="41"/>
  <c r="Q145" i="41"/>
  <c r="P145" i="41"/>
  <c r="O145" i="41"/>
  <c r="N145" i="41"/>
  <c r="N188" i="41" s="1"/>
  <c r="M145" i="41"/>
  <c r="L145" i="41"/>
  <c r="K145" i="41"/>
  <c r="J145" i="41"/>
  <c r="I145" i="41"/>
  <c r="H145" i="41"/>
  <c r="G145" i="41"/>
  <c r="F145" i="41"/>
  <c r="F188" i="41" s="1"/>
  <c r="E145" i="41"/>
  <c r="D145" i="41"/>
  <c r="C145" i="41"/>
  <c r="B145" i="41"/>
  <c r="V144" i="41"/>
  <c r="U144" i="41"/>
  <c r="T144" i="41"/>
  <c r="S144" i="41"/>
  <c r="S187" i="41" s="1"/>
  <c r="R144" i="41"/>
  <c r="Q144" i="41"/>
  <c r="P144" i="41"/>
  <c r="O144" i="41"/>
  <c r="N144" i="41"/>
  <c r="M144" i="41"/>
  <c r="L144" i="41"/>
  <c r="K144" i="41"/>
  <c r="K187" i="41" s="1"/>
  <c r="J144" i="41"/>
  <c r="I144" i="41"/>
  <c r="H144" i="41"/>
  <c r="G144" i="41"/>
  <c r="F144" i="41"/>
  <c r="E144" i="41"/>
  <c r="D144" i="41"/>
  <c r="C144" i="41"/>
  <c r="C187" i="41" s="1"/>
  <c r="B144" i="41"/>
  <c r="V143" i="41"/>
  <c r="U143" i="41"/>
  <c r="T143" i="41"/>
  <c r="S143" i="41"/>
  <c r="R143" i="41"/>
  <c r="Q143" i="41"/>
  <c r="P143" i="41"/>
  <c r="P186" i="41" s="1"/>
  <c r="O143" i="41"/>
  <c r="N143" i="41"/>
  <c r="M143" i="41"/>
  <c r="L143" i="41"/>
  <c r="K143" i="41"/>
  <c r="J143" i="41"/>
  <c r="I143" i="41"/>
  <c r="H143" i="41"/>
  <c r="H186" i="41" s="1"/>
  <c r="G143" i="41"/>
  <c r="F143" i="41"/>
  <c r="E143" i="41"/>
  <c r="D143" i="41"/>
  <c r="C143" i="41"/>
  <c r="B143" i="41"/>
  <c r="V126" i="41"/>
  <c r="V169" i="41" s="1"/>
  <c r="U126" i="41"/>
  <c r="T126" i="41"/>
  <c r="S126" i="41"/>
  <c r="R126" i="41"/>
  <c r="Q126" i="41"/>
  <c r="P126" i="41"/>
  <c r="O126" i="41"/>
  <c r="N126" i="41"/>
  <c r="N169" i="41" s="1"/>
  <c r="M126" i="41"/>
  <c r="L126" i="41"/>
  <c r="K126" i="41"/>
  <c r="J126" i="41"/>
  <c r="I126" i="41"/>
  <c r="H126" i="41"/>
  <c r="G126" i="41"/>
  <c r="F126" i="41"/>
  <c r="F169" i="41" s="1"/>
  <c r="E126" i="41"/>
  <c r="D126" i="41"/>
  <c r="C126" i="41"/>
  <c r="B126" i="41"/>
  <c r="V125" i="41"/>
  <c r="U125" i="41"/>
  <c r="T125" i="41"/>
  <c r="S125" i="41"/>
  <c r="S168" i="41" s="1"/>
  <c r="R125" i="41"/>
  <c r="Q125" i="41"/>
  <c r="P125" i="41"/>
  <c r="O125" i="41"/>
  <c r="N125" i="41"/>
  <c r="M125" i="41"/>
  <c r="L125" i="41"/>
  <c r="K125" i="41"/>
  <c r="K168" i="41" s="1"/>
  <c r="J125" i="41"/>
  <c r="I125" i="41"/>
  <c r="H125" i="41"/>
  <c r="G125" i="41"/>
  <c r="F125" i="41"/>
  <c r="E125" i="41"/>
  <c r="D125" i="41"/>
  <c r="C125" i="41"/>
  <c r="C168" i="41" s="1"/>
  <c r="B125" i="41"/>
  <c r="V124" i="41"/>
  <c r="U124" i="41"/>
  <c r="T124" i="41"/>
  <c r="S124" i="41"/>
  <c r="R124" i="41"/>
  <c r="Q124" i="41"/>
  <c r="P124" i="41"/>
  <c r="P167" i="41" s="1"/>
  <c r="O124" i="41"/>
  <c r="N124" i="41"/>
  <c r="M124" i="41"/>
  <c r="L124" i="41"/>
  <c r="K124" i="41"/>
  <c r="J124" i="41"/>
  <c r="I124" i="41"/>
  <c r="H124" i="41"/>
  <c r="H167" i="41" s="1"/>
  <c r="G124" i="41"/>
  <c r="F124" i="41"/>
  <c r="E124" i="41"/>
  <c r="D124" i="41"/>
  <c r="C124" i="41"/>
  <c r="B124" i="41"/>
  <c r="W120" i="41"/>
  <c r="V120" i="41"/>
  <c r="U120" i="41"/>
  <c r="T120" i="41"/>
  <c r="S120" i="41"/>
  <c r="R120" i="41"/>
  <c r="Q120" i="41"/>
  <c r="P120" i="41"/>
  <c r="O120" i="41"/>
  <c r="N120" i="41"/>
  <c r="M120" i="41"/>
  <c r="L120" i="41"/>
  <c r="K120" i="41"/>
  <c r="J120" i="41"/>
  <c r="I120" i="41"/>
  <c r="H120" i="41"/>
  <c r="G120" i="41"/>
  <c r="F120" i="41"/>
  <c r="E120" i="41"/>
  <c r="D120" i="41"/>
  <c r="C120" i="41"/>
  <c r="B120" i="41"/>
  <c r="W119" i="41"/>
  <c r="V119" i="41"/>
  <c r="U119" i="41"/>
  <c r="T119" i="41"/>
  <c r="S119" i="41"/>
  <c r="R119" i="41"/>
  <c r="Q119" i="41"/>
  <c r="P119" i="41"/>
  <c r="O119" i="41"/>
  <c r="N119" i="41"/>
  <c r="M119" i="41"/>
  <c r="L119" i="41"/>
  <c r="K119" i="41"/>
  <c r="J119" i="41"/>
  <c r="I119" i="41"/>
  <c r="H119" i="41"/>
  <c r="G119" i="41"/>
  <c r="F119" i="41"/>
  <c r="E119" i="41"/>
  <c r="D119" i="41"/>
  <c r="C119" i="41"/>
  <c r="B119" i="41"/>
  <c r="W118" i="41"/>
  <c r="V118" i="41"/>
  <c r="U118" i="41"/>
  <c r="T118" i="41"/>
  <c r="S118" i="41"/>
  <c r="R118" i="41"/>
  <c r="Q118" i="41"/>
  <c r="P118" i="41"/>
  <c r="O118" i="41"/>
  <c r="N118" i="41"/>
  <c r="M118" i="41"/>
  <c r="L118" i="41"/>
  <c r="K118" i="41"/>
  <c r="J118" i="41"/>
  <c r="I118" i="41"/>
  <c r="H118" i="41"/>
  <c r="G118" i="41"/>
  <c r="F118" i="41"/>
  <c r="E118" i="41"/>
  <c r="D118" i="41"/>
  <c r="C118" i="41"/>
  <c r="B118" i="41"/>
  <c r="W117" i="41"/>
  <c r="V117" i="41"/>
  <c r="U117" i="41"/>
  <c r="T117" i="41"/>
  <c r="S117" i="41"/>
  <c r="R117" i="41"/>
  <c r="Q117" i="41"/>
  <c r="P117" i="41"/>
  <c r="O117" i="41"/>
  <c r="N117" i="41"/>
  <c r="M117" i="41"/>
  <c r="L117" i="41"/>
  <c r="K117" i="41"/>
  <c r="J117" i="41"/>
  <c r="I117" i="41"/>
  <c r="H117" i="41"/>
  <c r="G117" i="41"/>
  <c r="F117" i="41"/>
  <c r="E117" i="41"/>
  <c r="D117" i="41"/>
  <c r="C117" i="41"/>
  <c r="B117" i="41"/>
  <c r="W116" i="41"/>
  <c r="V116" i="41"/>
  <c r="U116" i="41"/>
  <c r="T116" i="41"/>
  <c r="S116" i="41"/>
  <c r="R116" i="41"/>
  <c r="Q116" i="41"/>
  <c r="P116" i="41"/>
  <c r="O116" i="41"/>
  <c r="N116" i="41"/>
  <c r="M116" i="41"/>
  <c r="L116" i="41"/>
  <c r="K116" i="41"/>
  <c r="J116" i="41"/>
  <c r="I116" i="41"/>
  <c r="H116" i="41"/>
  <c r="G116" i="41"/>
  <c r="F116" i="41"/>
  <c r="E116" i="41"/>
  <c r="D116" i="41"/>
  <c r="C116" i="41"/>
  <c r="B116" i="41"/>
  <c r="W115" i="41"/>
  <c r="V115" i="41"/>
  <c r="U115" i="41"/>
  <c r="T115" i="41"/>
  <c r="S115" i="41"/>
  <c r="R115" i="41"/>
  <c r="Q115" i="41"/>
  <c r="P115" i="41"/>
  <c r="O115" i="41"/>
  <c r="N115" i="41"/>
  <c r="M115" i="41"/>
  <c r="L115" i="41"/>
  <c r="K115" i="41"/>
  <c r="J115" i="41"/>
  <c r="I115" i="41"/>
  <c r="H115" i="41"/>
  <c r="G115" i="41"/>
  <c r="F115" i="41"/>
  <c r="E115" i="41"/>
  <c r="D115" i="41"/>
  <c r="C115" i="41"/>
  <c r="B115" i="41"/>
  <c r="W114" i="41"/>
  <c r="V114" i="41"/>
  <c r="U114" i="41"/>
  <c r="T114" i="41"/>
  <c r="S114" i="41"/>
  <c r="R114" i="41"/>
  <c r="Q114" i="41"/>
  <c r="P114" i="41"/>
  <c r="O114" i="41"/>
  <c r="N114" i="41"/>
  <c r="M114" i="41"/>
  <c r="L114" i="41"/>
  <c r="K114" i="41"/>
  <c r="J114" i="41"/>
  <c r="I114" i="41"/>
  <c r="H114" i="41"/>
  <c r="G114" i="41"/>
  <c r="F114" i="41"/>
  <c r="E114" i="41"/>
  <c r="D114" i="41"/>
  <c r="C114" i="41"/>
  <c r="B114" i="41"/>
  <c r="V110" i="41"/>
  <c r="U110" i="41"/>
  <c r="T110" i="41"/>
  <c r="S110" i="41"/>
  <c r="R110" i="41"/>
  <c r="Q110" i="41"/>
  <c r="P110" i="41"/>
  <c r="O110" i="41"/>
  <c r="N110" i="41"/>
  <c r="M110" i="41"/>
  <c r="L110" i="41"/>
  <c r="K110" i="41"/>
  <c r="J110" i="41"/>
  <c r="I110" i="41"/>
  <c r="H110" i="41"/>
  <c r="G110" i="41"/>
  <c r="F110" i="41"/>
  <c r="E110" i="41"/>
  <c r="D110" i="41"/>
  <c r="C110" i="41"/>
  <c r="B110" i="41"/>
  <c r="V109" i="41"/>
  <c r="U109" i="41"/>
  <c r="T109" i="41"/>
  <c r="S109" i="41"/>
  <c r="R109" i="4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V108" i="41"/>
  <c r="U108" i="41"/>
  <c r="T108" i="41"/>
  <c r="S108" i="41"/>
  <c r="R108" i="41"/>
  <c r="Q108" i="41"/>
  <c r="P108" i="41"/>
  <c r="O108" i="41"/>
  <c r="N108" i="41"/>
  <c r="M108" i="41"/>
  <c r="L108" i="41"/>
  <c r="K108" i="41"/>
  <c r="J108" i="41"/>
  <c r="I108" i="41"/>
  <c r="H108" i="41"/>
  <c r="G108" i="41"/>
  <c r="F108" i="41"/>
  <c r="E108" i="41"/>
  <c r="D108" i="41"/>
  <c r="C108" i="41"/>
  <c r="B108" i="41"/>
  <c r="V107" i="41"/>
  <c r="U107" i="41"/>
  <c r="T107" i="41"/>
  <c r="S107" i="41"/>
  <c r="R107" i="4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V106" i="41"/>
  <c r="U106" i="41"/>
  <c r="T106" i="41"/>
  <c r="S106" i="41"/>
  <c r="R106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V105" i="41"/>
  <c r="U105" i="41"/>
  <c r="T105" i="41"/>
  <c r="S105" i="41"/>
  <c r="R105" i="41"/>
  <c r="Q105" i="41"/>
  <c r="P105" i="41"/>
  <c r="O105" i="41"/>
  <c r="N105" i="41"/>
  <c r="M105" i="41"/>
  <c r="L105" i="41"/>
  <c r="K105" i="41"/>
  <c r="J105" i="41"/>
  <c r="I105" i="41"/>
  <c r="H105" i="41"/>
  <c r="G105" i="41"/>
  <c r="F105" i="41"/>
  <c r="E105" i="41"/>
  <c r="D105" i="41"/>
  <c r="C105" i="41"/>
  <c r="B105" i="41"/>
  <c r="V104" i="41"/>
  <c r="U104" i="41"/>
  <c r="T104" i="41"/>
  <c r="S104" i="41"/>
  <c r="R104" i="41"/>
  <c r="Q104" i="41"/>
  <c r="P104" i="41"/>
  <c r="O104" i="41"/>
  <c r="N104" i="41"/>
  <c r="M104" i="41"/>
  <c r="L104" i="41"/>
  <c r="K104" i="41"/>
  <c r="J104" i="41"/>
  <c r="I104" i="41"/>
  <c r="H104" i="41"/>
  <c r="G104" i="41"/>
  <c r="F104" i="41"/>
  <c r="E104" i="41"/>
  <c r="D104" i="41"/>
  <c r="C104" i="41"/>
  <c r="B104" i="41"/>
  <c r="AG79" i="41"/>
  <c r="AH78" i="41" s="1"/>
  <c r="AE78" i="41"/>
  <c r="AE77" i="41"/>
  <c r="AE76" i="41"/>
  <c r="AE75" i="41"/>
  <c r="AE74" i="41"/>
  <c r="AE73" i="41"/>
  <c r="W67" i="41"/>
  <c r="X57" i="41" s="1"/>
  <c r="Y57" i="41" s="1"/>
  <c r="Z57" i="41" s="1"/>
  <c r="W64" i="41"/>
  <c r="AC43" i="41"/>
  <c r="AC44" i="41" s="1"/>
  <c r="Y43" i="41"/>
  <c r="J43" i="41"/>
  <c r="I43" i="41"/>
  <c r="H43" i="41"/>
  <c r="G43" i="41"/>
  <c r="F43" i="41"/>
  <c r="E43" i="41"/>
  <c r="D43" i="41"/>
  <c r="C43" i="41"/>
  <c r="B43" i="41"/>
  <c r="Y42" i="41"/>
  <c r="AG50" i="41" s="1"/>
  <c r="J42" i="41"/>
  <c r="I42" i="41"/>
  <c r="H42" i="41"/>
  <c r="G42" i="41"/>
  <c r="F42" i="41"/>
  <c r="E42" i="41"/>
  <c r="D42" i="41"/>
  <c r="C42" i="41"/>
  <c r="B42" i="41"/>
  <c r="Y41" i="41"/>
  <c r="AG49" i="41" s="1"/>
  <c r="J41" i="41"/>
  <c r="I41" i="41"/>
  <c r="H41" i="41"/>
  <c r="G41" i="41"/>
  <c r="F41" i="41"/>
  <c r="E41" i="41"/>
  <c r="D41" i="41"/>
  <c r="C41" i="41"/>
  <c r="B41" i="41"/>
  <c r="Y40" i="41"/>
  <c r="J40" i="41"/>
  <c r="I40" i="41"/>
  <c r="H40" i="41"/>
  <c r="G40" i="41"/>
  <c r="F40" i="41"/>
  <c r="E40" i="41"/>
  <c r="D40" i="41"/>
  <c r="C40" i="41"/>
  <c r="B40" i="41"/>
  <c r="Y39" i="41"/>
  <c r="AG47" i="41" s="1"/>
  <c r="J39" i="41"/>
  <c r="I39" i="41"/>
  <c r="H39" i="41"/>
  <c r="G39" i="41"/>
  <c r="F39" i="41"/>
  <c r="E39" i="41"/>
  <c r="D39" i="41"/>
  <c r="C39" i="41"/>
  <c r="B39" i="41"/>
  <c r="Y38" i="41"/>
  <c r="J38" i="41"/>
  <c r="I38" i="41"/>
  <c r="H38" i="41"/>
  <c r="G38" i="41"/>
  <c r="F38" i="41"/>
  <c r="E38" i="41"/>
  <c r="D38" i="41"/>
  <c r="C38" i="41"/>
  <c r="B38" i="41"/>
  <c r="AA37" i="41"/>
  <c r="Z37" i="41"/>
  <c r="Y37" i="41"/>
  <c r="X37" i="41"/>
  <c r="X35" i="41"/>
  <c r="X41" i="41" s="1"/>
  <c r="AF49" i="41" s="1"/>
  <c r="W35" i="41"/>
  <c r="W42" i="41" s="1"/>
  <c r="V35" i="41"/>
  <c r="V42" i="41" s="1"/>
  <c r="U35" i="41"/>
  <c r="U43" i="41" s="1"/>
  <c r="T35" i="41"/>
  <c r="T43" i="41" s="1"/>
  <c r="S35" i="41"/>
  <c r="S40" i="41" s="1"/>
  <c r="R35" i="41"/>
  <c r="R40" i="41" s="1"/>
  <c r="Q35" i="41"/>
  <c r="Q41" i="41" s="1"/>
  <c r="P35" i="41"/>
  <c r="P41" i="41" s="1"/>
  <c r="O35" i="41"/>
  <c r="O42" i="41" s="1"/>
  <c r="N35" i="41"/>
  <c r="N42" i="41" s="1"/>
  <c r="M35" i="41"/>
  <c r="M43" i="41" s="1"/>
  <c r="L35" i="41"/>
  <c r="L43" i="41" s="1"/>
  <c r="K35" i="41"/>
  <c r="K40" i="41" s="1"/>
  <c r="E24" i="41"/>
  <c r="G22" i="41"/>
  <c r="F22" i="41"/>
  <c r="G21" i="41"/>
  <c r="F21" i="41"/>
  <c r="G20" i="41"/>
  <c r="F20" i="41"/>
  <c r="G19" i="41"/>
  <c r="F19" i="41"/>
  <c r="G18" i="41"/>
  <c r="F18" i="41"/>
  <c r="G17" i="41"/>
  <c r="F17" i="41"/>
  <c r="AM13" i="41"/>
  <c r="AM20" i="41" s="1"/>
  <c r="AL13" i="41"/>
  <c r="AL21" i="41" s="1"/>
  <c r="AK13" i="41"/>
  <c r="AK22" i="41" s="1"/>
  <c r="I13" i="41"/>
  <c r="D13" i="41"/>
  <c r="D18" i="41" s="1"/>
  <c r="C13" i="41"/>
  <c r="C20" i="41" s="1"/>
  <c r="B13" i="41"/>
  <c r="B20" i="41" s="1"/>
  <c r="I12" i="41"/>
  <c r="H12" i="41"/>
  <c r="H22" i="41" s="1"/>
  <c r="I11" i="41"/>
  <c r="H11" i="41"/>
  <c r="H21" i="41" s="1"/>
  <c r="I10" i="41"/>
  <c r="H10" i="41"/>
  <c r="H20" i="41" s="1"/>
  <c r="I9" i="41"/>
  <c r="H9" i="41"/>
  <c r="H19" i="41" s="1"/>
  <c r="I8" i="41"/>
  <c r="H8" i="41"/>
  <c r="H18" i="41" s="1"/>
  <c r="I7" i="41"/>
  <c r="H7" i="41"/>
  <c r="H17" i="41" s="1"/>
  <c r="I46" i="41" l="1"/>
  <c r="C167" i="41"/>
  <c r="K167" i="41"/>
  <c r="S167" i="41"/>
  <c r="F168" i="41"/>
  <c r="N168" i="41"/>
  <c r="E47" i="41"/>
  <c r="V168" i="41"/>
  <c r="I169" i="41"/>
  <c r="Q169" i="41"/>
  <c r="I47" i="41"/>
  <c r="D46" i="41"/>
  <c r="H47" i="41"/>
  <c r="L186" i="41"/>
  <c r="G187" i="41"/>
  <c r="B188" i="41"/>
  <c r="R188" i="41"/>
  <c r="D167" i="41"/>
  <c r="T167" i="41"/>
  <c r="O168" i="41"/>
  <c r="J169" i="41"/>
  <c r="E186" i="41"/>
  <c r="U186" i="41"/>
  <c r="P187" i="41"/>
  <c r="K188" i="41"/>
  <c r="H46" i="41"/>
  <c r="AH75" i="41"/>
  <c r="D186" i="41"/>
  <c r="T186" i="41"/>
  <c r="O187" i="41"/>
  <c r="J188" i="41"/>
  <c r="L167" i="41"/>
  <c r="G168" i="41"/>
  <c r="B169" i="41"/>
  <c r="R169" i="41"/>
  <c r="M186" i="41"/>
  <c r="H187" i="41"/>
  <c r="C188" i="41"/>
  <c r="S188" i="41"/>
  <c r="G186" i="41"/>
  <c r="O186" i="41"/>
  <c r="B187" i="41"/>
  <c r="J187" i="41"/>
  <c r="R187" i="41"/>
  <c r="E188" i="41"/>
  <c r="M188" i="41"/>
  <c r="U188" i="41"/>
  <c r="B22" i="41"/>
  <c r="I186" i="41"/>
  <c r="Q186" i="41"/>
  <c r="D187" i="41"/>
  <c r="L187" i="41"/>
  <c r="T187" i="41"/>
  <c r="G188" i="41"/>
  <c r="O188" i="41"/>
  <c r="G47" i="41"/>
  <c r="F45" i="41"/>
  <c r="C186" i="41"/>
  <c r="K186" i="41"/>
  <c r="S186" i="41"/>
  <c r="F187" i="41"/>
  <c r="N187" i="41"/>
  <c r="V187" i="41"/>
  <c r="I188" i="41"/>
  <c r="Q188" i="41"/>
  <c r="E167" i="41"/>
  <c r="M167" i="41"/>
  <c r="U167" i="41"/>
  <c r="H168" i="41"/>
  <c r="P168" i="41"/>
  <c r="C169" i="41"/>
  <c r="K169" i="41"/>
  <c r="S169" i="41"/>
  <c r="F167" i="41"/>
  <c r="N167" i="41"/>
  <c r="V167" i="41"/>
  <c r="I168" i="41"/>
  <c r="Q168" i="41"/>
  <c r="D169" i="41"/>
  <c r="L169" i="41"/>
  <c r="T169" i="41"/>
  <c r="C21" i="41"/>
  <c r="I45" i="41"/>
  <c r="E46" i="41"/>
  <c r="B45" i="41"/>
  <c r="J45" i="41"/>
  <c r="F46" i="41"/>
  <c r="B167" i="41"/>
  <c r="J167" i="41"/>
  <c r="R167" i="41"/>
  <c r="E168" i="41"/>
  <c r="M168" i="41"/>
  <c r="U168" i="41"/>
  <c r="H169" i="41"/>
  <c r="P169" i="41"/>
  <c r="M39" i="41"/>
  <c r="H24" i="41"/>
  <c r="AM21" i="41"/>
  <c r="X60" i="41"/>
  <c r="Y60" i="41" s="1"/>
  <c r="Z60" i="41" s="1"/>
  <c r="Z29" i="41" s="1"/>
  <c r="AA29" i="41" s="1"/>
  <c r="I167" i="41"/>
  <c r="Q167" i="41"/>
  <c r="D168" i="41"/>
  <c r="L168" i="41"/>
  <c r="T168" i="41"/>
  <c r="G169" i="41"/>
  <c r="O169" i="41"/>
  <c r="B17" i="41"/>
  <c r="AL18" i="41"/>
  <c r="K38" i="41"/>
  <c r="N39" i="41"/>
  <c r="R41" i="41"/>
  <c r="R46" i="41" s="1"/>
  <c r="N43" i="41"/>
  <c r="N47" i="41" s="1"/>
  <c r="X61" i="41"/>
  <c r="Y61" i="41" s="1"/>
  <c r="Z61" i="41" s="1"/>
  <c r="Z33" i="41" s="1"/>
  <c r="AA33" i="41" s="1"/>
  <c r="B186" i="41"/>
  <c r="J186" i="41"/>
  <c r="R186" i="41"/>
  <c r="E187" i="41"/>
  <c r="M187" i="41"/>
  <c r="U187" i="41"/>
  <c r="H188" i="41"/>
  <c r="P188" i="41"/>
  <c r="M41" i="41"/>
  <c r="D17" i="41"/>
  <c r="D24" i="41" s="1"/>
  <c r="B19" i="41"/>
  <c r="AL20" i="41"/>
  <c r="M38" i="41"/>
  <c r="U39" i="41"/>
  <c r="G46" i="41"/>
  <c r="U41" i="41"/>
  <c r="V43" i="41"/>
  <c r="V47" i="41" s="1"/>
  <c r="D19" i="41"/>
  <c r="B21" i="41"/>
  <c r="AL22" i="41"/>
  <c r="E45" i="41"/>
  <c r="R38" i="41"/>
  <c r="V39" i="41"/>
  <c r="Y47" i="41"/>
  <c r="AG51" i="41"/>
  <c r="AM22" i="41"/>
  <c r="S38" i="41"/>
  <c r="G24" i="41"/>
  <c r="AL17" i="41"/>
  <c r="G45" i="41"/>
  <c r="U38" i="41"/>
  <c r="K42" i="41"/>
  <c r="F186" i="41"/>
  <c r="N186" i="41"/>
  <c r="V186" i="41"/>
  <c r="I187" i="41"/>
  <c r="Q187" i="41"/>
  <c r="D188" i="41"/>
  <c r="L188" i="41"/>
  <c r="T188" i="41"/>
  <c r="G167" i="41"/>
  <c r="O167" i="41"/>
  <c r="B168" i="41"/>
  <c r="J168" i="41"/>
  <c r="R168" i="41"/>
  <c r="E169" i="41"/>
  <c r="M169" i="41"/>
  <c r="U169" i="41"/>
  <c r="AM17" i="41"/>
  <c r="D20" i="41"/>
  <c r="Y45" i="41"/>
  <c r="AG46" i="41"/>
  <c r="C46" i="41"/>
  <c r="Y46" i="41"/>
  <c r="AG48" i="41"/>
  <c r="S42" i="41"/>
  <c r="X42" i="41"/>
  <c r="AF50" i="41" s="1"/>
  <c r="P38" i="41"/>
  <c r="Q39" i="41"/>
  <c r="H45" i="41"/>
  <c r="F24" i="41"/>
  <c r="X38" i="41"/>
  <c r="AF46" i="41" s="1"/>
  <c r="B47" i="41"/>
  <c r="J47" i="41"/>
  <c r="Q43" i="41"/>
  <c r="B46" i="41"/>
  <c r="J46" i="41"/>
  <c r="C47" i="41"/>
  <c r="C45" i="41"/>
  <c r="D47" i="41"/>
  <c r="P42" i="41"/>
  <c r="F47" i="41"/>
  <c r="D45" i="41"/>
  <c r="Z30" i="41"/>
  <c r="AK17" i="41"/>
  <c r="D21" i="41"/>
  <c r="C22" i="41"/>
  <c r="Q38" i="41"/>
  <c r="O39" i="41"/>
  <c r="W39" i="41"/>
  <c r="M40" i="41"/>
  <c r="U40" i="41"/>
  <c r="K41" i="41"/>
  <c r="K46" i="41" s="1"/>
  <c r="S41" i="41"/>
  <c r="S46" i="41" s="1"/>
  <c r="Q42" i="41"/>
  <c r="O43" i="41"/>
  <c r="O47" i="41" s="1"/>
  <c r="W43" i="41"/>
  <c r="W47" i="41" s="1"/>
  <c r="X58" i="41"/>
  <c r="Y58" i="41" s="1"/>
  <c r="Z58" i="41" s="1"/>
  <c r="Z32" i="41" s="1"/>
  <c r="T40" i="41"/>
  <c r="AK18" i="41"/>
  <c r="D22" i="41"/>
  <c r="P39" i="41"/>
  <c r="X39" i="41"/>
  <c r="AF47" i="41" s="1"/>
  <c r="N40" i="41"/>
  <c r="V40" i="41"/>
  <c r="L41" i="41"/>
  <c r="T41" i="41"/>
  <c r="R42" i="41"/>
  <c r="P43" i="41"/>
  <c r="X43" i="41"/>
  <c r="AF51" i="41" s="1"/>
  <c r="AH76" i="41"/>
  <c r="L40" i="41"/>
  <c r="AK19" i="41"/>
  <c r="C17" i="41"/>
  <c r="B18" i="41"/>
  <c r="AM18" i="41"/>
  <c r="AL19" i="41"/>
  <c r="AK20" i="41"/>
  <c r="L38" i="41"/>
  <c r="T38" i="41"/>
  <c r="R39" i="41"/>
  <c r="P40" i="41"/>
  <c r="P46" i="41" s="1"/>
  <c r="X40" i="41"/>
  <c r="N41" i="41"/>
  <c r="V41" i="41"/>
  <c r="L42" i="41"/>
  <c r="L47" i="41" s="1"/>
  <c r="L52" i="41" s="1"/>
  <c r="T42" i="41"/>
  <c r="T47" i="41" s="1"/>
  <c r="R43" i="41"/>
  <c r="X59" i="41"/>
  <c r="Y59" i="41" s="1"/>
  <c r="Z59" i="41" s="1"/>
  <c r="Z31" i="41" s="1"/>
  <c r="AH73" i="41"/>
  <c r="AH77" i="41"/>
  <c r="O40" i="41"/>
  <c r="C18" i="41"/>
  <c r="AM19" i="41"/>
  <c r="AK21" i="41"/>
  <c r="K39" i="41"/>
  <c r="S39" i="41"/>
  <c r="Q40" i="41"/>
  <c r="Q46" i="41" s="1"/>
  <c r="Q51" i="41" s="1"/>
  <c r="O41" i="41"/>
  <c r="W41" i="41"/>
  <c r="M42" i="41"/>
  <c r="M47" i="41" s="1"/>
  <c r="U42" i="41"/>
  <c r="U47" i="41" s="1"/>
  <c r="K43" i="41"/>
  <c r="S43" i="41"/>
  <c r="X62" i="41"/>
  <c r="Y62" i="41" s="1"/>
  <c r="Z62" i="41" s="1"/>
  <c r="Z34" i="41" s="1"/>
  <c r="C19" i="41"/>
  <c r="N38" i="41"/>
  <c r="V38" i="41"/>
  <c r="L39" i="41"/>
  <c r="T39" i="41"/>
  <c r="AH74" i="41"/>
  <c r="W40" i="41"/>
  <c r="O38" i="41"/>
  <c r="O45" i="41" s="1"/>
  <c r="W38" i="41"/>
  <c r="W45" i="41" s="1"/>
  <c r="S45" i="41" l="1"/>
  <c r="K47" i="41"/>
  <c r="S47" i="41"/>
  <c r="T52" i="41" s="1"/>
  <c r="P45" i="41"/>
  <c r="P50" i="41" s="1"/>
  <c r="AM24" i="41"/>
  <c r="U46" i="41"/>
  <c r="Z35" i="41"/>
  <c r="Z38" i="41" s="1"/>
  <c r="AA38" i="41" s="1"/>
  <c r="B24" i="41"/>
  <c r="M46" i="41"/>
  <c r="AL24" i="41"/>
  <c r="W52" i="41"/>
  <c r="K45" i="41"/>
  <c r="Q45" i="41"/>
  <c r="P47" i="41"/>
  <c r="P52" i="41" s="1"/>
  <c r="M45" i="41"/>
  <c r="O52" i="41"/>
  <c r="V45" i="41"/>
  <c r="W50" i="41" s="1"/>
  <c r="R47" i="41"/>
  <c r="X46" i="41"/>
  <c r="Y51" i="41" s="1"/>
  <c r="AF48" i="41"/>
  <c r="R45" i="41"/>
  <c r="S51" i="41"/>
  <c r="N45" i="41"/>
  <c r="L45" i="41"/>
  <c r="L50" i="41" s="1"/>
  <c r="Q47" i="41"/>
  <c r="N52" i="41"/>
  <c r="U45" i="41"/>
  <c r="T46" i="41"/>
  <c r="T51" i="41" s="1"/>
  <c r="X45" i="41"/>
  <c r="X50" i="41" s="1"/>
  <c r="X47" i="41"/>
  <c r="X52" i="41" s="1"/>
  <c r="O46" i="41"/>
  <c r="P51" i="41" s="1"/>
  <c r="M52" i="41"/>
  <c r="U52" i="41"/>
  <c r="AK24" i="41"/>
  <c r="V52" i="41"/>
  <c r="C24" i="41"/>
  <c r="AA32" i="41"/>
  <c r="Z64" i="41"/>
  <c r="AA31" i="41"/>
  <c r="V46" i="41"/>
  <c r="AA30" i="41"/>
  <c r="AA34" i="41"/>
  <c r="W46" i="41"/>
  <c r="T45" i="41"/>
  <c r="L46" i="41"/>
  <c r="L51" i="41" s="1"/>
  <c r="N46" i="41"/>
  <c r="R51" i="41"/>
  <c r="Q50" i="41" l="1"/>
  <c r="N50" i="41"/>
  <c r="R50" i="41"/>
  <c r="Z41" i="41"/>
  <c r="AA41" i="41" s="1"/>
  <c r="M50" i="41"/>
  <c r="Z40" i="41"/>
  <c r="Z46" i="41" s="1"/>
  <c r="Z51" i="41" s="1"/>
  <c r="S52" i="41"/>
  <c r="Z39" i="41"/>
  <c r="AA39" i="41" s="1"/>
  <c r="AA45" i="41" s="1"/>
  <c r="AA50" i="41" s="1"/>
  <c r="V51" i="41"/>
  <c r="N51" i="41"/>
  <c r="O50" i="41"/>
  <c r="Z42" i="41"/>
  <c r="AA42" i="41" s="1"/>
  <c r="Z43" i="41"/>
  <c r="AA43" i="41" s="1"/>
  <c r="V50" i="41"/>
  <c r="U51" i="41"/>
  <c r="R52" i="41"/>
  <c r="W51" i="41"/>
  <c r="Q52" i="41"/>
  <c r="Y50" i="41"/>
  <c r="S50" i="41"/>
  <c r="M51" i="41"/>
  <c r="Y52" i="41"/>
  <c r="X51" i="41"/>
  <c r="O51" i="41"/>
  <c r="T50" i="41"/>
  <c r="U50" i="41"/>
  <c r="AA40" i="41" l="1"/>
  <c r="AA46" i="41" s="1"/>
  <c r="AA51" i="41" s="1"/>
  <c r="Z45" i="41"/>
  <c r="Z50" i="41" s="1"/>
  <c r="Z47" i="41"/>
  <c r="Z52" i="41" s="1"/>
  <c r="AA47" i="41"/>
  <c r="AA52" i="41" s="1"/>
  <c r="N4" i="24"/>
  <c r="N5" i="24"/>
  <c r="N6" i="24"/>
  <c r="N7" i="24"/>
  <c r="N8" i="24"/>
  <c r="N9" i="24"/>
  <c r="N3" i="24"/>
  <c r="G66" i="34" l="1"/>
  <c r="H66" i="34"/>
  <c r="G52" i="34" l="1"/>
  <c r="S52" i="34" s="1"/>
  <c r="L140" i="28" l="1"/>
  <c r="L141" i="28"/>
  <c r="Y106" i="28" l="1"/>
  <c r="Y107" i="28"/>
  <c r="Y108" i="28"/>
  <c r="Y109" i="28"/>
  <c r="Y110" i="28"/>
  <c r="Y111" i="28"/>
  <c r="Y112" i="28"/>
  <c r="Y113" i="28"/>
  <c r="Y114" i="28"/>
  <c r="Y115" i="28"/>
  <c r="Y116" i="28"/>
  <c r="Y105" i="28" l="1"/>
  <c r="F4" i="40" l="1"/>
  <c r="F5" i="40" s="1"/>
  <c r="F6" i="40" s="1"/>
  <c r="F7" i="40" s="1"/>
  <c r="F8" i="40" s="1"/>
  <c r="F9" i="40" s="1"/>
  <c r="F10" i="40" s="1"/>
  <c r="F11" i="40" s="1"/>
  <c r="F12" i="40" s="1"/>
  <c r="F13" i="40" s="1"/>
  <c r="F14" i="40" s="1"/>
  <c r="F15" i="40" s="1"/>
  <c r="F16" i="40" s="1"/>
  <c r="F17" i="40" s="1"/>
  <c r="F18" i="40" s="1"/>
  <c r="F19" i="40" s="1"/>
  <c r="F20" i="40" s="1"/>
  <c r="F21" i="40" s="1"/>
  <c r="F22" i="40" s="1"/>
  <c r="F23" i="40" s="1"/>
  <c r="F24" i="40" s="1"/>
  <c r="F25" i="40" s="1"/>
  <c r="F26" i="40" s="1"/>
  <c r="F27" i="40" s="1"/>
  <c r="F28" i="40" s="1"/>
  <c r="F29" i="40" s="1"/>
  <c r="F30" i="40" s="1"/>
  <c r="H3" i="40"/>
  <c r="C3" i="40"/>
  <c r="C4" i="40" s="1"/>
  <c r="C5" i="40" s="1"/>
  <c r="A4" i="40"/>
  <c r="A5" i="40" s="1"/>
  <c r="A6" i="40" s="1"/>
  <c r="A7" i="40" s="1"/>
  <c r="A8" i="40" s="1"/>
  <c r="A9" i="40" s="1"/>
  <c r="A10" i="40" s="1"/>
  <c r="A11" i="40" s="1"/>
  <c r="A12" i="40" s="1"/>
  <c r="A13" i="40" s="1"/>
  <c r="A14" i="40" s="1"/>
  <c r="A15" i="40" s="1"/>
  <c r="A16" i="40" s="1"/>
  <c r="A17" i="40" s="1"/>
  <c r="A18" i="40" s="1"/>
  <c r="A19" i="40" s="1"/>
  <c r="A20" i="40" s="1"/>
  <c r="A21" i="40" s="1"/>
  <c r="A22" i="40" s="1"/>
  <c r="A23" i="40" s="1"/>
  <c r="A24" i="40" s="1"/>
  <c r="A25" i="40" s="1"/>
  <c r="A26" i="40" s="1"/>
  <c r="A27" i="40" s="1"/>
  <c r="A28" i="40" s="1"/>
  <c r="A29" i="40" s="1"/>
  <c r="A30" i="40" s="1"/>
  <c r="H4" i="40" l="1"/>
  <c r="H5" i="40" s="1"/>
  <c r="C6" i="40"/>
  <c r="C7" i="40" l="1"/>
  <c r="H6" i="40"/>
  <c r="C8" i="40" l="1"/>
  <c r="H7" i="40"/>
  <c r="C9" i="40" l="1"/>
  <c r="H8" i="40"/>
  <c r="C10" i="40" l="1"/>
  <c r="H9" i="40"/>
  <c r="C11" i="40" l="1"/>
  <c r="H10" i="40"/>
  <c r="C12" i="40" l="1"/>
  <c r="H11" i="40"/>
  <c r="C13" i="40" l="1"/>
  <c r="H12" i="40"/>
  <c r="C14" i="40" l="1"/>
  <c r="H13" i="40"/>
  <c r="C15" i="40" l="1"/>
  <c r="H14" i="40"/>
  <c r="C16" i="40" l="1"/>
  <c r="H15" i="40"/>
  <c r="C17" i="40" l="1"/>
  <c r="H16" i="40"/>
  <c r="C18" i="40" l="1"/>
  <c r="H17" i="40"/>
  <c r="C19" i="40" l="1"/>
  <c r="H18" i="40"/>
  <c r="C20" i="40" l="1"/>
  <c r="H19" i="40"/>
  <c r="C21" i="40" l="1"/>
  <c r="H20" i="40"/>
  <c r="C22" i="40" l="1"/>
  <c r="H21" i="40"/>
  <c r="C23" i="40" l="1"/>
  <c r="H22" i="40"/>
  <c r="C24" i="40" l="1"/>
  <c r="H23" i="40"/>
  <c r="C25" i="40" l="1"/>
  <c r="H24" i="40"/>
  <c r="C26" i="40" l="1"/>
  <c r="H25" i="40"/>
  <c r="C27" i="40" l="1"/>
  <c r="H26" i="40"/>
  <c r="C28" i="40" l="1"/>
  <c r="H27" i="40"/>
  <c r="C29" i="40" l="1"/>
  <c r="H28" i="40"/>
  <c r="C30" i="40" l="1"/>
  <c r="H29" i="40"/>
  <c r="D30" i="40" l="1"/>
  <c r="D3" i="40"/>
  <c r="D4" i="40"/>
  <c r="D5" i="40"/>
  <c r="D6" i="40"/>
  <c r="D7" i="40"/>
  <c r="D8" i="40"/>
  <c r="D9" i="40"/>
  <c r="D10" i="40"/>
  <c r="D11" i="40"/>
  <c r="D12" i="40"/>
  <c r="D13" i="40"/>
  <c r="D14" i="40"/>
  <c r="D15" i="40"/>
  <c r="D16" i="40"/>
  <c r="D17" i="40"/>
  <c r="D18" i="40"/>
  <c r="D19" i="40"/>
  <c r="D20" i="40"/>
  <c r="D21" i="40"/>
  <c r="D22" i="40"/>
  <c r="D23" i="40"/>
  <c r="D24" i="40"/>
  <c r="D25" i="40"/>
  <c r="D26" i="40"/>
  <c r="D27" i="40"/>
  <c r="D28" i="40"/>
  <c r="D29" i="40"/>
  <c r="H30" i="40"/>
  <c r="I30" i="40" l="1"/>
  <c r="I3" i="40"/>
  <c r="I5" i="40"/>
  <c r="I4" i="40"/>
  <c r="I6" i="40"/>
  <c r="I7" i="40"/>
  <c r="I8" i="40"/>
  <c r="I9" i="40"/>
  <c r="I10" i="40"/>
  <c r="I11" i="40"/>
  <c r="I12" i="40"/>
  <c r="I13" i="40"/>
  <c r="I14" i="40"/>
  <c r="I15" i="40"/>
  <c r="I16" i="40"/>
  <c r="I17" i="40"/>
  <c r="I18" i="40"/>
  <c r="I19" i="40"/>
  <c r="I20" i="40"/>
  <c r="I21" i="40"/>
  <c r="I22" i="40"/>
  <c r="I23" i="40"/>
  <c r="I24" i="40"/>
  <c r="I25" i="40"/>
  <c r="I26" i="40"/>
  <c r="I27" i="40"/>
  <c r="I28" i="40"/>
  <c r="I29" i="40"/>
  <c r="E28" i="38" l="1"/>
  <c r="D28" i="38"/>
  <c r="R323" i="33" l="1"/>
  <c r="S324" i="33"/>
  <c r="Q51" i="34"/>
  <c r="P51" i="34"/>
  <c r="H51" i="34"/>
  <c r="H50" i="34"/>
  <c r="G50" i="34"/>
  <c r="G51" i="34"/>
  <c r="P43" i="34"/>
  <c r="Q43" i="34"/>
  <c r="P44" i="34"/>
  <c r="Q44" i="34"/>
  <c r="P45" i="34"/>
  <c r="Q45" i="34"/>
  <c r="P46" i="34"/>
  <c r="Q46" i="34"/>
  <c r="P47" i="34"/>
  <c r="Q47" i="34"/>
  <c r="P48" i="34"/>
  <c r="Q48" i="34"/>
  <c r="P49" i="34"/>
  <c r="Q49" i="34"/>
  <c r="P50" i="34"/>
  <c r="Q50" i="34"/>
  <c r="G49" i="34"/>
  <c r="H49" i="34"/>
  <c r="S49" i="34" l="1"/>
  <c r="S50" i="34"/>
  <c r="S51" i="34"/>
  <c r="H186" i="28" l="1"/>
  <c r="H185" i="28"/>
  <c r="H184" i="28"/>
  <c r="H183" i="28"/>
  <c r="H188" i="28" l="1"/>
  <c r="I186" i="28"/>
  <c r="I185" i="28"/>
  <c r="I184" i="28"/>
  <c r="I183" i="28"/>
  <c r="B4" i="38" l="1"/>
  <c r="C3" i="38"/>
  <c r="B3" i="38"/>
  <c r="L138" i="28" l="1"/>
  <c r="L114" i="28"/>
  <c r="P50" i="22" l="1"/>
  <c r="R50" i="22"/>
  <c r="P51" i="22"/>
  <c r="R51" i="22"/>
  <c r="P52" i="22"/>
  <c r="R52" i="22"/>
  <c r="P53" i="22"/>
  <c r="R53" i="22"/>
  <c r="S79" i="22" l="1"/>
  <c r="Q79" i="22"/>
  <c r="T79" i="22" s="1"/>
  <c r="S80" i="22"/>
  <c r="S77" i="22"/>
  <c r="S76" i="22"/>
  <c r="S78" i="22"/>
  <c r="Q80" i="22"/>
  <c r="T80" i="22" s="1"/>
  <c r="Q77" i="22"/>
  <c r="T77" i="22" s="1"/>
  <c r="Q76" i="22"/>
  <c r="T76" i="22" s="1"/>
  <c r="Q78" i="22"/>
  <c r="T78" i="22" s="1"/>
  <c r="S74" i="22"/>
  <c r="S70" i="22"/>
  <c r="S69" i="22"/>
  <c r="S68" i="22"/>
  <c r="S71" i="22"/>
  <c r="S75" i="22"/>
  <c r="S72" i="22"/>
  <c r="S73" i="22"/>
  <c r="Q73" i="22"/>
  <c r="T73" i="22" s="1"/>
  <c r="Q70" i="22"/>
  <c r="T70" i="22" s="1"/>
  <c r="Q68" i="22"/>
  <c r="T68" i="22" s="1"/>
  <c r="Q74" i="22"/>
  <c r="T74" i="22" s="1"/>
  <c r="Q71" i="22"/>
  <c r="T71" i="22" s="1"/>
  <c r="Q72" i="22"/>
  <c r="T72" i="22" s="1"/>
  <c r="Q75" i="22"/>
  <c r="T75" i="22" s="1"/>
  <c r="Q69" i="22"/>
  <c r="T69" i="22" s="1"/>
  <c r="K50" i="22" l="1"/>
  <c r="M50" i="22"/>
  <c r="K51" i="22"/>
  <c r="M51" i="22"/>
  <c r="K52" i="22"/>
  <c r="M52" i="22"/>
  <c r="K53" i="22"/>
  <c r="M53" i="22"/>
  <c r="N79" i="22" l="1"/>
  <c r="L79" i="22"/>
  <c r="L78" i="22"/>
  <c r="L80" i="22"/>
  <c r="L77" i="22"/>
  <c r="L76" i="22"/>
  <c r="N78" i="22"/>
  <c r="N80" i="22"/>
  <c r="O80" i="22" s="1"/>
  <c r="N76" i="22"/>
  <c r="N77" i="22"/>
  <c r="N72" i="22"/>
  <c r="N73" i="22"/>
  <c r="N68" i="22"/>
  <c r="N70" i="22"/>
  <c r="N69" i="22"/>
  <c r="N71" i="22"/>
  <c r="N75" i="22"/>
  <c r="N74" i="22"/>
  <c r="L74" i="22"/>
  <c r="L73" i="22"/>
  <c r="L71" i="22"/>
  <c r="L68" i="22"/>
  <c r="L75" i="22"/>
  <c r="L72" i="22"/>
  <c r="L70" i="22"/>
  <c r="L69" i="22"/>
  <c r="M44" i="28"/>
  <c r="N44" i="28" s="1"/>
  <c r="M45" i="28"/>
  <c r="N45" i="28" s="1"/>
  <c r="M46" i="28"/>
  <c r="N46" i="28" s="1"/>
  <c r="M47" i="28"/>
  <c r="N47" i="28" s="1"/>
  <c r="O79" i="22" l="1"/>
  <c r="O77" i="22"/>
  <c r="O76" i="22"/>
  <c r="O70" i="22"/>
  <c r="O69" i="22"/>
  <c r="O78" i="22"/>
  <c r="O72" i="22"/>
  <c r="O75" i="22"/>
  <c r="O73" i="22"/>
  <c r="O74" i="22"/>
  <c r="O68" i="22"/>
  <c r="O71" i="22"/>
  <c r="K9" i="22" l="1"/>
  <c r="M9" i="22"/>
  <c r="P9" i="22"/>
  <c r="R9" i="22"/>
  <c r="K10" i="22"/>
  <c r="M10" i="22"/>
  <c r="P10" i="22"/>
  <c r="R10" i="22"/>
  <c r="K11" i="22"/>
  <c r="M11" i="22"/>
  <c r="P11" i="22"/>
  <c r="R11" i="22"/>
  <c r="K12" i="22"/>
  <c r="M12" i="22"/>
  <c r="P12" i="22"/>
  <c r="R12" i="22"/>
  <c r="K13" i="22"/>
  <c r="M13" i="22"/>
  <c r="P13" i="22"/>
  <c r="R13" i="22"/>
  <c r="K14" i="22"/>
  <c r="M14" i="22"/>
  <c r="P14" i="22"/>
  <c r="R14" i="22"/>
  <c r="K15" i="22"/>
  <c r="M15" i="22"/>
  <c r="P15" i="22"/>
  <c r="R15" i="22"/>
  <c r="K16" i="22"/>
  <c r="M16" i="22"/>
  <c r="P16" i="22"/>
  <c r="R16" i="22"/>
  <c r="G48" i="34" l="1"/>
  <c r="S48" i="34" s="1"/>
  <c r="H48" i="34"/>
  <c r="O34" i="12" l="1"/>
  <c r="O35" i="12"/>
  <c r="O36" i="12"/>
  <c r="C31" i="23"/>
  <c r="C30" i="23"/>
  <c r="AK21" i="23"/>
  <c r="AJ21" i="23"/>
  <c r="AK20" i="23"/>
  <c r="AJ20" i="23"/>
  <c r="AK19" i="23"/>
  <c r="AJ19" i="23"/>
  <c r="C32" i="23" l="1"/>
  <c r="G46" i="34" l="1"/>
  <c r="S46" i="34" s="1"/>
  <c r="H46" i="34"/>
  <c r="G47" i="34"/>
  <c r="S47" i="34" s="1"/>
  <c r="H47" i="34"/>
  <c r="O135" i="1" l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V20" i="28" l="1"/>
  <c r="V21" i="28"/>
  <c r="V19" i="28"/>
  <c r="K17" i="22" l="1"/>
  <c r="M17" i="22"/>
  <c r="K18" i="22"/>
  <c r="M18" i="22"/>
  <c r="K19" i="22"/>
  <c r="M19" i="22"/>
  <c r="K20" i="22"/>
  <c r="M20" i="22"/>
  <c r="K21" i="22"/>
  <c r="M21" i="22"/>
  <c r="K22" i="22"/>
  <c r="M22" i="22"/>
  <c r="K23" i="22"/>
  <c r="M23" i="22"/>
  <c r="K24" i="22"/>
  <c r="M24" i="22"/>
  <c r="K25" i="22"/>
  <c r="M25" i="22"/>
  <c r="K26" i="22"/>
  <c r="M26" i="22"/>
  <c r="K27" i="22"/>
  <c r="M27" i="22"/>
  <c r="K28" i="22"/>
  <c r="M28" i="22"/>
  <c r="M17" i="28" l="1"/>
  <c r="N17" i="28" s="1"/>
  <c r="M18" i="28"/>
  <c r="N18" i="28" s="1"/>
  <c r="M19" i="28"/>
  <c r="N19" i="28" s="1"/>
  <c r="M20" i="28"/>
  <c r="N20" i="28" s="1"/>
  <c r="M21" i="28"/>
  <c r="N21" i="28" s="1"/>
  <c r="M22" i="28"/>
  <c r="N22" i="28" s="1"/>
  <c r="M23" i="28"/>
  <c r="N23" i="28" s="1"/>
  <c r="M24" i="28"/>
  <c r="N24" i="28" s="1"/>
  <c r="M25" i="28"/>
  <c r="N25" i="28" s="1"/>
  <c r="M26" i="28"/>
  <c r="N26" i="28" s="1"/>
  <c r="M27" i="28"/>
  <c r="N27" i="28" s="1"/>
  <c r="M28" i="28"/>
  <c r="N28" i="28" s="1"/>
  <c r="M29" i="28"/>
  <c r="N29" i="28" s="1"/>
  <c r="M30" i="28"/>
  <c r="N30" i="28" s="1"/>
  <c r="M31" i="28"/>
  <c r="N31" i="28" s="1"/>
  <c r="M32" i="28"/>
  <c r="N32" i="28" s="1"/>
  <c r="M33" i="28"/>
  <c r="N33" i="28" s="1"/>
  <c r="M34" i="28"/>
  <c r="N34" i="28" s="1"/>
  <c r="M35" i="28"/>
  <c r="N35" i="28" s="1"/>
  <c r="M36" i="28"/>
  <c r="N36" i="28" s="1"/>
  <c r="M37" i="28"/>
  <c r="N37" i="28" s="1"/>
  <c r="M38" i="28"/>
  <c r="N38" i="28" s="1"/>
  <c r="M39" i="28"/>
  <c r="N39" i="28" s="1"/>
  <c r="M40" i="28"/>
  <c r="N40" i="28" s="1"/>
  <c r="M41" i="28"/>
  <c r="N41" i="28" s="1"/>
  <c r="M42" i="28"/>
  <c r="N42" i="28" s="1"/>
  <c r="M43" i="28"/>
  <c r="N43" i="28" s="1"/>
  <c r="M5" i="28"/>
  <c r="N5" i="28" s="1"/>
  <c r="M6" i="28"/>
  <c r="N6" i="28" s="1"/>
  <c r="M7" i="28"/>
  <c r="N7" i="28" s="1"/>
  <c r="M8" i="28"/>
  <c r="N8" i="28" s="1"/>
  <c r="M9" i="28"/>
  <c r="N9" i="28" s="1"/>
  <c r="M10" i="28"/>
  <c r="N10" i="28" s="1"/>
  <c r="M11" i="28"/>
  <c r="N11" i="28" s="1"/>
  <c r="M12" i="28"/>
  <c r="N12" i="28" s="1"/>
  <c r="M13" i="28"/>
  <c r="N13" i="28" s="1"/>
  <c r="M14" i="28"/>
  <c r="N14" i="28" s="1"/>
  <c r="M15" i="28"/>
  <c r="N15" i="28" s="1"/>
  <c r="M16" i="28"/>
  <c r="N16" i="28" s="1"/>
  <c r="M4" i="28"/>
  <c r="M38" i="35" l="1"/>
  <c r="M39" i="35" s="1"/>
  <c r="M40" i="35" s="1"/>
  <c r="M41" i="35" s="1"/>
  <c r="M42" i="35" s="1"/>
  <c r="M43" i="35" s="1"/>
  <c r="M44" i="35" s="1"/>
  <c r="M45" i="35" s="1"/>
  <c r="M46" i="35" s="1"/>
  <c r="M47" i="35" s="1"/>
  <c r="M48" i="35" s="1"/>
  <c r="M49" i="35" s="1"/>
  <c r="M50" i="35" s="1"/>
  <c r="M51" i="35" s="1"/>
  <c r="M52" i="35" s="1"/>
  <c r="M53" i="35" s="1"/>
  <c r="M54" i="35" s="1"/>
  <c r="M55" i="35" s="1"/>
  <c r="M56" i="35" s="1"/>
  <c r="M57" i="35" s="1"/>
  <c r="M58" i="35" s="1"/>
  <c r="M59" i="35" s="1"/>
  <c r="M60" i="35" s="1"/>
  <c r="M61" i="35" s="1"/>
  <c r="M62" i="35" s="1"/>
  <c r="M63" i="35" s="1"/>
  <c r="M64" i="35" s="1"/>
  <c r="M65" i="35" s="1"/>
  <c r="M66" i="35" s="1"/>
  <c r="M67" i="35" s="1"/>
  <c r="G38" i="35"/>
  <c r="G39" i="35" s="1"/>
  <c r="G40" i="35" s="1"/>
  <c r="G41" i="35" s="1"/>
  <c r="G42" i="35" s="1"/>
  <c r="G43" i="35" s="1"/>
  <c r="G44" i="35" s="1"/>
  <c r="G45" i="35" s="1"/>
  <c r="G46" i="35" s="1"/>
  <c r="G47" i="35" s="1"/>
  <c r="G48" i="35" s="1"/>
  <c r="G49" i="35" s="1"/>
  <c r="G50" i="35" s="1"/>
  <c r="G51" i="35" s="1"/>
  <c r="G52" i="35" s="1"/>
  <c r="G53" i="35" s="1"/>
  <c r="G54" i="35" s="1"/>
  <c r="G55" i="35" s="1"/>
  <c r="G56" i="35" s="1"/>
  <c r="G57" i="35" s="1"/>
  <c r="G58" i="35" s="1"/>
  <c r="G59" i="35" s="1"/>
  <c r="G60" i="35" s="1"/>
  <c r="G61" i="35" s="1"/>
  <c r="G62" i="35" s="1"/>
  <c r="G63" i="35" s="1"/>
  <c r="G64" i="35" s="1"/>
  <c r="G65" i="35" s="1"/>
  <c r="G66" i="35" s="1"/>
  <c r="G67" i="35" s="1"/>
  <c r="H45" i="34" l="1"/>
  <c r="G45" i="34"/>
  <c r="S45" i="34" s="1"/>
  <c r="F41" i="28" l="1"/>
  <c r="F42" i="28"/>
  <c r="F43" i="28"/>
  <c r="F40" i="28"/>
  <c r="K106" i="28" l="1"/>
  <c r="J107" i="28"/>
  <c r="J108" i="28"/>
  <c r="J109" i="28"/>
  <c r="J110" i="28"/>
  <c r="J111" i="28"/>
  <c r="J112" i="28"/>
  <c r="J113" i="28"/>
  <c r="J114" i="28"/>
  <c r="J115" i="28"/>
  <c r="J116" i="28"/>
  <c r="J117" i="28"/>
  <c r="J118" i="28"/>
  <c r="J119" i="28"/>
  <c r="J120" i="28"/>
  <c r="J121" i="28"/>
  <c r="J122" i="28"/>
  <c r="J123" i="28"/>
  <c r="J124" i="28"/>
  <c r="J125" i="28"/>
  <c r="J126" i="28"/>
  <c r="J127" i="28"/>
  <c r="J128" i="28"/>
  <c r="J129" i="28"/>
  <c r="J130" i="28"/>
  <c r="J131" i="28"/>
  <c r="J132" i="28"/>
  <c r="J133" i="28"/>
  <c r="J134" i="28"/>
  <c r="J135" i="28"/>
  <c r="J136" i="28"/>
  <c r="J137" i="28"/>
  <c r="J138" i="28"/>
  <c r="J139" i="28"/>
  <c r="J140" i="28"/>
  <c r="J141" i="28"/>
  <c r="J142" i="28"/>
  <c r="J143" i="28"/>
  <c r="J144" i="28"/>
  <c r="J43" i="28"/>
  <c r="G44" i="34"/>
  <c r="S44" i="34" s="1"/>
  <c r="G43" i="34" l="1"/>
  <c r="S43" i="34" s="1"/>
  <c r="G42" i="34"/>
  <c r="H43" i="34"/>
  <c r="H42" i="34"/>
  <c r="D65" i="23" l="1"/>
  <c r="E65" i="23"/>
  <c r="F65" i="23"/>
  <c r="G65" i="23"/>
  <c r="H65" i="23"/>
  <c r="I65" i="23"/>
  <c r="D66" i="23"/>
  <c r="E66" i="23"/>
  <c r="F66" i="23"/>
  <c r="G66" i="23"/>
  <c r="H66" i="23"/>
  <c r="I66" i="23"/>
  <c r="D67" i="23"/>
  <c r="E67" i="23"/>
  <c r="F67" i="23"/>
  <c r="G67" i="23"/>
  <c r="H67" i="23"/>
  <c r="I67" i="23"/>
  <c r="C8" i="23"/>
  <c r="C9" i="23"/>
  <c r="C10" i="23"/>
  <c r="C11" i="23"/>
  <c r="AC7" i="28" l="1"/>
  <c r="AC8" i="28"/>
  <c r="AC9" i="28"/>
  <c r="AC10" i="28"/>
  <c r="AC11" i="28"/>
  <c r="AC12" i="28"/>
  <c r="AC13" i="28"/>
  <c r="AC14" i="28"/>
  <c r="AC15" i="28"/>
  <c r="AC5" i="28"/>
  <c r="AC6" i="28"/>
  <c r="Q42" i="34" l="1"/>
  <c r="P42" i="34"/>
  <c r="S42" i="34" l="1"/>
  <c r="M5" i="35" l="1"/>
  <c r="M6" i="35" s="1"/>
  <c r="M7" i="35" s="1"/>
  <c r="M8" i="35" s="1"/>
  <c r="M9" i="35" s="1"/>
  <c r="M10" i="35" s="1"/>
  <c r="M11" i="35" s="1"/>
  <c r="M12" i="35" s="1"/>
  <c r="M13" i="35" s="1"/>
  <c r="M14" i="35" s="1"/>
  <c r="M15" i="35" s="1"/>
  <c r="M16" i="35" s="1"/>
  <c r="M17" i="35" s="1"/>
  <c r="M18" i="35" s="1"/>
  <c r="M19" i="35" s="1"/>
  <c r="M20" i="35" s="1"/>
  <c r="M21" i="35" s="1"/>
  <c r="M22" i="35" s="1"/>
  <c r="M23" i="35" s="1"/>
  <c r="M24" i="35" s="1"/>
  <c r="M25" i="35" s="1"/>
  <c r="M26" i="35" s="1"/>
  <c r="M27" i="35" s="1"/>
  <c r="M28" i="35" s="1"/>
  <c r="M29" i="35" s="1"/>
  <c r="M30" i="35" s="1"/>
  <c r="M31" i="35" s="1"/>
  <c r="M32" i="35" s="1"/>
  <c r="M33" i="35" s="1"/>
  <c r="M34" i="35" s="1"/>
  <c r="G5" i="35"/>
  <c r="G6" i="35" s="1"/>
  <c r="G7" i="35" s="1"/>
  <c r="G8" i="35" s="1"/>
  <c r="G9" i="35" s="1"/>
  <c r="G10" i="35" s="1"/>
  <c r="G11" i="35" s="1"/>
  <c r="G12" i="35" s="1"/>
  <c r="G13" i="35" s="1"/>
  <c r="G14" i="35" s="1"/>
  <c r="G15" i="35" s="1"/>
  <c r="G16" i="35" s="1"/>
  <c r="G17" i="35" s="1"/>
  <c r="G18" i="35" s="1"/>
  <c r="G19" i="35" s="1"/>
  <c r="G20" i="35" s="1"/>
  <c r="G21" i="35" s="1"/>
  <c r="G22" i="35" s="1"/>
  <c r="G23" i="35" s="1"/>
  <c r="G24" i="35" s="1"/>
  <c r="G25" i="35" s="1"/>
  <c r="G26" i="35" s="1"/>
  <c r="G27" i="35" s="1"/>
  <c r="G28" i="35" s="1"/>
  <c r="G29" i="35" s="1"/>
  <c r="G30" i="35" s="1"/>
  <c r="G31" i="35" s="1"/>
  <c r="G32" i="35" s="1"/>
  <c r="G33" i="35" s="1"/>
  <c r="G34" i="35" s="1"/>
  <c r="C9" i="21" l="1"/>
  <c r="E176" i="28" s="1"/>
  <c r="H33" i="1"/>
  <c r="B35" i="1"/>
  <c r="K35" i="1" s="1"/>
  <c r="F7" i="21"/>
  <c r="F8" i="21" l="1"/>
  <c r="F12" i="21" s="1"/>
  <c r="F15" i="21"/>
  <c r="F14" i="21" l="1"/>
  <c r="F10" i="21" l="1"/>
  <c r="F18" i="21" l="1"/>
  <c r="K30" i="22" l="1"/>
  <c r="M30" i="22"/>
  <c r="P30" i="22"/>
  <c r="R30" i="22"/>
  <c r="K31" i="22"/>
  <c r="M31" i="22"/>
  <c r="P31" i="22"/>
  <c r="R31" i="22"/>
  <c r="K32" i="22"/>
  <c r="M32" i="22"/>
  <c r="P32" i="22"/>
  <c r="R32" i="22"/>
  <c r="K29" i="22"/>
  <c r="M29" i="22"/>
  <c r="N38" i="22" l="1"/>
  <c r="L38" i="22"/>
  <c r="N39" i="22"/>
  <c r="N35" i="22"/>
  <c r="N36" i="22"/>
  <c r="N37" i="22"/>
  <c r="L36" i="22"/>
  <c r="L37" i="22"/>
  <c r="L35" i="22"/>
  <c r="L39" i="22"/>
  <c r="D4" i="38"/>
  <c r="E5" i="38"/>
  <c r="D5" i="38"/>
  <c r="E11" i="38"/>
  <c r="D11" i="38"/>
  <c r="E10" i="38"/>
  <c r="D10" i="38"/>
  <c r="E9" i="38"/>
  <c r="D9" i="38"/>
  <c r="E8" i="38"/>
  <c r="D8" i="38"/>
  <c r="E12" i="38"/>
  <c r="D12" i="38"/>
  <c r="E7" i="38"/>
  <c r="D7" i="38"/>
  <c r="E6" i="38"/>
  <c r="D6" i="38"/>
  <c r="E13" i="38"/>
  <c r="D13" i="38"/>
  <c r="E31" i="38"/>
  <c r="D31" i="38"/>
  <c r="E14" i="38"/>
  <c r="E23" i="38"/>
  <c r="D23" i="38"/>
  <c r="E20" i="38"/>
  <c r="E27" i="38"/>
  <c r="E19" i="38"/>
  <c r="E15" i="38"/>
  <c r="D15" i="38"/>
  <c r="E18" i="38"/>
  <c r="E22" i="38"/>
  <c r="D22" i="38"/>
  <c r="E30" i="38"/>
  <c r="D30" i="38"/>
  <c r="E21" i="38"/>
  <c r="D21" i="38"/>
  <c r="E29" i="38"/>
  <c r="D29" i="38"/>
  <c r="E26" i="38"/>
  <c r="E25" i="38"/>
  <c r="D25" i="38"/>
  <c r="E17" i="38"/>
  <c r="E24" i="38"/>
  <c r="D24" i="38"/>
  <c r="E16" i="38"/>
  <c r="C14" i="29"/>
  <c r="E4" i="38"/>
  <c r="S59" i="22"/>
  <c r="S62" i="22"/>
  <c r="S58" i="22"/>
  <c r="S60" i="22"/>
  <c r="S61" i="22"/>
  <c r="S54" i="22"/>
  <c r="S67" i="22"/>
  <c r="S65" i="22"/>
  <c r="S63" i="22"/>
  <c r="S57" i="22"/>
  <c r="S56" i="22"/>
  <c r="S66" i="22"/>
  <c r="S55" i="22"/>
  <c r="S64" i="22"/>
  <c r="Q54" i="22"/>
  <c r="Q59" i="22"/>
  <c r="Q56" i="22"/>
  <c r="Q64" i="22"/>
  <c r="Q57" i="22"/>
  <c r="Q67" i="22"/>
  <c r="Q63" i="22"/>
  <c r="Q58" i="22"/>
  <c r="Q61" i="22"/>
  <c r="Q66" i="22"/>
  <c r="Q62" i="22"/>
  <c r="Q60" i="22"/>
  <c r="Q65" i="22"/>
  <c r="Q55" i="22"/>
  <c r="N61" i="22"/>
  <c r="N54" i="22"/>
  <c r="N65" i="22"/>
  <c r="N64" i="22"/>
  <c r="N59" i="22"/>
  <c r="N66" i="22"/>
  <c r="N62" i="22"/>
  <c r="N56" i="22"/>
  <c r="N57" i="22"/>
  <c r="N60" i="22"/>
  <c r="N55" i="22"/>
  <c r="N58" i="22"/>
  <c r="N63" i="22"/>
  <c r="N67" i="22"/>
  <c r="L65" i="22"/>
  <c r="L62" i="22"/>
  <c r="L66" i="22"/>
  <c r="L60" i="22"/>
  <c r="L59" i="22"/>
  <c r="L64" i="22"/>
  <c r="L63" i="22"/>
  <c r="L57" i="22"/>
  <c r="L54" i="22"/>
  <c r="L55" i="22"/>
  <c r="L67" i="22"/>
  <c r="L56" i="22"/>
  <c r="L58" i="22"/>
  <c r="L61" i="22"/>
  <c r="N34" i="22"/>
  <c r="N33" i="22"/>
  <c r="L33" i="22"/>
  <c r="L34" i="22"/>
  <c r="N53" i="22"/>
  <c r="N51" i="22"/>
  <c r="N50" i="22"/>
  <c r="N52" i="22"/>
  <c r="L53" i="22"/>
  <c r="L50" i="22"/>
  <c r="L52" i="22"/>
  <c r="L51" i="22"/>
  <c r="L30" i="22"/>
  <c r="N13" i="22"/>
  <c r="N11" i="22"/>
  <c r="N15" i="22"/>
  <c r="N14" i="22"/>
  <c r="N12" i="22"/>
  <c r="N9" i="22"/>
  <c r="N16" i="22"/>
  <c r="N10" i="22"/>
  <c r="L10" i="22"/>
  <c r="L9" i="22"/>
  <c r="L13" i="22"/>
  <c r="L12" i="22"/>
  <c r="L11" i="22"/>
  <c r="L14" i="22"/>
  <c r="L16" i="22"/>
  <c r="L15" i="22"/>
  <c r="N30" i="22"/>
  <c r="N31" i="22"/>
  <c r="L31" i="22"/>
  <c r="N29" i="22"/>
  <c r="N20" i="22"/>
  <c r="N19" i="22"/>
  <c r="N25" i="22"/>
  <c r="N28" i="22"/>
  <c r="N26" i="22"/>
  <c r="N24" i="22"/>
  <c r="N17" i="22"/>
  <c r="N18" i="22"/>
  <c r="N21" i="22"/>
  <c r="N22" i="22"/>
  <c r="N23" i="22"/>
  <c r="N27" i="22"/>
  <c r="L29" i="22"/>
  <c r="L20" i="22"/>
  <c r="L25" i="22"/>
  <c r="L18" i="22"/>
  <c r="L26" i="22"/>
  <c r="L21" i="22"/>
  <c r="L28" i="22"/>
  <c r="L17" i="22"/>
  <c r="L23" i="22"/>
  <c r="L24" i="22"/>
  <c r="L27" i="22"/>
  <c r="L19" i="22"/>
  <c r="L22" i="22"/>
  <c r="N32" i="22"/>
  <c r="L32" i="22"/>
  <c r="C43" i="23"/>
  <c r="E43" i="23" s="1"/>
  <c r="C5" i="29"/>
  <c r="F74" i="1"/>
  <c r="C11" i="29"/>
  <c r="C49" i="23"/>
  <c r="C58" i="23"/>
  <c r="C54" i="23"/>
  <c r="C8" i="29"/>
  <c r="C46" i="23"/>
  <c r="E46" i="23" s="1"/>
  <c r="C7" i="29"/>
  <c r="C45" i="23"/>
  <c r="E45" i="23" s="1"/>
  <c r="C52" i="23"/>
  <c r="F78" i="1"/>
  <c r="F76" i="1"/>
  <c r="F73" i="1"/>
  <c r="F81" i="1"/>
  <c r="F79" i="1"/>
  <c r="F75" i="1"/>
  <c r="O38" i="22" l="1"/>
  <c r="O36" i="22"/>
  <c r="AE58" i="23"/>
  <c r="AF58" i="23"/>
  <c r="AG58" i="23"/>
  <c r="O35" i="22"/>
  <c r="O39" i="22"/>
  <c r="O37" i="22"/>
  <c r="O59" i="22"/>
  <c r="C20" i="29"/>
  <c r="O61" i="22"/>
  <c r="O55" i="22"/>
  <c r="C44" i="23"/>
  <c r="E44" i="23" s="1"/>
  <c r="C6" i="29"/>
  <c r="O10" i="22"/>
  <c r="O66" i="22"/>
  <c r="C23" i="29"/>
  <c r="C28" i="29"/>
  <c r="C59" i="23"/>
  <c r="AH59" i="23" s="1"/>
  <c r="F82" i="1"/>
  <c r="O67" i="22"/>
  <c r="O60" i="22"/>
  <c r="O62" i="22"/>
  <c r="F83" i="1"/>
  <c r="O56" i="22"/>
  <c r="F160" i="1"/>
  <c r="O57" i="22"/>
  <c r="C16" i="29"/>
  <c r="F86" i="1"/>
  <c r="D17" i="38"/>
  <c r="H54" i="21"/>
  <c r="D19" i="38"/>
  <c r="I56" i="21"/>
  <c r="H56" i="21" s="1"/>
  <c r="D14" i="38"/>
  <c r="D18" i="38"/>
  <c r="I55" i="21"/>
  <c r="H55" i="21" s="1"/>
  <c r="D20" i="38"/>
  <c r="I57" i="21"/>
  <c r="H57" i="21" s="1"/>
  <c r="D16" i="38"/>
  <c r="O58" i="22"/>
  <c r="O65" i="22"/>
  <c r="O34" i="22"/>
  <c r="O54" i="22"/>
  <c r="O63" i="22"/>
  <c r="O64" i="22"/>
  <c r="O33" i="22"/>
  <c r="O14" i="22"/>
  <c r="O52" i="22"/>
  <c r="C47" i="23"/>
  <c r="C19" i="29"/>
  <c r="C56" i="23"/>
  <c r="AE56" i="23" s="1"/>
  <c r="F84" i="1"/>
  <c r="C29" i="29"/>
  <c r="C18" i="29"/>
  <c r="C51" i="23"/>
  <c r="O51" i="22"/>
  <c r="C13" i="29"/>
  <c r="F85" i="1"/>
  <c r="C53" i="23"/>
  <c r="C15" i="29"/>
  <c r="C9" i="29"/>
  <c r="O13" i="22"/>
  <c r="O50" i="22"/>
  <c r="O53" i="22"/>
  <c r="O11" i="22"/>
  <c r="O15" i="22"/>
  <c r="O16" i="22"/>
  <c r="O12" i="22"/>
  <c r="O9" i="22"/>
  <c r="O19" i="22"/>
  <c r="O17" i="22"/>
  <c r="O20" i="22"/>
  <c r="C30" i="29"/>
  <c r="C26" i="29"/>
  <c r="F159" i="1"/>
  <c r="C17" i="29"/>
  <c r="C55" i="23"/>
  <c r="C31" i="29"/>
  <c r="C21" i="29"/>
  <c r="C22" i="29"/>
  <c r="C57" i="23"/>
  <c r="O22" i="22"/>
  <c r="O23" i="22"/>
  <c r="O25" i="22"/>
  <c r="O26" i="22"/>
  <c r="O18" i="22"/>
  <c r="O28" i="22"/>
  <c r="O27" i="22"/>
  <c r="O24" i="22"/>
  <c r="O21" i="22"/>
  <c r="C4" i="29"/>
  <c r="C42" i="23"/>
  <c r="E42" i="23" s="1"/>
  <c r="C3" i="29"/>
  <c r="C41" i="23"/>
  <c r="E41" i="23" s="1"/>
  <c r="C50" i="23"/>
  <c r="C12" i="29"/>
  <c r="C27" i="29"/>
  <c r="C48" i="23"/>
  <c r="C10" i="29"/>
  <c r="F80" i="1"/>
  <c r="F77" i="1"/>
  <c r="L17" i="31"/>
  <c r="K44" i="31"/>
  <c r="L44" i="31"/>
  <c r="M44" i="31"/>
  <c r="N44" i="31"/>
  <c r="K42" i="31"/>
  <c r="L42" i="31"/>
  <c r="M42" i="31"/>
  <c r="N42" i="31"/>
  <c r="J21" i="31"/>
  <c r="K21" i="31"/>
  <c r="L21" i="31"/>
  <c r="M21" i="31"/>
  <c r="N21" i="31"/>
  <c r="I21" i="31"/>
  <c r="I17" i="31"/>
  <c r="J17" i="31"/>
  <c r="K17" i="31"/>
  <c r="M17" i="31"/>
  <c r="N17" i="31"/>
  <c r="H17" i="31"/>
  <c r="AH95" i="23" l="1"/>
  <c r="AE57" i="23"/>
  <c r="AF57" i="23"/>
  <c r="AF93" i="23" s="1"/>
  <c r="AE59" i="23"/>
  <c r="AF59" i="23"/>
  <c r="AF95" i="23" s="1"/>
  <c r="AG59" i="23"/>
  <c r="AG95" i="23" s="1"/>
  <c r="AG94" i="23"/>
  <c r="AF94" i="23"/>
  <c r="AD67" i="23"/>
  <c r="AD64" i="23"/>
  <c r="AD61" i="23"/>
  <c r="AD65" i="23"/>
  <c r="AD66" i="23"/>
  <c r="AI65" i="23"/>
  <c r="AJ65" i="23" s="1"/>
  <c r="AI66" i="23"/>
  <c r="AJ66" i="23" s="1"/>
  <c r="AI67" i="23"/>
  <c r="AJ67" i="23" s="1"/>
  <c r="AI64" i="23"/>
  <c r="AJ64" i="23" s="1"/>
  <c r="M13" i="31"/>
  <c r="O10" i="31"/>
  <c r="M31" i="31"/>
  <c r="M7" i="31"/>
  <c r="L75" i="31"/>
  <c r="M75" i="31"/>
  <c r="L69" i="31"/>
  <c r="M69" i="31"/>
  <c r="K69" i="31"/>
  <c r="L76" i="31"/>
  <c r="M76" i="31"/>
  <c r="L70" i="31"/>
  <c r="M70" i="31"/>
  <c r="L61" i="31"/>
  <c r="M61" i="31"/>
  <c r="L56" i="31"/>
  <c r="M56" i="31"/>
  <c r="N15" i="31"/>
  <c r="L47" i="31"/>
  <c r="M47" i="31"/>
  <c r="N47" i="31"/>
  <c r="L48" i="31"/>
  <c r="M48" i="31"/>
  <c r="L40" i="31"/>
  <c r="M40" i="31"/>
  <c r="N40" i="31"/>
  <c r="L38" i="31"/>
  <c r="M38" i="31"/>
  <c r="N38" i="31"/>
  <c r="L31" i="31"/>
  <c r="L32" i="31"/>
  <c r="M32" i="31"/>
  <c r="L24" i="31"/>
  <c r="M24" i="31"/>
  <c r="N24" i="31"/>
  <c r="L25" i="31"/>
  <c r="M25" i="31"/>
  <c r="L19" i="31"/>
  <c r="M19" i="31"/>
  <c r="N19" i="31"/>
  <c r="L13" i="31"/>
  <c r="N13" i="31"/>
  <c r="L11" i="31"/>
  <c r="M11" i="31"/>
  <c r="N11" i="31"/>
  <c r="K11" i="31"/>
  <c r="L15" i="31"/>
  <c r="M15" i="31"/>
  <c r="L7" i="31"/>
  <c r="L8" i="31"/>
  <c r="M8" i="31"/>
  <c r="C2" i="29" l="1"/>
  <c r="J28" i="28" l="1"/>
  <c r="J29" i="28"/>
  <c r="J30" i="28"/>
  <c r="J31" i="28"/>
  <c r="J32" i="28"/>
  <c r="J33" i="28"/>
  <c r="L85" i="30" l="1"/>
  <c r="L78" i="30"/>
  <c r="J78" i="30"/>
  <c r="I78" i="30"/>
  <c r="I73" i="30"/>
  <c r="K71" i="30"/>
  <c r="K82" i="30" s="1"/>
  <c r="K70" i="30"/>
  <c r="K81" i="30" s="1"/>
  <c r="K69" i="30"/>
  <c r="K80" i="30" s="1"/>
  <c r="K68" i="30"/>
  <c r="K79" i="30" s="1"/>
  <c r="L67" i="30"/>
  <c r="J67" i="30"/>
  <c r="I67" i="30"/>
  <c r="J60" i="30"/>
  <c r="J68" i="30" s="1"/>
  <c r="J79" i="30" s="1"/>
  <c r="I60" i="30"/>
  <c r="I68" i="30" s="1"/>
  <c r="I79" i="30" s="1"/>
  <c r="H60" i="30"/>
  <c r="H84" i="30" s="1"/>
  <c r="H85" i="30" s="1"/>
  <c r="H87" i="30" s="1"/>
  <c r="G60" i="30"/>
  <c r="G84" i="30" s="1"/>
  <c r="G85" i="30" s="1"/>
  <c r="G87" i="30" s="1"/>
  <c r="F60" i="30"/>
  <c r="F70" i="30" s="1"/>
  <c r="F81" i="30" s="1"/>
  <c r="E60" i="30"/>
  <c r="E70" i="30" s="1"/>
  <c r="E81" i="30" s="1"/>
  <c r="D60" i="30"/>
  <c r="D71" i="30" s="1"/>
  <c r="D82" i="30" s="1"/>
  <c r="C60" i="30"/>
  <c r="C71" i="30" s="1"/>
  <c r="C82" i="30" s="1"/>
  <c r="B60" i="30"/>
  <c r="B68" i="30" s="1"/>
  <c r="L56" i="30"/>
  <c r="L51" i="30"/>
  <c r="J51" i="30"/>
  <c r="I51" i="30"/>
  <c r="L38" i="30"/>
  <c r="J38" i="30"/>
  <c r="I38" i="30"/>
  <c r="K34" i="30"/>
  <c r="K44" i="30" s="1"/>
  <c r="K45" i="30" s="1"/>
  <c r="K47" i="30" s="1"/>
  <c r="J34" i="30"/>
  <c r="I34" i="30"/>
  <c r="H34" i="30"/>
  <c r="K33" i="30"/>
  <c r="K43" i="30" s="1"/>
  <c r="K31" i="30"/>
  <c r="K41" i="30" s="1"/>
  <c r="K30" i="30"/>
  <c r="K40" i="30" s="1"/>
  <c r="K29" i="30"/>
  <c r="K39" i="30" s="1"/>
  <c r="L28" i="30"/>
  <c r="J28" i="30"/>
  <c r="I28" i="30"/>
  <c r="K25" i="30"/>
  <c r="K26" i="30" s="1"/>
  <c r="K32" i="30" s="1"/>
  <c r="K42" i="30" s="1"/>
  <c r="J25" i="30"/>
  <c r="I25" i="30"/>
  <c r="H25" i="30"/>
  <c r="G25" i="30"/>
  <c r="F25" i="30"/>
  <c r="E25" i="30"/>
  <c r="D25" i="30"/>
  <c r="C25" i="30"/>
  <c r="B25" i="30"/>
  <c r="J20" i="30"/>
  <c r="J33" i="30" s="1"/>
  <c r="J43" i="30" s="1"/>
  <c r="I20" i="30"/>
  <c r="I33" i="30" s="1"/>
  <c r="I43" i="30" s="1"/>
  <c r="H20" i="30"/>
  <c r="H30" i="30" s="1"/>
  <c r="H40" i="30" s="1"/>
  <c r="G20" i="30"/>
  <c r="G44" i="30" s="1"/>
  <c r="G45" i="30" s="1"/>
  <c r="G47" i="30" s="1"/>
  <c r="F20" i="30"/>
  <c r="F31" i="30" s="1"/>
  <c r="F41" i="30" s="1"/>
  <c r="E20" i="30"/>
  <c r="E31" i="30" s="1"/>
  <c r="E41" i="30" s="1"/>
  <c r="D20" i="30"/>
  <c r="C20" i="30"/>
  <c r="C30" i="30" s="1"/>
  <c r="C40" i="30" s="1"/>
  <c r="B20" i="30"/>
  <c r="B33" i="30" s="1"/>
  <c r="B43" i="30" s="1"/>
  <c r="L19" i="30"/>
  <c r="L17" i="30"/>
  <c r="L65" i="29"/>
  <c r="J65" i="29"/>
  <c r="H65" i="29"/>
  <c r="E65" i="29"/>
  <c r="D65" i="29"/>
  <c r="L64" i="29"/>
  <c r="J64" i="29"/>
  <c r="H64" i="29"/>
  <c r="E64" i="29"/>
  <c r="D64" i="29"/>
  <c r="L63" i="29"/>
  <c r="J63" i="29"/>
  <c r="H63" i="29"/>
  <c r="E63" i="29"/>
  <c r="D63" i="29"/>
  <c r="L62" i="29"/>
  <c r="J62" i="29"/>
  <c r="H62" i="29"/>
  <c r="E62" i="29"/>
  <c r="D62" i="29"/>
  <c r="L61" i="29"/>
  <c r="J61" i="29"/>
  <c r="H61" i="29"/>
  <c r="E61" i="29"/>
  <c r="D61" i="29"/>
  <c r="L60" i="29"/>
  <c r="J60" i="29"/>
  <c r="H60" i="29"/>
  <c r="E60" i="29"/>
  <c r="D60" i="29"/>
  <c r="L59" i="29"/>
  <c r="J59" i="29"/>
  <c r="H59" i="29"/>
  <c r="E59" i="29"/>
  <c r="D59" i="29"/>
  <c r="L58" i="29"/>
  <c r="J58" i="29"/>
  <c r="H58" i="29"/>
  <c r="E58" i="29"/>
  <c r="D58" i="29"/>
  <c r="L57" i="29"/>
  <c r="J57" i="29"/>
  <c r="H57" i="29"/>
  <c r="E57" i="29"/>
  <c r="D57" i="29"/>
  <c r="L56" i="29"/>
  <c r="J56" i="29"/>
  <c r="H56" i="29"/>
  <c r="E56" i="29"/>
  <c r="D56" i="29"/>
  <c r="L55" i="29"/>
  <c r="J55" i="29"/>
  <c r="H55" i="29"/>
  <c r="E55" i="29"/>
  <c r="D55" i="29"/>
  <c r="L54" i="29"/>
  <c r="J54" i="29"/>
  <c r="H54" i="29"/>
  <c r="E54" i="29"/>
  <c r="D54" i="29"/>
  <c r="L53" i="29"/>
  <c r="J53" i="29"/>
  <c r="H53" i="29"/>
  <c r="E53" i="29"/>
  <c r="D53" i="29"/>
  <c r="L52" i="29"/>
  <c r="J52" i="29"/>
  <c r="H52" i="29"/>
  <c r="E52" i="29"/>
  <c r="D52" i="29"/>
  <c r="L51" i="29"/>
  <c r="J51" i="29"/>
  <c r="H51" i="29"/>
  <c r="E51" i="29"/>
  <c r="D51" i="29"/>
  <c r="L50" i="29"/>
  <c r="J50" i="29"/>
  <c r="H50" i="29"/>
  <c r="E50" i="29"/>
  <c r="D50" i="29"/>
  <c r="L49" i="29"/>
  <c r="J49" i="29"/>
  <c r="H49" i="29"/>
  <c r="E49" i="29"/>
  <c r="D49" i="29"/>
  <c r="L48" i="29"/>
  <c r="J48" i="29"/>
  <c r="H48" i="29"/>
  <c r="E48" i="29"/>
  <c r="D48" i="29"/>
  <c r="L47" i="29"/>
  <c r="J47" i="29"/>
  <c r="H47" i="29"/>
  <c r="E47" i="29"/>
  <c r="D47" i="29"/>
  <c r="L46" i="29"/>
  <c r="J46" i="29"/>
  <c r="H46" i="29"/>
  <c r="E46" i="29"/>
  <c r="D46" i="29"/>
  <c r="L45" i="29"/>
  <c r="J45" i="29"/>
  <c r="H45" i="29"/>
  <c r="E45" i="29"/>
  <c r="D45" i="29"/>
  <c r="L44" i="29"/>
  <c r="J44" i="29"/>
  <c r="H44" i="29"/>
  <c r="E44" i="29"/>
  <c r="D44" i="29"/>
  <c r="L43" i="29"/>
  <c r="J43" i="29"/>
  <c r="H43" i="29"/>
  <c r="E43" i="29"/>
  <c r="D43" i="29"/>
  <c r="L42" i="29"/>
  <c r="J42" i="29"/>
  <c r="H42" i="29"/>
  <c r="E42" i="29"/>
  <c r="D42" i="29"/>
  <c r="L41" i="29"/>
  <c r="J41" i="29"/>
  <c r="H41" i="29"/>
  <c r="E41" i="29"/>
  <c r="D41" i="29"/>
  <c r="L40" i="29"/>
  <c r="J40" i="29"/>
  <c r="H40" i="29"/>
  <c r="E40" i="29"/>
  <c r="D40" i="29"/>
  <c r="L39" i="29"/>
  <c r="J39" i="29"/>
  <c r="H39" i="29"/>
  <c r="E39" i="29"/>
  <c r="D39" i="29"/>
  <c r="L38" i="29"/>
  <c r="J38" i="29"/>
  <c r="H38" i="29"/>
  <c r="E38" i="29"/>
  <c r="D38" i="29"/>
  <c r="L37" i="29"/>
  <c r="J37" i="29"/>
  <c r="H37" i="29"/>
  <c r="E37" i="29"/>
  <c r="D37" i="29"/>
  <c r="L36" i="29"/>
  <c r="J36" i="29"/>
  <c r="H36" i="29"/>
  <c r="E36" i="29"/>
  <c r="D36" i="29"/>
  <c r="J35" i="29"/>
  <c r="H35" i="29"/>
  <c r="E35" i="29"/>
  <c r="D35" i="29"/>
  <c r="L30" i="29"/>
  <c r="J30" i="29"/>
  <c r="L29" i="29"/>
  <c r="J29" i="29"/>
  <c r="L28" i="29"/>
  <c r="J28" i="29"/>
  <c r="J27" i="29"/>
  <c r="L26" i="29"/>
  <c r="J26" i="29"/>
  <c r="L25" i="29"/>
  <c r="J25" i="29"/>
  <c r="L24" i="29"/>
  <c r="J24" i="29"/>
  <c r="L23" i="29"/>
  <c r="J23" i="29"/>
  <c r="L21" i="29"/>
  <c r="J21" i="29"/>
  <c r="L20" i="29"/>
  <c r="J20" i="29"/>
  <c r="L19" i="29"/>
  <c r="J19" i="29"/>
  <c r="L18" i="29"/>
  <c r="J18" i="29"/>
  <c r="L17" i="29"/>
  <c r="J17" i="29"/>
  <c r="L15" i="29"/>
  <c r="J15" i="29"/>
  <c r="L14" i="29"/>
  <c r="J14" i="29"/>
  <c r="L13" i="29"/>
  <c r="J13" i="29"/>
  <c r="L12" i="29"/>
  <c r="J12" i="29"/>
  <c r="L11" i="29"/>
  <c r="J11" i="29"/>
  <c r="L9" i="29"/>
  <c r="J9" i="29"/>
  <c r="L8" i="29"/>
  <c r="J8" i="29"/>
  <c r="L7" i="29"/>
  <c r="J7" i="29"/>
  <c r="J6" i="29"/>
  <c r="L5" i="29"/>
  <c r="J5" i="29"/>
  <c r="L4" i="29"/>
  <c r="J4" i="29"/>
  <c r="L3" i="29"/>
  <c r="J3" i="29"/>
  <c r="B3" i="29"/>
  <c r="J2" i="29"/>
  <c r="B2" i="29"/>
  <c r="AN103" i="23"/>
  <c r="AN102" i="23"/>
  <c r="AN101" i="23"/>
  <c r="AN100" i="23"/>
  <c r="AD103" i="23"/>
  <c r="AC67" i="23"/>
  <c r="AC103" i="23" s="1"/>
  <c r="AB67" i="23"/>
  <c r="AB103" i="23" s="1"/>
  <c r="AA67" i="23"/>
  <c r="AA103" i="23" s="1"/>
  <c r="Z67" i="23"/>
  <c r="Z103" i="23" s="1"/>
  <c r="Y67" i="23"/>
  <c r="Y103" i="23" s="1"/>
  <c r="X67" i="23"/>
  <c r="X103" i="23" s="1"/>
  <c r="W67" i="23"/>
  <c r="W103" i="23" s="1"/>
  <c r="V67" i="23"/>
  <c r="V103" i="23" s="1"/>
  <c r="U67" i="23"/>
  <c r="U103" i="23" s="1"/>
  <c r="T67" i="23"/>
  <c r="T103" i="23" s="1"/>
  <c r="S67" i="23"/>
  <c r="S103" i="23" s="1"/>
  <c r="R67" i="23"/>
  <c r="R103" i="23" s="1"/>
  <c r="Q67" i="23"/>
  <c r="Q103" i="23" s="1"/>
  <c r="P67" i="23"/>
  <c r="P103" i="23" s="1"/>
  <c r="O67" i="23"/>
  <c r="O103" i="23" s="1"/>
  <c r="N67" i="23"/>
  <c r="N103" i="23" s="1"/>
  <c r="M67" i="23"/>
  <c r="M103" i="23" s="1"/>
  <c r="L67" i="23"/>
  <c r="L103" i="23" s="1"/>
  <c r="K67" i="23"/>
  <c r="K103" i="23" s="1"/>
  <c r="J67" i="23"/>
  <c r="J103" i="23" s="1"/>
  <c r="I103" i="23"/>
  <c r="H103" i="23"/>
  <c r="G103" i="23"/>
  <c r="F103" i="23"/>
  <c r="E103" i="23"/>
  <c r="D103" i="23"/>
  <c r="AC66" i="23"/>
  <c r="AC102" i="23" s="1"/>
  <c r="AB66" i="23"/>
  <c r="AB102" i="23" s="1"/>
  <c r="AA66" i="23"/>
  <c r="AA102" i="23" s="1"/>
  <c r="Z66" i="23"/>
  <c r="Z102" i="23" s="1"/>
  <c r="Y66" i="23"/>
  <c r="Y102" i="23" s="1"/>
  <c r="X66" i="23"/>
  <c r="X102" i="23" s="1"/>
  <c r="W66" i="23"/>
  <c r="W102" i="23" s="1"/>
  <c r="V66" i="23"/>
  <c r="V102" i="23" s="1"/>
  <c r="U66" i="23"/>
  <c r="U102" i="23" s="1"/>
  <c r="T66" i="23"/>
  <c r="T102" i="23" s="1"/>
  <c r="S66" i="23"/>
  <c r="S102" i="23" s="1"/>
  <c r="R66" i="23"/>
  <c r="R102" i="23" s="1"/>
  <c r="Q66" i="23"/>
  <c r="Q102" i="23" s="1"/>
  <c r="P66" i="23"/>
  <c r="P102" i="23" s="1"/>
  <c r="O66" i="23"/>
  <c r="O102" i="23" s="1"/>
  <c r="N66" i="23"/>
  <c r="N102" i="23" s="1"/>
  <c r="M66" i="23"/>
  <c r="M102" i="23" s="1"/>
  <c r="L66" i="23"/>
  <c r="L102" i="23" s="1"/>
  <c r="K66" i="23"/>
  <c r="K102" i="23" s="1"/>
  <c r="J66" i="23"/>
  <c r="J102" i="23" s="1"/>
  <c r="I102" i="23"/>
  <c r="H102" i="23"/>
  <c r="G102" i="23"/>
  <c r="F102" i="23"/>
  <c r="E102" i="23"/>
  <c r="D102" i="23"/>
  <c r="AB65" i="23"/>
  <c r="AB101" i="23" s="1"/>
  <c r="AA65" i="23"/>
  <c r="AA101" i="23" s="1"/>
  <c r="Z65" i="23"/>
  <c r="Z101" i="23" s="1"/>
  <c r="Y65" i="23"/>
  <c r="Y101" i="23" s="1"/>
  <c r="X65" i="23"/>
  <c r="X101" i="23" s="1"/>
  <c r="W65" i="23"/>
  <c r="W101" i="23" s="1"/>
  <c r="V65" i="23"/>
  <c r="V101" i="23" s="1"/>
  <c r="U65" i="23"/>
  <c r="U101" i="23" s="1"/>
  <c r="T65" i="23"/>
  <c r="T101" i="23" s="1"/>
  <c r="S65" i="23"/>
  <c r="S101" i="23" s="1"/>
  <c r="R65" i="23"/>
  <c r="R101" i="23" s="1"/>
  <c r="Q65" i="23"/>
  <c r="Q101" i="23" s="1"/>
  <c r="P65" i="23"/>
  <c r="P101" i="23" s="1"/>
  <c r="O65" i="23"/>
  <c r="O101" i="23" s="1"/>
  <c r="N65" i="23"/>
  <c r="N101" i="23" s="1"/>
  <c r="M65" i="23"/>
  <c r="M101" i="23" s="1"/>
  <c r="L65" i="23"/>
  <c r="L101" i="23" s="1"/>
  <c r="K65" i="23"/>
  <c r="K101" i="23" s="1"/>
  <c r="J65" i="23"/>
  <c r="J101" i="23" s="1"/>
  <c r="I101" i="23"/>
  <c r="H101" i="23"/>
  <c r="G101" i="23"/>
  <c r="F101" i="23"/>
  <c r="E101" i="23"/>
  <c r="D101" i="23"/>
  <c r="AA64" i="23"/>
  <c r="AA100" i="23" s="1"/>
  <c r="Z64" i="23"/>
  <c r="Z100" i="23" s="1"/>
  <c r="Y64" i="23"/>
  <c r="Y100" i="23" s="1"/>
  <c r="X64" i="23"/>
  <c r="X100" i="23" s="1"/>
  <c r="W64" i="23"/>
  <c r="W100" i="23" s="1"/>
  <c r="V64" i="23"/>
  <c r="V100" i="23" s="1"/>
  <c r="U64" i="23"/>
  <c r="U100" i="23" s="1"/>
  <c r="T64" i="23"/>
  <c r="T100" i="23" s="1"/>
  <c r="S64" i="23"/>
  <c r="S100" i="23" s="1"/>
  <c r="R64" i="23"/>
  <c r="R100" i="23" s="1"/>
  <c r="Q64" i="23"/>
  <c r="Q100" i="23" s="1"/>
  <c r="P64" i="23"/>
  <c r="P100" i="23" s="1"/>
  <c r="O64" i="23"/>
  <c r="O100" i="23" s="1"/>
  <c r="N64" i="23"/>
  <c r="N100" i="23" s="1"/>
  <c r="M64" i="23"/>
  <c r="M100" i="23" s="1"/>
  <c r="L64" i="23"/>
  <c r="L100" i="23" s="1"/>
  <c r="K64" i="23"/>
  <c r="K100" i="23" s="1"/>
  <c r="J64" i="23"/>
  <c r="J100" i="23" s="1"/>
  <c r="I64" i="23"/>
  <c r="I100" i="23" s="1"/>
  <c r="H64" i="23"/>
  <c r="H100" i="23" s="1"/>
  <c r="G64" i="23"/>
  <c r="G100" i="23" s="1"/>
  <c r="Y63" i="23"/>
  <c r="Y99" i="23" s="1"/>
  <c r="X63" i="23"/>
  <c r="X99" i="23" s="1"/>
  <c r="W63" i="23"/>
  <c r="W99" i="23" s="1"/>
  <c r="V63" i="23"/>
  <c r="V99" i="23" s="1"/>
  <c r="U63" i="23"/>
  <c r="U99" i="23" s="1"/>
  <c r="T63" i="23"/>
  <c r="T99" i="23" s="1"/>
  <c r="S63" i="23"/>
  <c r="S99" i="23" s="1"/>
  <c r="R63" i="23"/>
  <c r="R99" i="23" s="1"/>
  <c r="Q63" i="23"/>
  <c r="Q99" i="23" s="1"/>
  <c r="P63" i="23"/>
  <c r="P99" i="23" s="1"/>
  <c r="O63" i="23"/>
  <c r="O99" i="23" s="1"/>
  <c r="N63" i="23"/>
  <c r="N99" i="23" s="1"/>
  <c r="M63" i="23"/>
  <c r="M99" i="23" s="1"/>
  <c r="L63" i="23"/>
  <c r="L99" i="23" s="1"/>
  <c r="K63" i="23"/>
  <c r="K99" i="23" s="1"/>
  <c r="J63" i="23"/>
  <c r="J99" i="23" s="1"/>
  <c r="I63" i="23"/>
  <c r="I99" i="23" s="1"/>
  <c r="H63" i="23"/>
  <c r="H99" i="23" s="1"/>
  <c r="G63" i="23"/>
  <c r="G99" i="23" s="1"/>
  <c r="Y62" i="23"/>
  <c r="Y98" i="23" s="1"/>
  <c r="X62" i="23"/>
  <c r="X98" i="23" s="1"/>
  <c r="W62" i="23"/>
  <c r="W98" i="23" s="1"/>
  <c r="V62" i="23"/>
  <c r="V98" i="23" s="1"/>
  <c r="U62" i="23"/>
  <c r="U98" i="23" s="1"/>
  <c r="T62" i="23"/>
  <c r="T98" i="23" s="1"/>
  <c r="S62" i="23"/>
  <c r="S98" i="23" s="1"/>
  <c r="R62" i="23"/>
  <c r="R98" i="23" s="1"/>
  <c r="Q62" i="23"/>
  <c r="Q98" i="23" s="1"/>
  <c r="P62" i="23"/>
  <c r="P98" i="23" s="1"/>
  <c r="O62" i="23"/>
  <c r="O98" i="23" s="1"/>
  <c r="N62" i="23"/>
  <c r="N98" i="23" s="1"/>
  <c r="M62" i="23"/>
  <c r="M98" i="23" s="1"/>
  <c r="L62" i="23"/>
  <c r="L98" i="23" s="1"/>
  <c r="K62" i="23"/>
  <c r="K98" i="23" s="1"/>
  <c r="J62" i="23"/>
  <c r="J98" i="23" s="1"/>
  <c r="I62" i="23"/>
  <c r="I98" i="23" s="1"/>
  <c r="H62" i="23"/>
  <c r="H98" i="23" s="1"/>
  <c r="G62" i="23"/>
  <c r="G98" i="23" s="1"/>
  <c r="X61" i="23"/>
  <c r="X97" i="23" s="1"/>
  <c r="W61" i="23"/>
  <c r="W97" i="23" s="1"/>
  <c r="V61" i="23"/>
  <c r="V97" i="23" s="1"/>
  <c r="U61" i="23"/>
  <c r="U97" i="23" s="1"/>
  <c r="T61" i="23"/>
  <c r="T97" i="23" s="1"/>
  <c r="S61" i="23"/>
  <c r="S97" i="23" s="1"/>
  <c r="R61" i="23"/>
  <c r="R97" i="23" s="1"/>
  <c r="Q61" i="23"/>
  <c r="Q97" i="23" s="1"/>
  <c r="P61" i="23"/>
  <c r="P97" i="23" s="1"/>
  <c r="O61" i="23"/>
  <c r="O97" i="23" s="1"/>
  <c r="N61" i="23"/>
  <c r="N97" i="23" s="1"/>
  <c r="M61" i="23"/>
  <c r="M97" i="23" s="1"/>
  <c r="L61" i="23"/>
  <c r="L97" i="23" s="1"/>
  <c r="K61" i="23"/>
  <c r="K97" i="23" s="1"/>
  <c r="J61" i="23"/>
  <c r="J97" i="23" s="1"/>
  <c r="I61" i="23"/>
  <c r="I97" i="23" s="1"/>
  <c r="H61" i="23"/>
  <c r="H97" i="23" s="1"/>
  <c r="G61" i="23"/>
  <c r="G97" i="23" s="1"/>
  <c r="W60" i="23"/>
  <c r="W96" i="23" s="1"/>
  <c r="V60" i="23"/>
  <c r="V96" i="23" s="1"/>
  <c r="U60" i="23"/>
  <c r="U96" i="23" s="1"/>
  <c r="T60" i="23"/>
  <c r="T96" i="23" s="1"/>
  <c r="S60" i="23"/>
  <c r="S96" i="23" s="1"/>
  <c r="R60" i="23"/>
  <c r="R96" i="23" s="1"/>
  <c r="Q60" i="23"/>
  <c r="Q96" i="23" s="1"/>
  <c r="P60" i="23"/>
  <c r="P96" i="23" s="1"/>
  <c r="O60" i="23"/>
  <c r="O96" i="23" s="1"/>
  <c r="N60" i="23"/>
  <c r="N96" i="23" s="1"/>
  <c r="M60" i="23"/>
  <c r="M96" i="23" s="1"/>
  <c r="L60" i="23"/>
  <c r="L96" i="23" s="1"/>
  <c r="K60" i="23"/>
  <c r="K96" i="23" s="1"/>
  <c r="J60" i="23"/>
  <c r="J96" i="23" s="1"/>
  <c r="I60" i="23"/>
  <c r="I96" i="23" s="1"/>
  <c r="H60" i="23"/>
  <c r="H96" i="23" s="1"/>
  <c r="G60" i="23"/>
  <c r="G96" i="23" s="1"/>
  <c r="AE95" i="23"/>
  <c r="AD59" i="23"/>
  <c r="AD95" i="23" s="1"/>
  <c r="V59" i="23"/>
  <c r="V95" i="23" s="1"/>
  <c r="U59" i="23"/>
  <c r="U95" i="23" s="1"/>
  <c r="T59" i="23"/>
  <c r="T95" i="23" s="1"/>
  <c r="S59" i="23"/>
  <c r="S95" i="23" s="1"/>
  <c r="R59" i="23"/>
  <c r="R95" i="23" s="1"/>
  <c r="Q59" i="23"/>
  <c r="Q95" i="23" s="1"/>
  <c r="P59" i="23"/>
  <c r="P95" i="23" s="1"/>
  <c r="O59" i="23"/>
  <c r="O95" i="23" s="1"/>
  <c r="N59" i="23"/>
  <c r="N95" i="23" s="1"/>
  <c r="M59" i="23"/>
  <c r="M95" i="23" s="1"/>
  <c r="L59" i="23"/>
  <c r="L95" i="23" s="1"/>
  <c r="K59" i="23"/>
  <c r="K95" i="23" s="1"/>
  <c r="J59" i="23"/>
  <c r="J95" i="23" s="1"/>
  <c r="I59" i="23"/>
  <c r="I95" i="23" s="1"/>
  <c r="H59" i="23"/>
  <c r="H95" i="23" s="1"/>
  <c r="G59" i="23"/>
  <c r="G95" i="23" s="1"/>
  <c r="AE94" i="23"/>
  <c r="AD58" i="23"/>
  <c r="AD94" i="23" s="1"/>
  <c r="U58" i="23"/>
  <c r="U94" i="23" s="1"/>
  <c r="T58" i="23"/>
  <c r="T94" i="23" s="1"/>
  <c r="S58" i="23"/>
  <c r="S94" i="23" s="1"/>
  <c r="R58" i="23"/>
  <c r="R94" i="23" s="1"/>
  <c r="Q58" i="23"/>
  <c r="Q94" i="23" s="1"/>
  <c r="P58" i="23"/>
  <c r="P94" i="23" s="1"/>
  <c r="O58" i="23"/>
  <c r="O94" i="23" s="1"/>
  <c r="N58" i="23"/>
  <c r="N94" i="23" s="1"/>
  <c r="M58" i="23"/>
  <c r="M94" i="23" s="1"/>
  <c r="L58" i="23"/>
  <c r="L94" i="23" s="1"/>
  <c r="K58" i="23"/>
  <c r="K94" i="23" s="1"/>
  <c r="J58" i="23"/>
  <c r="J94" i="23" s="1"/>
  <c r="I58" i="23"/>
  <c r="I94" i="23" s="1"/>
  <c r="H58" i="23"/>
  <c r="H94" i="23" s="1"/>
  <c r="G58" i="23"/>
  <c r="G94" i="23" s="1"/>
  <c r="AE93" i="23"/>
  <c r="AD57" i="23"/>
  <c r="AD93" i="23" s="1"/>
  <c r="AC57" i="23"/>
  <c r="AC93" i="23" s="1"/>
  <c r="T57" i="23"/>
  <c r="T93" i="23" s="1"/>
  <c r="S57" i="23"/>
  <c r="S93" i="23" s="1"/>
  <c r="R57" i="23"/>
  <c r="R93" i="23" s="1"/>
  <c r="Q57" i="23"/>
  <c r="Q93" i="23" s="1"/>
  <c r="P57" i="23"/>
  <c r="P93" i="23" s="1"/>
  <c r="O57" i="23"/>
  <c r="O93" i="23" s="1"/>
  <c r="N57" i="23"/>
  <c r="N93" i="23" s="1"/>
  <c r="M57" i="23"/>
  <c r="M93" i="23" s="1"/>
  <c r="L57" i="23"/>
  <c r="L93" i="23" s="1"/>
  <c r="K57" i="23"/>
  <c r="K93" i="23" s="1"/>
  <c r="J57" i="23"/>
  <c r="J93" i="23" s="1"/>
  <c r="I57" i="23"/>
  <c r="I93" i="23" s="1"/>
  <c r="H57" i="23"/>
  <c r="H93" i="23" s="1"/>
  <c r="G57" i="23"/>
  <c r="G93" i="23" s="1"/>
  <c r="AE92" i="23"/>
  <c r="AD56" i="23"/>
  <c r="AD92" i="23" s="1"/>
  <c r="AC56" i="23"/>
  <c r="AC92" i="23" s="1"/>
  <c r="AB56" i="23"/>
  <c r="AB92" i="23" s="1"/>
  <c r="S56" i="23"/>
  <c r="S92" i="23" s="1"/>
  <c r="R56" i="23"/>
  <c r="R92" i="23" s="1"/>
  <c r="Q56" i="23"/>
  <c r="Q92" i="23" s="1"/>
  <c r="P56" i="23"/>
  <c r="P92" i="23" s="1"/>
  <c r="O56" i="23"/>
  <c r="O92" i="23" s="1"/>
  <c r="N56" i="23"/>
  <c r="N92" i="23" s="1"/>
  <c r="M56" i="23"/>
  <c r="M92" i="23" s="1"/>
  <c r="L56" i="23"/>
  <c r="L92" i="23" s="1"/>
  <c r="K56" i="23"/>
  <c r="K92" i="23" s="1"/>
  <c r="J56" i="23"/>
  <c r="J92" i="23" s="1"/>
  <c r="I56" i="23"/>
  <c r="I92" i="23" s="1"/>
  <c r="H56" i="23"/>
  <c r="H92" i="23" s="1"/>
  <c r="G56" i="23"/>
  <c r="G92" i="23" s="1"/>
  <c r="AE91" i="23"/>
  <c r="AD55" i="23"/>
  <c r="AD91" i="23" s="1"/>
  <c r="AC55" i="23"/>
  <c r="AC91" i="23" s="1"/>
  <c r="AB55" i="23"/>
  <c r="AB91" i="23" s="1"/>
  <c r="AA55" i="23"/>
  <c r="AA91" i="23" s="1"/>
  <c r="R55" i="23"/>
  <c r="R91" i="23" s="1"/>
  <c r="Q55" i="23"/>
  <c r="Q91" i="23" s="1"/>
  <c r="P55" i="23"/>
  <c r="P91" i="23" s="1"/>
  <c r="O55" i="23"/>
  <c r="O91" i="23" s="1"/>
  <c r="N55" i="23"/>
  <c r="N91" i="23" s="1"/>
  <c r="M55" i="23"/>
  <c r="M91" i="23" s="1"/>
  <c r="L55" i="23"/>
  <c r="L91" i="23" s="1"/>
  <c r="K55" i="23"/>
  <c r="K91" i="23" s="1"/>
  <c r="J55" i="23"/>
  <c r="J91" i="23" s="1"/>
  <c r="I55" i="23"/>
  <c r="I91" i="23" s="1"/>
  <c r="H55" i="23"/>
  <c r="H91" i="23" s="1"/>
  <c r="G55" i="23"/>
  <c r="G91" i="23" s="1"/>
  <c r="AE90" i="23"/>
  <c r="AD54" i="23"/>
  <c r="AD90" i="23" s="1"/>
  <c r="AC54" i="23"/>
  <c r="AC90" i="23" s="1"/>
  <c r="AB54" i="23"/>
  <c r="AB90" i="23" s="1"/>
  <c r="AA54" i="23"/>
  <c r="AA90" i="23" s="1"/>
  <c r="Z54" i="23"/>
  <c r="Z90" i="23" s="1"/>
  <c r="Q54" i="23"/>
  <c r="Q90" i="23" s="1"/>
  <c r="P54" i="23"/>
  <c r="P90" i="23" s="1"/>
  <c r="O54" i="23"/>
  <c r="O90" i="23" s="1"/>
  <c r="N54" i="23"/>
  <c r="N90" i="23" s="1"/>
  <c r="M54" i="23"/>
  <c r="M90" i="23" s="1"/>
  <c r="L54" i="23"/>
  <c r="L90" i="23" s="1"/>
  <c r="K54" i="23"/>
  <c r="K90" i="23" s="1"/>
  <c r="J54" i="23"/>
  <c r="J90" i="23" s="1"/>
  <c r="I54" i="23"/>
  <c r="I90" i="23" s="1"/>
  <c r="H54" i="23"/>
  <c r="H90" i="23" s="1"/>
  <c r="G54" i="23"/>
  <c r="G90" i="23" s="1"/>
  <c r="AE89" i="23"/>
  <c r="AD53" i="23"/>
  <c r="AD89" i="23" s="1"/>
  <c r="AC53" i="23"/>
  <c r="AC89" i="23" s="1"/>
  <c r="AB53" i="23"/>
  <c r="AB89" i="23" s="1"/>
  <c r="AA53" i="23"/>
  <c r="AA89" i="23" s="1"/>
  <c r="Z53" i="23"/>
  <c r="Z89" i="23" s="1"/>
  <c r="Y53" i="23"/>
  <c r="Y89" i="23" s="1"/>
  <c r="P53" i="23"/>
  <c r="P89" i="23" s="1"/>
  <c r="O53" i="23"/>
  <c r="O89" i="23" s="1"/>
  <c r="N53" i="23"/>
  <c r="N89" i="23" s="1"/>
  <c r="M53" i="23"/>
  <c r="M89" i="23" s="1"/>
  <c r="L53" i="23"/>
  <c r="L89" i="23" s="1"/>
  <c r="K53" i="23"/>
  <c r="K89" i="23" s="1"/>
  <c r="J53" i="23"/>
  <c r="J89" i="23" s="1"/>
  <c r="I53" i="23"/>
  <c r="I89" i="23" s="1"/>
  <c r="H53" i="23"/>
  <c r="H89" i="23" s="1"/>
  <c r="G53" i="23"/>
  <c r="G89" i="23" s="1"/>
  <c r="AE88" i="23"/>
  <c r="AD52" i="23"/>
  <c r="AD88" i="23" s="1"/>
  <c r="AC52" i="23"/>
  <c r="AC88" i="23" s="1"/>
  <c r="AB52" i="23"/>
  <c r="AB88" i="23" s="1"/>
  <c r="AA52" i="23"/>
  <c r="AA88" i="23" s="1"/>
  <c r="Z52" i="23"/>
  <c r="Z88" i="23" s="1"/>
  <c r="Y52" i="23"/>
  <c r="Y88" i="23" s="1"/>
  <c r="X52" i="23"/>
  <c r="X88" i="23" s="1"/>
  <c r="W52" i="23"/>
  <c r="W88" i="23" s="1"/>
  <c r="O52" i="23"/>
  <c r="O88" i="23" s="1"/>
  <c r="N52" i="23"/>
  <c r="N88" i="23" s="1"/>
  <c r="M52" i="23"/>
  <c r="M88" i="23" s="1"/>
  <c r="L52" i="23"/>
  <c r="L88" i="23" s="1"/>
  <c r="K52" i="23"/>
  <c r="K88" i="23" s="1"/>
  <c r="J52" i="23"/>
  <c r="J88" i="23" s="1"/>
  <c r="I52" i="23"/>
  <c r="I88" i="23" s="1"/>
  <c r="H52" i="23"/>
  <c r="H88" i="23" s="1"/>
  <c r="G52" i="23"/>
  <c r="G88" i="23" s="1"/>
  <c r="AE87" i="23"/>
  <c r="AD51" i="23"/>
  <c r="AD87" i="23" s="1"/>
  <c r="AC51" i="23"/>
  <c r="AC87" i="23" s="1"/>
  <c r="AB51" i="23"/>
  <c r="AB87" i="23" s="1"/>
  <c r="AA51" i="23"/>
  <c r="AA87" i="23" s="1"/>
  <c r="Z51" i="23"/>
  <c r="Z87" i="23" s="1"/>
  <c r="Y51" i="23"/>
  <c r="Y87" i="23" s="1"/>
  <c r="X51" i="23"/>
  <c r="X87" i="23" s="1"/>
  <c r="W51" i="23"/>
  <c r="W87" i="23" s="1"/>
  <c r="N51" i="23"/>
  <c r="N87" i="23" s="1"/>
  <c r="M51" i="23"/>
  <c r="M87" i="23" s="1"/>
  <c r="L51" i="23"/>
  <c r="L87" i="23" s="1"/>
  <c r="K51" i="23"/>
  <c r="K87" i="23" s="1"/>
  <c r="J51" i="23"/>
  <c r="J87" i="23" s="1"/>
  <c r="I51" i="23"/>
  <c r="I87" i="23" s="1"/>
  <c r="H51" i="23"/>
  <c r="H87" i="23" s="1"/>
  <c r="G51" i="23"/>
  <c r="G87" i="23" s="1"/>
  <c r="AE86" i="23"/>
  <c r="AD50" i="23"/>
  <c r="AD86" i="23" s="1"/>
  <c r="AC50" i="23"/>
  <c r="AC86" i="23" s="1"/>
  <c r="AB50" i="23"/>
  <c r="AB86" i="23" s="1"/>
  <c r="AA50" i="23"/>
  <c r="AA86" i="23" s="1"/>
  <c r="Z50" i="23"/>
  <c r="Z86" i="23" s="1"/>
  <c r="Y50" i="23"/>
  <c r="Y86" i="23" s="1"/>
  <c r="X50" i="23"/>
  <c r="X86" i="23" s="1"/>
  <c r="W50" i="23"/>
  <c r="W86" i="23" s="1"/>
  <c r="V50" i="23"/>
  <c r="V86" i="23" s="1"/>
  <c r="M50" i="23"/>
  <c r="M86" i="23" s="1"/>
  <c r="L50" i="23"/>
  <c r="L86" i="23" s="1"/>
  <c r="K50" i="23"/>
  <c r="K86" i="23" s="1"/>
  <c r="J50" i="23"/>
  <c r="J86" i="23" s="1"/>
  <c r="I50" i="23"/>
  <c r="I86" i="23" s="1"/>
  <c r="H50" i="23"/>
  <c r="H86" i="23" s="1"/>
  <c r="G50" i="23"/>
  <c r="G86" i="23" s="1"/>
  <c r="AE85" i="23"/>
  <c r="AD49" i="23"/>
  <c r="AD85" i="23" s="1"/>
  <c r="AC49" i="23"/>
  <c r="AC85" i="23" s="1"/>
  <c r="AB49" i="23"/>
  <c r="AB85" i="23" s="1"/>
  <c r="AA49" i="23"/>
  <c r="AA85" i="23" s="1"/>
  <c r="Z49" i="23"/>
  <c r="Z85" i="23" s="1"/>
  <c r="X49" i="23"/>
  <c r="X85" i="23" s="1"/>
  <c r="W49" i="23"/>
  <c r="W85" i="23" s="1"/>
  <c r="V49" i="23"/>
  <c r="V85" i="23" s="1"/>
  <c r="U49" i="23"/>
  <c r="U85" i="23" s="1"/>
  <c r="L49" i="23"/>
  <c r="L85" i="23" s="1"/>
  <c r="K49" i="23"/>
  <c r="K85" i="23" s="1"/>
  <c r="J49" i="23"/>
  <c r="J85" i="23" s="1"/>
  <c r="I49" i="23"/>
  <c r="I85" i="23" s="1"/>
  <c r="H49" i="23"/>
  <c r="H85" i="23" s="1"/>
  <c r="G49" i="23"/>
  <c r="G85" i="23" s="1"/>
  <c r="AE84" i="23"/>
  <c r="AD48" i="23"/>
  <c r="AD84" i="23" s="1"/>
  <c r="AC48" i="23"/>
  <c r="AC84" i="23" s="1"/>
  <c r="AB48" i="23"/>
  <c r="AB84" i="23" s="1"/>
  <c r="AA48" i="23"/>
  <c r="AA84" i="23" s="1"/>
  <c r="Z48" i="23"/>
  <c r="Z84" i="23" s="1"/>
  <c r="X48" i="23"/>
  <c r="X84" i="23" s="1"/>
  <c r="W48" i="23"/>
  <c r="W84" i="23" s="1"/>
  <c r="V48" i="23"/>
  <c r="V84" i="23" s="1"/>
  <c r="U48" i="23"/>
  <c r="U84" i="23" s="1"/>
  <c r="T48" i="23"/>
  <c r="T84" i="23" s="1"/>
  <c r="K48" i="23"/>
  <c r="K84" i="23" s="1"/>
  <c r="J48" i="23"/>
  <c r="J84" i="23" s="1"/>
  <c r="I48" i="23"/>
  <c r="I84" i="23" s="1"/>
  <c r="H48" i="23"/>
  <c r="H84" i="23" s="1"/>
  <c r="G48" i="23"/>
  <c r="G84" i="23" s="1"/>
  <c r="F48" i="23"/>
  <c r="F84" i="23" s="1"/>
  <c r="AE83" i="23"/>
  <c r="AD47" i="23"/>
  <c r="AD83" i="23" s="1"/>
  <c r="AC47" i="23"/>
  <c r="AC83" i="23" s="1"/>
  <c r="AB47" i="23"/>
  <c r="AB83" i="23" s="1"/>
  <c r="AA47" i="23"/>
  <c r="AA83" i="23" s="1"/>
  <c r="Z47" i="23"/>
  <c r="Z83" i="23" s="1"/>
  <c r="Y47" i="23"/>
  <c r="Y83" i="23" s="1"/>
  <c r="X47" i="23"/>
  <c r="X83" i="23" s="1"/>
  <c r="W47" i="23"/>
  <c r="W83" i="23" s="1"/>
  <c r="V47" i="23"/>
  <c r="V83" i="23" s="1"/>
  <c r="U47" i="23"/>
  <c r="U83" i="23" s="1"/>
  <c r="T47" i="23"/>
  <c r="T83" i="23" s="1"/>
  <c r="S47" i="23"/>
  <c r="S83" i="23" s="1"/>
  <c r="J47" i="23"/>
  <c r="J83" i="23" s="1"/>
  <c r="I47" i="23"/>
  <c r="I83" i="23" s="1"/>
  <c r="H47" i="23"/>
  <c r="H83" i="23" s="1"/>
  <c r="G47" i="23"/>
  <c r="G83" i="23" s="1"/>
  <c r="F47" i="23"/>
  <c r="F83" i="23" s="1"/>
  <c r="E47" i="23"/>
  <c r="E83" i="23" s="1"/>
  <c r="AE82" i="23"/>
  <c r="AD46" i="23"/>
  <c r="AD82" i="23" s="1"/>
  <c r="AC46" i="23"/>
  <c r="AC82" i="23" s="1"/>
  <c r="AB46" i="23"/>
  <c r="AB82" i="23" s="1"/>
  <c r="AA46" i="23"/>
  <c r="AA82" i="23" s="1"/>
  <c r="Z46" i="23"/>
  <c r="Z82" i="23" s="1"/>
  <c r="Y46" i="23"/>
  <c r="Y82" i="23" s="1"/>
  <c r="X46" i="23"/>
  <c r="X82" i="23" s="1"/>
  <c r="W46" i="23"/>
  <c r="W82" i="23" s="1"/>
  <c r="V46" i="23"/>
  <c r="V82" i="23" s="1"/>
  <c r="U46" i="23"/>
  <c r="U82" i="23" s="1"/>
  <c r="T46" i="23"/>
  <c r="T82" i="23" s="1"/>
  <c r="S46" i="23"/>
  <c r="S82" i="23" s="1"/>
  <c r="R46" i="23"/>
  <c r="R82" i="23" s="1"/>
  <c r="I46" i="23"/>
  <c r="I82" i="23" s="1"/>
  <c r="H46" i="23"/>
  <c r="H82" i="23" s="1"/>
  <c r="G46" i="23"/>
  <c r="G82" i="23" s="1"/>
  <c r="F46" i="23"/>
  <c r="F82" i="23" s="1"/>
  <c r="E82" i="23"/>
  <c r="D46" i="23"/>
  <c r="D82" i="23" s="1"/>
  <c r="AE81" i="23"/>
  <c r="AD45" i="23"/>
  <c r="AD81" i="23" s="1"/>
  <c r="AC45" i="23"/>
  <c r="AC81" i="23" s="1"/>
  <c r="AB45" i="23"/>
  <c r="AB81" i="23" s="1"/>
  <c r="AA45" i="23"/>
  <c r="AA81" i="23" s="1"/>
  <c r="Z45" i="23"/>
  <c r="Z81" i="23" s="1"/>
  <c r="Y45" i="23"/>
  <c r="Y81" i="23" s="1"/>
  <c r="X45" i="23"/>
  <c r="X81" i="23" s="1"/>
  <c r="W45" i="23"/>
  <c r="W81" i="23" s="1"/>
  <c r="V45" i="23"/>
  <c r="V81" i="23" s="1"/>
  <c r="U45" i="23"/>
  <c r="U81" i="23" s="1"/>
  <c r="T45" i="23"/>
  <c r="T81" i="23" s="1"/>
  <c r="S45" i="23"/>
  <c r="S81" i="23" s="1"/>
  <c r="R45" i="23"/>
  <c r="R81" i="23" s="1"/>
  <c r="Q45" i="23"/>
  <c r="Q81" i="23" s="1"/>
  <c r="P45" i="23"/>
  <c r="P81" i="23" s="1"/>
  <c r="H45" i="23"/>
  <c r="H81" i="23" s="1"/>
  <c r="G45" i="23"/>
  <c r="G81" i="23" s="1"/>
  <c r="F45" i="23"/>
  <c r="F81" i="23" s="1"/>
  <c r="E81" i="23"/>
  <c r="D45" i="23"/>
  <c r="D81" i="23" s="1"/>
  <c r="AE80" i="23"/>
  <c r="AD44" i="23"/>
  <c r="AD80" i="23" s="1"/>
  <c r="AC44" i="23"/>
  <c r="AC80" i="23" s="1"/>
  <c r="AB44" i="23"/>
  <c r="AB80" i="23" s="1"/>
  <c r="AA44" i="23"/>
  <c r="AA80" i="23" s="1"/>
  <c r="Z44" i="23"/>
  <c r="Z80" i="23" s="1"/>
  <c r="Y44" i="23"/>
  <c r="Y80" i="23" s="1"/>
  <c r="X44" i="23"/>
  <c r="X80" i="23" s="1"/>
  <c r="W44" i="23"/>
  <c r="W80" i="23" s="1"/>
  <c r="V44" i="23"/>
  <c r="V80" i="23" s="1"/>
  <c r="U44" i="23"/>
  <c r="U80" i="23" s="1"/>
  <c r="T44" i="23"/>
  <c r="T80" i="23" s="1"/>
  <c r="S44" i="23"/>
  <c r="S80" i="23" s="1"/>
  <c r="R44" i="23"/>
  <c r="R80" i="23" s="1"/>
  <c r="Q44" i="23"/>
  <c r="Q80" i="23" s="1"/>
  <c r="P44" i="23"/>
  <c r="P80" i="23" s="1"/>
  <c r="G44" i="23"/>
  <c r="G80" i="23" s="1"/>
  <c r="F44" i="23"/>
  <c r="F80" i="23" s="1"/>
  <c r="E80" i="23"/>
  <c r="D44" i="23"/>
  <c r="D80" i="23" s="1"/>
  <c r="AE79" i="23"/>
  <c r="AD43" i="23"/>
  <c r="AD79" i="23" s="1"/>
  <c r="AC43" i="23"/>
  <c r="AC79" i="23" s="1"/>
  <c r="AB43" i="23"/>
  <c r="AB79" i="23" s="1"/>
  <c r="AA43" i="23"/>
  <c r="AA79" i="23" s="1"/>
  <c r="Z43" i="23"/>
  <c r="Z79" i="23" s="1"/>
  <c r="Y43" i="23"/>
  <c r="Y79" i="23" s="1"/>
  <c r="X43" i="23"/>
  <c r="X79" i="23" s="1"/>
  <c r="W43" i="23"/>
  <c r="W79" i="23" s="1"/>
  <c r="V43" i="23"/>
  <c r="V79" i="23" s="1"/>
  <c r="U43" i="23"/>
  <c r="U79" i="23" s="1"/>
  <c r="T43" i="23"/>
  <c r="T79" i="23" s="1"/>
  <c r="S43" i="23"/>
  <c r="S79" i="23" s="1"/>
  <c r="R43" i="23"/>
  <c r="R79" i="23" s="1"/>
  <c r="Q43" i="23"/>
  <c r="Q79" i="23" s="1"/>
  <c r="P43" i="23"/>
  <c r="P79" i="23" s="1"/>
  <c r="O43" i="23"/>
  <c r="O79" i="23" s="1"/>
  <c r="F43" i="23"/>
  <c r="F79" i="23" s="1"/>
  <c r="E79" i="23"/>
  <c r="D43" i="23"/>
  <c r="D79" i="23" s="1"/>
  <c r="AE78" i="23"/>
  <c r="AD42" i="23"/>
  <c r="AD78" i="23" s="1"/>
  <c r="AC42" i="23"/>
  <c r="AC78" i="23" s="1"/>
  <c r="AB42" i="23"/>
  <c r="AB78" i="23" s="1"/>
  <c r="AA42" i="23"/>
  <c r="AA78" i="23" s="1"/>
  <c r="Z42" i="23"/>
  <c r="Z78" i="23" s="1"/>
  <c r="Y42" i="23"/>
  <c r="Y78" i="23" s="1"/>
  <c r="Q42" i="23"/>
  <c r="Q78" i="23" s="1"/>
  <c r="P42" i="23"/>
  <c r="P78" i="23" s="1"/>
  <c r="O42" i="23"/>
  <c r="O78" i="23" s="1"/>
  <c r="N42" i="23"/>
  <c r="N78" i="23" s="1"/>
  <c r="E78" i="23"/>
  <c r="D42" i="23"/>
  <c r="D78" i="23" s="1"/>
  <c r="AD41" i="23"/>
  <c r="AC41" i="23"/>
  <c r="AB41" i="23"/>
  <c r="AA41" i="23"/>
  <c r="Z41" i="23"/>
  <c r="Y41" i="23"/>
  <c r="P41" i="23"/>
  <c r="O41" i="23"/>
  <c r="N41" i="23"/>
  <c r="M41" i="23"/>
  <c r="D41" i="23"/>
  <c r="AD40" i="23"/>
  <c r="AC40" i="23"/>
  <c r="AB40" i="23"/>
  <c r="AA40" i="23"/>
  <c r="Z40" i="23"/>
  <c r="Y40" i="23"/>
  <c r="P40" i="23"/>
  <c r="C40" i="23"/>
  <c r="A40" i="23"/>
  <c r="A76" i="23" s="1"/>
  <c r="B76" i="23" s="1"/>
  <c r="D37" i="23"/>
  <c r="D38" i="23" s="1"/>
  <c r="F64" i="23"/>
  <c r="F100" i="23" s="1"/>
  <c r="F63" i="23"/>
  <c r="F99" i="23" s="1"/>
  <c r="E63" i="23"/>
  <c r="E99" i="23" s="1"/>
  <c r="F62" i="23"/>
  <c r="F98" i="23" s="1"/>
  <c r="E62" i="23"/>
  <c r="E98" i="23" s="1"/>
  <c r="F61" i="23"/>
  <c r="F97" i="23" s="1"/>
  <c r="E61" i="23"/>
  <c r="E97" i="23" s="1"/>
  <c r="F60" i="23"/>
  <c r="F96" i="23" s="1"/>
  <c r="E60" i="23"/>
  <c r="E96" i="23" s="1"/>
  <c r="F59" i="23"/>
  <c r="F95" i="23" s="1"/>
  <c r="E59" i="23"/>
  <c r="E95" i="23" s="1"/>
  <c r="F58" i="23"/>
  <c r="F94" i="23" s="1"/>
  <c r="E58" i="23"/>
  <c r="E94" i="23" s="1"/>
  <c r="F57" i="23"/>
  <c r="F93" i="23" s="1"/>
  <c r="E57" i="23"/>
  <c r="E93" i="23" s="1"/>
  <c r="F56" i="23"/>
  <c r="F92" i="23" s="1"/>
  <c r="E56" i="23"/>
  <c r="E92" i="23" s="1"/>
  <c r="F55" i="23"/>
  <c r="F91" i="23" s="1"/>
  <c r="E55" i="23"/>
  <c r="E91" i="23" s="1"/>
  <c r="F54" i="23"/>
  <c r="F90" i="23" s="1"/>
  <c r="E54" i="23"/>
  <c r="E90" i="23" s="1"/>
  <c r="F53" i="23"/>
  <c r="F89" i="23" s="1"/>
  <c r="E53" i="23"/>
  <c r="E89" i="23" s="1"/>
  <c r="F52" i="23"/>
  <c r="F88" i="23" s="1"/>
  <c r="E52" i="23"/>
  <c r="E88" i="23" s="1"/>
  <c r="F51" i="23"/>
  <c r="F87" i="23" s="1"/>
  <c r="E51" i="23"/>
  <c r="E87" i="23" s="1"/>
  <c r="F50" i="23"/>
  <c r="F86" i="23" s="1"/>
  <c r="E50" i="23"/>
  <c r="E86" i="23" s="1"/>
  <c r="F49" i="23"/>
  <c r="F85" i="23" s="1"/>
  <c r="E49" i="23"/>
  <c r="E85" i="23" s="1"/>
  <c r="Y48" i="23"/>
  <c r="Y84" i="23" s="1"/>
  <c r="E48" i="23"/>
  <c r="E84" i="23" s="1"/>
  <c r="AI46" i="23"/>
  <c r="AJ46" i="23" s="1"/>
  <c r="AI45" i="23"/>
  <c r="AJ45" i="23" s="1"/>
  <c r="AI44" i="23"/>
  <c r="AJ44" i="23" s="1"/>
  <c r="AI43" i="23"/>
  <c r="AJ43" i="23" s="1"/>
  <c r="X42" i="23"/>
  <c r="X78" i="23" s="1"/>
  <c r="W42" i="23"/>
  <c r="W78" i="23" s="1"/>
  <c r="V42" i="23"/>
  <c r="V78" i="23" s="1"/>
  <c r="U42" i="23"/>
  <c r="U78" i="23" s="1"/>
  <c r="T42" i="23"/>
  <c r="T78" i="23" s="1"/>
  <c r="S42" i="23"/>
  <c r="S78" i="23" s="1"/>
  <c r="X41" i="23"/>
  <c r="W41" i="23"/>
  <c r="V41" i="23"/>
  <c r="U41" i="23"/>
  <c r="T41" i="23"/>
  <c r="S41" i="23"/>
  <c r="R41" i="23"/>
  <c r="X40" i="23"/>
  <c r="W40" i="23"/>
  <c r="V40" i="23"/>
  <c r="U40" i="23"/>
  <c r="T40" i="23"/>
  <c r="S40" i="23"/>
  <c r="R40" i="23"/>
  <c r="B5" i="23"/>
  <c r="D2" i="23"/>
  <c r="E1" i="23"/>
  <c r="E2" i="23" s="1"/>
  <c r="G22" i="13"/>
  <c r="F22" i="13"/>
  <c r="G21" i="13"/>
  <c r="F21" i="13"/>
  <c r="G20" i="13"/>
  <c r="F20" i="13"/>
  <c r="G19" i="13"/>
  <c r="F19" i="13"/>
  <c r="G18" i="13"/>
  <c r="F18" i="13"/>
  <c r="G17" i="13"/>
  <c r="F17" i="13"/>
  <c r="G14" i="13"/>
  <c r="F14" i="13"/>
  <c r="G13" i="13"/>
  <c r="F13" i="13"/>
  <c r="G12" i="13"/>
  <c r="F12" i="13"/>
  <c r="G11" i="13"/>
  <c r="F11" i="13"/>
  <c r="G10" i="13"/>
  <c r="F10" i="13"/>
  <c r="G9" i="13"/>
  <c r="F9" i="13"/>
  <c r="G8" i="13"/>
  <c r="F8" i="13"/>
  <c r="G7" i="13"/>
  <c r="F7" i="13"/>
  <c r="G6" i="13"/>
  <c r="F6" i="13"/>
  <c r="G5" i="13"/>
  <c r="F5" i="13"/>
  <c r="G4" i="13"/>
  <c r="F4" i="13"/>
  <c r="G3" i="13"/>
  <c r="F3" i="13"/>
  <c r="C51" i="22"/>
  <c r="R29" i="22"/>
  <c r="P29" i="22"/>
  <c r="R28" i="22"/>
  <c r="P28" i="22"/>
  <c r="R27" i="22"/>
  <c r="P27" i="22"/>
  <c r="R26" i="22"/>
  <c r="P26" i="22"/>
  <c r="R25" i="22"/>
  <c r="P25" i="22"/>
  <c r="R24" i="22"/>
  <c r="P24" i="22"/>
  <c r="R23" i="22"/>
  <c r="P23" i="22"/>
  <c r="R22" i="22"/>
  <c r="P22" i="22"/>
  <c r="R21" i="22"/>
  <c r="P21" i="22"/>
  <c r="R20" i="22"/>
  <c r="P20" i="22"/>
  <c r="R19" i="22"/>
  <c r="P19" i="22"/>
  <c r="R18" i="22"/>
  <c r="P18" i="22"/>
  <c r="R17" i="22"/>
  <c r="P17" i="22"/>
  <c r="C10" i="22"/>
  <c r="F9" i="22"/>
  <c r="B9" i="22" s="1"/>
  <c r="C49" i="12"/>
  <c r="C10" i="12"/>
  <c r="T239" i="28"/>
  <c r="T247" i="28" s="1"/>
  <c r="S239" i="28"/>
  <c r="S247" i="28" s="1"/>
  <c r="K239" i="28"/>
  <c r="K247" i="28" s="1"/>
  <c r="J239" i="28"/>
  <c r="J247" i="28" s="1"/>
  <c r="F239" i="28"/>
  <c r="F253" i="28" s="1"/>
  <c r="E239" i="28"/>
  <c r="E253" i="28" s="1"/>
  <c r="D239" i="28"/>
  <c r="D253" i="28" s="1"/>
  <c r="C239" i="28"/>
  <c r="C253" i="28" s="1"/>
  <c r="X235" i="28"/>
  <c r="L16" i="30" s="1"/>
  <c r="X233" i="28"/>
  <c r="L15" i="30" s="1"/>
  <c r="Y232" i="28"/>
  <c r="L59" i="30" s="1"/>
  <c r="X232" i="28"/>
  <c r="L14" i="30" s="1"/>
  <c r="Y231" i="28"/>
  <c r="L58" i="30" s="1"/>
  <c r="X231" i="28"/>
  <c r="L13" i="30" s="1"/>
  <c r="Y230" i="28"/>
  <c r="X230" i="28"/>
  <c r="Y229" i="28"/>
  <c r="L54" i="30" s="1"/>
  <c r="X229" i="28"/>
  <c r="L12" i="30" s="1"/>
  <c r="Y228" i="28"/>
  <c r="L55" i="30" s="1"/>
  <c r="X228" i="28"/>
  <c r="L9" i="30" s="1"/>
  <c r="Y227" i="28"/>
  <c r="L53" i="30" s="1"/>
  <c r="X227" i="28"/>
  <c r="L10" i="30" s="1"/>
  <c r="I239" i="28"/>
  <c r="B239" i="28"/>
  <c r="D217" i="28"/>
  <c r="C217" i="28"/>
  <c r="D216" i="28"/>
  <c r="C216" i="28"/>
  <c r="D215" i="28"/>
  <c r="C215" i="28"/>
  <c r="D214" i="28"/>
  <c r="C214" i="28"/>
  <c r="D213" i="28"/>
  <c r="C213" i="28"/>
  <c r="D212" i="28"/>
  <c r="C212" i="28"/>
  <c r="D211" i="28"/>
  <c r="W126" i="28"/>
  <c r="U126" i="28"/>
  <c r="V126" i="28" s="1"/>
  <c r="W125" i="28"/>
  <c r="U125" i="28"/>
  <c r="S125" i="28"/>
  <c r="W124" i="28"/>
  <c r="U124" i="28"/>
  <c r="W123" i="28"/>
  <c r="U123" i="28"/>
  <c r="W122" i="28"/>
  <c r="U122" i="28"/>
  <c r="J106" i="28"/>
  <c r="J105" i="28"/>
  <c r="T87" i="28"/>
  <c r="Q37" i="34"/>
  <c r="J27" i="28"/>
  <c r="J26" i="28"/>
  <c r="J25" i="28"/>
  <c r="J24" i="28"/>
  <c r="J23" i="28"/>
  <c r="J22" i="28"/>
  <c r="J21" i="28"/>
  <c r="J20" i="28"/>
  <c r="J19" i="28"/>
  <c r="J18" i="28"/>
  <c r="J17" i="28"/>
  <c r="J16" i="28"/>
  <c r="J15" i="28"/>
  <c r="J14" i="28"/>
  <c r="J13" i="28"/>
  <c r="J12" i="28"/>
  <c r="J11" i="28"/>
  <c r="J10" i="28"/>
  <c r="J9" i="28"/>
  <c r="J8" i="28"/>
  <c r="J7" i="28"/>
  <c r="J6" i="28"/>
  <c r="J5" i="28"/>
  <c r="N4" i="28"/>
  <c r="J4" i="28"/>
  <c r="P144" i="21"/>
  <c r="P143" i="21"/>
  <c r="P142" i="21"/>
  <c r="P141" i="21"/>
  <c r="P140" i="21"/>
  <c r="P139" i="21"/>
  <c r="P138" i="21"/>
  <c r="P137" i="21"/>
  <c r="P136" i="21"/>
  <c r="P135" i="21"/>
  <c r="P134" i="21"/>
  <c r="B79" i="21"/>
  <c r="B80" i="21" s="1"/>
  <c r="B81" i="21" s="1"/>
  <c r="B82" i="21" s="1"/>
  <c r="B83" i="21" s="1"/>
  <c r="B84" i="21" s="1"/>
  <c r="B85" i="21" s="1"/>
  <c r="B86" i="21" s="1"/>
  <c r="B87" i="21" s="1"/>
  <c r="B88" i="21" s="1"/>
  <c r="B89" i="21" s="1"/>
  <c r="B90" i="21" s="1"/>
  <c r="B91" i="21" s="1"/>
  <c r="B92" i="21" s="1"/>
  <c r="B93" i="21" s="1"/>
  <c r="B94" i="21" s="1"/>
  <c r="B95" i="21" s="1"/>
  <c r="B96" i="21" s="1"/>
  <c r="B97" i="21" s="1"/>
  <c r="B98" i="21" s="1"/>
  <c r="B99" i="21" s="1"/>
  <c r="B100" i="21" s="1"/>
  <c r="B101" i="21" s="1"/>
  <c r="B102" i="21" s="1"/>
  <c r="B103" i="21" s="1"/>
  <c r="B104" i="21" s="1"/>
  <c r="B105" i="21" s="1"/>
  <c r="B106" i="21" s="1"/>
  <c r="B107" i="21" s="1"/>
  <c r="A42" i="2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B41" i="21"/>
  <c r="B42" i="21" s="1"/>
  <c r="B38" i="21"/>
  <c r="J4" i="21"/>
  <c r="I4" i="21"/>
  <c r="C3" i="21"/>
  <c r="R231" i="1"/>
  <c r="R230" i="1"/>
  <c r="R229" i="1"/>
  <c r="R228" i="1"/>
  <c r="R227" i="1"/>
  <c r="R226" i="1"/>
  <c r="R225" i="1"/>
  <c r="R224" i="1"/>
  <c r="R223" i="1"/>
  <c r="R222" i="1"/>
  <c r="R221" i="1"/>
  <c r="A135" i="1"/>
  <c r="A73" i="1"/>
  <c r="B5" i="38" s="1"/>
  <c r="C4" i="38"/>
  <c r="S76" i="31"/>
  <c r="R76" i="31"/>
  <c r="K76" i="31"/>
  <c r="J76" i="31"/>
  <c r="I76" i="31"/>
  <c r="H76" i="31"/>
  <c r="G76" i="31"/>
  <c r="F76" i="31"/>
  <c r="E76" i="31"/>
  <c r="D76" i="31"/>
  <c r="C76" i="31"/>
  <c r="B76" i="31"/>
  <c r="S75" i="31"/>
  <c r="R75" i="31"/>
  <c r="K75" i="31"/>
  <c r="J75" i="31"/>
  <c r="I75" i="31"/>
  <c r="H75" i="31"/>
  <c r="G75" i="31"/>
  <c r="F75" i="31"/>
  <c r="E75" i="31"/>
  <c r="D75" i="31"/>
  <c r="C75" i="31"/>
  <c r="B75" i="31"/>
  <c r="Q74" i="31"/>
  <c r="N74" i="31"/>
  <c r="O72" i="31"/>
  <c r="S70" i="31"/>
  <c r="R70" i="31"/>
  <c r="K70" i="31"/>
  <c r="J70" i="31"/>
  <c r="I70" i="31"/>
  <c r="H70" i="31"/>
  <c r="G70" i="31"/>
  <c r="F70" i="31"/>
  <c r="E70" i="31"/>
  <c r="D70" i="31"/>
  <c r="C70" i="31"/>
  <c r="B70" i="31"/>
  <c r="S69" i="31"/>
  <c r="R69" i="31"/>
  <c r="J69" i="31"/>
  <c r="I69" i="31"/>
  <c r="H69" i="31"/>
  <c r="G69" i="31"/>
  <c r="F69" i="31"/>
  <c r="E69" i="31"/>
  <c r="D69" i="31"/>
  <c r="C69" i="31"/>
  <c r="B69" i="31"/>
  <c r="Q68" i="31"/>
  <c r="N68" i="31"/>
  <c r="O66" i="31"/>
  <c r="K61" i="31"/>
  <c r="J61" i="31"/>
  <c r="I61" i="31"/>
  <c r="H61" i="31"/>
  <c r="G61" i="31"/>
  <c r="F61" i="31"/>
  <c r="E61" i="31"/>
  <c r="D61" i="31"/>
  <c r="C61" i="31"/>
  <c r="B61" i="31"/>
  <c r="N60" i="31"/>
  <c r="O58" i="31"/>
  <c r="K56" i="31"/>
  <c r="J56" i="31"/>
  <c r="I56" i="31"/>
  <c r="H56" i="31"/>
  <c r="G56" i="31"/>
  <c r="F56" i="31"/>
  <c r="E56" i="31"/>
  <c r="D56" i="31"/>
  <c r="C56" i="31"/>
  <c r="B56" i="31"/>
  <c r="N55" i="31"/>
  <c r="O53" i="31"/>
  <c r="K48" i="31"/>
  <c r="J48" i="31"/>
  <c r="I48" i="31"/>
  <c r="G48" i="31"/>
  <c r="F48" i="31"/>
  <c r="F47" i="31"/>
  <c r="H46" i="31"/>
  <c r="G44" i="31"/>
  <c r="F44" i="31"/>
  <c r="E44" i="31"/>
  <c r="D44" i="31"/>
  <c r="C44" i="31"/>
  <c r="G42" i="31"/>
  <c r="F42" i="31"/>
  <c r="E42" i="31"/>
  <c r="D42" i="31"/>
  <c r="C42" i="31"/>
  <c r="G40" i="31"/>
  <c r="F40" i="31"/>
  <c r="E40" i="31"/>
  <c r="D40" i="31"/>
  <c r="C40" i="31"/>
  <c r="I36" i="31"/>
  <c r="I13" i="31" s="1"/>
  <c r="H36" i="31"/>
  <c r="G36" i="31"/>
  <c r="H44" i="31" s="1"/>
  <c r="O34" i="31"/>
  <c r="P34" i="31" s="1"/>
  <c r="H34" i="31"/>
  <c r="H11" i="31" s="1"/>
  <c r="S32" i="31"/>
  <c r="R32" i="31"/>
  <c r="Q32" i="31"/>
  <c r="K32" i="31"/>
  <c r="J32" i="31"/>
  <c r="I32" i="31"/>
  <c r="H32" i="31"/>
  <c r="G32" i="31"/>
  <c r="F32" i="31"/>
  <c r="E32" i="31"/>
  <c r="D32" i="31"/>
  <c r="C32" i="31"/>
  <c r="B32" i="31"/>
  <c r="K31" i="31"/>
  <c r="J31" i="31"/>
  <c r="I31" i="31"/>
  <c r="H31" i="31"/>
  <c r="G31" i="31"/>
  <c r="F31" i="31"/>
  <c r="E31" i="31"/>
  <c r="D31" i="31"/>
  <c r="C31" i="31"/>
  <c r="B31" i="31"/>
  <c r="N29" i="31"/>
  <c r="O27" i="31"/>
  <c r="H27" i="31"/>
  <c r="K25" i="31"/>
  <c r="J25" i="31"/>
  <c r="I25" i="31"/>
  <c r="H25" i="31"/>
  <c r="G25" i="31"/>
  <c r="F25" i="31"/>
  <c r="K24" i="31"/>
  <c r="J24" i="31"/>
  <c r="I24" i="31"/>
  <c r="H24" i="31"/>
  <c r="G24" i="31"/>
  <c r="F24" i="31"/>
  <c r="H21" i="31"/>
  <c r="G21" i="31"/>
  <c r="F21" i="31"/>
  <c r="E21" i="31"/>
  <c r="D21" i="31"/>
  <c r="C21" i="31"/>
  <c r="K19" i="31"/>
  <c r="J19" i="31"/>
  <c r="I19" i="31"/>
  <c r="H19" i="31"/>
  <c r="G19" i="31"/>
  <c r="F19" i="31"/>
  <c r="E19" i="31"/>
  <c r="D19" i="31"/>
  <c r="C19" i="31"/>
  <c r="G17" i="31"/>
  <c r="F17" i="31"/>
  <c r="E17" i="31"/>
  <c r="D17" i="31"/>
  <c r="C17" i="31"/>
  <c r="K15" i="31"/>
  <c r="J15" i="31"/>
  <c r="I15" i="31"/>
  <c r="H15" i="31"/>
  <c r="Z13" i="31"/>
  <c r="Y13" i="31"/>
  <c r="X13" i="31"/>
  <c r="W13" i="31"/>
  <c r="V13" i="31"/>
  <c r="U13" i="31"/>
  <c r="T13" i="31"/>
  <c r="S13" i="31"/>
  <c r="R13" i="31"/>
  <c r="Q13" i="31"/>
  <c r="K13" i="31"/>
  <c r="J13" i="31"/>
  <c r="F13" i="31"/>
  <c r="Z11" i="31"/>
  <c r="Y11" i="31"/>
  <c r="X11" i="31"/>
  <c r="W11" i="31"/>
  <c r="V11" i="31"/>
  <c r="U11" i="31"/>
  <c r="T11" i="31"/>
  <c r="S11" i="31"/>
  <c r="R11" i="31"/>
  <c r="Q11" i="31"/>
  <c r="J11" i="31"/>
  <c r="I11" i="31"/>
  <c r="G11" i="31"/>
  <c r="F11" i="31"/>
  <c r="S8" i="31"/>
  <c r="R8" i="31"/>
  <c r="Q8" i="31"/>
  <c r="K8" i="31"/>
  <c r="J8" i="31"/>
  <c r="I8" i="31"/>
  <c r="H8" i="31"/>
  <c r="G8" i="31"/>
  <c r="F8" i="31"/>
  <c r="E8" i="31"/>
  <c r="D8" i="31"/>
  <c r="C8" i="31"/>
  <c r="B8" i="31"/>
  <c r="K7" i="31"/>
  <c r="J7" i="31"/>
  <c r="I7" i="31"/>
  <c r="H7" i="31"/>
  <c r="G7" i="31"/>
  <c r="F7" i="31"/>
  <c r="E7" i="31"/>
  <c r="D7" i="31"/>
  <c r="C7" i="31"/>
  <c r="B7" i="31"/>
  <c r="N5" i="31"/>
  <c r="S251" i="34"/>
  <c r="Q251" i="34"/>
  <c r="P251" i="34"/>
  <c r="H251" i="34"/>
  <c r="G251" i="34"/>
  <c r="S250" i="34"/>
  <c r="Q250" i="34"/>
  <c r="P250" i="34"/>
  <c r="H250" i="34"/>
  <c r="G250" i="34"/>
  <c r="S249" i="34"/>
  <c r="Q249" i="34"/>
  <c r="P249" i="34"/>
  <c r="H249" i="34"/>
  <c r="G249" i="34"/>
  <c r="S248" i="34"/>
  <c r="Q248" i="34"/>
  <c r="P248" i="34"/>
  <c r="H248" i="34"/>
  <c r="G248" i="34"/>
  <c r="S247" i="34"/>
  <c r="Q247" i="34"/>
  <c r="P247" i="34"/>
  <c r="H247" i="34"/>
  <c r="G247" i="34"/>
  <c r="S246" i="34"/>
  <c r="Q246" i="34"/>
  <c r="P246" i="34"/>
  <c r="H246" i="34"/>
  <c r="G246" i="34"/>
  <c r="S245" i="34"/>
  <c r="Q245" i="34"/>
  <c r="P245" i="34"/>
  <c r="H245" i="34"/>
  <c r="G245" i="34"/>
  <c r="S244" i="34"/>
  <c r="Q244" i="34"/>
  <c r="P244" i="34"/>
  <c r="H244" i="34"/>
  <c r="G244" i="34"/>
  <c r="S243" i="34"/>
  <c r="Q243" i="34"/>
  <c r="P243" i="34"/>
  <c r="H243" i="34"/>
  <c r="G243" i="34"/>
  <c r="S242" i="34"/>
  <c r="Q242" i="34"/>
  <c r="P242" i="34"/>
  <c r="H242" i="34"/>
  <c r="G242" i="34"/>
  <c r="S241" i="34"/>
  <c r="Q241" i="34"/>
  <c r="P241" i="34"/>
  <c r="H241" i="34"/>
  <c r="G241" i="34"/>
  <c r="S240" i="34"/>
  <c r="Q240" i="34"/>
  <c r="P240" i="34"/>
  <c r="H240" i="34"/>
  <c r="G240" i="34"/>
  <c r="S239" i="34"/>
  <c r="Q239" i="34"/>
  <c r="P239" i="34"/>
  <c r="H239" i="34"/>
  <c r="G239" i="34"/>
  <c r="S238" i="34"/>
  <c r="Q238" i="34"/>
  <c r="P238" i="34"/>
  <c r="H238" i="34"/>
  <c r="G238" i="34"/>
  <c r="S237" i="34"/>
  <c r="Q237" i="34"/>
  <c r="P237" i="34"/>
  <c r="H237" i="34"/>
  <c r="G237" i="34"/>
  <c r="S236" i="34"/>
  <c r="Q236" i="34"/>
  <c r="P236" i="34"/>
  <c r="H236" i="34"/>
  <c r="G236" i="34"/>
  <c r="S235" i="34"/>
  <c r="Q235" i="34"/>
  <c r="P235" i="34"/>
  <c r="H235" i="34"/>
  <c r="G235" i="34"/>
  <c r="S234" i="34"/>
  <c r="Q234" i="34"/>
  <c r="P234" i="34"/>
  <c r="H234" i="34"/>
  <c r="G234" i="34"/>
  <c r="S233" i="34"/>
  <c r="Q233" i="34"/>
  <c r="P233" i="34"/>
  <c r="H233" i="34"/>
  <c r="G233" i="34"/>
  <c r="S232" i="34"/>
  <c r="Q232" i="34"/>
  <c r="P232" i="34"/>
  <c r="H232" i="34"/>
  <c r="G232" i="34"/>
  <c r="S231" i="34"/>
  <c r="Q231" i="34"/>
  <c r="P231" i="34"/>
  <c r="H231" i="34"/>
  <c r="G231" i="34"/>
  <c r="S230" i="34"/>
  <c r="Q230" i="34"/>
  <c r="P230" i="34"/>
  <c r="H230" i="34"/>
  <c r="G230" i="34"/>
  <c r="S229" i="34"/>
  <c r="Q229" i="34"/>
  <c r="P229" i="34"/>
  <c r="H229" i="34"/>
  <c r="G229" i="34"/>
  <c r="S228" i="34"/>
  <c r="Q228" i="34"/>
  <c r="P228" i="34"/>
  <c r="H228" i="34"/>
  <c r="G228" i="34"/>
  <c r="S227" i="34"/>
  <c r="Q227" i="34"/>
  <c r="P227" i="34"/>
  <c r="H227" i="34"/>
  <c r="G227" i="34"/>
  <c r="S226" i="34"/>
  <c r="Q226" i="34"/>
  <c r="P226" i="34"/>
  <c r="H226" i="34"/>
  <c r="G226" i="34"/>
  <c r="S225" i="34"/>
  <c r="Q225" i="34"/>
  <c r="P225" i="34"/>
  <c r="H225" i="34"/>
  <c r="G225" i="34"/>
  <c r="S224" i="34"/>
  <c r="Q224" i="34"/>
  <c r="P224" i="34"/>
  <c r="H224" i="34"/>
  <c r="G224" i="34"/>
  <c r="S223" i="34"/>
  <c r="Q223" i="34"/>
  <c r="P223" i="34"/>
  <c r="H223" i="34"/>
  <c r="G223" i="34"/>
  <c r="S222" i="34"/>
  <c r="Q222" i="34"/>
  <c r="P222" i="34"/>
  <c r="H222" i="34"/>
  <c r="G222" i="34"/>
  <c r="S221" i="34"/>
  <c r="Q221" i="34"/>
  <c r="P221" i="34"/>
  <c r="H221" i="34"/>
  <c r="G221" i="34"/>
  <c r="S220" i="34"/>
  <c r="Q220" i="34"/>
  <c r="P220" i="34"/>
  <c r="H220" i="34"/>
  <c r="G220" i="34"/>
  <c r="S219" i="34"/>
  <c r="Q219" i="34"/>
  <c r="P219" i="34"/>
  <c r="H219" i="34"/>
  <c r="G219" i="34"/>
  <c r="S218" i="34"/>
  <c r="Q218" i="34"/>
  <c r="P218" i="34"/>
  <c r="H218" i="34"/>
  <c r="G218" i="34"/>
  <c r="S217" i="34"/>
  <c r="Q217" i="34"/>
  <c r="P217" i="34"/>
  <c r="H217" i="34"/>
  <c r="G217" i="34"/>
  <c r="S216" i="34"/>
  <c r="Q216" i="34"/>
  <c r="P216" i="34"/>
  <c r="H216" i="34"/>
  <c r="G216" i="34"/>
  <c r="S215" i="34"/>
  <c r="Q215" i="34"/>
  <c r="P215" i="34"/>
  <c r="H215" i="34"/>
  <c r="G215" i="34"/>
  <c r="S214" i="34"/>
  <c r="Q214" i="34"/>
  <c r="P214" i="34"/>
  <c r="H214" i="34"/>
  <c r="G214" i="34"/>
  <c r="S213" i="34"/>
  <c r="Q213" i="34"/>
  <c r="P213" i="34"/>
  <c r="H213" i="34"/>
  <c r="G213" i="34"/>
  <c r="S212" i="34"/>
  <c r="Q212" i="34"/>
  <c r="P212" i="34"/>
  <c r="H212" i="34"/>
  <c r="G212" i="34"/>
  <c r="S211" i="34"/>
  <c r="Q211" i="34"/>
  <c r="P211" i="34"/>
  <c r="H211" i="34"/>
  <c r="G211" i="34"/>
  <c r="S210" i="34"/>
  <c r="Q210" i="34"/>
  <c r="P210" i="34"/>
  <c r="H210" i="34"/>
  <c r="G210" i="34"/>
  <c r="S209" i="34"/>
  <c r="Q209" i="34"/>
  <c r="P209" i="34"/>
  <c r="H209" i="34"/>
  <c r="G209" i="34"/>
  <c r="S208" i="34"/>
  <c r="Q208" i="34"/>
  <c r="P208" i="34"/>
  <c r="H208" i="34"/>
  <c r="G208" i="34"/>
  <c r="S207" i="34"/>
  <c r="Q207" i="34"/>
  <c r="P207" i="34"/>
  <c r="H207" i="34"/>
  <c r="G207" i="34"/>
  <c r="S206" i="34"/>
  <c r="Q206" i="34"/>
  <c r="P206" i="34"/>
  <c r="H206" i="34"/>
  <c r="G206" i="34"/>
  <c r="S205" i="34"/>
  <c r="Q205" i="34"/>
  <c r="P205" i="34"/>
  <c r="H205" i="34"/>
  <c r="G205" i="34"/>
  <c r="S204" i="34"/>
  <c r="Q204" i="34"/>
  <c r="P204" i="34"/>
  <c r="H204" i="34"/>
  <c r="G204" i="34"/>
  <c r="S203" i="34"/>
  <c r="Q203" i="34"/>
  <c r="P203" i="34"/>
  <c r="H203" i="34"/>
  <c r="G203" i="34"/>
  <c r="S202" i="34"/>
  <c r="Q202" i="34"/>
  <c r="P202" i="34"/>
  <c r="H202" i="34"/>
  <c r="G202" i="34"/>
  <c r="S201" i="34"/>
  <c r="Q201" i="34"/>
  <c r="P201" i="34"/>
  <c r="H201" i="34"/>
  <c r="G201" i="34"/>
  <c r="S200" i="34"/>
  <c r="Q200" i="34"/>
  <c r="P200" i="34"/>
  <c r="H200" i="34"/>
  <c r="G200" i="34"/>
  <c r="S199" i="34"/>
  <c r="Q199" i="34"/>
  <c r="P199" i="34"/>
  <c r="H199" i="34"/>
  <c r="G199" i="34"/>
  <c r="S198" i="34"/>
  <c r="Q198" i="34"/>
  <c r="P198" i="34"/>
  <c r="H198" i="34"/>
  <c r="G198" i="34"/>
  <c r="S197" i="34"/>
  <c r="Q197" i="34"/>
  <c r="P197" i="34"/>
  <c r="H197" i="34"/>
  <c r="G197" i="34"/>
  <c r="S196" i="34"/>
  <c r="Q196" i="34"/>
  <c r="P196" i="34"/>
  <c r="H196" i="34"/>
  <c r="G196" i="34"/>
  <c r="S195" i="34"/>
  <c r="Q195" i="34"/>
  <c r="P195" i="34"/>
  <c r="H195" i="34"/>
  <c r="G195" i="34"/>
  <c r="S194" i="34"/>
  <c r="Q194" i="34"/>
  <c r="P194" i="34"/>
  <c r="H194" i="34"/>
  <c r="G194" i="34"/>
  <c r="S193" i="34"/>
  <c r="Q193" i="34"/>
  <c r="P193" i="34"/>
  <c r="H193" i="34"/>
  <c r="G193" i="34"/>
  <c r="S192" i="34"/>
  <c r="Q192" i="34"/>
  <c r="P192" i="34"/>
  <c r="H192" i="34"/>
  <c r="G192" i="34"/>
  <c r="S191" i="34"/>
  <c r="Q191" i="34"/>
  <c r="P191" i="34"/>
  <c r="H191" i="34"/>
  <c r="G191" i="34"/>
  <c r="S190" i="34"/>
  <c r="Q190" i="34"/>
  <c r="P190" i="34"/>
  <c r="H190" i="34"/>
  <c r="G190" i="34"/>
  <c r="S189" i="34"/>
  <c r="Q189" i="34"/>
  <c r="P189" i="34"/>
  <c r="H189" i="34"/>
  <c r="G189" i="34"/>
  <c r="S188" i="34"/>
  <c r="Q188" i="34"/>
  <c r="P188" i="34"/>
  <c r="H188" i="34"/>
  <c r="G188" i="34"/>
  <c r="S187" i="34"/>
  <c r="Q187" i="34"/>
  <c r="P187" i="34"/>
  <c r="H187" i="34"/>
  <c r="G187" i="34"/>
  <c r="S186" i="34"/>
  <c r="Q186" i="34"/>
  <c r="P186" i="34"/>
  <c r="H186" i="34"/>
  <c r="G186" i="34"/>
  <c r="S185" i="34"/>
  <c r="Q185" i="34"/>
  <c r="P185" i="34"/>
  <c r="H185" i="34"/>
  <c r="G185" i="34"/>
  <c r="S184" i="34"/>
  <c r="Q184" i="34"/>
  <c r="P184" i="34"/>
  <c r="H184" i="34"/>
  <c r="G184" i="34"/>
  <c r="S183" i="34"/>
  <c r="Q183" i="34"/>
  <c r="P183" i="34"/>
  <c r="H183" i="34"/>
  <c r="G183" i="34"/>
  <c r="S182" i="34"/>
  <c r="Q182" i="34"/>
  <c r="P182" i="34"/>
  <c r="H182" i="34"/>
  <c r="G182" i="34"/>
  <c r="S181" i="34"/>
  <c r="Q181" i="34"/>
  <c r="P181" i="34"/>
  <c r="H181" i="34"/>
  <c r="G181" i="34"/>
  <c r="S180" i="34"/>
  <c r="Q180" i="34"/>
  <c r="P180" i="34"/>
  <c r="H180" i="34"/>
  <c r="G180" i="34"/>
  <c r="S179" i="34"/>
  <c r="Q179" i="34"/>
  <c r="P179" i="34"/>
  <c r="H179" i="34"/>
  <c r="G179" i="34"/>
  <c r="S178" i="34"/>
  <c r="Q178" i="34"/>
  <c r="P178" i="34"/>
  <c r="H178" i="34"/>
  <c r="G178" i="34"/>
  <c r="S177" i="34"/>
  <c r="Q177" i="34"/>
  <c r="P177" i="34"/>
  <c r="H177" i="34"/>
  <c r="G177" i="34"/>
  <c r="S176" i="34"/>
  <c r="Q176" i="34"/>
  <c r="P176" i="34"/>
  <c r="H176" i="34"/>
  <c r="G176" i="34"/>
  <c r="S175" i="34"/>
  <c r="Q175" i="34"/>
  <c r="P175" i="34"/>
  <c r="H175" i="34"/>
  <c r="G175" i="34"/>
  <c r="S174" i="34"/>
  <c r="Q174" i="34"/>
  <c r="P174" i="34"/>
  <c r="H174" i="34"/>
  <c r="G174" i="34"/>
  <c r="S173" i="34"/>
  <c r="Q173" i="34"/>
  <c r="P173" i="34"/>
  <c r="H173" i="34"/>
  <c r="G173" i="34"/>
  <c r="S172" i="34"/>
  <c r="Q172" i="34"/>
  <c r="P172" i="34"/>
  <c r="H172" i="34"/>
  <c r="G172" i="34"/>
  <c r="S171" i="34"/>
  <c r="Q171" i="34"/>
  <c r="P171" i="34"/>
  <c r="H171" i="34"/>
  <c r="G171" i="34"/>
  <c r="S170" i="34"/>
  <c r="Q170" i="34"/>
  <c r="P170" i="34"/>
  <c r="H170" i="34"/>
  <c r="G170" i="34"/>
  <c r="S169" i="34"/>
  <c r="Q169" i="34"/>
  <c r="P169" i="34"/>
  <c r="H169" i="34"/>
  <c r="G169" i="34"/>
  <c r="S168" i="34"/>
  <c r="Q168" i="34"/>
  <c r="P168" i="34"/>
  <c r="H168" i="34"/>
  <c r="G168" i="34"/>
  <c r="S167" i="34"/>
  <c r="Q167" i="34"/>
  <c r="P167" i="34"/>
  <c r="H167" i="34"/>
  <c r="G167" i="34"/>
  <c r="S166" i="34"/>
  <c r="Q166" i="34"/>
  <c r="P166" i="34"/>
  <c r="H166" i="34"/>
  <c r="G166" i="34"/>
  <c r="S165" i="34"/>
  <c r="Q165" i="34"/>
  <c r="P165" i="34"/>
  <c r="H165" i="34"/>
  <c r="G165" i="34"/>
  <c r="S164" i="34"/>
  <c r="Q164" i="34"/>
  <c r="P164" i="34"/>
  <c r="H164" i="34"/>
  <c r="G164" i="34"/>
  <c r="S163" i="34"/>
  <c r="Q163" i="34"/>
  <c r="P163" i="34"/>
  <c r="H163" i="34"/>
  <c r="G163" i="34"/>
  <c r="S162" i="34"/>
  <c r="Q162" i="34"/>
  <c r="P162" i="34"/>
  <c r="H162" i="34"/>
  <c r="G162" i="34"/>
  <c r="S161" i="34"/>
  <c r="Q161" i="34"/>
  <c r="P161" i="34"/>
  <c r="H161" i="34"/>
  <c r="G161" i="34"/>
  <c r="S160" i="34"/>
  <c r="Q160" i="34"/>
  <c r="P160" i="34"/>
  <c r="H160" i="34"/>
  <c r="G160" i="34"/>
  <c r="S159" i="34"/>
  <c r="Q159" i="34"/>
  <c r="P159" i="34"/>
  <c r="H159" i="34"/>
  <c r="G159" i="34"/>
  <c r="S158" i="34"/>
  <c r="Q158" i="34"/>
  <c r="P158" i="34"/>
  <c r="H158" i="34"/>
  <c r="G158" i="34"/>
  <c r="S157" i="34"/>
  <c r="Q157" i="34"/>
  <c r="P157" i="34"/>
  <c r="H157" i="34"/>
  <c r="G157" i="34"/>
  <c r="S156" i="34"/>
  <c r="Q156" i="34"/>
  <c r="P156" i="34"/>
  <c r="H156" i="34"/>
  <c r="G156" i="34"/>
  <c r="S155" i="34"/>
  <c r="Q155" i="34"/>
  <c r="P155" i="34"/>
  <c r="H155" i="34"/>
  <c r="G155" i="34"/>
  <c r="S154" i="34"/>
  <c r="Q154" i="34"/>
  <c r="P154" i="34"/>
  <c r="H154" i="34"/>
  <c r="G154" i="34"/>
  <c r="S153" i="34"/>
  <c r="Q153" i="34"/>
  <c r="P153" i="34"/>
  <c r="H153" i="34"/>
  <c r="G153" i="34"/>
  <c r="S152" i="34"/>
  <c r="Q152" i="34"/>
  <c r="P152" i="34"/>
  <c r="H152" i="34"/>
  <c r="G152" i="34"/>
  <c r="S151" i="34"/>
  <c r="Q151" i="34"/>
  <c r="P151" i="34"/>
  <c r="H151" i="34"/>
  <c r="G151" i="34"/>
  <c r="S150" i="34"/>
  <c r="Q150" i="34"/>
  <c r="P150" i="34"/>
  <c r="H150" i="34"/>
  <c r="G150" i="34"/>
  <c r="S149" i="34"/>
  <c r="Q149" i="34"/>
  <c r="P149" i="34"/>
  <c r="H149" i="34"/>
  <c r="G149" i="34"/>
  <c r="S148" i="34"/>
  <c r="Q148" i="34"/>
  <c r="P148" i="34"/>
  <c r="H148" i="34"/>
  <c r="G148" i="34"/>
  <c r="S147" i="34"/>
  <c r="Q147" i="34"/>
  <c r="P147" i="34"/>
  <c r="H147" i="34"/>
  <c r="G147" i="34"/>
  <c r="S146" i="34"/>
  <c r="Q146" i="34"/>
  <c r="P146" i="34"/>
  <c r="H146" i="34"/>
  <c r="G146" i="34"/>
  <c r="S145" i="34"/>
  <c r="Q145" i="34"/>
  <c r="P145" i="34"/>
  <c r="H145" i="34"/>
  <c r="G145" i="34"/>
  <c r="S144" i="34"/>
  <c r="Q144" i="34"/>
  <c r="P144" i="34"/>
  <c r="H144" i="34"/>
  <c r="G144" i="34"/>
  <c r="S143" i="34"/>
  <c r="Q143" i="34"/>
  <c r="P143" i="34"/>
  <c r="H143" i="34"/>
  <c r="G143" i="34"/>
  <c r="S142" i="34"/>
  <c r="Q142" i="34"/>
  <c r="P142" i="34"/>
  <c r="H142" i="34"/>
  <c r="G142" i="34"/>
  <c r="S141" i="34"/>
  <c r="Q141" i="34"/>
  <c r="P141" i="34"/>
  <c r="H141" i="34"/>
  <c r="G141" i="34"/>
  <c r="S140" i="34"/>
  <c r="Q140" i="34"/>
  <c r="P140" i="34"/>
  <c r="H140" i="34"/>
  <c r="G140" i="34"/>
  <c r="S139" i="34"/>
  <c r="Q139" i="34"/>
  <c r="P139" i="34"/>
  <c r="H139" i="34"/>
  <c r="G139" i="34"/>
  <c r="S138" i="34"/>
  <c r="Q138" i="34"/>
  <c r="P138" i="34"/>
  <c r="H138" i="34"/>
  <c r="G138" i="34"/>
  <c r="S137" i="34"/>
  <c r="Q137" i="34"/>
  <c r="P137" i="34"/>
  <c r="H137" i="34"/>
  <c r="G137" i="34"/>
  <c r="S136" i="34"/>
  <c r="Q136" i="34"/>
  <c r="P136" i="34"/>
  <c r="H136" i="34"/>
  <c r="G136" i="34"/>
  <c r="S135" i="34"/>
  <c r="Q135" i="34"/>
  <c r="P135" i="34"/>
  <c r="H135" i="34"/>
  <c r="G135" i="34"/>
  <c r="S134" i="34"/>
  <c r="Q134" i="34"/>
  <c r="P134" i="34"/>
  <c r="H134" i="34"/>
  <c r="G134" i="34"/>
  <c r="S133" i="34"/>
  <c r="Q133" i="34"/>
  <c r="P133" i="34"/>
  <c r="H133" i="34"/>
  <c r="G133" i="34"/>
  <c r="S132" i="34"/>
  <c r="Q132" i="34"/>
  <c r="P132" i="34"/>
  <c r="H132" i="34"/>
  <c r="G132" i="34"/>
  <c r="S131" i="34"/>
  <c r="Q131" i="34"/>
  <c r="P131" i="34"/>
  <c r="H131" i="34"/>
  <c r="G131" i="34"/>
  <c r="S130" i="34"/>
  <c r="Q130" i="34"/>
  <c r="P130" i="34"/>
  <c r="H130" i="34"/>
  <c r="G130" i="34"/>
  <c r="S129" i="34"/>
  <c r="Q129" i="34"/>
  <c r="P129" i="34"/>
  <c r="H129" i="34"/>
  <c r="G129" i="34"/>
  <c r="S128" i="34"/>
  <c r="Q128" i="34"/>
  <c r="P128" i="34"/>
  <c r="H128" i="34"/>
  <c r="G128" i="34"/>
  <c r="S127" i="34"/>
  <c r="Q127" i="34"/>
  <c r="P127" i="34"/>
  <c r="H127" i="34"/>
  <c r="G127" i="34"/>
  <c r="S126" i="34"/>
  <c r="Q126" i="34"/>
  <c r="P126" i="34"/>
  <c r="H126" i="34"/>
  <c r="G126" i="34"/>
  <c r="S125" i="34"/>
  <c r="Q125" i="34"/>
  <c r="P125" i="34"/>
  <c r="H125" i="34"/>
  <c r="G125" i="34"/>
  <c r="S124" i="34"/>
  <c r="Q124" i="34"/>
  <c r="P124" i="34"/>
  <c r="H124" i="34"/>
  <c r="G124" i="34"/>
  <c r="S123" i="34"/>
  <c r="Q123" i="34"/>
  <c r="P123" i="34"/>
  <c r="H123" i="34"/>
  <c r="G123" i="34"/>
  <c r="S122" i="34"/>
  <c r="Q122" i="34"/>
  <c r="P122" i="34"/>
  <c r="H122" i="34"/>
  <c r="G122" i="34"/>
  <c r="S121" i="34"/>
  <c r="Q121" i="34"/>
  <c r="P121" i="34"/>
  <c r="H121" i="34"/>
  <c r="G121" i="34"/>
  <c r="S120" i="34"/>
  <c r="Q120" i="34"/>
  <c r="P120" i="34"/>
  <c r="H120" i="34"/>
  <c r="G120" i="34"/>
  <c r="S119" i="34"/>
  <c r="Q119" i="34"/>
  <c r="P119" i="34"/>
  <c r="H119" i="34"/>
  <c r="G119" i="34"/>
  <c r="S118" i="34"/>
  <c r="Q118" i="34"/>
  <c r="P118" i="34"/>
  <c r="H118" i="34"/>
  <c r="G118" i="34"/>
  <c r="S117" i="34"/>
  <c r="Q117" i="34"/>
  <c r="P117" i="34"/>
  <c r="H117" i="34"/>
  <c r="G117" i="34"/>
  <c r="S116" i="34"/>
  <c r="Q116" i="34"/>
  <c r="P116" i="34"/>
  <c r="H116" i="34"/>
  <c r="G116" i="34"/>
  <c r="S115" i="34"/>
  <c r="Q115" i="34"/>
  <c r="P115" i="34"/>
  <c r="H115" i="34"/>
  <c r="G115" i="34"/>
  <c r="S114" i="34"/>
  <c r="Q114" i="34"/>
  <c r="P114" i="34"/>
  <c r="H114" i="34"/>
  <c r="G114" i="34"/>
  <c r="S113" i="34"/>
  <c r="Q113" i="34"/>
  <c r="P113" i="34"/>
  <c r="H113" i="34"/>
  <c r="G113" i="34"/>
  <c r="S112" i="34"/>
  <c r="Q112" i="34"/>
  <c r="P112" i="34"/>
  <c r="H112" i="34"/>
  <c r="G112" i="34"/>
  <c r="S111" i="34"/>
  <c r="Q111" i="34"/>
  <c r="P111" i="34"/>
  <c r="H111" i="34"/>
  <c r="G111" i="34"/>
  <c r="S110" i="34"/>
  <c r="Q110" i="34"/>
  <c r="P110" i="34"/>
  <c r="H110" i="34"/>
  <c r="G110" i="34"/>
  <c r="S109" i="34"/>
  <c r="Q109" i="34"/>
  <c r="P109" i="34"/>
  <c r="H109" i="34"/>
  <c r="G109" i="34"/>
  <c r="S108" i="34"/>
  <c r="Q108" i="34"/>
  <c r="P108" i="34"/>
  <c r="H108" i="34"/>
  <c r="G108" i="34"/>
  <c r="S107" i="34"/>
  <c r="Q107" i="34"/>
  <c r="P107" i="34"/>
  <c r="H107" i="34"/>
  <c r="G107" i="34"/>
  <c r="S106" i="34"/>
  <c r="Q106" i="34"/>
  <c r="P106" i="34"/>
  <c r="H106" i="34"/>
  <c r="G106" i="34"/>
  <c r="S105" i="34"/>
  <c r="Q105" i="34"/>
  <c r="P105" i="34"/>
  <c r="H105" i="34"/>
  <c r="G105" i="34"/>
  <c r="S104" i="34"/>
  <c r="Q104" i="34"/>
  <c r="P104" i="34"/>
  <c r="H104" i="34"/>
  <c r="G104" i="34"/>
  <c r="S103" i="34"/>
  <c r="Q103" i="34"/>
  <c r="P103" i="34"/>
  <c r="H103" i="34"/>
  <c r="G103" i="34"/>
  <c r="S102" i="34"/>
  <c r="Q102" i="34"/>
  <c r="P102" i="34"/>
  <c r="H102" i="34"/>
  <c r="G102" i="34"/>
  <c r="S101" i="34"/>
  <c r="Q101" i="34"/>
  <c r="P101" i="34"/>
  <c r="H101" i="34"/>
  <c r="G101" i="34"/>
  <c r="S100" i="34"/>
  <c r="Q100" i="34"/>
  <c r="P100" i="34"/>
  <c r="H100" i="34"/>
  <c r="G100" i="34"/>
  <c r="S99" i="34"/>
  <c r="Q99" i="34"/>
  <c r="P99" i="34"/>
  <c r="H99" i="34"/>
  <c r="G99" i="34"/>
  <c r="S98" i="34"/>
  <c r="Q98" i="34"/>
  <c r="P98" i="34"/>
  <c r="H98" i="34"/>
  <c r="G98" i="34"/>
  <c r="S97" i="34"/>
  <c r="Q97" i="34"/>
  <c r="P97" i="34"/>
  <c r="H97" i="34"/>
  <c r="G97" i="34"/>
  <c r="S96" i="34"/>
  <c r="Q96" i="34"/>
  <c r="P96" i="34"/>
  <c r="H96" i="34"/>
  <c r="G96" i="34"/>
  <c r="S95" i="34"/>
  <c r="Q95" i="34"/>
  <c r="P95" i="34"/>
  <c r="H95" i="34"/>
  <c r="G95" i="34"/>
  <c r="S94" i="34"/>
  <c r="Q94" i="34"/>
  <c r="P94" i="34"/>
  <c r="H94" i="34"/>
  <c r="G94" i="34"/>
  <c r="S93" i="34"/>
  <c r="Q93" i="34"/>
  <c r="P93" i="34"/>
  <c r="H93" i="34"/>
  <c r="G93" i="34"/>
  <c r="S92" i="34"/>
  <c r="Q92" i="34"/>
  <c r="P92" i="34"/>
  <c r="H92" i="34"/>
  <c r="G92" i="34"/>
  <c r="S91" i="34"/>
  <c r="Q91" i="34"/>
  <c r="P91" i="34"/>
  <c r="H91" i="34"/>
  <c r="G91" i="34"/>
  <c r="S90" i="34"/>
  <c r="Q90" i="34"/>
  <c r="P90" i="34"/>
  <c r="H90" i="34"/>
  <c r="G90" i="34"/>
  <c r="S89" i="34"/>
  <c r="Q89" i="34"/>
  <c r="P89" i="34"/>
  <c r="H89" i="34"/>
  <c r="G89" i="34"/>
  <c r="S88" i="34"/>
  <c r="Q88" i="34"/>
  <c r="P88" i="34"/>
  <c r="H88" i="34"/>
  <c r="G88" i="34"/>
  <c r="Q87" i="34"/>
  <c r="P87" i="34"/>
  <c r="H87" i="34"/>
  <c r="G87" i="34"/>
  <c r="S87" i="34" s="1"/>
  <c r="Q86" i="34"/>
  <c r="P86" i="34"/>
  <c r="H86" i="34"/>
  <c r="G86" i="34"/>
  <c r="S86" i="34" s="1"/>
  <c r="Q85" i="34"/>
  <c r="P85" i="34"/>
  <c r="H85" i="34"/>
  <c r="G85" i="34"/>
  <c r="S85" i="34" s="1"/>
  <c r="Q84" i="34"/>
  <c r="P84" i="34"/>
  <c r="H84" i="34"/>
  <c r="G84" i="34"/>
  <c r="S84" i="34" s="1"/>
  <c r="Q83" i="34"/>
  <c r="P83" i="34"/>
  <c r="H83" i="34"/>
  <c r="G83" i="34"/>
  <c r="S83" i="34" s="1"/>
  <c r="Q82" i="34"/>
  <c r="P82" i="34"/>
  <c r="H82" i="34"/>
  <c r="G82" i="34"/>
  <c r="S82" i="34" s="1"/>
  <c r="S81" i="34"/>
  <c r="Q81" i="34"/>
  <c r="P81" i="34"/>
  <c r="H81" i="34"/>
  <c r="G81" i="34"/>
  <c r="Q80" i="34"/>
  <c r="P80" i="34"/>
  <c r="H80" i="34"/>
  <c r="G80" i="34"/>
  <c r="S80" i="34" s="1"/>
  <c r="Q79" i="34"/>
  <c r="P79" i="34"/>
  <c r="H79" i="34"/>
  <c r="G79" i="34"/>
  <c r="S79" i="34" s="1"/>
  <c r="Q78" i="34"/>
  <c r="P78" i="34"/>
  <c r="H78" i="34"/>
  <c r="G78" i="34"/>
  <c r="S78" i="34" s="1"/>
  <c r="Q77" i="34"/>
  <c r="P77" i="34"/>
  <c r="H77" i="34"/>
  <c r="G77" i="34"/>
  <c r="S77" i="34" s="1"/>
  <c r="Q76" i="34"/>
  <c r="P76" i="34"/>
  <c r="H76" i="34"/>
  <c r="G76" i="34"/>
  <c r="S76" i="34" s="1"/>
  <c r="Q75" i="34"/>
  <c r="P75" i="34"/>
  <c r="H75" i="34"/>
  <c r="G75" i="34"/>
  <c r="S75" i="34" s="1"/>
  <c r="Q74" i="34"/>
  <c r="P74" i="34"/>
  <c r="H74" i="34"/>
  <c r="G74" i="34"/>
  <c r="S74" i="34" s="1"/>
  <c r="Q73" i="34"/>
  <c r="P73" i="34"/>
  <c r="H73" i="34"/>
  <c r="G73" i="34"/>
  <c r="S73" i="34" s="1"/>
  <c r="Q72" i="34"/>
  <c r="P72" i="34"/>
  <c r="H72" i="34"/>
  <c r="G72" i="34"/>
  <c r="S72" i="34" s="1"/>
  <c r="H71" i="34"/>
  <c r="G71" i="34"/>
  <c r="Q70" i="34"/>
  <c r="P70" i="34"/>
  <c r="H70" i="34"/>
  <c r="G70" i="34"/>
  <c r="Q69" i="34"/>
  <c r="P69" i="34"/>
  <c r="H69" i="34"/>
  <c r="G69" i="34"/>
  <c r="Q68" i="34"/>
  <c r="P68" i="34"/>
  <c r="H68" i="34"/>
  <c r="G68" i="34"/>
  <c r="Q67" i="34"/>
  <c r="P67" i="34"/>
  <c r="H67" i="34"/>
  <c r="G67" i="34"/>
  <c r="Q66" i="34"/>
  <c r="P66" i="34"/>
  <c r="S66" i="34" s="1"/>
  <c r="Q40" i="34"/>
  <c r="P40" i="34"/>
  <c r="H40" i="34"/>
  <c r="G40" i="34"/>
  <c r="Q36" i="34"/>
  <c r="P36" i="34"/>
  <c r="H36" i="34"/>
  <c r="G36" i="34"/>
  <c r="Q35" i="34"/>
  <c r="P35" i="34"/>
  <c r="H35" i="34"/>
  <c r="G35" i="34"/>
  <c r="Q34" i="34"/>
  <c r="P34" i="34"/>
  <c r="H34" i="34"/>
  <c r="G34" i="34"/>
  <c r="Q33" i="34"/>
  <c r="P33" i="34"/>
  <c r="H33" i="34"/>
  <c r="G33" i="34"/>
  <c r="Q32" i="34"/>
  <c r="P32" i="34"/>
  <c r="H32" i="34"/>
  <c r="G32" i="34"/>
  <c r="Q31" i="34"/>
  <c r="P31" i="34"/>
  <c r="H31" i="34"/>
  <c r="G31" i="34"/>
  <c r="Q30" i="34"/>
  <c r="P30" i="34"/>
  <c r="H30" i="34"/>
  <c r="G30" i="34"/>
  <c r="Q29" i="34"/>
  <c r="P29" i="34"/>
  <c r="H29" i="34"/>
  <c r="G29" i="34"/>
  <c r="Q28" i="34"/>
  <c r="P28" i="34"/>
  <c r="H28" i="34"/>
  <c r="G28" i="34"/>
  <c r="Q27" i="34"/>
  <c r="P27" i="34"/>
  <c r="H27" i="34"/>
  <c r="G27" i="34"/>
  <c r="Q26" i="34"/>
  <c r="P26" i="34"/>
  <c r="H26" i="34"/>
  <c r="G26" i="34"/>
  <c r="Q25" i="34"/>
  <c r="P25" i="34"/>
  <c r="H25" i="34"/>
  <c r="G25" i="34"/>
  <c r="Q24" i="34"/>
  <c r="P24" i="34"/>
  <c r="H24" i="34"/>
  <c r="G24" i="34"/>
  <c r="Q23" i="34"/>
  <c r="P23" i="34"/>
  <c r="H23" i="34"/>
  <c r="G23" i="34"/>
  <c r="Q22" i="34"/>
  <c r="P22" i="34"/>
  <c r="H22" i="34"/>
  <c r="G22" i="34"/>
  <c r="Q21" i="34"/>
  <c r="P21" i="34"/>
  <c r="H21" i="34"/>
  <c r="G21" i="34"/>
  <c r="Q20" i="34"/>
  <c r="P20" i="34"/>
  <c r="H20" i="34"/>
  <c r="G20" i="34"/>
  <c r="Q19" i="34"/>
  <c r="P19" i="34"/>
  <c r="H19" i="34"/>
  <c r="G19" i="34"/>
  <c r="Q18" i="34"/>
  <c r="P18" i="34"/>
  <c r="H18" i="34"/>
  <c r="G18" i="34"/>
  <c r="Q17" i="34"/>
  <c r="P17" i="34"/>
  <c r="H17" i="34"/>
  <c r="G17" i="34"/>
  <c r="Q16" i="34"/>
  <c r="P16" i="34"/>
  <c r="H16" i="34"/>
  <c r="G16" i="34"/>
  <c r="Q15" i="34"/>
  <c r="P15" i="34"/>
  <c r="H15" i="34"/>
  <c r="G15" i="34"/>
  <c r="Q14" i="34"/>
  <c r="P14" i="34"/>
  <c r="H14" i="34"/>
  <c r="G14" i="34"/>
  <c r="Q13" i="34"/>
  <c r="P13" i="34"/>
  <c r="H13" i="34"/>
  <c r="G13" i="34"/>
  <c r="Q12" i="34"/>
  <c r="P12" i="34"/>
  <c r="H12" i="34"/>
  <c r="G12" i="34"/>
  <c r="Q11" i="34"/>
  <c r="P11" i="34"/>
  <c r="H11" i="34"/>
  <c r="G11" i="34"/>
  <c r="Q10" i="34"/>
  <c r="P10" i="34"/>
  <c r="H10" i="34"/>
  <c r="G10" i="34"/>
  <c r="Q9" i="34"/>
  <c r="P9" i="34"/>
  <c r="H9" i="34"/>
  <c r="G9" i="34"/>
  <c r="Q8" i="34"/>
  <c r="P8" i="34"/>
  <c r="H8" i="34"/>
  <c r="G8" i="34"/>
  <c r="Q7" i="34"/>
  <c r="P7" i="34"/>
  <c r="H7" i="34"/>
  <c r="G7" i="34"/>
  <c r="Q6" i="34"/>
  <c r="P6" i="34"/>
  <c r="H6" i="34"/>
  <c r="G6" i="34"/>
  <c r="S253" i="32"/>
  <c r="Q253" i="32"/>
  <c r="P253" i="32"/>
  <c r="H253" i="32"/>
  <c r="G253" i="32"/>
  <c r="S252" i="32"/>
  <c r="Q252" i="32"/>
  <c r="P252" i="32"/>
  <c r="H252" i="32"/>
  <c r="G252" i="32"/>
  <c r="S251" i="32"/>
  <c r="Q251" i="32"/>
  <c r="P251" i="32"/>
  <c r="H251" i="32"/>
  <c r="G251" i="32"/>
  <c r="S250" i="32"/>
  <c r="Q250" i="32"/>
  <c r="P250" i="32"/>
  <c r="H250" i="32"/>
  <c r="G250" i="32"/>
  <c r="S249" i="32"/>
  <c r="Q249" i="32"/>
  <c r="P249" i="32"/>
  <c r="H249" i="32"/>
  <c r="G249" i="32"/>
  <c r="S248" i="32"/>
  <c r="Q248" i="32"/>
  <c r="P248" i="32"/>
  <c r="H248" i="32"/>
  <c r="G248" i="32"/>
  <c r="S247" i="32"/>
  <c r="Q247" i="32"/>
  <c r="P247" i="32"/>
  <c r="H247" i="32"/>
  <c r="G247" i="32"/>
  <c r="S246" i="32"/>
  <c r="Q246" i="32"/>
  <c r="P246" i="32"/>
  <c r="H246" i="32"/>
  <c r="G246" i="32"/>
  <c r="S245" i="32"/>
  <c r="Q245" i="32"/>
  <c r="P245" i="32"/>
  <c r="H245" i="32"/>
  <c r="G245" i="32"/>
  <c r="S244" i="32"/>
  <c r="Q244" i="32"/>
  <c r="P244" i="32"/>
  <c r="H244" i="32"/>
  <c r="G244" i="32"/>
  <c r="S243" i="32"/>
  <c r="Q243" i="32"/>
  <c r="P243" i="32"/>
  <c r="H243" i="32"/>
  <c r="G243" i="32"/>
  <c r="S242" i="32"/>
  <c r="Q242" i="32"/>
  <c r="P242" i="32"/>
  <c r="H242" i="32"/>
  <c r="G242" i="32"/>
  <c r="S241" i="32"/>
  <c r="Q241" i="32"/>
  <c r="P241" i="32"/>
  <c r="H241" i="32"/>
  <c r="G241" i="32"/>
  <c r="S240" i="32"/>
  <c r="Q240" i="32"/>
  <c r="P240" i="32"/>
  <c r="H240" i="32"/>
  <c r="G240" i="32"/>
  <c r="S239" i="32"/>
  <c r="Q239" i="32"/>
  <c r="P239" i="32"/>
  <c r="H239" i="32"/>
  <c r="G239" i="32"/>
  <c r="S238" i="32"/>
  <c r="Q238" i="32"/>
  <c r="P238" i="32"/>
  <c r="H238" i="32"/>
  <c r="G238" i="32"/>
  <c r="S237" i="32"/>
  <c r="Q237" i="32"/>
  <c r="P237" i="32"/>
  <c r="H237" i="32"/>
  <c r="G237" i="32"/>
  <c r="S236" i="32"/>
  <c r="Q236" i="32"/>
  <c r="P236" i="32"/>
  <c r="H236" i="32"/>
  <c r="G236" i="32"/>
  <c r="S235" i="32"/>
  <c r="Q235" i="32"/>
  <c r="P235" i="32"/>
  <c r="H235" i="32"/>
  <c r="G235" i="32"/>
  <c r="S234" i="32"/>
  <c r="Q234" i="32"/>
  <c r="P234" i="32"/>
  <c r="H234" i="32"/>
  <c r="G234" i="32"/>
  <c r="S233" i="32"/>
  <c r="Q233" i="32"/>
  <c r="P233" i="32"/>
  <c r="H233" i="32"/>
  <c r="G233" i="32"/>
  <c r="S232" i="32"/>
  <c r="Q232" i="32"/>
  <c r="P232" i="32"/>
  <c r="H232" i="32"/>
  <c r="G232" i="32"/>
  <c r="S231" i="32"/>
  <c r="Q231" i="32"/>
  <c r="P231" i="32"/>
  <c r="H231" i="32"/>
  <c r="G231" i="32"/>
  <c r="S230" i="32"/>
  <c r="Q230" i="32"/>
  <c r="P230" i="32"/>
  <c r="H230" i="32"/>
  <c r="G230" i="32"/>
  <c r="S229" i="32"/>
  <c r="Q229" i="32"/>
  <c r="P229" i="32"/>
  <c r="H229" i="32"/>
  <c r="G229" i="32"/>
  <c r="S228" i="32"/>
  <c r="Q228" i="32"/>
  <c r="P228" i="32"/>
  <c r="H228" i="32"/>
  <c r="G228" i="32"/>
  <c r="S227" i="32"/>
  <c r="Q227" i="32"/>
  <c r="P227" i="32"/>
  <c r="H227" i="32"/>
  <c r="G227" i="32"/>
  <c r="S226" i="32"/>
  <c r="Q226" i="32"/>
  <c r="P226" i="32"/>
  <c r="H226" i="32"/>
  <c r="G226" i="32"/>
  <c r="S225" i="32"/>
  <c r="Q225" i="32"/>
  <c r="P225" i="32"/>
  <c r="H225" i="32"/>
  <c r="G225" i="32"/>
  <c r="S224" i="32"/>
  <c r="Q224" i="32"/>
  <c r="P224" i="32"/>
  <c r="H224" i="32"/>
  <c r="G224" i="32"/>
  <c r="S223" i="32"/>
  <c r="Q223" i="32"/>
  <c r="P223" i="32"/>
  <c r="H223" i="32"/>
  <c r="G223" i="32"/>
  <c r="S222" i="32"/>
  <c r="Q222" i="32"/>
  <c r="P222" i="32"/>
  <c r="H222" i="32"/>
  <c r="G222" i="32"/>
  <c r="S221" i="32"/>
  <c r="Q221" i="32"/>
  <c r="P221" i="32"/>
  <c r="H221" i="32"/>
  <c r="G221" i="32"/>
  <c r="S220" i="32"/>
  <c r="Q220" i="32"/>
  <c r="P220" i="32"/>
  <c r="H220" i="32"/>
  <c r="G220" i="32"/>
  <c r="S219" i="32"/>
  <c r="Q219" i="32"/>
  <c r="P219" i="32"/>
  <c r="H219" i="32"/>
  <c r="G219" i="32"/>
  <c r="S218" i="32"/>
  <c r="Q218" i="32"/>
  <c r="P218" i="32"/>
  <c r="H218" i="32"/>
  <c r="G218" i="32"/>
  <c r="S217" i="32"/>
  <c r="Q217" i="32"/>
  <c r="P217" i="32"/>
  <c r="H217" i="32"/>
  <c r="G217" i="32"/>
  <c r="S216" i="32"/>
  <c r="Q216" i="32"/>
  <c r="P216" i="32"/>
  <c r="H216" i="32"/>
  <c r="G216" i="32"/>
  <c r="S215" i="32"/>
  <c r="Q215" i="32"/>
  <c r="P215" i="32"/>
  <c r="H215" i="32"/>
  <c r="G215" i="32"/>
  <c r="S214" i="32"/>
  <c r="Q214" i="32"/>
  <c r="P214" i="32"/>
  <c r="H214" i="32"/>
  <c r="G214" i="32"/>
  <c r="S213" i="32"/>
  <c r="Q213" i="32"/>
  <c r="P213" i="32"/>
  <c r="H213" i="32"/>
  <c r="G213" i="32"/>
  <c r="S212" i="32"/>
  <c r="Q212" i="32"/>
  <c r="P212" i="32"/>
  <c r="H212" i="32"/>
  <c r="G212" i="32"/>
  <c r="S211" i="32"/>
  <c r="Q211" i="32"/>
  <c r="P211" i="32"/>
  <c r="H211" i="32"/>
  <c r="G211" i="32"/>
  <c r="S210" i="32"/>
  <c r="Q210" i="32"/>
  <c r="P210" i="32"/>
  <c r="H210" i="32"/>
  <c r="G210" i="32"/>
  <c r="S209" i="32"/>
  <c r="Q209" i="32"/>
  <c r="P209" i="32"/>
  <c r="H209" i="32"/>
  <c r="G209" i="32"/>
  <c r="S208" i="32"/>
  <c r="Q208" i="32"/>
  <c r="P208" i="32"/>
  <c r="H208" i="32"/>
  <c r="G208" i="32"/>
  <c r="S207" i="32"/>
  <c r="Q207" i="32"/>
  <c r="P207" i="32"/>
  <c r="H207" i="32"/>
  <c r="G207" i="32"/>
  <c r="S206" i="32"/>
  <c r="Q206" i="32"/>
  <c r="P206" i="32"/>
  <c r="H206" i="32"/>
  <c r="G206" i="32"/>
  <c r="S205" i="32"/>
  <c r="Q205" i="32"/>
  <c r="P205" i="32"/>
  <c r="H205" i="32"/>
  <c r="G205" i="32"/>
  <c r="S204" i="32"/>
  <c r="Q204" i="32"/>
  <c r="P204" i="32"/>
  <c r="H204" i="32"/>
  <c r="G204" i="32"/>
  <c r="S203" i="32"/>
  <c r="Q203" i="32"/>
  <c r="P203" i="32"/>
  <c r="H203" i="32"/>
  <c r="G203" i="32"/>
  <c r="S202" i="32"/>
  <c r="Q202" i="32"/>
  <c r="P202" i="32"/>
  <c r="H202" i="32"/>
  <c r="G202" i="32"/>
  <c r="S201" i="32"/>
  <c r="Q201" i="32"/>
  <c r="P201" i="32"/>
  <c r="H201" i="32"/>
  <c r="G201" i="32"/>
  <c r="S200" i="32"/>
  <c r="Q200" i="32"/>
  <c r="P200" i="32"/>
  <c r="H200" i="32"/>
  <c r="G200" i="32"/>
  <c r="S199" i="32"/>
  <c r="Q199" i="32"/>
  <c r="P199" i="32"/>
  <c r="H199" i="32"/>
  <c r="G199" i="32"/>
  <c r="S198" i="32"/>
  <c r="Q198" i="32"/>
  <c r="P198" i="32"/>
  <c r="H198" i="32"/>
  <c r="G198" i="32"/>
  <c r="S197" i="32"/>
  <c r="Q197" i="32"/>
  <c r="P197" i="32"/>
  <c r="H197" i="32"/>
  <c r="G197" i="32"/>
  <c r="S196" i="32"/>
  <c r="Q196" i="32"/>
  <c r="P196" i="32"/>
  <c r="H196" i="32"/>
  <c r="G196" i="32"/>
  <c r="S195" i="32"/>
  <c r="Q195" i="32"/>
  <c r="P195" i="32"/>
  <c r="H195" i="32"/>
  <c r="G195" i="32"/>
  <c r="S194" i="32"/>
  <c r="Q194" i="32"/>
  <c r="P194" i="32"/>
  <c r="H194" i="32"/>
  <c r="G194" i="32"/>
  <c r="S193" i="32"/>
  <c r="Q193" i="32"/>
  <c r="P193" i="32"/>
  <c r="H193" i="32"/>
  <c r="G193" i="32"/>
  <c r="S192" i="32"/>
  <c r="Q192" i="32"/>
  <c r="P192" i="32"/>
  <c r="H192" i="32"/>
  <c r="G192" i="32"/>
  <c r="S191" i="32"/>
  <c r="Q191" i="32"/>
  <c r="P191" i="32"/>
  <c r="H191" i="32"/>
  <c r="G191" i="32"/>
  <c r="S190" i="32"/>
  <c r="Q190" i="32"/>
  <c r="P190" i="32"/>
  <c r="H190" i="32"/>
  <c r="G190" i="32"/>
  <c r="S189" i="32"/>
  <c r="Q189" i="32"/>
  <c r="P189" i="32"/>
  <c r="H189" i="32"/>
  <c r="G189" i="32"/>
  <c r="S188" i="32"/>
  <c r="Q188" i="32"/>
  <c r="P188" i="32"/>
  <c r="H188" i="32"/>
  <c r="G188" i="32"/>
  <c r="S187" i="32"/>
  <c r="Q187" i="32"/>
  <c r="P187" i="32"/>
  <c r="H187" i="32"/>
  <c r="G187" i="32"/>
  <c r="S186" i="32"/>
  <c r="Q186" i="32"/>
  <c r="P186" i="32"/>
  <c r="H186" i="32"/>
  <c r="G186" i="32"/>
  <c r="S185" i="32"/>
  <c r="Q185" i="32"/>
  <c r="P185" i="32"/>
  <c r="H185" i="32"/>
  <c r="G185" i="32"/>
  <c r="S184" i="32"/>
  <c r="Q184" i="32"/>
  <c r="P184" i="32"/>
  <c r="H184" i="32"/>
  <c r="G184" i="32"/>
  <c r="S183" i="32"/>
  <c r="Q183" i="32"/>
  <c r="P183" i="32"/>
  <c r="H183" i="32"/>
  <c r="G183" i="32"/>
  <c r="S182" i="32"/>
  <c r="Q182" i="32"/>
  <c r="P182" i="32"/>
  <c r="H182" i="32"/>
  <c r="G182" i="32"/>
  <c r="S181" i="32"/>
  <c r="Q181" i="32"/>
  <c r="P181" i="32"/>
  <c r="H181" i="32"/>
  <c r="G181" i="32"/>
  <c r="S180" i="32"/>
  <c r="Q180" i="32"/>
  <c r="P180" i="32"/>
  <c r="H180" i="32"/>
  <c r="G180" i="32"/>
  <c r="S179" i="32"/>
  <c r="Q179" i="32"/>
  <c r="P179" i="32"/>
  <c r="H179" i="32"/>
  <c r="G179" i="32"/>
  <c r="S178" i="32"/>
  <c r="Q178" i="32"/>
  <c r="P178" i="32"/>
  <c r="H178" i="32"/>
  <c r="G178" i="32"/>
  <c r="S177" i="32"/>
  <c r="Q177" i="32"/>
  <c r="P177" i="32"/>
  <c r="H177" i="32"/>
  <c r="G177" i="32"/>
  <c r="S176" i="32"/>
  <c r="Q176" i="32"/>
  <c r="P176" i="32"/>
  <c r="H176" i="32"/>
  <c r="G176" i="32"/>
  <c r="S175" i="32"/>
  <c r="Q175" i="32"/>
  <c r="P175" i="32"/>
  <c r="H175" i="32"/>
  <c r="G175" i="32"/>
  <c r="S174" i="32"/>
  <c r="Q174" i="32"/>
  <c r="P174" i="32"/>
  <c r="H174" i="32"/>
  <c r="G174" i="32"/>
  <c r="S173" i="32"/>
  <c r="Q173" i="32"/>
  <c r="P173" i="32"/>
  <c r="H173" i="32"/>
  <c r="G173" i="32"/>
  <c r="S172" i="32"/>
  <c r="Q172" i="32"/>
  <c r="P172" i="32"/>
  <c r="H172" i="32"/>
  <c r="G172" i="32"/>
  <c r="S171" i="32"/>
  <c r="Q171" i="32"/>
  <c r="P171" i="32"/>
  <c r="H171" i="32"/>
  <c r="G171" i="32"/>
  <c r="S170" i="32"/>
  <c r="Q170" i="32"/>
  <c r="P170" i="32"/>
  <c r="H170" i="32"/>
  <c r="G170" i="32"/>
  <c r="S169" i="32"/>
  <c r="Q169" i="32"/>
  <c r="P169" i="32"/>
  <c r="H169" i="32"/>
  <c r="G169" i="32"/>
  <c r="S168" i="32"/>
  <c r="Q168" i="32"/>
  <c r="P168" i="32"/>
  <c r="H168" i="32"/>
  <c r="G168" i="32"/>
  <c r="S167" i="32"/>
  <c r="Q167" i="32"/>
  <c r="P167" i="32"/>
  <c r="H167" i="32"/>
  <c r="G167" i="32"/>
  <c r="S166" i="32"/>
  <c r="Q166" i="32"/>
  <c r="P166" i="32"/>
  <c r="H166" i="32"/>
  <c r="G166" i="32"/>
  <c r="S165" i="32"/>
  <c r="Q165" i="32"/>
  <c r="P165" i="32"/>
  <c r="H165" i="32"/>
  <c r="G165" i="32"/>
  <c r="S164" i="32"/>
  <c r="Q164" i="32"/>
  <c r="P164" i="32"/>
  <c r="H164" i="32"/>
  <c r="G164" i="32"/>
  <c r="S163" i="32"/>
  <c r="Q163" i="32"/>
  <c r="P163" i="32"/>
  <c r="H163" i="32"/>
  <c r="G163" i="32"/>
  <c r="S162" i="32"/>
  <c r="Q162" i="32"/>
  <c r="P162" i="32"/>
  <c r="H162" i="32"/>
  <c r="G162" i="32"/>
  <c r="S161" i="32"/>
  <c r="Q161" i="32"/>
  <c r="P161" i="32"/>
  <c r="H161" i="32"/>
  <c r="G161" i="32"/>
  <c r="S160" i="32"/>
  <c r="Q160" i="32"/>
  <c r="P160" i="32"/>
  <c r="H160" i="32"/>
  <c r="G160" i="32"/>
  <c r="S159" i="32"/>
  <c r="Q159" i="32"/>
  <c r="P159" i="32"/>
  <c r="H159" i="32"/>
  <c r="G159" i="32"/>
  <c r="S158" i="32"/>
  <c r="Q158" i="32"/>
  <c r="P158" i="32"/>
  <c r="H158" i="32"/>
  <c r="G158" i="32"/>
  <c r="S157" i="32"/>
  <c r="Q157" i="32"/>
  <c r="P157" i="32"/>
  <c r="H157" i="32"/>
  <c r="G157" i="32"/>
  <c r="S156" i="32"/>
  <c r="Q156" i="32"/>
  <c r="P156" i="32"/>
  <c r="H156" i="32"/>
  <c r="G156" i="32"/>
  <c r="S155" i="32"/>
  <c r="Q155" i="32"/>
  <c r="P155" i="32"/>
  <c r="H155" i="32"/>
  <c r="G155" i="32"/>
  <c r="S154" i="32"/>
  <c r="Q154" i="32"/>
  <c r="P154" i="32"/>
  <c r="H154" i="32"/>
  <c r="G154" i="32"/>
  <c r="S153" i="32"/>
  <c r="Q153" i="32"/>
  <c r="P153" i="32"/>
  <c r="H153" i="32"/>
  <c r="G153" i="32"/>
  <c r="S152" i="32"/>
  <c r="Q152" i="32"/>
  <c r="P152" i="32"/>
  <c r="H152" i="32"/>
  <c r="G152" i="32"/>
  <c r="S151" i="32"/>
  <c r="Q151" i="32"/>
  <c r="P151" i="32"/>
  <c r="H151" i="32"/>
  <c r="G151" i="32"/>
  <c r="S150" i="32"/>
  <c r="Q150" i="32"/>
  <c r="P150" i="32"/>
  <c r="H150" i="32"/>
  <c r="G150" i="32"/>
  <c r="S149" i="32"/>
  <c r="Q149" i="32"/>
  <c r="P149" i="32"/>
  <c r="H149" i="32"/>
  <c r="G149" i="32"/>
  <c r="S148" i="32"/>
  <c r="Q148" i="32"/>
  <c r="P148" i="32"/>
  <c r="H148" i="32"/>
  <c r="G148" i="32"/>
  <c r="S147" i="32"/>
  <c r="Q147" i="32"/>
  <c r="P147" i="32"/>
  <c r="H147" i="32"/>
  <c r="G147" i="32"/>
  <c r="S146" i="32"/>
  <c r="Q146" i="32"/>
  <c r="P146" i="32"/>
  <c r="H146" i="32"/>
  <c r="G146" i="32"/>
  <c r="S145" i="32"/>
  <c r="Q145" i="32"/>
  <c r="P145" i="32"/>
  <c r="H145" i="32"/>
  <c r="G145" i="32"/>
  <c r="S144" i="32"/>
  <c r="Q144" i="32"/>
  <c r="P144" i="32"/>
  <c r="H144" i="32"/>
  <c r="G144" i="32"/>
  <c r="S143" i="32"/>
  <c r="Q143" i="32"/>
  <c r="P143" i="32"/>
  <c r="H143" i="32"/>
  <c r="G143" i="32"/>
  <c r="S142" i="32"/>
  <c r="Q142" i="32"/>
  <c r="P142" i="32"/>
  <c r="H142" i="32"/>
  <c r="G142" i="32"/>
  <c r="S141" i="32"/>
  <c r="Q141" i="32"/>
  <c r="P141" i="32"/>
  <c r="H141" i="32"/>
  <c r="G141" i="32"/>
  <c r="S140" i="32"/>
  <c r="Q140" i="32"/>
  <c r="P140" i="32"/>
  <c r="H140" i="32"/>
  <c r="G140" i="32"/>
  <c r="S139" i="32"/>
  <c r="Q139" i="32"/>
  <c r="P139" i="32"/>
  <c r="H139" i="32"/>
  <c r="G139" i="32"/>
  <c r="S138" i="32"/>
  <c r="Q138" i="32"/>
  <c r="P138" i="32"/>
  <c r="H138" i="32"/>
  <c r="G138" i="32"/>
  <c r="S137" i="32"/>
  <c r="Q137" i="32"/>
  <c r="P137" i="32"/>
  <c r="H137" i="32"/>
  <c r="G137" i="32"/>
  <c r="S136" i="32"/>
  <c r="Q136" i="32"/>
  <c r="P136" i="32"/>
  <c r="H136" i="32"/>
  <c r="G136" i="32"/>
  <c r="S135" i="32"/>
  <c r="Q135" i="32"/>
  <c r="P135" i="32"/>
  <c r="H135" i="32"/>
  <c r="G135" i="32"/>
  <c r="S134" i="32"/>
  <c r="Q134" i="32"/>
  <c r="P134" i="32"/>
  <c r="H134" i="32"/>
  <c r="G134" i="32"/>
  <c r="S133" i="32"/>
  <c r="Q133" i="32"/>
  <c r="P133" i="32"/>
  <c r="H133" i="32"/>
  <c r="G133" i="32"/>
  <c r="S132" i="32"/>
  <c r="Q132" i="32"/>
  <c r="P132" i="32"/>
  <c r="H132" i="32"/>
  <c r="G132" i="32"/>
  <c r="S131" i="32"/>
  <c r="Q131" i="32"/>
  <c r="P131" i="32"/>
  <c r="H131" i="32"/>
  <c r="G131" i="32"/>
  <c r="S130" i="32"/>
  <c r="Q130" i="32"/>
  <c r="P130" i="32"/>
  <c r="H130" i="32"/>
  <c r="G130" i="32"/>
  <c r="S129" i="32"/>
  <c r="Q129" i="32"/>
  <c r="P129" i="32"/>
  <c r="H129" i="32"/>
  <c r="G129" i="32"/>
  <c r="S128" i="32"/>
  <c r="Q128" i="32"/>
  <c r="P128" i="32"/>
  <c r="H128" i="32"/>
  <c r="G128" i="32"/>
  <c r="S127" i="32"/>
  <c r="Q127" i="32"/>
  <c r="P127" i="32"/>
  <c r="H127" i="32"/>
  <c r="G127" i="32"/>
  <c r="S126" i="32"/>
  <c r="Q126" i="32"/>
  <c r="P126" i="32"/>
  <c r="H126" i="32"/>
  <c r="G126" i="32"/>
  <c r="S125" i="32"/>
  <c r="Q125" i="32"/>
  <c r="P125" i="32"/>
  <c r="H125" i="32"/>
  <c r="G125" i="32"/>
  <c r="S124" i="32"/>
  <c r="Q124" i="32"/>
  <c r="P124" i="32"/>
  <c r="H124" i="32"/>
  <c r="G124" i="32"/>
  <c r="S123" i="32"/>
  <c r="Q123" i="32"/>
  <c r="P123" i="32"/>
  <c r="H123" i="32"/>
  <c r="G123" i="32"/>
  <c r="S122" i="32"/>
  <c r="Q122" i="32"/>
  <c r="P122" i="32"/>
  <c r="H122" i="32"/>
  <c r="G122" i="32"/>
  <c r="S121" i="32"/>
  <c r="Q121" i="32"/>
  <c r="P121" i="32"/>
  <c r="H121" i="32"/>
  <c r="G121" i="32"/>
  <c r="S120" i="32"/>
  <c r="Q120" i="32"/>
  <c r="P120" i="32"/>
  <c r="H120" i="32"/>
  <c r="G120" i="32"/>
  <c r="S119" i="32"/>
  <c r="Q119" i="32"/>
  <c r="P119" i="32"/>
  <c r="H119" i="32"/>
  <c r="G119" i="32"/>
  <c r="S118" i="32"/>
  <c r="Q118" i="32"/>
  <c r="P118" i="32"/>
  <c r="H118" i="32"/>
  <c r="G118" i="32"/>
  <c r="S117" i="32"/>
  <c r="Q117" i="32"/>
  <c r="P117" i="32"/>
  <c r="H117" i="32"/>
  <c r="G117" i="32"/>
  <c r="S116" i="32"/>
  <c r="Q116" i="32"/>
  <c r="P116" i="32"/>
  <c r="H116" i="32"/>
  <c r="G116" i="32"/>
  <c r="S115" i="32"/>
  <c r="Q115" i="32"/>
  <c r="P115" i="32"/>
  <c r="H115" i="32"/>
  <c r="G115" i="32"/>
  <c r="S114" i="32"/>
  <c r="Q114" i="32"/>
  <c r="P114" i="32"/>
  <c r="H114" i="32"/>
  <c r="G114" i="32"/>
  <c r="S113" i="32"/>
  <c r="Q113" i="32"/>
  <c r="P113" i="32"/>
  <c r="H113" i="32"/>
  <c r="G113" i="32"/>
  <c r="S112" i="32"/>
  <c r="Q112" i="32"/>
  <c r="P112" i="32"/>
  <c r="H112" i="32"/>
  <c r="G112" i="32"/>
  <c r="S111" i="32"/>
  <c r="Q111" i="32"/>
  <c r="P111" i="32"/>
  <c r="H111" i="32"/>
  <c r="G111" i="32"/>
  <c r="S110" i="32"/>
  <c r="Q110" i="32"/>
  <c r="P110" i="32"/>
  <c r="H110" i="32"/>
  <c r="G110" i="32"/>
  <c r="S109" i="32"/>
  <c r="Q109" i="32"/>
  <c r="P109" i="32"/>
  <c r="H109" i="32"/>
  <c r="G109" i="32"/>
  <c r="S108" i="32"/>
  <c r="Q108" i="32"/>
  <c r="P108" i="32"/>
  <c r="H108" i="32"/>
  <c r="G108" i="32"/>
  <c r="S107" i="32"/>
  <c r="Q107" i="32"/>
  <c r="P107" i="32"/>
  <c r="H107" i="32"/>
  <c r="G107" i="32"/>
  <c r="S106" i="32"/>
  <c r="Q106" i="32"/>
  <c r="P106" i="32"/>
  <c r="H106" i="32"/>
  <c r="G106" i="32"/>
  <c r="S105" i="32"/>
  <c r="Q105" i="32"/>
  <c r="P105" i="32"/>
  <c r="H105" i="32"/>
  <c r="G105" i="32"/>
  <c r="S104" i="32"/>
  <c r="Q104" i="32"/>
  <c r="P104" i="32"/>
  <c r="H104" i="32"/>
  <c r="G104" i="32"/>
  <c r="S103" i="32"/>
  <c r="Q103" i="32"/>
  <c r="P103" i="32"/>
  <c r="H103" i="32"/>
  <c r="G103" i="32"/>
  <c r="S102" i="32"/>
  <c r="Q102" i="32"/>
  <c r="P102" i="32"/>
  <c r="H102" i="32"/>
  <c r="G102" i="32"/>
  <c r="S101" i="32"/>
  <c r="Q101" i="32"/>
  <c r="P101" i="32"/>
  <c r="H101" i="32"/>
  <c r="G101" i="32"/>
  <c r="S100" i="32"/>
  <c r="Q100" i="32"/>
  <c r="P100" i="32"/>
  <c r="H100" i="32"/>
  <c r="G100" i="32"/>
  <c r="S99" i="32"/>
  <c r="Q99" i="32"/>
  <c r="P99" i="32"/>
  <c r="H99" i="32"/>
  <c r="G99" i="32"/>
  <c r="S98" i="32"/>
  <c r="Q98" i="32"/>
  <c r="P98" i="32"/>
  <c r="H98" i="32"/>
  <c r="G98" i="32"/>
  <c r="S97" i="32"/>
  <c r="Q97" i="32"/>
  <c r="P97" i="32"/>
  <c r="H97" i="32"/>
  <c r="G97" i="32"/>
  <c r="S96" i="32"/>
  <c r="Q96" i="32"/>
  <c r="P96" i="32"/>
  <c r="H96" i="32"/>
  <c r="G96" i="32"/>
  <c r="S95" i="32"/>
  <c r="Q95" i="32"/>
  <c r="P95" i="32"/>
  <c r="H95" i="32"/>
  <c r="G95" i="32"/>
  <c r="S94" i="32"/>
  <c r="Q94" i="32"/>
  <c r="P94" i="32"/>
  <c r="H94" i="32"/>
  <c r="G94" i="32"/>
  <c r="S93" i="32"/>
  <c r="Q93" i="32"/>
  <c r="P93" i="32"/>
  <c r="H93" i="32"/>
  <c r="G93" i="32"/>
  <c r="S92" i="32"/>
  <c r="Q92" i="32"/>
  <c r="P92" i="32"/>
  <c r="H92" i="32"/>
  <c r="G92" i="32"/>
  <c r="S91" i="32"/>
  <c r="Q91" i="32"/>
  <c r="P91" i="32"/>
  <c r="H91" i="32"/>
  <c r="G91" i="32"/>
  <c r="S90" i="32"/>
  <c r="Q90" i="32"/>
  <c r="P90" i="32"/>
  <c r="H90" i="32"/>
  <c r="G90" i="32"/>
  <c r="S89" i="32"/>
  <c r="Q89" i="32"/>
  <c r="P89" i="32"/>
  <c r="H89" i="32"/>
  <c r="G89" i="32"/>
  <c r="S88" i="32"/>
  <c r="Q88" i="32"/>
  <c r="P88" i="32"/>
  <c r="H88" i="32"/>
  <c r="G88" i="32"/>
  <c r="S87" i="32"/>
  <c r="Q87" i="32"/>
  <c r="P87" i="32"/>
  <c r="H87" i="32"/>
  <c r="G87" i="32"/>
  <c r="S86" i="32"/>
  <c r="Q86" i="32"/>
  <c r="P86" i="32"/>
  <c r="H86" i="32"/>
  <c r="G86" i="32"/>
  <c r="S85" i="32"/>
  <c r="Q85" i="32"/>
  <c r="P85" i="32"/>
  <c r="H85" i="32"/>
  <c r="G85" i="32"/>
  <c r="S84" i="32"/>
  <c r="Q84" i="32"/>
  <c r="P84" i="32"/>
  <c r="H84" i="32"/>
  <c r="G84" i="32"/>
  <c r="S83" i="32"/>
  <c r="Q83" i="32"/>
  <c r="P83" i="32"/>
  <c r="H83" i="32"/>
  <c r="G83" i="32"/>
  <c r="S82" i="32"/>
  <c r="Q82" i="32"/>
  <c r="P82" i="32"/>
  <c r="H82" i="32"/>
  <c r="G82" i="32"/>
  <c r="S81" i="32"/>
  <c r="Q81" i="32"/>
  <c r="P81" i="32"/>
  <c r="H81" i="32"/>
  <c r="G81" i="32"/>
  <c r="S80" i="32"/>
  <c r="Q80" i="32"/>
  <c r="P80" i="32"/>
  <c r="H80" i="32"/>
  <c r="G80" i="32"/>
  <c r="S79" i="32"/>
  <c r="Q79" i="32"/>
  <c r="P79" i="32"/>
  <c r="H79" i="32"/>
  <c r="G79" i="32"/>
  <c r="S78" i="32"/>
  <c r="Q78" i="32"/>
  <c r="P78" i="32"/>
  <c r="H78" i="32"/>
  <c r="G78" i="32"/>
  <c r="S77" i="32"/>
  <c r="Q77" i="32"/>
  <c r="P77" i="32"/>
  <c r="H77" i="32"/>
  <c r="G77" i="32"/>
  <c r="S76" i="32"/>
  <c r="Q76" i="32"/>
  <c r="P76" i="32"/>
  <c r="H76" i="32"/>
  <c r="G76" i="32"/>
  <c r="S75" i="32"/>
  <c r="Q75" i="32"/>
  <c r="P75" i="32"/>
  <c r="H75" i="32"/>
  <c r="G75" i="32"/>
  <c r="S74" i="32"/>
  <c r="Q74" i="32"/>
  <c r="P74" i="32"/>
  <c r="H74" i="32"/>
  <c r="G74" i="32"/>
  <c r="S73" i="32"/>
  <c r="Q73" i="32"/>
  <c r="P73" i="32"/>
  <c r="H73" i="32"/>
  <c r="G73" i="32"/>
  <c r="S72" i="32"/>
  <c r="Q72" i="32"/>
  <c r="P72" i="32"/>
  <c r="H72" i="32"/>
  <c r="G72" i="32"/>
  <c r="S71" i="32"/>
  <c r="Q71" i="32"/>
  <c r="P71" i="32"/>
  <c r="H71" i="32"/>
  <c r="G71" i="32"/>
  <c r="S70" i="32"/>
  <c r="Q70" i="32"/>
  <c r="P70" i="32"/>
  <c r="H70" i="32"/>
  <c r="G70" i="32"/>
  <c r="S69" i="32"/>
  <c r="Q69" i="32"/>
  <c r="P69" i="32"/>
  <c r="H69" i="32"/>
  <c r="G69" i="32"/>
  <c r="S68" i="32"/>
  <c r="Q68" i="32"/>
  <c r="P68" i="32"/>
  <c r="H68" i="32"/>
  <c r="G68" i="32"/>
  <c r="S67" i="32"/>
  <c r="Q67" i="32"/>
  <c r="P67" i="32"/>
  <c r="H67" i="32"/>
  <c r="G67" i="32"/>
  <c r="S66" i="32"/>
  <c r="Q66" i="32"/>
  <c r="P66" i="32"/>
  <c r="H66" i="32"/>
  <c r="G66" i="32"/>
  <c r="S65" i="32"/>
  <c r="Q65" i="32"/>
  <c r="P65" i="32"/>
  <c r="H65" i="32"/>
  <c r="G65" i="32"/>
  <c r="S64" i="32"/>
  <c r="Q64" i="32"/>
  <c r="P64" i="32"/>
  <c r="H64" i="32"/>
  <c r="G64" i="32"/>
  <c r="S63" i="32"/>
  <c r="Q63" i="32"/>
  <c r="P63" i="32"/>
  <c r="H63" i="32"/>
  <c r="G63" i="32"/>
  <c r="S62" i="32"/>
  <c r="Q62" i="32"/>
  <c r="P62" i="32"/>
  <c r="H62" i="32"/>
  <c r="G62" i="32"/>
  <c r="S61" i="32"/>
  <c r="Q61" i="32"/>
  <c r="P61" i="32"/>
  <c r="H61" i="32"/>
  <c r="G61" i="32"/>
  <c r="S60" i="32"/>
  <c r="Q60" i="32"/>
  <c r="P60" i="32"/>
  <c r="H60" i="32"/>
  <c r="G60" i="32"/>
  <c r="S59" i="32"/>
  <c r="Q59" i="32"/>
  <c r="P59" i="32"/>
  <c r="H59" i="32"/>
  <c r="G59" i="32"/>
  <c r="S58" i="32"/>
  <c r="Q58" i="32"/>
  <c r="P58" i="32"/>
  <c r="H58" i="32"/>
  <c r="G58" i="32"/>
  <c r="S57" i="32"/>
  <c r="Q57" i="32"/>
  <c r="P57" i="32"/>
  <c r="H57" i="32"/>
  <c r="G57" i="32"/>
  <c r="S56" i="32"/>
  <c r="Q56" i="32"/>
  <c r="P56" i="32"/>
  <c r="H56" i="32"/>
  <c r="G56" i="32"/>
  <c r="S55" i="32"/>
  <c r="Q55" i="32"/>
  <c r="P55" i="32"/>
  <c r="H55" i="32"/>
  <c r="G55" i="32"/>
  <c r="S54" i="32"/>
  <c r="Q54" i="32"/>
  <c r="P54" i="32"/>
  <c r="H54" i="32"/>
  <c r="G54" i="32"/>
  <c r="S53" i="32"/>
  <c r="Q53" i="32"/>
  <c r="P53" i="32"/>
  <c r="H53" i="32"/>
  <c r="G53" i="32"/>
  <c r="S52" i="32"/>
  <c r="Q52" i="32"/>
  <c r="P52" i="32"/>
  <c r="H52" i="32"/>
  <c r="G52" i="32"/>
  <c r="S51" i="32"/>
  <c r="Q51" i="32"/>
  <c r="P51" i="32"/>
  <c r="H51" i="32"/>
  <c r="G51" i="32"/>
  <c r="S50" i="32"/>
  <c r="Q50" i="32"/>
  <c r="P50" i="32"/>
  <c r="H50" i="32"/>
  <c r="G50" i="32"/>
  <c r="S49" i="32"/>
  <c r="Q49" i="32"/>
  <c r="P49" i="32"/>
  <c r="H49" i="32"/>
  <c r="G49" i="32"/>
  <c r="S48" i="32"/>
  <c r="Q48" i="32"/>
  <c r="P48" i="32"/>
  <c r="H48" i="32"/>
  <c r="G48" i="32"/>
  <c r="S47" i="32"/>
  <c r="Q47" i="32"/>
  <c r="P47" i="32"/>
  <c r="H47" i="32"/>
  <c r="G47" i="32"/>
  <c r="S46" i="32"/>
  <c r="Q46" i="32"/>
  <c r="P46" i="32"/>
  <c r="H46" i="32"/>
  <c r="G46" i="32"/>
  <c r="S45" i="32"/>
  <c r="Q45" i="32"/>
  <c r="P45" i="32"/>
  <c r="H45" i="32"/>
  <c r="G45" i="32"/>
  <c r="S44" i="32"/>
  <c r="Q44" i="32"/>
  <c r="P44" i="32"/>
  <c r="H44" i="32"/>
  <c r="G44" i="32"/>
  <c r="Q42" i="32"/>
  <c r="P42" i="32"/>
  <c r="H42" i="32"/>
  <c r="G42" i="32"/>
  <c r="Q41" i="32"/>
  <c r="P41" i="32"/>
  <c r="H41" i="32"/>
  <c r="G41" i="32"/>
  <c r="Q40" i="32"/>
  <c r="P40" i="32"/>
  <c r="H40" i="32"/>
  <c r="G40" i="32"/>
  <c r="Q39" i="32"/>
  <c r="P39" i="32"/>
  <c r="H39" i="32"/>
  <c r="G39" i="32"/>
  <c r="Q38" i="32"/>
  <c r="P38" i="32"/>
  <c r="H38" i="32"/>
  <c r="G38" i="32"/>
  <c r="Q37" i="32"/>
  <c r="P37" i="32"/>
  <c r="H37" i="32"/>
  <c r="G37" i="32"/>
  <c r="Q36" i="32"/>
  <c r="P36" i="32"/>
  <c r="H36" i="32"/>
  <c r="G36" i="32"/>
  <c r="Q35" i="32"/>
  <c r="P35" i="32"/>
  <c r="H35" i="32"/>
  <c r="G35" i="32"/>
  <c r="Q34" i="32"/>
  <c r="P34" i="32"/>
  <c r="H34" i="32"/>
  <c r="G34" i="32"/>
  <c r="Q33" i="32"/>
  <c r="P33" i="32"/>
  <c r="H33" i="32"/>
  <c r="G33" i="32"/>
  <c r="Q32" i="32"/>
  <c r="P32" i="32"/>
  <c r="H32" i="32"/>
  <c r="G32" i="32"/>
  <c r="Q31" i="32"/>
  <c r="P31" i="32"/>
  <c r="H31" i="32"/>
  <c r="G31" i="32"/>
  <c r="Q30" i="32"/>
  <c r="P30" i="32"/>
  <c r="H30" i="32"/>
  <c r="G30" i="32"/>
  <c r="Q29" i="32"/>
  <c r="P29" i="32"/>
  <c r="H29" i="32"/>
  <c r="G29" i="32"/>
  <c r="Q28" i="32"/>
  <c r="P28" i="32"/>
  <c r="H28" i="32"/>
  <c r="G28" i="32"/>
  <c r="Q27" i="32"/>
  <c r="P27" i="32"/>
  <c r="H27" i="32"/>
  <c r="G27" i="32"/>
  <c r="Q26" i="32"/>
  <c r="P26" i="32"/>
  <c r="H26" i="32"/>
  <c r="G26" i="32"/>
  <c r="Q25" i="32"/>
  <c r="P25" i="32"/>
  <c r="H25" i="32"/>
  <c r="G25" i="32"/>
  <c r="Q24" i="32"/>
  <c r="P24" i="32"/>
  <c r="H24" i="32"/>
  <c r="G24" i="32"/>
  <c r="Q23" i="32"/>
  <c r="P23" i="32"/>
  <c r="H23" i="32"/>
  <c r="G23" i="32"/>
  <c r="Q22" i="32"/>
  <c r="P22" i="32"/>
  <c r="H22" i="32"/>
  <c r="G22" i="32"/>
  <c r="Q21" i="32"/>
  <c r="P21" i="32"/>
  <c r="H21" i="32"/>
  <c r="G21" i="32"/>
  <c r="Q20" i="32"/>
  <c r="P20" i="32"/>
  <c r="H20" i="32"/>
  <c r="G20" i="32"/>
  <c r="Q19" i="32"/>
  <c r="P19" i="32"/>
  <c r="H19" i="32"/>
  <c r="G19" i="32"/>
  <c r="Q18" i="32"/>
  <c r="P18" i="32"/>
  <c r="H18" i="32"/>
  <c r="G18" i="32"/>
  <c r="Q17" i="32"/>
  <c r="P17" i="32"/>
  <c r="H17" i="32"/>
  <c r="G17" i="32"/>
  <c r="Q16" i="32"/>
  <c r="P16" i="32"/>
  <c r="H16" i="32"/>
  <c r="G16" i="32"/>
  <c r="Q15" i="32"/>
  <c r="P15" i="32"/>
  <c r="H15" i="32"/>
  <c r="G15" i="32"/>
  <c r="Q14" i="32"/>
  <c r="P14" i="32"/>
  <c r="H14" i="32"/>
  <c r="G14" i="32"/>
  <c r="Q13" i="32"/>
  <c r="P13" i="32"/>
  <c r="H13" i="32"/>
  <c r="G13" i="32"/>
  <c r="Q12" i="32"/>
  <c r="P12" i="32"/>
  <c r="H12" i="32"/>
  <c r="G12" i="32"/>
  <c r="Q11" i="32"/>
  <c r="P11" i="32"/>
  <c r="H11" i="32"/>
  <c r="G11" i="32"/>
  <c r="Q10" i="32"/>
  <c r="P10" i="32"/>
  <c r="H10" i="32"/>
  <c r="G10" i="32"/>
  <c r="Q9" i="32"/>
  <c r="P9" i="32"/>
  <c r="H9" i="32"/>
  <c r="G9" i="32"/>
  <c r="Q8" i="32"/>
  <c r="P8" i="32"/>
  <c r="H8" i="32"/>
  <c r="G8" i="32"/>
  <c r="Q7" i="32"/>
  <c r="P7" i="32"/>
  <c r="H7" i="32"/>
  <c r="G7" i="32"/>
  <c r="Q6" i="32"/>
  <c r="P6" i="32"/>
  <c r="H6" i="32"/>
  <c r="G6" i="32"/>
  <c r="S38" i="22" l="1"/>
  <c r="O40" i="23"/>
  <c r="O76" i="23" s="1"/>
  <c r="E40" i="23"/>
  <c r="Q38" i="22"/>
  <c r="C11" i="12"/>
  <c r="Q35" i="22"/>
  <c r="Q36" i="22"/>
  <c r="Q39" i="22"/>
  <c r="Q37" i="22"/>
  <c r="S37" i="22"/>
  <c r="S39" i="22"/>
  <c r="S35" i="22"/>
  <c r="S36" i="22"/>
  <c r="J70" i="21"/>
  <c r="O9" i="21"/>
  <c r="S69" i="34"/>
  <c r="S70" i="34"/>
  <c r="S68" i="34"/>
  <c r="S67" i="34"/>
  <c r="J56" i="21"/>
  <c r="S64" i="34"/>
  <c r="N40" i="23"/>
  <c r="A54" i="21"/>
  <c r="A55" i="21" s="1"/>
  <c r="A56" i="21" s="1"/>
  <c r="A57" i="21" s="1"/>
  <c r="A58" i="21" s="1"/>
  <c r="A59" i="21" s="1"/>
  <c r="A60" i="21" s="1"/>
  <c r="A61" i="21" s="1"/>
  <c r="A62" i="21" s="1"/>
  <c r="A63" i="21" s="1"/>
  <c r="A64" i="21" s="1"/>
  <c r="A65" i="21" s="1"/>
  <c r="A66" i="21" s="1"/>
  <c r="A67" i="21" s="1"/>
  <c r="A68" i="21" s="1"/>
  <c r="Q33" i="22"/>
  <c r="Q34" i="22"/>
  <c r="S34" i="22"/>
  <c r="S33" i="22"/>
  <c r="AA76" i="23"/>
  <c r="R76" i="23"/>
  <c r="AB76" i="23"/>
  <c r="S76" i="23"/>
  <c r="M40" i="23"/>
  <c r="AC76" i="23"/>
  <c r="T76" i="23"/>
  <c r="AD76" i="23"/>
  <c r="U76" i="23"/>
  <c r="V76" i="23"/>
  <c r="W76" i="23"/>
  <c r="Y76" i="23"/>
  <c r="X76" i="23"/>
  <c r="Z76" i="23"/>
  <c r="L40" i="23"/>
  <c r="L76" i="23" s="1"/>
  <c r="A74" i="1"/>
  <c r="B6" i="38" s="1"/>
  <c r="T54" i="22"/>
  <c r="Q52" i="22"/>
  <c r="T52" i="22" s="1"/>
  <c r="T56" i="22"/>
  <c r="Q51" i="22"/>
  <c r="T51" i="22" s="1"/>
  <c r="Q53" i="22"/>
  <c r="T53" i="22" s="1"/>
  <c r="T57" i="22"/>
  <c r="Q50" i="22"/>
  <c r="T50" i="22" s="1"/>
  <c r="T55" i="22"/>
  <c r="S52" i="22"/>
  <c r="S50" i="22"/>
  <c r="S51" i="22"/>
  <c r="S53" i="22"/>
  <c r="C50" i="12"/>
  <c r="N134" i="1"/>
  <c r="S12" i="22"/>
  <c r="S13" i="22"/>
  <c r="S14" i="22"/>
  <c r="S10" i="22"/>
  <c r="S11" i="22"/>
  <c r="S9" i="22"/>
  <c r="S15" i="22"/>
  <c r="S16" i="22"/>
  <c r="Q15" i="22"/>
  <c r="Q9" i="22"/>
  <c r="Q14" i="22"/>
  <c r="Q16" i="22"/>
  <c r="Q10" i="22"/>
  <c r="Q13" i="22"/>
  <c r="Q12" i="22"/>
  <c r="Q11" i="22"/>
  <c r="C11" i="22"/>
  <c r="C12" i="22" s="1"/>
  <c r="C13" i="22" s="1"/>
  <c r="C14" i="22" s="1"/>
  <c r="C15" i="22" s="1"/>
  <c r="C16" i="22" s="1"/>
  <c r="C17" i="22" s="1"/>
  <c r="C18" i="22" s="1"/>
  <c r="C19" i="22" s="1"/>
  <c r="C20" i="22" s="1"/>
  <c r="C21" i="22" s="1"/>
  <c r="C22" i="22" s="1"/>
  <c r="C23" i="22" s="1"/>
  <c r="C24" i="22" s="1"/>
  <c r="C25" i="22" s="1"/>
  <c r="C26" i="22" s="1"/>
  <c r="C27" i="22" s="1"/>
  <c r="C28" i="22" s="1"/>
  <c r="C29" i="22" s="1"/>
  <c r="C30" i="22" s="1"/>
  <c r="C31" i="22" s="1"/>
  <c r="C32" i="22" s="1"/>
  <c r="C33" i="22" s="1"/>
  <c r="C34" i="22" s="1"/>
  <c r="C35" i="22" s="1"/>
  <c r="C36" i="22" s="1"/>
  <c r="C37" i="22" s="1"/>
  <c r="C38" i="22" s="1"/>
  <c r="C39" i="22" s="1"/>
  <c r="S20" i="22"/>
  <c r="Q20" i="22"/>
  <c r="Q24" i="22"/>
  <c r="Q28" i="22"/>
  <c r="T63" i="22"/>
  <c r="F43" i="21"/>
  <c r="Q30" i="22"/>
  <c r="Q31" i="22"/>
  <c r="Q32" i="22"/>
  <c r="Q17" i="22"/>
  <c r="Q21" i="22"/>
  <c r="Q25" i="22"/>
  <c r="S28" i="22"/>
  <c r="T67" i="22"/>
  <c r="K44" i="21"/>
  <c r="S31" i="22"/>
  <c r="S30" i="22"/>
  <c r="S32" i="22"/>
  <c r="S17" i="22"/>
  <c r="S21" i="22"/>
  <c r="S25" i="22"/>
  <c r="Q29" i="22"/>
  <c r="T60" i="22"/>
  <c r="T64" i="22"/>
  <c r="Q18" i="22"/>
  <c r="Q22" i="22"/>
  <c r="Q26" i="22"/>
  <c r="S29" i="22"/>
  <c r="T59" i="22"/>
  <c r="S18" i="22"/>
  <c r="S22" i="22"/>
  <c r="S26" i="22"/>
  <c r="T61" i="22"/>
  <c r="T65" i="22"/>
  <c r="S24" i="22"/>
  <c r="Q19" i="22"/>
  <c r="Q23" i="22"/>
  <c r="Q27" i="22"/>
  <c r="C26" i="30"/>
  <c r="C32" i="30" s="1"/>
  <c r="C42" i="30" s="1"/>
  <c r="S19" i="22"/>
  <c r="S23" i="22"/>
  <c r="S27" i="22"/>
  <c r="T58" i="22"/>
  <c r="T62" i="22"/>
  <c r="T66" i="22"/>
  <c r="A136" i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K47" i="21"/>
  <c r="C6" i="23"/>
  <c r="AI41" i="23" s="1"/>
  <c r="AJ41" i="23" s="1"/>
  <c r="C22" i="23"/>
  <c r="AI57" i="23" s="1"/>
  <c r="AJ57" i="23" s="1"/>
  <c r="F51" i="21"/>
  <c r="T77" i="23"/>
  <c r="N77" i="23"/>
  <c r="AD77" i="23"/>
  <c r="U77" i="23"/>
  <c r="O77" i="23"/>
  <c r="AE77" i="23"/>
  <c r="V77" i="23"/>
  <c r="P77" i="23"/>
  <c r="W77" i="23"/>
  <c r="Y77" i="23"/>
  <c r="X77" i="23"/>
  <c r="Z77" i="23"/>
  <c r="AA77" i="23"/>
  <c r="R77" i="23"/>
  <c r="D77" i="23"/>
  <c r="AB77" i="23"/>
  <c r="S77" i="23"/>
  <c r="M77" i="23"/>
  <c r="AC77" i="23"/>
  <c r="D47" i="23"/>
  <c r="D83" i="23" s="1"/>
  <c r="C12" i="23"/>
  <c r="AI47" i="23" s="1"/>
  <c r="AJ47" i="23" s="1"/>
  <c r="D50" i="23"/>
  <c r="D86" i="23" s="1"/>
  <c r="C15" i="23"/>
  <c r="AI50" i="23" s="1"/>
  <c r="AJ50" i="23" s="1"/>
  <c r="D58" i="23"/>
  <c r="D94" i="23" s="1"/>
  <c r="C23" i="23"/>
  <c r="AI58" i="23" s="1"/>
  <c r="AJ58" i="23" s="1"/>
  <c r="D48" i="23"/>
  <c r="D84" i="23" s="1"/>
  <c r="C13" i="23"/>
  <c r="AI48" i="23" s="1"/>
  <c r="AJ48" i="23" s="1"/>
  <c r="C18" i="23"/>
  <c r="AI53" i="23" s="1"/>
  <c r="AJ53" i="23" s="1"/>
  <c r="C26" i="23"/>
  <c r="AI61" i="23" s="1"/>
  <c r="AJ61" i="23" s="1"/>
  <c r="D56" i="23"/>
  <c r="D92" i="23" s="1"/>
  <c r="C21" i="23"/>
  <c r="AI56" i="23" s="1"/>
  <c r="AJ56" i="23" s="1"/>
  <c r="D64" i="23"/>
  <c r="D100" i="23" s="1"/>
  <c r="D51" i="23"/>
  <c r="D87" i="23" s="1"/>
  <c r="C16" i="23"/>
  <c r="AI51" i="23" s="1"/>
  <c r="AJ51" i="23" s="1"/>
  <c r="C24" i="23"/>
  <c r="AI59" i="23" s="1"/>
  <c r="AJ59" i="23" s="1"/>
  <c r="D49" i="23"/>
  <c r="D85" i="23" s="1"/>
  <c r="C14" i="23"/>
  <c r="AI49" i="23" s="1"/>
  <c r="AJ49" i="23" s="1"/>
  <c r="D54" i="23"/>
  <c r="D90" i="23" s="1"/>
  <c r="C19" i="23"/>
  <c r="AI54" i="23" s="1"/>
  <c r="AJ54" i="23" s="1"/>
  <c r="D62" i="23"/>
  <c r="D98" i="23" s="1"/>
  <c r="C27" i="23"/>
  <c r="Q40" i="23"/>
  <c r="C5" i="23"/>
  <c r="AI40" i="23" s="1"/>
  <c r="AJ40" i="23" s="1"/>
  <c r="R42" i="23"/>
  <c r="R78" i="23" s="1"/>
  <c r="C7" i="23"/>
  <c r="AI42" i="23" s="1"/>
  <c r="AJ42" i="23" s="1"/>
  <c r="D52" i="23"/>
  <c r="D88" i="23" s="1"/>
  <c r="C17" i="23"/>
  <c r="AI52" i="23" s="1"/>
  <c r="AJ52" i="23" s="1"/>
  <c r="D60" i="23"/>
  <c r="D96" i="23" s="1"/>
  <c r="C25" i="23"/>
  <c r="AI60" i="23" s="1"/>
  <c r="AJ60" i="23" s="1"/>
  <c r="C20" i="23"/>
  <c r="AI55" i="23" s="1"/>
  <c r="AJ55" i="23" s="1"/>
  <c r="H26" i="30"/>
  <c r="H32" i="30" s="1"/>
  <c r="H42" i="30" s="1"/>
  <c r="X123" i="28"/>
  <c r="J31" i="30"/>
  <c r="J41" i="30" s="1"/>
  <c r="B26" i="30"/>
  <c r="B32" i="30" s="1"/>
  <c r="B42" i="30" s="1"/>
  <c r="J26" i="30"/>
  <c r="J32" i="30" s="1"/>
  <c r="J42" i="30" s="1"/>
  <c r="B30" i="30"/>
  <c r="B40" i="30" s="1"/>
  <c r="H44" i="30"/>
  <c r="H45" i="30" s="1"/>
  <c r="H47" i="30" s="1"/>
  <c r="C68" i="30"/>
  <c r="C79" i="30" s="1"/>
  <c r="X126" i="28"/>
  <c r="T126" i="28" s="1"/>
  <c r="C178" i="28" s="1"/>
  <c r="D68" i="30"/>
  <c r="D79" i="30" s="1"/>
  <c r="X124" i="28"/>
  <c r="D26" i="30"/>
  <c r="D32" i="30" s="1"/>
  <c r="D42" i="30" s="1"/>
  <c r="I30" i="30"/>
  <c r="I40" i="30" s="1"/>
  <c r="J44" i="30"/>
  <c r="J45" i="30" s="1"/>
  <c r="J47" i="30" s="1"/>
  <c r="F252" i="28"/>
  <c r="I26" i="30"/>
  <c r="I32" i="30" s="1"/>
  <c r="I42" i="30" s="1"/>
  <c r="D69" i="30"/>
  <c r="D80" i="30" s="1"/>
  <c r="F26" i="30"/>
  <c r="F32" i="30" s="1"/>
  <c r="F42" i="30" s="1"/>
  <c r="I31" i="30"/>
  <c r="I41" i="30" s="1"/>
  <c r="I69" i="30"/>
  <c r="I80" i="30" s="1"/>
  <c r="F6" i="21"/>
  <c r="S40" i="34"/>
  <c r="C52" i="22"/>
  <c r="C53" i="22" s="1"/>
  <c r="A6" i="23"/>
  <c r="B6" i="23" s="1"/>
  <c r="F53" i="21"/>
  <c r="T58" i="21"/>
  <c r="E37" i="23"/>
  <c r="E38" i="23" s="1"/>
  <c r="E26" i="30"/>
  <c r="E32" i="30" s="1"/>
  <c r="E42" i="30" s="1"/>
  <c r="E69" i="30"/>
  <c r="E80" i="30" s="1"/>
  <c r="C252" i="28"/>
  <c r="F1" i="23"/>
  <c r="F2" i="23" s="1"/>
  <c r="G26" i="30"/>
  <c r="G32" i="30" s="1"/>
  <c r="G42" i="30" s="1"/>
  <c r="J30" i="30"/>
  <c r="J40" i="30" s="1"/>
  <c r="E68" i="30"/>
  <c r="E79" i="30" s="1"/>
  <c r="J69" i="30"/>
  <c r="J80" i="30" s="1"/>
  <c r="G13" i="31"/>
  <c r="S122" i="28"/>
  <c r="F68" i="30"/>
  <c r="F79" i="30" s="1"/>
  <c r="B31" i="30"/>
  <c r="B41" i="30" s="1"/>
  <c r="I44" i="30"/>
  <c r="I45" i="30" s="1"/>
  <c r="I47" i="30" s="1"/>
  <c r="B84" i="30"/>
  <c r="B85" i="30" s="1"/>
  <c r="D63" i="23"/>
  <c r="D99" i="23" s="1"/>
  <c r="G31" i="30"/>
  <c r="G41" i="30" s="1"/>
  <c r="B44" i="30"/>
  <c r="B45" i="30" s="1"/>
  <c r="B69" i="30"/>
  <c r="B80" i="30" s="1"/>
  <c r="E71" i="30"/>
  <c r="E82" i="30" s="1"/>
  <c r="C84" i="30"/>
  <c r="C85" i="30" s="1"/>
  <c r="C87" i="30" s="1"/>
  <c r="H67" i="21"/>
  <c r="S124" i="28"/>
  <c r="H31" i="30"/>
  <c r="H41" i="30" s="1"/>
  <c r="C69" i="30"/>
  <c r="C80" i="30" s="1"/>
  <c r="F71" i="30"/>
  <c r="F82" i="30" s="1"/>
  <c r="O31" i="22"/>
  <c r="O29" i="22"/>
  <c r="O32" i="22"/>
  <c r="O30" i="22"/>
  <c r="F161" i="1"/>
  <c r="B79" i="30"/>
  <c r="J246" i="28"/>
  <c r="S123" i="28"/>
  <c r="K243" i="28"/>
  <c r="K248" i="28" s="1"/>
  <c r="K244" i="28"/>
  <c r="K245" i="28"/>
  <c r="K246" i="28"/>
  <c r="D252" i="28"/>
  <c r="D53" i="23"/>
  <c r="D89" i="23" s="1"/>
  <c r="D55" i="23"/>
  <c r="D91" i="23" s="1"/>
  <c r="D57" i="23"/>
  <c r="D93" i="23" s="1"/>
  <c r="D59" i="23"/>
  <c r="D95" i="23" s="1"/>
  <c r="C29" i="30"/>
  <c r="C39" i="30" s="1"/>
  <c r="C33" i="30"/>
  <c r="C43" i="30" s="1"/>
  <c r="G70" i="30"/>
  <c r="G81" i="30" s="1"/>
  <c r="I84" i="30"/>
  <c r="I85" i="30" s="1"/>
  <c r="I87" i="30" s="1"/>
  <c r="I42" i="31"/>
  <c r="I44" i="31"/>
  <c r="X125" i="28"/>
  <c r="S243" i="28"/>
  <c r="S248" i="28" s="1"/>
  <c r="S244" i="28"/>
  <c r="S245" i="28"/>
  <c r="S246" i="28"/>
  <c r="E252" i="28"/>
  <c r="D29" i="30"/>
  <c r="D39" i="30" s="1"/>
  <c r="D33" i="30"/>
  <c r="D43" i="30" s="1"/>
  <c r="H70" i="30"/>
  <c r="H81" i="30" s="1"/>
  <c r="H13" i="31"/>
  <c r="J42" i="31"/>
  <c r="J44" i="31"/>
  <c r="H47" i="31"/>
  <c r="N56" i="31"/>
  <c r="V127" i="28"/>
  <c r="T243" i="28"/>
  <c r="T248" i="28" s="1"/>
  <c r="T244" i="28"/>
  <c r="T245" i="28"/>
  <c r="T246" i="28"/>
  <c r="E64" i="23"/>
  <c r="E100" i="23" s="1"/>
  <c r="E29" i="30"/>
  <c r="E39" i="30" s="1"/>
  <c r="E33" i="30"/>
  <c r="E43" i="30" s="1"/>
  <c r="I70" i="30"/>
  <c r="I81" i="30" s="1"/>
  <c r="G71" i="30"/>
  <c r="G82" i="30" s="1"/>
  <c r="J73" i="30"/>
  <c r="J244" i="28"/>
  <c r="Q70" i="31"/>
  <c r="C243" i="28"/>
  <c r="C256" i="28" s="1"/>
  <c r="C257" i="28" s="1"/>
  <c r="C244" i="28"/>
  <c r="C245" i="28"/>
  <c r="C246" i="28"/>
  <c r="C247" i="28"/>
  <c r="C248" i="28"/>
  <c r="C249" i="28"/>
  <c r="Q41" i="23"/>
  <c r="F29" i="30"/>
  <c r="F39" i="30" s="1"/>
  <c r="D30" i="30"/>
  <c r="D40" i="30" s="1"/>
  <c r="F33" i="30"/>
  <c r="F43" i="30" s="1"/>
  <c r="C44" i="30"/>
  <c r="C45" i="30" s="1"/>
  <c r="C47" i="30" s="1"/>
  <c r="B70" i="30"/>
  <c r="B81" i="30" s="1"/>
  <c r="J70" i="30"/>
  <c r="J81" i="30" s="1"/>
  <c r="H71" i="30"/>
  <c r="H82" i="30" s="1"/>
  <c r="D84" i="30"/>
  <c r="D85" i="30" s="1"/>
  <c r="D87" i="30" s="1"/>
  <c r="J243" i="28"/>
  <c r="J248" i="28" s="1"/>
  <c r="J245" i="28"/>
  <c r="D243" i="28"/>
  <c r="D256" i="28" s="1"/>
  <c r="D257" i="28" s="1"/>
  <c r="D244" i="28"/>
  <c r="D245" i="28"/>
  <c r="D246" i="28"/>
  <c r="D247" i="28"/>
  <c r="D248" i="28"/>
  <c r="D249" i="28"/>
  <c r="Y49" i="23"/>
  <c r="Y85" i="23" s="1"/>
  <c r="D61" i="23"/>
  <c r="D97" i="23" s="1"/>
  <c r="D73" i="23"/>
  <c r="D74" i="23" s="1"/>
  <c r="G29" i="30"/>
  <c r="G39" i="30" s="1"/>
  <c r="E30" i="30"/>
  <c r="E40" i="30" s="1"/>
  <c r="C31" i="30"/>
  <c r="C41" i="30" s="1"/>
  <c r="G33" i="30"/>
  <c r="G43" i="30" s="1"/>
  <c r="D44" i="30"/>
  <c r="D45" i="30" s="1"/>
  <c r="D47" i="30" s="1"/>
  <c r="G68" i="30"/>
  <c r="C70" i="30"/>
  <c r="C81" i="30" s="1"/>
  <c r="I71" i="30"/>
  <c r="I82" i="30" s="1"/>
  <c r="E84" i="30"/>
  <c r="E85" i="30" s="1"/>
  <c r="E87" i="30" s="1"/>
  <c r="E243" i="28"/>
  <c r="E256" i="28" s="1"/>
  <c r="E257" i="28" s="1"/>
  <c r="E244" i="28"/>
  <c r="E245" i="28"/>
  <c r="E246" i="28"/>
  <c r="E247" i="28"/>
  <c r="E248" i="28"/>
  <c r="E249" i="28"/>
  <c r="A41" i="23"/>
  <c r="B41" i="23" s="1"/>
  <c r="A77" i="23"/>
  <c r="A78" i="23" s="1"/>
  <c r="H29" i="30"/>
  <c r="H39" i="30" s="1"/>
  <c r="F30" i="30"/>
  <c r="F40" i="30" s="1"/>
  <c r="D31" i="30"/>
  <c r="D41" i="30" s="1"/>
  <c r="H33" i="30"/>
  <c r="H43" i="30" s="1"/>
  <c r="E44" i="30"/>
  <c r="E45" i="30" s="1"/>
  <c r="E47" i="30" s="1"/>
  <c r="H68" i="30"/>
  <c r="F69" i="30"/>
  <c r="F80" i="30" s="1"/>
  <c r="D70" i="30"/>
  <c r="D81" i="30" s="1"/>
  <c r="B71" i="30"/>
  <c r="B82" i="30" s="1"/>
  <c r="J71" i="30"/>
  <c r="J82" i="30" s="1"/>
  <c r="F84" i="30"/>
  <c r="F85" i="30" s="1"/>
  <c r="F87" i="30" s="1"/>
  <c r="F243" i="28"/>
  <c r="F256" i="28" s="1"/>
  <c r="F257" i="28" s="1"/>
  <c r="F244" i="28"/>
  <c r="F245" i="28"/>
  <c r="F246" i="28"/>
  <c r="F247" i="28"/>
  <c r="F248" i="28"/>
  <c r="F249" i="28"/>
  <c r="I29" i="30"/>
  <c r="I39" i="30" s="1"/>
  <c r="G30" i="30"/>
  <c r="G40" i="30" s="1"/>
  <c r="F44" i="30"/>
  <c r="F45" i="30" s="1"/>
  <c r="F47" i="30" s="1"/>
  <c r="G69" i="30"/>
  <c r="G80" i="30" s="1"/>
  <c r="B40" i="23"/>
  <c r="B29" i="30"/>
  <c r="B39" i="30" s="1"/>
  <c r="J29" i="30"/>
  <c r="J39" i="30" s="1"/>
  <c r="H69" i="30"/>
  <c r="H80" i="30" s="1"/>
  <c r="N69" i="31"/>
  <c r="N7" i="31"/>
  <c r="N25" i="31"/>
  <c r="N8" i="31"/>
  <c r="N32" i="31"/>
  <c r="N48" i="31"/>
  <c r="N31" i="31"/>
  <c r="N70" i="31"/>
  <c r="N76" i="31"/>
  <c r="N75" i="31"/>
  <c r="N61" i="31"/>
  <c r="I47" i="31"/>
  <c r="Q76" i="31"/>
  <c r="I40" i="31"/>
  <c r="K38" i="31"/>
  <c r="H38" i="31"/>
  <c r="J40" i="31"/>
  <c r="H42" i="31"/>
  <c r="J47" i="31"/>
  <c r="I38" i="31"/>
  <c r="K40" i="31"/>
  <c r="G47" i="31"/>
  <c r="K47" i="31"/>
  <c r="H48" i="31"/>
  <c r="J38" i="31"/>
  <c r="H40" i="31"/>
  <c r="K40" i="23"/>
  <c r="Y226" i="28"/>
  <c r="L52" i="30" s="1"/>
  <c r="L60" i="30" s="1"/>
  <c r="L69" i="30" s="1"/>
  <c r="L80" i="30" s="1"/>
  <c r="X226" i="28"/>
  <c r="L8" i="30" s="1"/>
  <c r="B4" i="29"/>
  <c r="B247" i="28"/>
  <c r="B243" i="28"/>
  <c r="B256" i="28" s="1"/>
  <c r="B257" i="28" s="1"/>
  <c r="B252" i="28"/>
  <c r="B249" i="28"/>
  <c r="B245" i="28"/>
  <c r="B240" i="28"/>
  <c r="B244" i="28"/>
  <c r="B248" i="28"/>
  <c r="I246" i="28"/>
  <c r="I244" i="28"/>
  <c r="I245" i="28"/>
  <c r="I247" i="28"/>
  <c r="B251" i="28"/>
  <c r="B246" i="28"/>
  <c r="B253" i="28"/>
  <c r="X234" i="28"/>
  <c r="L18" i="30" s="1"/>
  <c r="L25" i="30" s="1"/>
  <c r="I243" i="28"/>
  <c r="I248" i="28" s="1"/>
  <c r="B250" i="28"/>
  <c r="X236" i="28"/>
  <c r="L11" i="30" s="1"/>
  <c r="K45" i="21"/>
  <c r="K58" i="21"/>
  <c r="F158" i="1"/>
  <c r="F66" i="21"/>
  <c r="H66" i="21"/>
  <c r="T59" i="21"/>
  <c r="T65" i="21"/>
  <c r="H65" i="21"/>
  <c r="K64" i="21"/>
  <c r="K66" i="21"/>
  <c r="P145" i="21"/>
  <c r="O145" i="21" s="1"/>
  <c r="F59" i="21"/>
  <c r="F64" i="21"/>
  <c r="T62" i="21"/>
  <c r="F62" i="21"/>
  <c r="F41" i="21"/>
  <c r="T68" i="21"/>
  <c r="K68" i="21"/>
  <c r="K62" i="21"/>
  <c r="F65" i="21"/>
  <c r="T45" i="21"/>
  <c r="F45" i="21"/>
  <c r="J44" i="21"/>
  <c r="F58" i="21"/>
  <c r="K60" i="21"/>
  <c r="T66" i="21"/>
  <c r="B73" i="1"/>
  <c r="C5" i="38" s="1"/>
  <c r="R232" i="1"/>
  <c r="U209" i="1" s="1"/>
  <c r="D35" i="1"/>
  <c r="P9" i="21"/>
  <c r="P7" i="21"/>
  <c r="P5" i="21"/>
  <c r="B43" i="21"/>
  <c r="C42" i="21"/>
  <c r="C41" i="21"/>
  <c r="P10" i="31"/>
  <c r="AE100" i="23"/>
  <c r="AD102" i="23"/>
  <c r="AC64" i="23"/>
  <c r="AC100" i="23" s="1"/>
  <c r="AD101" i="23"/>
  <c r="AE102" i="23"/>
  <c r="D40" i="23"/>
  <c r="S6" i="34"/>
  <c r="S9" i="34"/>
  <c r="S10" i="34"/>
  <c r="S13" i="34"/>
  <c r="S14" i="34"/>
  <c r="S17" i="34"/>
  <c r="S18" i="34"/>
  <c r="S21" i="34"/>
  <c r="S22" i="34"/>
  <c r="S25" i="34"/>
  <c r="S26" i="34"/>
  <c r="S29" i="34"/>
  <c r="S30" i="34"/>
  <c r="S33" i="34"/>
  <c r="S34" i="34"/>
  <c r="S7" i="32"/>
  <c r="S8" i="32"/>
  <c r="S11" i="32"/>
  <c r="S12" i="32"/>
  <c r="S15" i="32"/>
  <c r="S16" i="32"/>
  <c r="S19" i="32"/>
  <c r="S20" i="32"/>
  <c r="S23" i="32"/>
  <c r="H40" i="23"/>
  <c r="S24" i="32"/>
  <c r="S27" i="32"/>
  <c r="S28" i="32"/>
  <c r="S31" i="32"/>
  <c r="S32" i="32"/>
  <c r="S35" i="32"/>
  <c r="S36" i="32"/>
  <c r="S39" i="32"/>
  <c r="S40" i="32"/>
  <c r="P76" i="23"/>
  <c r="S6" i="32"/>
  <c r="S10" i="32"/>
  <c r="S14" i="32"/>
  <c r="S17" i="32"/>
  <c r="S18" i="32"/>
  <c r="S21" i="32"/>
  <c r="S22" i="32"/>
  <c r="S25" i="32"/>
  <c r="S26" i="32"/>
  <c r="S29" i="32"/>
  <c r="S30" i="32"/>
  <c r="S33" i="32"/>
  <c r="S34" i="32"/>
  <c r="S37" i="32"/>
  <c r="S38" i="32"/>
  <c r="S41" i="32"/>
  <c r="S42" i="32"/>
  <c r="S7" i="34"/>
  <c r="S8" i="34"/>
  <c r="S11" i="34"/>
  <c r="S12" i="34"/>
  <c r="S15" i="34"/>
  <c r="S16" i="34"/>
  <c r="S19" i="34"/>
  <c r="S20" i="34"/>
  <c r="S23" i="34"/>
  <c r="S24" i="34"/>
  <c r="S27" i="34"/>
  <c r="S28" i="34"/>
  <c r="S31" i="34"/>
  <c r="S32" i="34"/>
  <c r="S35" i="34"/>
  <c r="S36" i="34"/>
  <c r="S9" i="32"/>
  <c r="S13" i="32"/>
  <c r="I40" i="23"/>
  <c r="AE76" i="23"/>
  <c r="F40" i="23"/>
  <c r="J40" i="23"/>
  <c r="G40" i="23"/>
  <c r="H37" i="34"/>
  <c r="T38" i="22" l="1"/>
  <c r="L20" i="30"/>
  <c r="L29" i="30" s="1"/>
  <c r="L39" i="30" s="1"/>
  <c r="C51" i="12"/>
  <c r="C52" i="12" s="1"/>
  <c r="C53" i="12" s="1"/>
  <c r="C54" i="12" s="1"/>
  <c r="C55" i="12" s="1"/>
  <c r="C56" i="12" s="1"/>
  <c r="C57" i="12" s="1"/>
  <c r="C58" i="12" s="1"/>
  <c r="C59" i="12" s="1"/>
  <c r="C60" i="12" s="1"/>
  <c r="C61" i="12" s="1"/>
  <c r="C62" i="12" s="1"/>
  <c r="C63" i="12" s="1"/>
  <c r="C64" i="12" s="1"/>
  <c r="C65" i="12" s="1"/>
  <c r="C66" i="12" s="1"/>
  <c r="C67" i="12" s="1"/>
  <c r="C68" i="12" s="1"/>
  <c r="C69" i="12" s="1"/>
  <c r="C70" i="12" s="1"/>
  <c r="C71" i="12" s="1"/>
  <c r="C72" i="12" s="1"/>
  <c r="C73" i="12" s="1"/>
  <c r="C74" i="12" s="1"/>
  <c r="C75" i="12" s="1"/>
  <c r="C76" i="12" s="1"/>
  <c r="C77" i="12" s="1"/>
  <c r="C12" i="12"/>
  <c r="D71" i="23"/>
  <c r="N76" i="23"/>
  <c r="D76" i="23"/>
  <c r="D107" i="23" s="1"/>
  <c r="E3" i="22"/>
  <c r="G3" i="22" s="1"/>
  <c r="B3" i="22"/>
  <c r="D3" i="22" s="1"/>
  <c r="T37" i="22"/>
  <c r="T39" i="22"/>
  <c r="T36" i="22"/>
  <c r="T35" i="22"/>
  <c r="F80" i="22"/>
  <c r="I80" i="22" s="1"/>
  <c r="F46" i="21"/>
  <c r="H46" i="21"/>
  <c r="J55" i="21"/>
  <c r="J57" i="21"/>
  <c r="T46" i="21"/>
  <c r="J54" i="21"/>
  <c r="F48" i="21"/>
  <c r="J69" i="21"/>
  <c r="T34" i="22"/>
  <c r="T33" i="22"/>
  <c r="K76" i="23"/>
  <c r="Q76" i="23"/>
  <c r="M76" i="23"/>
  <c r="H76" i="23"/>
  <c r="T14" i="22"/>
  <c r="B74" i="1"/>
  <c r="C6" i="38" s="1"/>
  <c r="A75" i="1"/>
  <c r="B7" i="38" s="1"/>
  <c r="T16" i="22"/>
  <c r="T12" i="22"/>
  <c r="T10" i="22"/>
  <c r="T11" i="22"/>
  <c r="T15" i="22"/>
  <c r="T13" i="22"/>
  <c r="T9" i="22"/>
  <c r="H43" i="21"/>
  <c r="T41" i="21"/>
  <c r="F44" i="21"/>
  <c r="J43" i="21"/>
  <c r="K43" i="21"/>
  <c r="J41" i="21"/>
  <c r="H44" i="21"/>
  <c r="H47" i="21"/>
  <c r="D36" i="21"/>
  <c r="E36" i="21" s="1"/>
  <c r="E6" i="21"/>
  <c r="H51" i="21"/>
  <c r="F52" i="21"/>
  <c r="H52" i="21"/>
  <c r="T52" i="21"/>
  <c r="H48" i="21"/>
  <c r="K52" i="21"/>
  <c r="H45" i="21"/>
  <c r="Q77" i="23"/>
  <c r="E72" i="30"/>
  <c r="E83" i="30" s="1"/>
  <c r="G1" i="23"/>
  <c r="H1" i="23" s="1"/>
  <c r="F37" i="23"/>
  <c r="F38" i="23" s="1"/>
  <c r="A7" i="23"/>
  <c r="A8" i="23" s="1"/>
  <c r="K53" i="21"/>
  <c r="F68" i="21"/>
  <c r="G41" i="21"/>
  <c r="F47" i="21"/>
  <c r="T47" i="21"/>
  <c r="B77" i="23"/>
  <c r="E73" i="23"/>
  <c r="F73" i="23" s="1"/>
  <c r="T32" i="22"/>
  <c r="K50" i="21"/>
  <c r="K65" i="21"/>
  <c r="J53" i="21"/>
  <c r="T67" i="21"/>
  <c r="F50" i="21"/>
  <c r="T50" i="21"/>
  <c r="J50" i="21"/>
  <c r="K46" i="21"/>
  <c r="J51" i="21"/>
  <c r="T64" i="21"/>
  <c r="F67" i="21"/>
  <c r="K67" i="21"/>
  <c r="T30" i="22"/>
  <c r="A42" i="23"/>
  <c r="A43" i="23" s="1"/>
  <c r="T31" i="22"/>
  <c r="T24" i="22"/>
  <c r="T29" i="22"/>
  <c r="T28" i="22"/>
  <c r="C72" i="30"/>
  <c r="C83" i="30" s="1"/>
  <c r="T26" i="22"/>
  <c r="H79" i="30"/>
  <c r="H72" i="30"/>
  <c r="H83" i="30" s="1"/>
  <c r="G79" i="30"/>
  <c r="G72" i="30"/>
  <c r="G83" i="30" s="1"/>
  <c r="F72" i="30"/>
  <c r="F83" i="30" s="1"/>
  <c r="I72" i="30"/>
  <c r="I83" i="30" s="1"/>
  <c r="T17" i="22"/>
  <c r="J72" i="30"/>
  <c r="J83" i="30" s="1"/>
  <c r="K73" i="30"/>
  <c r="J84" i="30"/>
  <c r="J85" i="30" s="1"/>
  <c r="J87" i="30" s="1"/>
  <c r="B72" i="30"/>
  <c r="B83" i="30" s="1"/>
  <c r="D72" i="30"/>
  <c r="D83" i="30" s="1"/>
  <c r="A79" i="23"/>
  <c r="B78" i="23"/>
  <c r="B5" i="29"/>
  <c r="F49" i="21"/>
  <c r="J60" i="21"/>
  <c r="T49" i="21"/>
  <c r="T60" i="21"/>
  <c r="K51" i="21"/>
  <c r="K63" i="21"/>
  <c r="T42" i="21"/>
  <c r="D32" i="21"/>
  <c r="E32" i="21" s="1"/>
  <c r="K48" i="21"/>
  <c r="K49" i="21"/>
  <c r="J48" i="21"/>
  <c r="J42" i="21"/>
  <c r="J59" i="21"/>
  <c r="J45" i="21"/>
  <c r="J58" i="21"/>
  <c r="J49" i="21"/>
  <c r="F42" i="21"/>
  <c r="T61" i="21"/>
  <c r="T48" i="21"/>
  <c r="K42" i="21"/>
  <c r="F60" i="21"/>
  <c r="J65" i="21"/>
  <c r="J61" i="21"/>
  <c r="J64" i="21"/>
  <c r="T63" i="21"/>
  <c r="J67" i="21"/>
  <c r="F61" i="21"/>
  <c r="K61" i="21"/>
  <c r="J68" i="21"/>
  <c r="J66" i="21"/>
  <c r="J52" i="21"/>
  <c r="J47" i="21"/>
  <c r="J63" i="21"/>
  <c r="J46" i="21"/>
  <c r="J62" i="21"/>
  <c r="T51" i="21"/>
  <c r="F63" i="21"/>
  <c r="T53" i="21"/>
  <c r="T44" i="21"/>
  <c r="K59" i="21"/>
  <c r="T43" i="21"/>
  <c r="F135" i="1"/>
  <c r="H42" i="21"/>
  <c r="F144" i="1"/>
  <c r="F143" i="1"/>
  <c r="H50" i="21"/>
  <c r="F150" i="1"/>
  <c r="F151" i="1"/>
  <c r="I58" i="21"/>
  <c r="H58" i="21" s="1"/>
  <c r="F152" i="1"/>
  <c r="H59" i="21"/>
  <c r="F136" i="1"/>
  <c r="F146" i="1"/>
  <c r="H53" i="21"/>
  <c r="F145" i="1"/>
  <c r="AE101" i="23"/>
  <c r="AB64" i="23"/>
  <c r="AB100" i="23" s="1"/>
  <c r="F149" i="1"/>
  <c r="F155" i="1"/>
  <c r="H62" i="21"/>
  <c r="F147" i="1"/>
  <c r="F139" i="1"/>
  <c r="F153" i="1"/>
  <c r="H60" i="21"/>
  <c r="F141" i="1"/>
  <c r="F154" i="1"/>
  <c r="H61" i="21"/>
  <c r="F138" i="1"/>
  <c r="F148" i="1"/>
  <c r="F140" i="1"/>
  <c r="F137" i="1"/>
  <c r="F142" i="1"/>
  <c r="H49" i="21"/>
  <c r="L84" i="30"/>
  <c r="L70" i="30"/>
  <c r="L81" i="30" s="1"/>
  <c r="L71" i="30"/>
  <c r="L82" i="30" s="1"/>
  <c r="L44" i="30"/>
  <c r="L30" i="30"/>
  <c r="L40" i="30" s="1"/>
  <c r="L68" i="30"/>
  <c r="T27" i="22"/>
  <c r="T20" i="22"/>
  <c r="T22" i="22"/>
  <c r="T18" i="22"/>
  <c r="T25" i="22"/>
  <c r="C54" i="22"/>
  <c r="T23" i="22"/>
  <c r="T21" i="22"/>
  <c r="T19" i="22"/>
  <c r="D34" i="21"/>
  <c r="E34" i="21" s="1"/>
  <c r="O5" i="21"/>
  <c r="O6" i="21" s="1"/>
  <c r="AC65" i="23"/>
  <c r="AC101" i="23" s="1"/>
  <c r="AD100" i="23"/>
  <c r="P8" i="21"/>
  <c r="P6" i="21"/>
  <c r="AE103" i="23"/>
  <c r="P12" i="21"/>
  <c r="P10" i="21"/>
  <c r="P11" i="21"/>
  <c r="D9" i="1"/>
  <c r="D15" i="1"/>
  <c r="O7" i="21"/>
  <c r="B44" i="21"/>
  <c r="C43" i="21"/>
  <c r="G76" i="23"/>
  <c r="F76" i="23"/>
  <c r="E76" i="23"/>
  <c r="J76" i="23"/>
  <c r="I76" i="23"/>
  <c r="B4" i="12" l="1"/>
  <c r="D4" i="12" s="1"/>
  <c r="C13" i="12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E4" i="12"/>
  <c r="G4" i="12" s="1"/>
  <c r="L26" i="30"/>
  <c r="L32" i="30" s="1"/>
  <c r="L42" i="30" s="1"/>
  <c r="L31" i="30"/>
  <c r="L41" i="30" s="1"/>
  <c r="L33" i="30"/>
  <c r="L43" i="30" s="1"/>
  <c r="F72" i="21"/>
  <c r="D2" i="29"/>
  <c r="F51" i="22"/>
  <c r="B75" i="1"/>
  <c r="C7" i="38" s="1"/>
  <c r="E14" i="21"/>
  <c r="C22" i="21"/>
  <c r="A76" i="1"/>
  <c r="B8" i="38" s="1"/>
  <c r="J3" i="22"/>
  <c r="N135" i="1"/>
  <c r="N136" i="1" s="1"/>
  <c r="N137" i="1" s="1"/>
  <c r="N138" i="1" s="1"/>
  <c r="N139" i="1" s="1"/>
  <c r="G37" i="23"/>
  <c r="H37" i="23" s="1"/>
  <c r="C36" i="21"/>
  <c r="G2" i="23"/>
  <c r="S45" i="21"/>
  <c r="B7" i="23"/>
  <c r="G42" i="21"/>
  <c r="G43" i="21" s="1"/>
  <c r="G44" i="21" s="1"/>
  <c r="G45" i="21" s="1"/>
  <c r="G46" i="21" s="1"/>
  <c r="G47" i="21" s="1"/>
  <c r="G48" i="21" s="1"/>
  <c r="G49" i="21" s="1"/>
  <c r="G50" i="21" s="1"/>
  <c r="G51" i="21" s="1"/>
  <c r="G52" i="21" s="1"/>
  <c r="G53" i="21" s="1"/>
  <c r="G54" i="21" s="1"/>
  <c r="G55" i="21" s="1"/>
  <c r="G56" i="21" s="1"/>
  <c r="G57" i="21" s="1"/>
  <c r="E74" i="23"/>
  <c r="B42" i="23"/>
  <c r="K84" i="30"/>
  <c r="K85" i="30" s="1"/>
  <c r="K87" i="30" s="1"/>
  <c r="K72" i="30"/>
  <c r="K83" i="30" s="1"/>
  <c r="O12" i="31"/>
  <c r="P12" i="31" s="1"/>
  <c r="O36" i="31"/>
  <c r="H34" i="1"/>
  <c r="I1" i="23"/>
  <c r="H2" i="23"/>
  <c r="A80" i="23"/>
  <c r="B79" i="23"/>
  <c r="B43" i="23"/>
  <c r="A44" i="23"/>
  <c r="G73" i="23"/>
  <c r="F74" i="23"/>
  <c r="A9" i="23"/>
  <c r="B8" i="23"/>
  <c r="G33" i="1"/>
  <c r="I33" i="1"/>
  <c r="K43" i="23"/>
  <c r="K79" i="23" s="1"/>
  <c r="I43" i="23"/>
  <c r="I79" i="23" s="1"/>
  <c r="H43" i="23"/>
  <c r="H79" i="23" s="1"/>
  <c r="M43" i="23"/>
  <c r="M79" i="23" s="1"/>
  <c r="J43" i="23"/>
  <c r="J79" i="23" s="1"/>
  <c r="L43" i="23"/>
  <c r="L79" i="23" s="1"/>
  <c r="N43" i="23"/>
  <c r="G43" i="23"/>
  <c r="G79" i="23" s="1"/>
  <c r="AA61" i="23"/>
  <c r="AA97" i="23" s="1"/>
  <c r="Z61" i="23"/>
  <c r="Z97" i="23" s="1"/>
  <c r="AB61" i="23"/>
  <c r="AB97" i="23" s="1"/>
  <c r="Y61" i="23"/>
  <c r="Y97" i="23" s="1"/>
  <c r="AC61" i="23"/>
  <c r="AC97" i="23" s="1"/>
  <c r="O46" i="23"/>
  <c r="O82" i="23" s="1"/>
  <c r="L46" i="23"/>
  <c r="L82" i="23" s="1"/>
  <c r="P46" i="23"/>
  <c r="N46" i="23"/>
  <c r="N82" i="23" s="1"/>
  <c r="K46" i="23"/>
  <c r="K82" i="23" s="1"/>
  <c r="M46" i="23"/>
  <c r="M82" i="23" s="1"/>
  <c r="J46" i="23"/>
  <c r="J82" i="23" s="1"/>
  <c r="Q46" i="23"/>
  <c r="O44" i="23"/>
  <c r="N44" i="23"/>
  <c r="M44" i="23"/>
  <c r="M80" i="23" s="1"/>
  <c r="I44" i="23"/>
  <c r="I80" i="23" s="1"/>
  <c r="J44" i="23"/>
  <c r="J80" i="23" s="1"/>
  <c r="K44" i="23"/>
  <c r="K80" i="23" s="1"/>
  <c r="H44" i="23"/>
  <c r="H80" i="23" s="1"/>
  <c r="L44" i="23"/>
  <c r="L80" i="23" s="1"/>
  <c r="W55" i="23"/>
  <c r="W91" i="23" s="1"/>
  <c r="Y55" i="23"/>
  <c r="Y91" i="23" s="1"/>
  <c r="V55" i="23"/>
  <c r="V91" i="23" s="1"/>
  <c r="U55" i="23"/>
  <c r="U91" i="23" s="1"/>
  <c r="Z55" i="23"/>
  <c r="X55" i="23"/>
  <c r="X91" i="23" s="1"/>
  <c r="S55" i="23"/>
  <c r="S91" i="23" s="1"/>
  <c r="T55" i="23"/>
  <c r="T91" i="23" s="1"/>
  <c r="AA57" i="23"/>
  <c r="AA93" i="23" s="1"/>
  <c r="X57" i="23"/>
  <c r="X93" i="23" s="1"/>
  <c r="Y57" i="23"/>
  <c r="Y93" i="23" s="1"/>
  <c r="AB57" i="23"/>
  <c r="V57" i="23"/>
  <c r="V93" i="23" s="1"/>
  <c r="U57" i="23"/>
  <c r="U93" i="23" s="1"/>
  <c r="Z57" i="23"/>
  <c r="Z93" i="23" s="1"/>
  <c r="W57" i="23"/>
  <c r="W93" i="23" s="1"/>
  <c r="S49" i="23"/>
  <c r="S85" i="23" s="1"/>
  <c r="M49" i="23"/>
  <c r="M85" i="23" s="1"/>
  <c r="P49" i="23"/>
  <c r="P85" i="23" s="1"/>
  <c r="Q49" i="23"/>
  <c r="Q85" i="23" s="1"/>
  <c r="O49" i="23"/>
  <c r="O85" i="23" s="1"/>
  <c r="R49" i="23"/>
  <c r="R85" i="23" s="1"/>
  <c r="N49" i="23"/>
  <c r="N85" i="23" s="1"/>
  <c r="T49" i="23"/>
  <c r="O45" i="23"/>
  <c r="O81" i="23" s="1"/>
  <c r="I45" i="23"/>
  <c r="I81" i="23" s="1"/>
  <c r="M45" i="23"/>
  <c r="M81" i="23" s="1"/>
  <c r="K45" i="23"/>
  <c r="K81" i="23" s="1"/>
  <c r="N45" i="23"/>
  <c r="N81" i="23" s="1"/>
  <c r="L45" i="23"/>
  <c r="L81" i="23" s="1"/>
  <c r="J45" i="23"/>
  <c r="J81" i="23" s="1"/>
  <c r="S51" i="23"/>
  <c r="S87" i="23" s="1"/>
  <c r="Q51" i="23"/>
  <c r="Q87" i="23" s="1"/>
  <c r="U51" i="23"/>
  <c r="U87" i="23" s="1"/>
  <c r="P51" i="23"/>
  <c r="P87" i="23" s="1"/>
  <c r="R51" i="23"/>
  <c r="R87" i="23" s="1"/>
  <c r="T51" i="23"/>
  <c r="T87" i="23" s="1"/>
  <c r="V51" i="23"/>
  <c r="O51" i="23"/>
  <c r="O87" i="23" s="1"/>
  <c r="AA56" i="23"/>
  <c r="X56" i="23"/>
  <c r="T56" i="23"/>
  <c r="T92" i="23" s="1"/>
  <c r="Z56" i="23"/>
  <c r="U56" i="23"/>
  <c r="U92" i="23" s="1"/>
  <c r="V56" i="23"/>
  <c r="V92" i="23" s="1"/>
  <c r="Y56" i="23"/>
  <c r="W56" i="23"/>
  <c r="K41" i="23"/>
  <c r="E71" i="23"/>
  <c r="H41" i="23"/>
  <c r="L41" i="23"/>
  <c r="I41" i="23"/>
  <c r="G41" i="23"/>
  <c r="J41" i="23"/>
  <c r="F41" i="23"/>
  <c r="S48" i="23"/>
  <c r="L48" i="23"/>
  <c r="L84" i="23" s="1"/>
  <c r="R48" i="23"/>
  <c r="Q48" i="23"/>
  <c r="Q84" i="23" s="1"/>
  <c r="N48" i="23"/>
  <c r="N84" i="23" s="1"/>
  <c r="P48" i="23"/>
  <c r="P84" i="23" s="1"/>
  <c r="O48" i="23"/>
  <c r="O84" i="23" s="1"/>
  <c r="M48" i="23"/>
  <c r="M84" i="23" s="1"/>
  <c r="W54" i="23"/>
  <c r="W90" i="23" s="1"/>
  <c r="T54" i="23"/>
  <c r="T90" i="23" s="1"/>
  <c r="X54" i="23"/>
  <c r="X90" i="23" s="1"/>
  <c r="V54" i="23"/>
  <c r="V90" i="23" s="1"/>
  <c r="S54" i="23"/>
  <c r="S90" i="23" s="1"/>
  <c r="U54" i="23"/>
  <c r="U90" i="23" s="1"/>
  <c r="R54" i="23"/>
  <c r="R90" i="23" s="1"/>
  <c r="Y54" i="23"/>
  <c r="AC60" i="23"/>
  <c r="AC96" i="23" s="1"/>
  <c r="X60" i="23"/>
  <c r="X96" i="23" s="1"/>
  <c r="AB60" i="23"/>
  <c r="AB96" i="23" s="1"/>
  <c r="AA60" i="23"/>
  <c r="AA96" i="23" s="1"/>
  <c r="Y60" i="23"/>
  <c r="Y96" i="23" s="1"/>
  <c r="AD60" i="23"/>
  <c r="Z60" i="23"/>
  <c r="Z96" i="23" s="1"/>
  <c r="O47" i="23"/>
  <c r="O83" i="23" s="1"/>
  <c r="M47" i="23"/>
  <c r="M83" i="23" s="1"/>
  <c r="Q47" i="23"/>
  <c r="Q83" i="23" s="1"/>
  <c r="K47" i="23"/>
  <c r="K83" i="23" s="1"/>
  <c r="L47" i="23"/>
  <c r="L83" i="23" s="1"/>
  <c r="R47" i="23"/>
  <c r="N47" i="23"/>
  <c r="N83" i="23" s="1"/>
  <c r="P47" i="23"/>
  <c r="P83" i="23" s="1"/>
  <c r="AC59" i="23"/>
  <c r="AC95" i="23" s="1"/>
  <c r="W59" i="23"/>
  <c r="W95" i="23" s="1"/>
  <c r="X59" i="23"/>
  <c r="X95" i="23" s="1"/>
  <c r="AA59" i="23"/>
  <c r="AA95" i="23" s="1"/>
  <c r="AB59" i="23"/>
  <c r="AB95" i="23" s="1"/>
  <c r="Y59" i="23"/>
  <c r="Y95" i="23" s="1"/>
  <c r="Z59" i="23"/>
  <c r="Z95" i="23" s="1"/>
  <c r="W53" i="23"/>
  <c r="Q53" i="23"/>
  <c r="Q89" i="23" s="1"/>
  <c r="X53" i="23"/>
  <c r="U53" i="23"/>
  <c r="U89" i="23" s="1"/>
  <c r="V53" i="23"/>
  <c r="V89" i="23" s="1"/>
  <c r="S53" i="23"/>
  <c r="S89" i="23" s="1"/>
  <c r="T53" i="23"/>
  <c r="T89" i="23" s="1"/>
  <c r="R53" i="23"/>
  <c r="R89" i="23" s="1"/>
  <c r="S52" i="23"/>
  <c r="S88" i="23" s="1"/>
  <c r="P52" i="23"/>
  <c r="P88" i="23" s="1"/>
  <c r="T52" i="23"/>
  <c r="T88" i="23" s="1"/>
  <c r="V52" i="23"/>
  <c r="V88" i="23" s="1"/>
  <c r="U52" i="23"/>
  <c r="U88" i="23" s="1"/>
  <c r="R52" i="23"/>
  <c r="R88" i="23" s="1"/>
  <c r="Q52" i="23"/>
  <c r="Q88" i="23" s="1"/>
  <c r="K42" i="23"/>
  <c r="K78" i="23" s="1"/>
  <c r="H42" i="23"/>
  <c r="H78" i="23" s="1"/>
  <c r="J42" i="23"/>
  <c r="J78" i="23" s="1"/>
  <c r="G42" i="23"/>
  <c r="G78" i="23" s="1"/>
  <c r="L42" i="23"/>
  <c r="L78" i="23" s="1"/>
  <c r="I42" i="23"/>
  <c r="I78" i="23" s="1"/>
  <c r="M42" i="23"/>
  <c r="F42" i="23"/>
  <c r="F78" i="23" s="1"/>
  <c r="AC58" i="23"/>
  <c r="X58" i="23"/>
  <c r="X94" i="23" s="1"/>
  <c r="Y58" i="23"/>
  <c r="Y94" i="23" s="1"/>
  <c r="V58" i="23"/>
  <c r="V94" i="23" s="1"/>
  <c r="W58" i="23"/>
  <c r="W94" i="23" s="1"/>
  <c r="AB58" i="23"/>
  <c r="AB94" i="23" s="1"/>
  <c r="Z58" i="23"/>
  <c r="Z94" i="23" s="1"/>
  <c r="AA58" i="23"/>
  <c r="AA94" i="23" s="1"/>
  <c r="S50" i="23"/>
  <c r="S86" i="23" s="1"/>
  <c r="P50" i="23"/>
  <c r="P86" i="23" s="1"/>
  <c r="R50" i="23"/>
  <c r="R86" i="23" s="1"/>
  <c r="U50" i="23"/>
  <c r="O50" i="23"/>
  <c r="O86" i="23" s="1"/>
  <c r="Q50" i="23"/>
  <c r="Q86" i="23" s="1"/>
  <c r="T50" i="23"/>
  <c r="T86" i="23" s="1"/>
  <c r="N50" i="23"/>
  <c r="N86" i="23" s="1"/>
  <c r="L72" i="30"/>
  <c r="L83" i="30" s="1"/>
  <c r="L79" i="30"/>
  <c r="C55" i="22"/>
  <c r="E12" i="21"/>
  <c r="O11" i="21"/>
  <c r="O10" i="21"/>
  <c r="O8" i="21"/>
  <c r="B45" i="21"/>
  <c r="C44" i="21"/>
  <c r="P37" i="34"/>
  <c r="G37" i="34"/>
  <c r="B3" i="12" l="1"/>
  <c r="D3" i="12" s="1"/>
  <c r="E3" i="12"/>
  <c r="G3" i="12" s="1"/>
  <c r="J4" i="12"/>
  <c r="F2" i="29"/>
  <c r="F71" i="23"/>
  <c r="N71" i="23"/>
  <c r="F52" i="22"/>
  <c r="C176" i="28"/>
  <c r="K176" i="28" s="1"/>
  <c r="B76" i="1"/>
  <c r="C8" i="38" s="1"/>
  <c r="A77" i="1"/>
  <c r="B9" i="38" s="1"/>
  <c r="M71" i="23"/>
  <c r="H71" i="23"/>
  <c r="X71" i="23"/>
  <c r="U71" i="23"/>
  <c r="I71" i="23"/>
  <c r="L71" i="23"/>
  <c r="Q71" i="23"/>
  <c r="AE96" i="23"/>
  <c r="O71" i="23"/>
  <c r="S71" i="23"/>
  <c r="K71" i="23"/>
  <c r="T71" i="23"/>
  <c r="W71" i="23"/>
  <c r="Y71" i="23"/>
  <c r="AD96" i="23"/>
  <c r="J71" i="23"/>
  <c r="V71" i="23"/>
  <c r="R71" i="23"/>
  <c r="G71" i="23"/>
  <c r="P71" i="23"/>
  <c r="N140" i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J9" i="21"/>
  <c r="G38" i="23"/>
  <c r="B6" i="29"/>
  <c r="AE97" i="23"/>
  <c r="AD97" i="23"/>
  <c r="X92" i="23"/>
  <c r="AA92" i="23"/>
  <c r="W92" i="23"/>
  <c r="Y92" i="23"/>
  <c r="AC94" i="23"/>
  <c r="AB93" i="23"/>
  <c r="Z92" i="23"/>
  <c r="R84" i="23"/>
  <c r="N80" i="23"/>
  <c r="D33" i="21"/>
  <c r="C33" i="21" s="1"/>
  <c r="N5" i="21"/>
  <c r="R5" i="21" s="1"/>
  <c r="L86" i="30"/>
  <c r="L87" i="30" s="1"/>
  <c r="G58" i="21"/>
  <c r="G59" i="21" s="1"/>
  <c r="G60" i="21" s="1"/>
  <c r="N9" i="21"/>
  <c r="R9" i="21" s="1"/>
  <c r="H9" i="21"/>
  <c r="I9" i="21"/>
  <c r="F22" i="21"/>
  <c r="H35" i="1"/>
  <c r="B44" i="23"/>
  <c r="A45" i="23"/>
  <c r="B9" i="23"/>
  <c r="A10" i="23"/>
  <c r="H38" i="23"/>
  <c r="I37" i="23"/>
  <c r="G74" i="23"/>
  <c r="H73" i="23"/>
  <c r="A81" i="23"/>
  <c r="B80" i="23"/>
  <c r="I2" i="23"/>
  <c r="J1" i="23"/>
  <c r="B7" i="29"/>
  <c r="O15" i="31"/>
  <c r="P15" i="31" s="1"/>
  <c r="O38" i="31"/>
  <c r="P38" i="31" s="1"/>
  <c r="P36" i="31"/>
  <c r="O13" i="31"/>
  <c r="E77" i="23"/>
  <c r="E107" i="23" s="1"/>
  <c r="Z91" i="23"/>
  <c r="Q82" i="23"/>
  <c r="M78" i="23"/>
  <c r="X89" i="23"/>
  <c r="I77" i="23"/>
  <c r="K77" i="23"/>
  <c r="U86" i="23"/>
  <c r="R83" i="23"/>
  <c r="Y90" i="23"/>
  <c r="J77" i="23"/>
  <c r="L77" i="23"/>
  <c r="V87" i="23"/>
  <c r="T85" i="23"/>
  <c r="O80" i="23"/>
  <c r="P82" i="23"/>
  <c r="G77" i="23"/>
  <c r="S84" i="23"/>
  <c r="F77" i="23"/>
  <c r="W89" i="23"/>
  <c r="H77" i="23"/>
  <c r="N79" i="23"/>
  <c r="C56" i="22"/>
  <c r="C45" i="21"/>
  <c r="B46" i="21"/>
  <c r="S37" i="34"/>
  <c r="D3" i="29" l="1"/>
  <c r="F53" i="22"/>
  <c r="B77" i="1"/>
  <c r="C9" i="38" s="1"/>
  <c r="A78" i="1"/>
  <c r="B10" i="38" s="1"/>
  <c r="X107" i="23"/>
  <c r="R107" i="23"/>
  <c r="Y107" i="23"/>
  <c r="W107" i="23"/>
  <c r="N107" i="23"/>
  <c r="S107" i="23"/>
  <c r="T107" i="23"/>
  <c r="U107" i="23"/>
  <c r="V107" i="23"/>
  <c r="Q107" i="23"/>
  <c r="P107" i="23"/>
  <c r="O107" i="23"/>
  <c r="M107" i="23"/>
  <c r="G107" i="23"/>
  <c r="J107" i="23"/>
  <c r="L107" i="23"/>
  <c r="H107" i="23"/>
  <c r="K107" i="23"/>
  <c r="I107" i="23"/>
  <c r="F107" i="23"/>
  <c r="S126" i="28"/>
  <c r="E33" i="21"/>
  <c r="Q5" i="21"/>
  <c r="Q9" i="21"/>
  <c r="G61" i="21"/>
  <c r="G62" i="21" s="1"/>
  <c r="T97" i="28"/>
  <c r="D178" i="28"/>
  <c r="J2" i="23"/>
  <c r="K1" i="23"/>
  <c r="H74" i="23"/>
  <c r="I73" i="23"/>
  <c r="A11" i="23"/>
  <c r="B10" i="23"/>
  <c r="I38" i="23"/>
  <c r="J37" i="23"/>
  <c r="B45" i="23"/>
  <c r="A46" i="23"/>
  <c r="A82" i="23"/>
  <c r="B81" i="23"/>
  <c r="B8" i="29"/>
  <c r="C57" i="22"/>
  <c r="C46" i="21"/>
  <c r="B47" i="21"/>
  <c r="D9" i="29" l="1"/>
  <c r="F9" i="29" s="1"/>
  <c r="D17" i="29"/>
  <c r="D6" i="29"/>
  <c r="F6" i="29" s="1"/>
  <c r="D12" i="29"/>
  <c r="D10" i="29"/>
  <c r="F10" i="29" s="1"/>
  <c r="D21" i="29"/>
  <c r="D8" i="29"/>
  <c r="F8" i="29" s="1"/>
  <c r="D23" i="29"/>
  <c r="D16" i="29"/>
  <c r="D5" i="29"/>
  <c r="F5" i="29" s="1"/>
  <c r="D11" i="29"/>
  <c r="F11" i="29" s="1"/>
  <c r="D13" i="29"/>
  <c r="D22" i="29"/>
  <c r="D15" i="29"/>
  <c r="D14" i="29"/>
  <c r="D20" i="29"/>
  <c r="D19" i="29"/>
  <c r="D7" i="29"/>
  <c r="F7" i="29" s="1"/>
  <c r="D18" i="29"/>
  <c r="F3" i="29"/>
  <c r="D4" i="29"/>
  <c r="F4" i="29" s="1"/>
  <c r="A79" i="1"/>
  <c r="B11" i="38" s="1"/>
  <c r="F54" i="22"/>
  <c r="B78" i="1"/>
  <c r="C10" i="38" s="1"/>
  <c r="P65" i="34"/>
  <c r="G65" i="34"/>
  <c r="G63" i="34"/>
  <c r="P63" i="34"/>
  <c r="G61" i="34"/>
  <c r="P62" i="34"/>
  <c r="G62" i="34"/>
  <c r="P61" i="34"/>
  <c r="S57" i="34"/>
  <c r="G41" i="34"/>
  <c r="P41" i="34"/>
  <c r="P39" i="34"/>
  <c r="G39" i="34"/>
  <c r="G63" i="21"/>
  <c r="P38" i="34"/>
  <c r="G38" i="34"/>
  <c r="G43" i="32"/>
  <c r="P43" i="32"/>
  <c r="K37" i="23"/>
  <c r="J38" i="23"/>
  <c r="J73" i="23"/>
  <c r="I74" i="23"/>
  <c r="A83" i="23"/>
  <c r="B82" i="23"/>
  <c r="A47" i="23"/>
  <c r="B46" i="23"/>
  <c r="K2" i="23"/>
  <c r="L1" i="23"/>
  <c r="A12" i="23"/>
  <c r="B11" i="23"/>
  <c r="B9" i="29"/>
  <c r="C58" i="22"/>
  <c r="C47" i="21"/>
  <c r="B48" i="21"/>
  <c r="E12" i="29" l="1"/>
  <c r="E17" i="29"/>
  <c r="F17" i="29" s="1"/>
  <c r="E15" i="29"/>
  <c r="F15" i="29" s="1"/>
  <c r="E22" i="29"/>
  <c r="F22" i="29" s="1"/>
  <c r="E18" i="29"/>
  <c r="F18" i="29" s="1"/>
  <c r="E23" i="29"/>
  <c r="F23" i="29" s="1"/>
  <c r="E19" i="29"/>
  <c r="F19" i="29" s="1"/>
  <c r="E20" i="29"/>
  <c r="F20" i="29" s="1"/>
  <c r="E13" i="29"/>
  <c r="F13" i="29" s="1"/>
  <c r="E16" i="29"/>
  <c r="F16" i="29" s="1"/>
  <c r="E14" i="29"/>
  <c r="F14" i="29" s="1"/>
  <c r="E21" i="29"/>
  <c r="F21" i="29" s="1"/>
  <c r="B79" i="1"/>
  <c r="C11" i="38" s="1"/>
  <c r="A80" i="1"/>
  <c r="B12" i="38" s="1"/>
  <c r="F55" i="22"/>
  <c r="S65" i="34"/>
  <c r="S61" i="34"/>
  <c r="S60" i="34"/>
  <c r="S59" i="34"/>
  <c r="S56" i="34"/>
  <c r="B6" i="44"/>
  <c r="S41" i="34"/>
  <c r="S39" i="34"/>
  <c r="G64" i="21"/>
  <c r="G65" i="21" s="1"/>
  <c r="G66" i="21" s="1"/>
  <c r="G67" i="21" s="1"/>
  <c r="G68" i="21" s="1"/>
  <c r="G69" i="21" s="1"/>
  <c r="G70" i="21" s="1"/>
  <c r="G72" i="21" s="1"/>
  <c r="S38" i="34"/>
  <c r="S43" i="32"/>
  <c r="A13" i="23"/>
  <c r="B12" i="23"/>
  <c r="A48" i="23"/>
  <c r="B47" i="23"/>
  <c r="K73" i="23"/>
  <c r="J74" i="23"/>
  <c r="L2" i="23"/>
  <c r="M1" i="23"/>
  <c r="A84" i="23"/>
  <c r="B83" i="23"/>
  <c r="L37" i="23"/>
  <c r="K38" i="23"/>
  <c r="B10" i="29"/>
  <c r="C59" i="22"/>
  <c r="C48" i="21"/>
  <c r="B49" i="21"/>
  <c r="F12" i="29" l="1"/>
  <c r="B80" i="1"/>
  <c r="C12" i="38" s="1"/>
  <c r="A81" i="1"/>
  <c r="B13" i="38" s="1"/>
  <c r="F56" i="22"/>
  <c r="C17" i="21"/>
  <c r="M2" i="23"/>
  <c r="N1" i="23"/>
  <c r="L38" i="23"/>
  <c r="M37" i="23"/>
  <c r="A49" i="23"/>
  <c r="B48" i="23"/>
  <c r="B84" i="23"/>
  <c r="A85" i="23"/>
  <c r="K74" i="23"/>
  <c r="L73" i="23"/>
  <c r="A14" i="23"/>
  <c r="B13" i="23"/>
  <c r="B11" i="29"/>
  <c r="C60" i="22"/>
  <c r="C49" i="21"/>
  <c r="B50" i="21"/>
  <c r="A82" i="1" l="1"/>
  <c r="B14" i="38" s="1"/>
  <c r="B81" i="1"/>
  <c r="C13" i="38" s="1"/>
  <c r="F57" i="22"/>
  <c r="C29" i="21"/>
  <c r="J17" i="21"/>
  <c r="H46" i="1"/>
  <c r="A86" i="23"/>
  <c r="B85" i="23"/>
  <c r="N37" i="23"/>
  <c r="M38" i="23"/>
  <c r="B14" i="23"/>
  <c r="A15" i="23"/>
  <c r="M73" i="23"/>
  <c r="L74" i="23"/>
  <c r="O1" i="23"/>
  <c r="N2" i="23"/>
  <c r="B49" i="23"/>
  <c r="A50" i="23"/>
  <c r="B12" i="29"/>
  <c r="C61" i="22"/>
  <c r="C50" i="21"/>
  <c r="B51" i="21"/>
  <c r="B82" i="1" l="1"/>
  <c r="C14" i="38" s="1"/>
  <c r="A83" i="1"/>
  <c r="B15" i="38" s="1"/>
  <c r="F58" i="22"/>
  <c r="A51" i="23"/>
  <c r="B50" i="23"/>
  <c r="N73" i="23"/>
  <c r="M74" i="23"/>
  <c r="O37" i="23"/>
  <c r="N38" i="23"/>
  <c r="A16" i="23"/>
  <c r="B15" i="23"/>
  <c r="O2" i="23"/>
  <c r="P1" i="23"/>
  <c r="A87" i="23"/>
  <c r="B86" i="23"/>
  <c r="B13" i="29"/>
  <c r="C62" i="22"/>
  <c r="C51" i="21"/>
  <c r="B52" i="21"/>
  <c r="A84" i="1" l="1"/>
  <c r="B16" i="38" s="1"/>
  <c r="B83" i="1"/>
  <c r="C15" i="38" s="1"/>
  <c r="C63" i="22"/>
  <c r="C64" i="22" s="1"/>
  <c r="C65" i="22" s="1"/>
  <c r="C66" i="22" s="1"/>
  <c r="C67" i="22" s="1"/>
  <c r="C68" i="22" s="1"/>
  <c r="C69" i="22" s="1"/>
  <c r="C70" i="22" s="1"/>
  <c r="C71" i="22" s="1"/>
  <c r="C72" i="22" s="1"/>
  <c r="C73" i="22" s="1"/>
  <c r="C74" i="22" s="1"/>
  <c r="C75" i="22" s="1"/>
  <c r="C76" i="22" s="1"/>
  <c r="C77" i="22" s="1"/>
  <c r="C78" i="22" s="1"/>
  <c r="C79" i="22" s="1"/>
  <c r="C80" i="22" s="1"/>
  <c r="F59" i="22"/>
  <c r="A88" i="23"/>
  <c r="B87" i="23"/>
  <c r="B16" i="23"/>
  <c r="A17" i="23"/>
  <c r="N74" i="23"/>
  <c r="O73" i="23"/>
  <c r="Q1" i="23"/>
  <c r="P2" i="23"/>
  <c r="O38" i="23"/>
  <c r="P37" i="23"/>
  <c r="A52" i="23"/>
  <c r="B51" i="23"/>
  <c r="B14" i="29"/>
  <c r="C52" i="21"/>
  <c r="B53" i="21"/>
  <c r="B54" i="21" s="1"/>
  <c r="A85" i="1"/>
  <c r="B17" i="38" s="1"/>
  <c r="B84" i="1"/>
  <c r="C16" i="38" s="1"/>
  <c r="B4" i="22" l="1"/>
  <c r="F60" i="22"/>
  <c r="B55" i="21"/>
  <c r="C54" i="21"/>
  <c r="B42" i="1"/>
  <c r="K42" i="1" s="1"/>
  <c r="A18" i="23"/>
  <c r="B17" i="23"/>
  <c r="A53" i="23"/>
  <c r="B52" i="23"/>
  <c r="Q2" i="23"/>
  <c r="R1" i="23"/>
  <c r="P38" i="23"/>
  <c r="Q37" i="23"/>
  <c r="O74" i="23"/>
  <c r="P73" i="23"/>
  <c r="A89" i="23"/>
  <c r="B88" i="23"/>
  <c r="B15" i="29"/>
  <c r="C53" i="21"/>
  <c r="B85" i="1"/>
  <c r="C17" i="38" s="1"/>
  <c r="A86" i="1"/>
  <c r="B18" i="38" s="1"/>
  <c r="F61" i="22" l="1"/>
  <c r="B56" i="21"/>
  <c r="C55" i="21"/>
  <c r="A90" i="23"/>
  <c r="B89" i="23"/>
  <c r="B53" i="23"/>
  <c r="A54" i="23"/>
  <c r="Q73" i="23"/>
  <c r="P74" i="23"/>
  <c r="R2" i="23"/>
  <c r="S1" i="23"/>
  <c r="R37" i="23"/>
  <c r="Q38" i="23"/>
  <c r="B18" i="23"/>
  <c r="A19" i="23"/>
  <c r="B16" i="29"/>
  <c r="A87" i="1"/>
  <c r="B19" i="38" s="1"/>
  <c r="B86" i="1"/>
  <c r="C18" i="38" s="1"/>
  <c r="F62" i="22" l="1"/>
  <c r="B57" i="21"/>
  <c r="C57" i="21" s="1"/>
  <c r="C56" i="21"/>
  <c r="A20" i="23"/>
  <c r="B19" i="23"/>
  <c r="S2" i="23"/>
  <c r="T1" i="23"/>
  <c r="B54" i="23"/>
  <c r="A55" i="23"/>
  <c r="S37" i="23"/>
  <c r="R38" i="23"/>
  <c r="R73" i="23"/>
  <c r="Q74" i="23"/>
  <c r="A91" i="23"/>
  <c r="B90" i="23"/>
  <c r="B17" i="29"/>
  <c r="A88" i="1"/>
  <c r="B20" i="38" s="1"/>
  <c r="B87" i="1"/>
  <c r="C19" i="38" s="1"/>
  <c r="F63" i="22" l="1"/>
  <c r="U1" i="23"/>
  <c r="T2" i="23"/>
  <c r="A92" i="23"/>
  <c r="B91" i="23"/>
  <c r="T37" i="23"/>
  <c r="S38" i="23"/>
  <c r="A56" i="23"/>
  <c r="B55" i="23"/>
  <c r="S73" i="23"/>
  <c r="R74" i="23"/>
  <c r="B20" i="23"/>
  <c r="A21" i="23"/>
  <c r="B18" i="29"/>
  <c r="A89" i="1"/>
  <c r="B21" i="38" s="1"/>
  <c r="B88" i="1"/>
  <c r="C20" i="38" s="1"/>
  <c r="F64" i="22" l="1"/>
  <c r="B56" i="23"/>
  <c r="A57" i="23"/>
  <c r="B92" i="23"/>
  <c r="A93" i="23"/>
  <c r="B21" i="23"/>
  <c r="A22" i="23"/>
  <c r="S74" i="23"/>
  <c r="T73" i="23"/>
  <c r="T38" i="23"/>
  <c r="U37" i="23"/>
  <c r="V1" i="23"/>
  <c r="U2" i="23"/>
  <c r="B19" i="29"/>
  <c r="B58" i="21"/>
  <c r="A90" i="1"/>
  <c r="B22" i="38" s="1"/>
  <c r="B89" i="1"/>
  <c r="C21" i="38" s="1"/>
  <c r="F65" i="22" l="1"/>
  <c r="D4" i="22"/>
  <c r="U38" i="23"/>
  <c r="V37" i="23"/>
  <c r="B22" i="23"/>
  <c r="A23" i="23"/>
  <c r="A58" i="23"/>
  <c r="B57" i="23"/>
  <c r="T74" i="23"/>
  <c r="U73" i="23"/>
  <c r="A94" i="23"/>
  <c r="B93" i="23"/>
  <c r="V2" i="23"/>
  <c r="W1" i="23"/>
  <c r="B20" i="29"/>
  <c r="C58" i="21"/>
  <c r="B59" i="21"/>
  <c r="A91" i="1"/>
  <c r="B23" i="38" s="1"/>
  <c r="B90" i="1"/>
  <c r="C22" i="38" s="1"/>
  <c r="F66" i="22" l="1"/>
  <c r="W37" i="23"/>
  <c r="V38" i="23"/>
  <c r="W2" i="23"/>
  <c r="X1" i="23"/>
  <c r="V73" i="23"/>
  <c r="U74" i="23"/>
  <c r="A24" i="23"/>
  <c r="B23" i="23"/>
  <c r="A95" i="23"/>
  <c r="B94" i="23"/>
  <c r="B58" i="23"/>
  <c r="A59" i="23"/>
  <c r="B21" i="29"/>
  <c r="C59" i="21"/>
  <c r="B60" i="21"/>
  <c r="A92" i="1"/>
  <c r="B24" i="38" s="1"/>
  <c r="B91" i="1"/>
  <c r="C23" i="38" s="1"/>
  <c r="F67" i="22" l="1"/>
  <c r="Y1" i="23"/>
  <c r="X2" i="23"/>
  <c r="A60" i="23"/>
  <c r="B59" i="23"/>
  <c r="B24" i="23"/>
  <c r="A25" i="23"/>
  <c r="A96" i="23"/>
  <c r="B95" i="23"/>
  <c r="W73" i="23"/>
  <c r="V74" i="23"/>
  <c r="X37" i="23"/>
  <c r="W38" i="23"/>
  <c r="B22" i="29"/>
  <c r="C60" i="21"/>
  <c r="B61" i="21"/>
  <c r="A93" i="1"/>
  <c r="B25" i="38" s="1"/>
  <c r="B92" i="1"/>
  <c r="C24" i="38" s="1"/>
  <c r="F68" i="22" l="1"/>
  <c r="X38" i="23"/>
  <c r="Y37" i="23"/>
  <c r="A97" i="23"/>
  <c r="B96" i="23"/>
  <c r="A61" i="23"/>
  <c r="B60" i="23"/>
  <c r="A26" i="23"/>
  <c r="B25" i="23"/>
  <c r="W74" i="23"/>
  <c r="X73" i="23"/>
  <c r="Z1" i="23"/>
  <c r="Y2" i="23"/>
  <c r="B23" i="29"/>
  <c r="C61" i="21"/>
  <c r="B62" i="21"/>
  <c r="B93" i="1"/>
  <c r="C25" i="38" s="1"/>
  <c r="A94" i="1"/>
  <c r="B26" i="38" s="1"/>
  <c r="F69" i="22" l="1"/>
  <c r="AA1" i="23"/>
  <c r="Z2" i="23"/>
  <c r="B26" i="23"/>
  <c r="A27" i="23"/>
  <c r="X74" i="23"/>
  <c r="Y73" i="23"/>
  <c r="Y38" i="23"/>
  <c r="Z37" i="23"/>
  <c r="A98" i="23"/>
  <c r="B97" i="23"/>
  <c r="A62" i="23"/>
  <c r="B61" i="23"/>
  <c r="B24" i="29"/>
  <c r="A95" i="1"/>
  <c r="B27" i="38" s="1"/>
  <c r="B94" i="1"/>
  <c r="C26" i="38" s="1"/>
  <c r="C62" i="21"/>
  <c r="B63" i="21"/>
  <c r="F70" i="22" l="1"/>
  <c r="AA37" i="23"/>
  <c r="Z38" i="23"/>
  <c r="A28" i="23"/>
  <c r="B27" i="23"/>
  <c r="A63" i="23"/>
  <c r="B62" i="23"/>
  <c r="Z73" i="23"/>
  <c r="Y74" i="23"/>
  <c r="A99" i="23"/>
  <c r="B98" i="23"/>
  <c r="AA2" i="23"/>
  <c r="AB1" i="23"/>
  <c r="B25" i="29"/>
  <c r="C63" i="21"/>
  <c r="B64" i="21"/>
  <c r="A96" i="1"/>
  <c r="B28" i="38" s="1"/>
  <c r="B95" i="1"/>
  <c r="C27" i="38" s="1"/>
  <c r="F71" i="22" l="1"/>
  <c r="AB2" i="23"/>
  <c r="AC1" i="23"/>
  <c r="AA73" i="23"/>
  <c r="Z74" i="23"/>
  <c r="B28" i="23"/>
  <c r="A29" i="23"/>
  <c r="A30" i="23" s="1"/>
  <c r="A100" i="23"/>
  <c r="B99" i="23"/>
  <c r="A64" i="23"/>
  <c r="B63" i="23"/>
  <c r="AB37" i="23"/>
  <c r="AC37" i="23" s="1"/>
  <c r="AD37" i="23" s="1"/>
  <c r="AE37" i="23" s="1"/>
  <c r="AF37" i="23" s="1"/>
  <c r="AA38" i="23"/>
  <c r="B26" i="29"/>
  <c r="C64" i="21"/>
  <c r="B65" i="21"/>
  <c r="A97" i="1"/>
  <c r="B29" i="38" s="1"/>
  <c r="B96" i="1"/>
  <c r="C28" i="38" s="1"/>
  <c r="AG37" i="23" l="1"/>
  <c r="AF38" i="23"/>
  <c r="AE38" i="23"/>
  <c r="F72" i="22"/>
  <c r="B30" i="23"/>
  <c r="A31" i="23"/>
  <c r="AB38" i="23"/>
  <c r="AA74" i="23"/>
  <c r="AB73" i="23"/>
  <c r="B29" i="23"/>
  <c r="AD1" i="23"/>
  <c r="AC2" i="23"/>
  <c r="B100" i="23"/>
  <c r="A101" i="23"/>
  <c r="A65" i="23"/>
  <c r="B64" i="23"/>
  <c r="B27" i="29"/>
  <c r="A98" i="1"/>
  <c r="B30" i="38" s="1"/>
  <c r="B97" i="1"/>
  <c r="C29" i="38" s="1"/>
  <c r="C65" i="21"/>
  <c r="B66" i="21"/>
  <c r="AG38" i="23" l="1"/>
  <c r="AH37" i="23"/>
  <c r="AH38" i="23" s="1"/>
  <c r="F73" i="22"/>
  <c r="B31" i="23"/>
  <c r="A32" i="23"/>
  <c r="A33" i="23" s="1"/>
  <c r="AC73" i="23"/>
  <c r="AB74" i="23"/>
  <c r="B65" i="23"/>
  <c r="A66" i="23"/>
  <c r="AE1" i="23"/>
  <c r="AF1" i="23" s="1"/>
  <c r="AD2" i="23"/>
  <c r="B101" i="23"/>
  <c r="A102" i="23"/>
  <c r="AC38" i="23"/>
  <c r="B28" i="29"/>
  <c r="C66" i="21"/>
  <c r="B67" i="21"/>
  <c r="A99" i="1"/>
  <c r="A100" i="1" s="1"/>
  <c r="B98" i="1"/>
  <c r="C30" i="38" s="1"/>
  <c r="A101" i="1" l="1"/>
  <c r="B100" i="1"/>
  <c r="B33" i="23"/>
  <c r="A34" i="23"/>
  <c r="A35" i="23" s="1"/>
  <c r="B35" i="23" s="1"/>
  <c r="AF2" i="23"/>
  <c r="AG1" i="23"/>
  <c r="AH1" i="23" s="1"/>
  <c r="AH2" i="23" s="1"/>
  <c r="F74" i="22"/>
  <c r="B31" i="38"/>
  <c r="B32" i="23"/>
  <c r="A103" i="23"/>
  <c r="A104" i="23" s="1"/>
  <c r="B102" i="23"/>
  <c r="B66" i="23"/>
  <c r="A67" i="23"/>
  <c r="A68" i="23" s="1"/>
  <c r="AD38" i="23"/>
  <c r="AE2" i="23"/>
  <c r="AD73" i="23"/>
  <c r="AC74" i="23"/>
  <c r="B29" i="29"/>
  <c r="B99" i="1"/>
  <c r="C31" i="38" s="1"/>
  <c r="C67" i="21"/>
  <c r="B68" i="21"/>
  <c r="B69" i="21" s="1"/>
  <c r="B70" i="21" s="1"/>
  <c r="B71" i="21" s="1"/>
  <c r="C71" i="21" s="1"/>
  <c r="B101" i="1" l="1"/>
  <c r="B68" i="23"/>
  <c r="A69" i="23"/>
  <c r="A70" i="23" s="1"/>
  <c r="B70" i="23" s="1"/>
  <c r="A105" i="23"/>
  <c r="A106" i="23" s="1"/>
  <c r="B106" i="23" s="1"/>
  <c r="B104" i="23"/>
  <c r="AG2" i="23"/>
  <c r="B34" i="23"/>
  <c r="F75" i="22"/>
  <c r="C70" i="21"/>
  <c r="B32" i="38"/>
  <c r="C32" i="38"/>
  <c r="C69" i="21"/>
  <c r="B67" i="23"/>
  <c r="AD74" i="23"/>
  <c r="AE73" i="23"/>
  <c r="AF73" i="23" s="1"/>
  <c r="B103" i="23"/>
  <c r="C68" i="21"/>
  <c r="B105" i="23" l="1"/>
  <c r="AG73" i="23"/>
  <c r="AF74" i="23"/>
  <c r="B69" i="23"/>
  <c r="F76" i="22"/>
  <c r="C34" i="38"/>
  <c r="C33" i="38"/>
  <c r="B33" i="38"/>
  <c r="AE74" i="23"/>
  <c r="AG74" i="23" l="1"/>
  <c r="AH73" i="23"/>
  <c r="AH74" i="23" s="1"/>
  <c r="F77" i="22"/>
  <c r="I77" i="22" s="1"/>
  <c r="B34" i="38"/>
  <c r="F78" i="22" l="1"/>
  <c r="I78" i="22" l="1"/>
  <c r="F79" i="22"/>
  <c r="H31" i="1"/>
  <c r="I79" i="22" l="1"/>
  <c r="H44" i="34"/>
  <c r="Q39" i="34"/>
  <c r="H39" i="34"/>
  <c r="H38" i="34"/>
  <c r="Q38" i="34"/>
  <c r="L45" i="30" l="1"/>
  <c r="C211" i="28" l="1"/>
  <c r="Q41" i="34" l="1"/>
  <c r="H41" i="34"/>
  <c r="E4" i="22" l="1"/>
  <c r="G4" i="22" s="1"/>
  <c r="J4" i="22" s="1"/>
  <c r="H63" i="34" l="1"/>
  <c r="Q63" i="34"/>
  <c r="Q62" i="34"/>
  <c r="H62" i="34"/>
  <c r="H61" i="34"/>
  <c r="Q61" i="34"/>
  <c r="B50" i="22" l="1"/>
  <c r="F17" i="21" l="1"/>
  <c r="I17" i="21" s="1"/>
  <c r="I46" i="1"/>
  <c r="H4" i="22" l="1"/>
  <c r="I4" i="22" s="1"/>
  <c r="J80" i="22" l="1"/>
  <c r="B80" i="22"/>
  <c r="J79" i="22" l="1"/>
  <c r="B79" i="22"/>
  <c r="B51" i="22"/>
  <c r="B52" i="22" l="1"/>
  <c r="B54" i="22" l="1"/>
  <c r="B53" i="22"/>
  <c r="B55" i="22" l="1"/>
  <c r="B77" i="22" l="1"/>
  <c r="J77" i="22"/>
  <c r="B56" i="22"/>
  <c r="B78" i="22" l="1"/>
  <c r="J78" i="22"/>
  <c r="B57" i="22"/>
  <c r="B58" i="22" l="1"/>
  <c r="B59" i="22" l="1"/>
  <c r="B60" i="22" l="1"/>
  <c r="B62" i="22" l="1"/>
  <c r="B61" i="22"/>
  <c r="B63" i="22" l="1"/>
  <c r="B64" i="22" l="1"/>
  <c r="B66" i="22" l="1"/>
  <c r="B65" i="22"/>
  <c r="B67" i="22" l="1"/>
  <c r="B68" i="22" l="1"/>
  <c r="B69" i="22" l="1"/>
  <c r="B70" i="22" l="1"/>
  <c r="B71" i="22" l="1"/>
  <c r="B72" i="22" l="1"/>
  <c r="B73" i="22" l="1"/>
  <c r="B74" i="22" l="1"/>
  <c r="B75" i="22" l="1"/>
  <c r="B76" i="22" l="1"/>
  <c r="F10" i="22"/>
  <c r="F11" i="22" l="1"/>
  <c r="F12" i="22" l="1"/>
  <c r="F13" i="22" l="1"/>
  <c r="F14" i="22" l="1"/>
  <c r="F15" i="22" l="1"/>
  <c r="F16" i="22" s="1"/>
  <c r="F17" i="22" l="1"/>
  <c r="F18" i="22" l="1"/>
  <c r="F19" i="22" l="1"/>
  <c r="F20" i="22" l="1"/>
  <c r="F21" i="22" l="1"/>
  <c r="F22" i="22" l="1"/>
  <c r="F23" i="22" l="1"/>
  <c r="F24" i="22" l="1"/>
  <c r="F25" i="22" l="1"/>
  <c r="F26" i="22" l="1"/>
  <c r="F27" i="22" l="1"/>
  <c r="F28" i="22" l="1"/>
  <c r="F29" i="22" l="1"/>
  <c r="F30" i="22" l="1"/>
  <c r="F31" i="22" l="1"/>
  <c r="F32" i="22" l="1"/>
  <c r="I32" i="22" s="1"/>
  <c r="F33" i="22" l="1"/>
  <c r="I33" i="22" s="1"/>
  <c r="F34" i="22" l="1"/>
  <c r="I34" i="22" s="1"/>
  <c r="F35" i="22" l="1"/>
  <c r="I35" i="22" s="1"/>
  <c r="F36" i="22" l="1"/>
  <c r="I36" i="22" s="1"/>
  <c r="F37" i="22" l="1"/>
  <c r="I37" i="22" l="1"/>
  <c r="F38" i="22"/>
  <c r="I38" i="22" s="1"/>
  <c r="H3" i="22" l="1"/>
  <c r="I3" i="22" s="1"/>
  <c r="L4" i="22" l="1"/>
  <c r="C11" i="21" s="1"/>
  <c r="C7" i="21"/>
  <c r="L3" i="22"/>
  <c r="B10" i="22" l="1"/>
  <c r="B39" i="22"/>
  <c r="J39" i="22"/>
  <c r="C8" i="21"/>
  <c r="H7" i="21"/>
  <c r="J7" i="21"/>
  <c r="C10" i="21"/>
  <c r="D176" i="28"/>
  <c r="N7" i="21"/>
  <c r="I7" i="21"/>
  <c r="C16" i="21"/>
  <c r="C15" i="21" s="1"/>
  <c r="I11" i="21"/>
  <c r="O4" i="22"/>
  <c r="J11" i="21"/>
  <c r="H176" i="28"/>
  <c r="H11" i="21"/>
  <c r="B38" i="22" l="1"/>
  <c r="J38" i="22"/>
  <c r="J15" i="21"/>
  <c r="I15" i="21"/>
  <c r="N11" i="21"/>
  <c r="N8" i="21"/>
  <c r="Q7" i="21"/>
  <c r="R7" i="21"/>
  <c r="N10" i="21"/>
  <c r="D24" i="21"/>
  <c r="C23" i="21"/>
  <c r="H10" i="21"/>
  <c r="I10" i="21"/>
  <c r="C24" i="21"/>
  <c r="D23" i="21"/>
  <c r="F176" i="28"/>
  <c r="J10" i="21"/>
  <c r="O3" i="22"/>
  <c r="E24" i="21"/>
  <c r="H8" i="21"/>
  <c r="J8" i="21"/>
  <c r="G176" i="28"/>
  <c r="J176" i="28" s="1"/>
  <c r="C14" i="21"/>
  <c r="I8" i="21"/>
  <c r="C12" i="21"/>
  <c r="J32" i="22" l="1"/>
  <c r="F23" i="21"/>
  <c r="J33" i="22"/>
  <c r="R8" i="21"/>
  <c r="Q8" i="21"/>
  <c r="I14" i="21"/>
  <c r="J14" i="21"/>
  <c r="B11" i="22"/>
  <c r="R10" i="21"/>
  <c r="Q10" i="21"/>
  <c r="R11" i="21"/>
  <c r="Q11" i="21"/>
  <c r="J12" i="21"/>
  <c r="H12" i="21"/>
  <c r="I12" i="21"/>
  <c r="F24" i="21"/>
  <c r="F25" i="21" l="1"/>
  <c r="J34" i="22"/>
  <c r="B12" i="22"/>
  <c r="J35" i="22" l="1"/>
  <c r="B13" i="22"/>
  <c r="J37" i="22" l="1"/>
  <c r="J36" i="22"/>
  <c r="B14" i="22"/>
  <c r="B15" i="22" l="1"/>
  <c r="B16" i="22" l="1"/>
  <c r="B17" i="22" l="1"/>
  <c r="B18" i="22" l="1"/>
  <c r="B19" i="22" l="1"/>
  <c r="B20" i="22" l="1"/>
  <c r="B21" i="22" l="1"/>
  <c r="B22" i="22" l="1"/>
  <c r="B23" i="22" l="1"/>
  <c r="B24" i="22" l="1"/>
  <c r="B25" i="22" l="1"/>
  <c r="B26" i="22" l="1"/>
  <c r="B27" i="22" l="1"/>
  <c r="B28" i="22" l="1"/>
  <c r="B29" i="22" l="1"/>
  <c r="B30" i="22" l="1"/>
  <c r="B31" i="22" l="1"/>
  <c r="B32" i="22" l="1"/>
  <c r="B33" i="22" l="1"/>
  <c r="B34" i="22" l="1"/>
  <c r="B35" i="22" l="1"/>
  <c r="B36" i="22" l="1"/>
  <c r="B37" i="22" l="1"/>
  <c r="Q43" i="32" l="1"/>
  <c r="H43" i="32"/>
  <c r="Q65" i="34"/>
  <c r="H65" i="34"/>
  <c r="B48" i="12" l="1"/>
  <c r="W9" i="12" l="1"/>
  <c r="B9" i="12"/>
  <c r="J9" i="12"/>
  <c r="J10" i="12" l="1"/>
  <c r="V10" i="12"/>
  <c r="W10" i="12" s="1"/>
  <c r="J49" i="12"/>
  <c r="E54" i="1" l="1"/>
  <c r="D17" i="1"/>
  <c r="F38" i="12" l="1"/>
  <c r="D43" i="1"/>
  <c r="D24" i="1"/>
  <c r="E18" i="21"/>
  <c r="F77" i="12"/>
  <c r="O12" i="21"/>
  <c r="I77" i="12" l="1"/>
  <c r="I38" i="12"/>
  <c r="F10" i="12"/>
  <c r="F11" i="12" s="1"/>
  <c r="I11" i="12" s="1"/>
  <c r="F49" i="12"/>
  <c r="I49" i="12" s="1"/>
  <c r="I10" i="12" l="1"/>
  <c r="B10" i="12"/>
  <c r="F12" i="12"/>
  <c r="I12" i="12" s="1"/>
  <c r="F50" i="12"/>
  <c r="I50" i="12" s="1"/>
  <c r="B49" i="12"/>
  <c r="F13" i="12" l="1"/>
  <c r="I13" i="12" s="1"/>
  <c r="F51" i="12"/>
  <c r="I51" i="12" s="1"/>
  <c r="F14" i="12" l="1"/>
  <c r="F15" i="12" s="1"/>
  <c r="F52" i="12"/>
  <c r="I52" i="12" s="1"/>
  <c r="I14" i="12" l="1"/>
  <c r="F53" i="12"/>
  <c r="I53" i="12" s="1"/>
  <c r="I15" i="12"/>
  <c r="F16" i="12"/>
  <c r="F54" i="12" l="1"/>
  <c r="I54" i="12" s="1"/>
  <c r="I16" i="12"/>
  <c r="F17" i="12"/>
  <c r="F55" i="12" l="1"/>
  <c r="I55" i="12" s="1"/>
  <c r="I17" i="12"/>
  <c r="F18" i="12"/>
  <c r="F56" i="12" l="1"/>
  <c r="I56" i="12" s="1"/>
  <c r="I18" i="12"/>
  <c r="F19" i="12"/>
  <c r="F57" i="12" l="1"/>
  <c r="I57" i="12" s="1"/>
  <c r="I19" i="12"/>
  <c r="F20" i="12"/>
  <c r="F58" i="12" l="1"/>
  <c r="I58" i="12" s="1"/>
  <c r="I20" i="12"/>
  <c r="F21" i="12"/>
  <c r="F59" i="12" l="1"/>
  <c r="I59" i="12" s="1"/>
  <c r="I21" i="12"/>
  <c r="F22" i="12"/>
  <c r="F60" i="12" l="1"/>
  <c r="I60" i="12" s="1"/>
  <c r="I22" i="12"/>
  <c r="F23" i="12"/>
  <c r="F61" i="12" l="1"/>
  <c r="F62" i="12" s="1"/>
  <c r="I23" i="12"/>
  <c r="F24" i="12"/>
  <c r="I61" i="12" l="1"/>
  <c r="I62" i="12"/>
  <c r="F63" i="12"/>
  <c r="I24" i="12"/>
  <c r="F25" i="12"/>
  <c r="I25" i="12" l="1"/>
  <c r="F26" i="12"/>
  <c r="I63" i="12"/>
  <c r="F64" i="12"/>
  <c r="I64" i="12" l="1"/>
  <c r="F65" i="12"/>
  <c r="I26" i="12"/>
  <c r="F27" i="12"/>
  <c r="I27" i="12" l="1"/>
  <c r="F28" i="12"/>
  <c r="I65" i="12"/>
  <c r="F66" i="12"/>
  <c r="I66" i="12" l="1"/>
  <c r="F67" i="12"/>
  <c r="I28" i="12"/>
  <c r="F29" i="12"/>
  <c r="I29" i="12" l="1"/>
  <c r="F30" i="12"/>
  <c r="I67" i="12"/>
  <c r="F68" i="12"/>
  <c r="I68" i="12" l="1"/>
  <c r="F69" i="12"/>
  <c r="I30" i="12"/>
  <c r="F31" i="12"/>
  <c r="I31" i="12" l="1"/>
  <c r="F32" i="12"/>
  <c r="I69" i="12"/>
  <c r="F70" i="12"/>
  <c r="I70" i="12" l="1"/>
  <c r="F71" i="12"/>
  <c r="I32" i="12"/>
  <c r="F33" i="12"/>
  <c r="I33" i="12" l="1"/>
  <c r="F34" i="12"/>
  <c r="I34" i="12" s="1"/>
  <c r="I71" i="12"/>
  <c r="F72" i="12"/>
  <c r="I72" i="12" l="1"/>
  <c r="F73" i="12"/>
  <c r="F35" i="12"/>
  <c r="F36" i="12" l="1"/>
  <c r="I36" i="12" s="1"/>
  <c r="I35" i="12"/>
  <c r="I73" i="12"/>
  <c r="F74" i="12"/>
  <c r="F75" i="12" s="1"/>
  <c r="F37" i="12" l="1"/>
  <c r="I37" i="12" s="1"/>
  <c r="F76" i="12"/>
  <c r="I75" i="12"/>
  <c r="I74" i="12"/>
  <c r="I76" i="12" l="1"/>
  <c r="J50" i="12" l="1"/>
  <c r="B50" i="12"/>
  <c r="J51" i="12"/>
  <c r="B51" i="12"/>
  <c r="B52" i="12" l="1"/>
  <c r="J52" i="12"/>
  <c r="J53" i="12" l="1"/>
  <c r="B53" i="12"/>
  <c r="B11" i="12"/>
  <c r="J11" i="12"/>
  <c r="V11" i="12"/>
  <c r="W11" i="12" s="1"/>
  <c r="B54" i="12" l="1"/>
  <c r="J54" i="12"/>
  <c r="B55" i="12" l="1"/>
  <c r="J55" i="12"/>
  <c r="J56" i="12" l="1"/>
  <c r="B56" i="12"/>
  <c r="J57" i="12" l="1"/>
  <c r="B57" i="12"/>
  <c r="B58" i="12" l="1"/>
  <c r="J58" i="12"/>
  <c r="J59" i="12" l="1"/>
  <c r="B59" i="12"/>
  <c r="J60" i="12" l="1"/>
  <c r="B60" i="12"/>
  <c r="J12" i="12" l="1"/>
  <c r="B12" i="12" l="1"/>
  <c r="V12" i="12"/>
  <c r="W12" i="12" s="1"/>
  <c r="J13" i="12" l="1"/>
  <c r="B13" i="12"/>
  <c r="V13" i="12"/>
  <c r="W13" i="12" s="1"/>
  <c r="J14" i="12"/>
  <c r="V14" i="12"/>
  <c r="W14" i="12" s="1"/>
  <c r="B14" i="12"/>
  <c r="B15" i="12" l="1"/>
  <c r="V15" i="12"/>
  <c r="W15" i="12" s="1"/>
  <c r="J15" i="12"/>
  <c r="J16" i="12"/>
  <c r="B16" i="12"/>
  <c r="V16" i="12"/>
  <c r="W16" i="12" s="1"/>
  <c r="B17" i="12" l="1"/>
  <c r="J17" i="12"/>
  <c r="V17" i="12"/>
  <c r="W17" i="12" s="1"/>
  <c r="J18" i="12" l="1"/>
  <c r="B18" i="12"/>
  <c r="V18" i="12"/>
  <c r="W18" i="12" s="1"/>
  <c r="B19" i="12" l="1"/>
  <c r="J19" i="12"/>
  <c r="V19" i="12"/>
  <c r="W19" i="12" s="1"/>
  <c r="V20" i="12" l="1"/>
  <c r="W20" i="12" s="1"/>
  <c r="B20" i="12"/>
  <c r="J20" i="12"/>
  <c r="J21" i="12" l="1"/>
  <c r="V21" i="12"/>
  <c r="W21" i="12" s="1"/>
  <c r="B21" i="12"/>
  <c r="B22" i="12" l="1"/>
  <c r="J22" i="12"/>
  <c r="V22" i="12"/>
  <c r="W22" i="12" s="1"/>
  <c r="V23" i="12" l="1"/>
  <c r="W23" i="12" s="1"/>
  <c r="B23" i="12"/>
  <c r="J23" i="12"/>
  <c r="V24" i="12" l="1"/>
  <c r="W24" i="12" s="1"/>
  <c r="B24" i="12"/>
  <c r="J24" i="12"/>
  <c r="B25" i="12" l="1"/>
  <c r="J25" i="12"/>
  <c r="V25" i="12"/>
  <c r="W25" i="12" s="1"/>
  <c r="B61" i="12" l="1"/>
  <c r="J61" i="12" l="1"/>
  <c r="B62" i="12" l="1"/>
  <c r="J63" i="12"/>
  <c r="B63" i="12"/>
  <c r="J62" i="12"/>
  <c r="B64" i="12" l="1"/>
  <c r="J64" i="12"/>
  <c r="J65" i="12" l="1"/>
  <c r="B65" i="12"/>
  <c r="B66" i="12" l="1"/>
  <c r="J66" i="12"/>
  <c r="B67" i="12" l="1"/>
  <c r="J67" i="12"/>
  <c r="J68" i="12" l="1"/>
  <c r="B68" i="12"/>
  <c r="B69" i="12" l="1"/>
  <c r="J69" i="12"/>
  <c r="B70" i="12" l="1"/>
  <c r="J70" i="12"/>
  <c r="J71" i="12" l="1"/>
  <c r="B71" i="12"/>
  <c r="J72" i="12" l="1"/>
  <c r="B72" i="12"/>
  <c r="J28" i="12" l="1"/>
  <c r="J26" i="12"/>
  <c r="B26" i="12"/>
  <c r="V26" i="12"/>
  <c r="W26" i="12" s="1"/>
  <c r="J27" i="12"/>
  <c r="B27" i="12"/>
  <c r="V27" i="12"/>
  <c r="W27" i="12" s="1"/>
  <c r="B28" i="12" l="1"/>
  <c r="V28" i="12"/>
  <c r="W28" i="12" s="1"/>
  <c r="V29" i="12" l="1"/>
  <c r="W29" i="12" s="1"/>
  <c r="J29" i="12"/>
  <c r="B29" i="12"/>
  <c r="B30" i="12" l="1"/>
  <c r="V30" i="12"/>
  <c r="W30" i="12" s="1"/>
  <c r="J30" i="12"/>
  <c r="B31" i="12" l="1"/>
  <c r="V31" i="12"/>
  <c r="W31" i="12" s="1"/>
  <c r="J31" i="12"/>
  <c r="J32" i="12" l="1"/>
  <c r="V32" i="12"/>
  <c r="W32" i="12" s="1"/>
  <c r="B32" i="12"/>
  <c r="J33" i="12" l="1"/>
  <c r="B33" i="12"/>
  <c r="V33" i="12"/>
  <c r="W33" i="12" s="1"/>
  <c r="C62" i="23" l="1"/>
  <c r="AD62" i="23" s="1"/>
  <c r="F94" i="1"/>
  <c r="C24" i="29"/>
  <c r="C61" i="45"/>
  <c r="P94" i="1"/>
  <c r="G94" i="1"/>
  <c r="L94" i="1"/>
  <c r="C24" i="46"/>
  <c r="F156" i="1"/>
  <c r="N156" i="1" s="1"/>
  <c r="D26" i="38"/>
  <c r="O94" i="1"/>
  <c r="Q94" i="1" s="1"/>
  <c r="I63" i="21"/>
  <c r="H63" i="21" s="1"/>
  <c r="J94" i="1"/>
  <c r="P98" i="1" l="1"/>
  <c r="O95" i="1"/>
  <c r="L95" i="1"/>
  <c r="F95" i="1"/>
  <c r="F102" i="1" s="1"/>
  <c r="D27" i="38"/>
  <c r="C25" i="29"/>
  <c r="C33" i="29" s="1"/>
  <c r="F157" i="1"/>
  <c r="N157" i="1" s="1"/>
  <c r="N158" i="1" s="1"/>
  <c r="N159" i="1" s="1"/>
  <c r="N160" i="1" s="1"/>
  <c r="N161" i="1" s="1"/>
  <c r="N162" i="1" s="1"/>
  <c r="N163" i="1" s="1"/>
  <c r="N164" i="1" s="1"/>
  <c r="C110" i="1"/>
  <c r="P95" i="1"/>
  <c r="P101" i="1"/>
  <c r="P97" i="1"/>
  <c r="H109" i="1"/>
  <c r="I109" i="1" s="1"/>
  <c r="P96" i="1"/>
  <c r="P99" i="1"/>
  <c r="AA62" i="23"/>
  <c r="AA98" i="23" s="1"/>
  <c r="AD98" i="23"/>
  <c r="Y61" i="45"/>
  <c r="AB61" i="45"/>
  <c r="AF62" i="23"/>
  <c r="AG61" i="45"/>
  <c r="AI62" i="23"/>
  <c r="AJ62" i="23" s="1"/>
  <c r="AE61" i="45"/>
  <c r="AD61" i="45"/>
  <c r="AF61" i="45"/>
  <c r="AB62" i="23"/>
  <c r="AG62" i="23"/>
  <c r="Z62" i="23"/>
  <c r="AH62" i="23"/>
  <c r="X61" i="45"/>
  <c r="Z61" i="45"/>
  <c r="AH61" i="45"/>
  <c r="AI61" i="45" s="1"/>
  <c r="AA61" i="45"/>
  <c r="AE62" i="23"/>
  <c r="AC61" i="45"/>
  <c r="W61" i="45"/>
  <c r="AC62" i="23"/>
  <c r="C62" i="45" l="1"/>
  <c r="C25" i="46"/>
  <c r="C32" i="46" s="1"/>
  <c r="G95" i="1"/>
  <c r="I64" i="21"/>
  <c r="H64" i="21" s="1"/>
  <c r="J95" i="1"/>
  <c r="C63" i="23"/>
  <c r="AH63" i="23" s="1"/>
  <c r="AH99" i="23" s="1"/>
  <c r="P100" i="1"/>
  <c r="C102" i="1"/>
  <c r="Q95" i="1"/>
  <c r="AH62" i="45"/>
  <c r="AI62" i="45" s="1"/>
  <c r="AG62" i="45"/>
  <c r="AG97" i="45" s="1"/>
  <c r="AE62" i="45"/>
  <c r="AE97" i="45" s="1"/>
  <c r="X62" i="45"/>
  <c r="X97" i="45" s="1"/>
  <c r="Y62" i="45"/>
  <c r="Y97" i="45" s="1"/>
  <c r="AD62" i="45"/>
  <c r="AD97" i="45" s="1"/>
  <c r="AB62" i="45"/>
  <c r="AB97" i="45" s="1"/>
  <c r="AC62" i="45"/>
  <c r="AC97" i="45" s="1"/>
  <c r="AA62" i="45"/>
  <c r="AA97" i="45" s="1"/>
  <c r="Z62" i="45"/>
  <c r="Z97" i="45" s="1"/>
  <c r="AB96" i="45"/>
  <c r="AB98" i="23"/>
  <c r="Y96" i="45"/>
  <c r="Z96" i="45"/>
  <c r="AD96" i="45"/>
  <c r="AA96" i="45"/>
  <c r="AC98" i="23"/>
  <c r="X96" i="45"/>
  <c r="AE96" i="45"/>
  <c r="AH98" i="23"/>
  <c r="AC96" i="45"/>
  <c r="Z98" i="23"/>
  <c r="AG96" i="45"/>
  <c r="AF96" i="45"/>
  <c r="W96" i="45"/>
  <c r="AE98" i="23"/>
  <c r="AG98" i="23"/>
  <c r="AF98" i="23"/>
  <c r="W62" i="45" l="1"/>
  <c r="W97" i="45" s="1"/>
  <c r="AF62" i="45"/>
  <c r="AF97" i="45" s="1"/>
  <c r="AG69" i="45"/>
  <c r="B5" i="1"/>
  <c r="AD104" i="45"/>
  <c r="D28" i="46" s="1"/>
  <c r="AD69" i="45"/>
  <c r="AA63" i="23"/>
  <c r="AA99" i="23" s="1"/>
  <c r="AA107" i="23" s="1"/>
  <c r="D25" i="29" s="1"/>
  <c r="E25" i="29" s="1"/>
  <c r="F25" i="29" s="1"/>
  <c r="AE63" i="23"/>
  <c r="AG104" i="45"/>
  <c r="D31" i="46" s="1"/>
  <c r="K5" i="1"/>
  <c r="H5" i="1"/>
  <c r="I2" i="1"/>
  <c r="AI63" i="23"/>
  <c r="AJ63" i="23" s="1"/>
  <c r="C6" i="21"/>
  <c r="I6" i="21" s="1"/>
  <c r="Z63" i="23"/>
  <c r="Z99" i="23" s="1"/>
  <c r="Z107" i="23" s="1"/>
  <c r="D24" i="29" s="1"/>
  <c r="AC69" i="45"/>
  <c r="AC63" i="23"/>
  <c r="AC99" i="23" s="1"/>
  <c r="AC107" i="23" s="1"/>
  <c r="D27" i="29" s="1"/>
  <c r="E27" i="29" s="1"/>
  <c r="F27" i="29" s="1"/>
  <c r="G102" i="1"/>
  <c r="B8" i="1"/>
  <c r="O5" i="31"/>
  <c r="O7" i="31" s="1"/>
  <c r="C91" i="28"/>
  <c r="I176" i="28" s="1"/>
  <c r="L46" i="30"/>
  <c r="L47" i="30" s="1"/>
  <c r="W69" i="45"/>
  <c r="G5" i="1"/>
  <c r="L5" i="1"/>
  <c r="AD63" i="23"/>
  <c r="AD99" i="23" s="1"/>
  <c r="AD107" i="23" s="1"/>
  <c r="D28" i="29" s="1"/>
  <c r="E28" i="29" s="1"/>
  <c r="F28" i="29" s="1"/>
  <c r="AF63" i="23"/>
  <c r="AG63" i="23"/>
  <c r="AB63" i="23"/>
  <c r="AB99" i="23" s="1"/>
  <c r="AB107" i="23" s="1"/>
  <c r="D26" i="29" s="1"/>
  <c r="E26" i="29" s="1"/>
  <c r="F26" i="29" s="1"/>
  <c r="AH107" i="23"/>
  <c r="D32" i="29" s="1"/>
  <c r="E32" i="29" s="1"/>
  <c r="F32" i="29" s="1"/>
  <c r="AC104" i="45"/>
  <c r="D27" i="46" s="1"/>
  <c r="AF104" i="45"/>
  <c r="D30" i="46" s="1"/>
  <c r="AB104" i="45"/>
  <c r="D26" i="46" s="1"/>
  <c r="X69" i="45"/>
  <c r="AJ39" i="45"/>
  <c r="AE69" i="45"/>
  <c r="AH71" i="23"/>
  <c r="Z69" i="45"/>
  <c r="AC71" i="23"/>
  <c r="Z104" i="45"/>
  <c r="D24" i="46" s="1"/>
  <c r="AB69" i="45"/>
  <c r="Y104" i="45"/>
  <c r="D23" i="46" s="1"/>
  <c r="AF69" i="45"/>
  <c r="AA69" i="45"/>
  <c r="Y69" i="45"/>
  <c r="AE104" i="45"/>
  <c r="D29" i="46" s="1"/>
  <c r="X104" i="45"/>
  <c r="D22" i="46" s="1"/>
  <c r="AA104" i="45"/>
  <c r="D25" i="46" s="1"/>
  <c r="AE106" i="45"/>
  <c r="AF106" i="45" s="1"/>
  <c r="W104" i="45"/>
  <c r="AE99" i="23" l="1"/>
  <c r="AE107" i="23" s="1"/>
  <c r="D29" i="29" s="1"/>
  <c r="E29" i="29" s="1"/>
  <c r="F29" i="29" s="1"/>
  <c r="AE71" i="23"/>
  <c r="B48" i="1"/>
  <c r="O29" i="31"/>
  <c r="B7" i="1"/>
  <c r="B14" i="1"/>
  <c r="J5" i="1"/>
  <c r="J4" i="1"/>
  <c r="B15" i="1"/>
  <c r="B12" i="1"/>
  <c r="C50" i="1"/>
  <c r="AA71" i="23"/>
  <c r="N6" i="21"/>
  <c r="AK40" i="23"/>
  <c r="I5" i="1"/>
  <c r="B3" i="44" s="1"/>
  <c r="B11" i="1"/>
  <c r="M11" i="1" s="1"/>
  <c r="B9" i="1"/>
  <c r="K9" i="1" s="1"/>
  <c r="E2" i="1"/>
  <c r="Z71" i="23"/>
  <c r="AB71" i="23"/>
  <c r="AD71" i="23"/>
  <c r="G7" i="1"/>
  <c r="H7" i="1"/>
  <c r="K7" i="1"/>
  <c r="M7" i="1"/>
  <c r="I7" i="1"/>
  <c r="B5" i="44" s="1"/>
  <c r="L27" i="46"/>
  <c r="J6" i="21"/>
  <c r="O55" i="31"/>
  <c r="O32" i="31"/>
  <c r="H6" i="21"/>
  <c r="P5" i="31"/>
  <c r="O68" i="31"/>
  <c r="P68" i="31" s="1"/>
  <c r="O60" i="31"/>
  <c r="AG99" i="23"/>
  <c r="AG107" i="23" s="1"/>
  <c r="D31" i="29" s="1"/>
  <c r="E31" i="29" s="1"/>
  <c r="F31" i="29" s="1"/>
  <c r="AG71" i="23"/>
  <c r="AF99" i="23"/>
  <c r="AF107" i="23" s="1"/>
  <c r="D30" i="29" s="1"/>
  <c r="AF71" i="23"/>
  <c r="K91" i="28"/>
  <c r="M91" i="28"/>
  <c r="N91" i="28" s="1"/>
  <c r="O31" i="31"/>
  <c r="O74" i="31"/>
  <c r="H8" i="1"/>
  <c r="G8" i="1"/>
  <c r="I8" i="1"/>
  <c r="B7" i="44" s="1"/>
  <c r="M8" i="1"/>
  <c r="K8" i="1"/>
  <c r="AH69" i="45"/>
  <c r="D21" i="46"/>
  <c r="AH104" i="45"/>
  <c r="E24" i="29"/>
  <c r="P29" i="31" l="1"/>
  <c r="O8" i="31"/>
  <c r="H14" i="1"/>
  <c r="I14" i="1"/>
  <c r="M14" i="1"/>
  <c r="G14" i="1"/>
  <c r="K14" i="1"/>
  <c r="N5" i="1"/>
  <c r="M5" i="1"/>
  <c r="G15" i="1"/>
  <c r="M15" i="1"/>
  <c r="I15" i="1"/>
  <c r="K15" i="1"/>
  <c r="H15" i="1"/>
  <c r="K12" i="1"/>
  <c r="M12" i="1"/>
  <c r="R6" i="21"/>
  <c r="Q6" i="21"/>
  <c r="M9" i="1"/>
  <c r="K11" i="1"/>
  <c r="O61" i="31"/>
  <c r="P55" i="31"/>
  <c r="O56" i="31"/>
  <c r="AI71" i="23"/>
  <c r="P60" i="31"/>
  <c r="O69" i="31"/>
  <c r="P69" i="31" s="1"/>
  <c r="D33" i="29"/>
  <c r="AI107" i="23"/>
  <c r="P74" i="31"/>
  <c r="O75" i="31"/>
  <c r="P75" i="31" s="1"/>
  <c r="O70" i="31"/>
  <c r="L27" i="29"/>
  <c r="E30" i="29"/>
  <c r="F30" i="29" s="1"/>
  <c r="O76" i="31"/>
  <c r="F24" i="29"/>
  <c r="E32" i="46"/>
  <c r="C66" i="1" s="1"/>
  <c r="D32" i="46"/>
  <c r="E33" i="29" l="1"/>
  <c r="F33" i="29"/>
  <c r="G62" i="1"/>
  <c r="A63" i="1"/>
  <c r="H67" i="1"/>
  <c r="H68" i="1" s="1"/>
  <c r="E66" i="1"/>
  <c r="O91" i="28"/>
  <c r="B34" i="12" l="1"/>
  <c r="J37" i="12" l="1"/>
  <c r="V34" i="12"/>
  <c r="W34" i="12" s="1"/>
  <c r="J34" i="12"/>
  <c r="B37" i="12" l="1"/>
  <c r="B36" i="12"/>
  <c r="J36" i="12"/>
  <c r="J35" i="12"/>
  <c r="B35" i="12"/>
  <c r="V35" i="12"/>
  <c r="W35" i="12" s="1"/>
  <c r="B73" i="12" l="1"/>
  <c r="J73" i="12"/>
  <c r="H3" i="12" l="1"/>
  <c r="I3" i="12" s="1"/>
  <c r="B17" i="1" s="1"/>
  <c r="J38" i="12"/>
  <c r="B38" i="12"/>
  <c r="B23" i="1" l="1"/>
  <c r="B25" i="1"/>
  <c r="D91" i="28"/>
  <c r="J17" i="1"/>
  <c r="M36" i="1" s="1"/>
  <c r="I17" i="1"/>
  <c r="G17" i="1"/>
  <c r="B36" i="1"/>
  <c r="C18" i="21"/>
  <c r="H17" i="1"/>
  <c r="O46" i="31"/>
  <c r="B4" i="44"/>
  <c r="N12" i="21"/>
  <c r="K17" i="1"/>
  <c r="L17" i="1"/>
  <c r="M17" i="1"/>
  <c r="N17" i="1"/>
  <c r="O23" i="31"/>
  <c r="B24" i="1"/>
  <c r="C56" i="1" l="1"/>
  <c r="U55" i="1"/>
  <c r="U56" i="1"/>
  <c r="T55" i="1"/>
  <c r="W55" i="1" s="1"/>
  <c r="B55" i="1"/>
  <c r="E55" i="1" s="1"/>
  <c r="B56" i="1"/>
  <c r="T56" i="1"/>
  <c r="K23" i="1"/>
  <c r="H23" i="1"/>
  <c r="B37" i="1"/>
  <c r="M23" i="1"/>
  <c r="L25" i="1"/>
  <c r="K25" i="1"/>
  <c r="G91" i="28"/>
  <c r="G25" i="1"/>
  <c r="I25" i="1"/>
  <c r="N25" i="1"/>
  <c r="D56" i="1"/>
  <c r="H25" i="1"/>
  <c r="N36" i="1"/>
  <c r="C55" i="1"/>
  <c r="G36" i="1"/>
  <c r="L36" i="1"/>
  <c r="F91" i="28"/>
  <c r="L3" i="12"/>
  <c r="O3" i="12"/>
  <c r="H36" i="1"/>
  <c r="K36" i="1"/>
  <c r="I36" i="1"/>
  <c r="O48" i="31"/>
  <c r="P48" i="31" s="1"/>
  <c r="O47" i="31"/>
  <c r="P47" i="31" s="1"/>
  <c r="P46" i="31"/>
  <c r="Q12" i="21"/>
  <c r="R12" i="21"/>
  <c r="P23" i="31"/>
  <c r="O24" i="31"/>
  <c r="P24" i="31" s="1"/>
  <c r="O25" i="31"/>
  <c r="P25" i="31" s="1"/>
  <c r="M24" i="1"/>
  <c r="H24" i="1"/>
  <c r="B32" i="1"/>
  <c r="B38" i="1"/>
  <c r="K24" i="1"/>
  <c r="W56" i="1" l="1"/>
  <c r="W57" i="1" s="1"/>
  <c r="H37" i="1"/>
  <c r="K37" i="1"/>
  <c r="I91" i="28"/>
  <c r="Q91" i="28"/>
  <c r="K32" i="1"/>
  <c r="H32" i="1"/>
  <c r="M32" i="1"/>
  <c r="H38" i="1"/>
  <c r="K38" i="1"/>
  <c r="E56" i="1"/>
  <c r="E57" i="1" l="1"/>
  <c r="H4" i="12"/>
  <c r="I4" i="12" s="1"/>
  <c r="J75" i="12"/>
  <c r="B74" i="12"/>
  <c r="B76" i="12"/>
  <c r="B75" i="12"/>
  <c r="J74" i="12"/>
  <c r="J76" i="12"/>
  <c r="J77" i="12"/>
  <c r="B77" i="12"/>
  <c r="L4" i="12" l="1"/>
  <c r="B39" i="1"/>
  <c r="B47" i="1" l="1"/>
  <c r="O4" i="12"/>
  <c r="H39" i="1"/>
  <c r="I39" i="1"/>
  <c r="G39" i="1"/>
  <c r="H91" i="28"/>
  <c r="B43" i="1"/>
  <c r="H47" i="1" l="1"/>
  <c r="G47" i="1"/>
  <c r="K47" i="1"/>
  <c r="I47" i="1"/>
  <c r="P91" i="28"/>
  <c r="J91" i="28"/>
  <c r="I43" i="1"/>
  <c r="B45" i="1"/>
  <c r="B44" i="1"/>
  <c r="H43" i="1"/>
  <c r="K43" i="1"/>
  <c r="G43" i="1"/>
  <c r="B41" i="1" l="1"/>
  <c r="K41" i="1" s="1"/>
  <c r="K45" i="1"/>
  <c r="K44" i="1"/>
  <c r="B40" i="1"/>
  <c r="K4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 Palpa, Handal Chrisnat  Teofilo</author>
  </authors>
  <commentList>
    <comment ref="O72" authorId="0" shapeId="0" xr:uid="{227688F0-2175-46A6-A530-2B4FEC422286}">
      <text>
        <r>
          <rPr>
            <b/>
            <sz val="9"/>
            <color indexed="81"/>
            <rFont val="Tahoma"/>
            <family val="2"/>
          </rPr>
          <t>Leon Palpa, Handal Chrisnat  Teofilo: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73" authorId="0" shapeId="0" xr:uid="{FF111C3C-D634-460E-8465-140B70161CCA}">
      <text>
        <r>
          <rPr>
            <b/>
            <sz val="9"/>
            <color indexed="81"/>
            <rFont val="Tahoma"/>
            <family val="2"/>
          </rPr>
          <t>Leon Palpa, Handal Chrisnat  Teofilo: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74" authorId="0" shapeId="0" xr:uid="{DC892C28-CABF-4F87-9408-CA5AA2E35201}">
      <text>
        <r>
          <rPr>
            <b/>
            <sz val="9"/>
            <color indexed="81"/>
            <rFont val="Tahoma"/>
            <family val="2"/>
          </rPr>
          <t>Leon Palpa, Handal Chrisnat  Teofilo: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75" authorId="0" shapeId="0" xr:uid="{CD4861C0-F8E9-40F6-93B7-708856847626}">
      <text>
        <r>
          <rPr>
            <b/>
            <sz val="9"/>
            <color indexed="81"/>
            <rFont val="Tahoma"/>
            <family val="2"/>
          </rPr>
          <t>Leon Palpa, Handal Chrisnat  Teofilo: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76" authorId="0" shapeId="0" xr:uid="{F3E3307A-55B5-4D3F-B7C8-CDF02788C7FA}">
      <text>
        <r>
          <rPr>
            <b/>
            <sz val="9"/>
            <color indexed="81"/>
            <rFont val="Tahoma"/>
            <family val="2"/>
          </rPr>
          <t>Leon Palpa, Handal Chrisnat  Teofilo: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77" authorId="0" shapeId="0" xr:uid="{2B17AB79-405D-44B8-8481-9647E63F4444}">
      <text>
        <r>
          <rPr>
            <b/>
            <sz val="9"/>
            <color indexed="81"/>
            <rFont val="Tahoma"/>
            <family val="2"/>
          </rPr>
          <t>Leon Palpa, Handal Chrisnat  Teofilo: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78" authorId="0" shapeId="0" xr:uid="{D3422566-977E-4362-B046-49C61D161DB4}">
      <text>
        <r>
          <rPr>
            <b/>
            <sz val="9"/>
            <color indexed="81"/>
            <rFont val="Tahoma"/>
            <family val="2"/>
          </rPr>
          <t>Leon Palpa, Handal Chrisnat  Teofilo: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79" authorId="0" shapeId="0" xr:uid="{00C78E52-A480-4AFF-B40C-6D8AFEE1247A}">
      <text>
        <r>
          <rPr>
            <b/>
            <sz val="9"/>
            <color indexed="81"/>
            <rFont val="Tahoma"/>
            <family val="2"/>
          </rPr>
          <t>Leon Palpa, Handal Chrisnat  Teofilo: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80" authorId="0" shapeId="0" xr:uid="{531C1E60-D1E2-4211-879D-064D219A2192}">
      <text>
        <r>
          <rPr>
            <b/>
            <sz val="9"/>
            <color indexed="81"/>
            <rFont val="Tahoma"/>
            <family val="2"/>
          </rPr>
          <t>Leon Palpa, Handal Chrisnat  Teofilo: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81" authorId="0" shapeId="0" xr:uid="{AB3A2D07-ABEE-4B4E-AD71-941EDA5C2B2F}">
      <text>
        <r>
          <rPr>
            <b/>
            <sz val="9"/>
            <color indexed="81"/>
            <rFont val="Tahoma"/>
            <family val="2"/>
          </rPr>
          <t>Leon Palpa, Handal Chrisnat  Teofilo: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82" authorId="0" shapeId="0" xr:uid="{D938105A-D8B3-4FE2-9C69-E2D0214B359F}">
      <text>
        <r>
          <rPr>
            <b/>
            <sz val="9"/>
            <color indexed="81"/>
            <rFont val="Tahoma"/>
            <family val="2"/>
          </rPr>
          <t>Leon Palpa, Handal Chrisnat  Teofilo: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83" authorId="0" shapeId="0" xr:uid="{8E74E3B7-7CAE-49C7-9874-D02C88727BC6}">
      <text>
        <r>
          <rPr>
            <b/>
            <sz val="9"/>
            <color indexed="81"/>
            <rFont val="Tahoma"/>
            <family val="2"/>
          </rPr>
          <t>Leon Palpa, Handal Chrisnat  Teofilo: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84" authorId="0" shapeId="0" xr:uid="{D71D6C03-40CD-45D3-9DA3-2BF50CE2764B}">
      <text>
        <r>
          <rPr>
            <b/>
            <sz val="9"/>
            <color indexed="81"/>
            <rFont val="Tahoma"/>
            <family val="2"/>
          </rPr>
          <t>Leon Palpa, Handal Chrisnat  Teofilo: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85" authorId="0" shapeId="0" xr:uid="{4650953D-9F86-46FC-8B7E-A2233A7AF59D}">
      <text>
        <r>
          <rPr>
            <b/>
            <sz val="9"/>
            <color indexed="81"/>
            <rFont val="Tahoma"/>
            <family val="2"/>
          </rPr>
          <t>Leon Palpa, Handal Chrisnat  Teofilo: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86" authorId="0" shapeId="0" xr:uid="{6BF2979C-3F6E-44F7-B71A-BA373115B65E}">
      <text>
        <r>
          <rPr>
            <b/>
            <sz val="9"/>
            <color indexed="81"/>
            <rFont val="Tahoma"/>
            <family val="2"/>
          </rPr>
          <t>Leon Palpa, Handal Chrisnat  Teofilo: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87" authorId="0" shapeId="0" xr:uid="{A0A6421F-3722-4075-803A-8670E4F61FD4}">
      <text>
        <r>
          <rPr>
            <b/>
            <sz val="9"/>
            <color indexed="81"/>
            <rFont val="Tahoma"/>
            <family val="2"/>
          </rPr>
          <t>Leon Palpa, Handal Chrisnat  Teofilo: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88" authorId="0" shapeId="0" xr:uid="{D15B3740-19CA-4F7D-8122-6B5AE31B2EE3}">
      <text>
        <r>
          <rPr>
            <b/>
            <sz val="9"/>
            <color indexed="81"/>
            <rFont val="Tahoma"/>
            <family val="2"/>
          </rPr>
          <t>Leon Palpa, Handal Chrisnat  Teofilo: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89" authorId="0" shapeId="0" xr:uid="{4CCEAFE2-83AB-4D75-BC4F-19C1222D256F}">
      <text>
        <r>
          <rPr>
            <b/>
            <sz val="9"/>
            <color indexed="81"/>
            <rFont val="Tahoma"/>
            <family val="2"/>
          </rPr>
          <t>Leon Palpa, Handal Chrisnat  Teofilo: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90" authorId="0" shapeId="0" xr:uid="{1729257D-E47E-43A7-A2D9-1ADCBD3FD06A}">
      <text>
        <r>
          <rPr>
            <b/>
            <sz val="9"/>
            <color indexed="81"/>
            <rFont val="Tahoma"/>
            <family val="2"/>
          </rPr>
          <t>Leon Palpa, Handal Chrisnat  Teofilo: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91" authorId="0" shapeId="0" xr:uid="{78997E0C-BC3A-4985-B207-09866BBAC281}">
      <text>
        <r>
          <rPr>
            <b/>
            <sz val="9"/>
            <color indexed="81"/>
            <rFont val="Tahoma"/>
            <family val="2"/>
          </rPr>
          <t>Leon Palpa, Handal Chrisnat  Teofilo: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92" authorId="0" shapeId="0" xr:uid="{440D1B35-3BC4-430C-AB99-CDE3D2E174CD}">
      <text>
        <r>
          <rPr>
            <b/>
            <sz val="9"/>
            <color indexed="81"/>
            <rFont val="Tahoma"/>
            <family val="2"/>
          </rPr>
          <t>Leon Palpa, Handal Chrisnat  Teofilo: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93" authorId="0" shapeId="0" xr:uid="{91D09FD9-4B65-44FD-844D-9E463217129B}">
      <text>
        <r>
          <rPr>
            <b/>
            <sz val="9"/>
            <color indexed="81"/>
            <rFont val="Tahoma"/>
            <family val="2"/>
          </rPr>
          <t>Leon Palpa, Handal Chrisnat  Teofilo: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94" authorId="0" shapeId="0" xr:uid="{F51BD5F2-4C5E-407C-B33E-05D1ADD4ADAE}">
      <text>
        <r>
          <rPr>
            <b/>
            <sz val="9"/>
            <color indexed="81"/>
            <rFont val="Tahoma"/>
            <family val="2"/>
          </rPr>
          <t>Leon Palpa, Handal Chrisnat  Teofilo: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95" authorId="0" shapeId="0" xr:uid="{7FFC3A64-6F05-4A9B-9F7B-AC66120A4588}">
      <text>
        <r>
          <rPr>
            <b/>
            <sz val="9"/>
            <color indexed="81"/>
            <rFont val="Tahoma"/>
            <family val="2"/>
          </rPr>
          <t>Leon Palpa, Handal Chrisnat  Teofilo: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96" authorId="0" shapeId="0" xr:uid="{EC6E4B0E-77F5-4AED-93C3-DFE839013289}">
      <text>
        <r>
          <rPr>
            <b/>
            <sz val="9"/>
            <color indexed="81"/>
            <rFont val="Tahoma"/>
            <family val="2"/>
          </rPr>
          <t>Leon Palpa, Handal Chrisnat  Teofilo: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97" authorId="0" shapeId="0" xr:uid="{92B03376-C982-4506-A00E-99FF48B21151}">
      <text>
        <r>
          <rPr>
            <b/>
            <sz val="9"/>
            <color indexed="81"/>
            <rFont val="Tahoma"/>
            <family val="2"/>
          </rPr>
          <t>Leon Palpa, Handal Chrisnat  Teofilo: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98" authorId="0" shapeId="0" xr:uid="{F36643F8-4838-4E67-A4A3-B95B9A72F377}">
      <text>
        <r>
          <rPr>
            <b/>
            <sz val="9"/>
            <color indexed="81"/>
            <rFont val="Tahoma"/>
            <family val="2"/>
          </rPr>
          <t>Leon Palpa, Handal Chrisnat  Teofilo: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99" authorId="0" shapeId="0" xr:uid="{A134DF5A-F23D-4AFC-940F-D646B6ED568F}">
      <text>
        <r>
          <rPr>
            <b/>
            <sz val="9"/>
            <color indexed="81"/>
            <rFont val="Tahoma"/>
            <family val="2"/>
          </rPr>
          <t>Leon Palpa, Handal Chrisnat  Teofilo: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00" authorId="0" shapeId="0" xr:uid="{4D375559-9DBF-4931-B6A3-0A96A985EB68}">
      <text>
        <r>
          <rPr>
            <b/>
            <sz val="9"/>
            <color indexed="81"/>
            <rFont val="Tahoma"/>
            <family val="2"/>
          </rPr>
          <t>Leon Palpa, Handal Chrisnat  Teofilo: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01" authorId="0" shapeId="0" xr:uid="{4B7AE94A-7587-4DFA-BC66-FA3CF2314FAF}">
      <text>
        <r>
          <rPr>
            <b/>
            <sz val="9"/>
            <color indexed="81"/>
            <rFont val="Tahoma"/>
            <family val="2"/>
          </rPr>
          <t>Leon Palpa, Handal Chrisnat  Teofilo: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Interbank</author>
  </authors>
  <commentList>
    <comment ref="D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Interbank:</t>
        </r>
        <r>
          <rPr>
            <sz val="9"/>
            <color indexed="81"/>
            <rFont val="Tahoma"/>
            <family val="2"/>
          </rPr>
          <t xml:space="preserve">
Cambiar solo este día para cambio de mes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Interbank</author>
  </authors>
  <commentList>
    <comment ref="D1" authorId="0" shapeId="0" xr:uid="{4A8A736D-AD40-4C0B-A79B-62AB65387ED5}">
      <text>
        <r>
          <rPr>
            <b/>
            <sz val="9"/>
            <color indexed="81"/>
            <rFont val="Tahoma"/>
            <family val="2"/>
          </rPr>
          <t>Interbank:</t>
        </r>
        <r>
          <rPr>
            <sz val="9"/>
            <color indexed="81"/>
            <rFont val="Tahoma"/>
            <family val="2"/>
          </rPr>
          <t xml:space="preserve">
Cambiar solo este día para cambio de mes</t>
        </r>
      </text>
    </comment>
  </commentList>
</comments>
</file>

<file path=xl/sharedStrings.xml><?xml version="1.0" encoding="utf-8"?>
<sst xmlns="http://schemas.openxmlformats.org/spreadsheetml/2006/main" count="2801" uniqueCount="485">
  <si>
    <t>Facturación por Score (S/MM)</t>
  </si>
  <si>
    <t>PRIMA</t>
  </si>
  <si>
    <t>ANTERIOR</t>
  </si>
  <si>
    <t>CONSUMO</t>
  </si>
  <si>
    <t>Mto Desembolsado (S/MM)</t>
  </si>
  <si>
    <t>Plan Yellow</t>
  </si>
  <si>
    <t>Facturación</t>
  </si>
  <si>
    <t>202107-Proy</t>
  </si>
  <si>
    <t>Jun - May</t>
  </si>
  <si>
    <t>MUY ALTO</t>
  </si>
  <si>
    <t>ALTO</t>
  </si>
  <si>
    <t>MEDIO</t>
  </si>
  <si>
    <t>BAJO</t>
  </si>
  <si>
    <t>MUY BAJO</t>
  </si>
  <si>
    <t>RECHAZO</t>
  </si>
  <si>
    <t>Total</t>
  </si>
  <si>
    <t>Pesos</t>
  </si>
  <si>
    <t>MUY ALTO+ALTO</t>
  </si>
  <si>
    <t>Factu Procesada</t>
  </si>
  <si>
    <t>202303 Av</t>
  </si>
  <si>
    <t>202303 Proy</t>
  </si>
  <si>
    <t>TRX</t>
  </si>
  <si>
    <t>(Para Power Bi)</t>
  </si>
  <si>
    <t>PROYEC ENERO</t>
  </si>
  <si>
    <t>PPTO</t>
  </si>
  <si>
    <t>PPTO - REAL</t>
  </si>
  <si>
    <t>MEDIO + BAJO</t>
  </si>
  <si>
    <t>MUY BAJO + RECHAZO</t>
  </si>
  <si>
    <t>VAR VERDE</t>
  </si>
  <si>
    <t xml:space="preserve">VAR YELLOW </t>
  </si>
  <si>
    <t>PROYEC FEBRERO</t>
  </si>
  <si>
    <t xml:space="preserve">   </t>
  </si>
  <si>
    <t>NIVEL</t>
  </si>
  <si>
    <t>FACTU</t>
  </si>
  <si>
    <t>FACTU PRORRATEADA</t>
  </si>
  <si>
    <t>CODMES</t>
  </si>
  <si>
    <t>CA_NIVEL</t>
  </si>
  <si>
    <t>CTAS</t>
  </si>
  <si>
    <t>Parque</t>
  </si>
  <si>
    <t>PARQUE PRORR</t>
  </si>
  <si>
    <t>parcial</t>
  </si>
  <si>
    <t>SUM TOT</t>
  </si>
  <si>
    <t>Factu Trx</t>
  </si>
  <si>
    <t>202210 Pr</t>
  </si>
  <si>
    <t>Ctas con Cons</t>
  </si>
  <si>
    <t>Actividad</t>
  </si>
  <si>
    <t>Cons Prom</t>
  </si>
  <si>
    <t>Verde</t>
  </si>
  <si>
    <t>Amarillo</t>
  </si>
  <si>
    <t>Rojo</t>
  </si>
  <si>
    <t>Factu</t>
  </si>
  <si>
    <t>Ctas CC</t>
  </si>
  <si>
    <t>C. Medio</t>
  </si>
  <si>
    <t>PASE A CUOTAS</t>
  </si>
  <si>
    <t>CONSUMO EN CUOTAS</t>
  </si>
  <si>
    <t>VS2 --&gt;</t>
  </si>
  <si>
    <t>PONDERADO</t>
  </si>
  <si>
    <t>CLIENTES</t>
  </si>
  <si>
    <t>PONDCUOTAS</t>
  </si>
  <si>
    <t>FACTUTOTAL</t>
  </si>
  <si>
    <t>DIVIDELO</t>
  </si>
  <si>
    <t>COMPRA EN CUOTAS</t>
  </si>
  <si>
    <t>MES ACTUAL</t>
  </si>
  <si>
    <t>NumCuotas</t>
  </si>
  <si>
    <t>FactuPonderada</t>
  </si>
  <si>
    <t>FactuCuotas</t>
  </si>
  <si>
    <t>ClientesCuotas</t>
  </si>
  <si>
    <t>%FactuCuota</t>
  </si>
  <si>
    <t>%Cuentas</t>
  </si>
  <si>
    <t>% CuotasT</t>
  </si>
  <si>
    <t>(en blanco)</t>
  </si>
  <si>
    <t>pase</t>
  </si>
  <si>
    <t>consumo a cuotas</t>
  </si>
  <si>
    <t>FECHA</t>
  </si>
  <si>
    <t>FECTRANSACCION</t>
  </si>
  <si>
    <t>miércoles</t>
  </si>
  <si>
    <t>jueves</t>
  </si>
  <si>
    <t>viernes</t>
  </si>
  <si>
    <t>sábado</t>
  </si>
  <si>
    <t>domingo</t>
  </si>
  <si>
    <t>lunes</t>
  </si>
  <si>
    <t>martes</t>
  </si>
  <si>
    <t>TOTAL</t>
  </si>
  <si>
    <t>Proyección Crecimiento Amex</t>
  </si>
  <si>
    <t>AMEX</t>
  </si>
  <si>
    <t>Proyec Set</t>
  </si>
  <si>
    <t>Real</t>
  </si>
  <si>
    <t>Cumpl</t>
  </si>
  <si>
    <t>%Share marca</t>
  </si>
  <si>
    <t>Entregas</t>
  </si>
  <si>
    <t>Bloq+Canc-Desb</t>
  </si>
  <si>
    <t>Bloqueos</t>
  </si>
  <si>
    <t>Canc Vol</t>
  </si>
  <si>
    <t>Canc Inv</t>
  </si>
  <si>
    <t>CM</t>
  </si>
  <si>
    <t>MC + VISA</t>
  </si>
  <si>
    <t>NACIONAL</t>
  </si>
  <si>
    <t>NACIONAL SIN PAGO SERVICIOS</t>
  </si>
  <si>
    <t>% sobre total</t>
  </si>
  <si>
    <t>VISA</t>
  </si>
  <si>
    <t>MC</t>
  </si>
  <si>
    <t>NAC. SIN PDS</t>
  </si>
  <si>
    <t>CRÉDITO TOTAL</t>
  </si>
  <si>
    <t>Día</t>
  </si>
  <si>
    <t>acum</t>
  </si>
  <si>
    <t>porc acum</t>
  </si>
  <si>
    <t>Plan 200</t>
  </si>
  <si>
    <t>Días del mes</t>
  </si>
  <si>
    <t>Indicador</t>
  </si>
  <si>
    <t>Ppto</t>
  </si>
  <si>
    <t>Cumplimiento Ppto</t>
  </si>
  <si>
    <t>2026 vs 2025</t>
  </si>
  <si>
    <t>Facturación (S/MM)</t>
  </si>
  <si>
    <t>Benefit</t>
  </si>
  <si>
    <t>Premia</t>
  </si>
  <si>
    <t>Access</t>
  </si>
  <si>
    <t>Visa</t>
  </si>
  <si>
    <t>Amex</t>
  </si>
  <si>
    <t>Renta Alta</t>
  </si>
  <si>
    <t>Masivos</t>
  </si>
  <si>
    <t>Cuentas con Consumo (miles)</t>
  </si>
  <si>
    <t>Cashback</t>
  </si>
  <si>
    <t>Goodbank</t>
  </si>
  <si>
    <t>Badbank</t>
  </si>
  <si>
    <t>Consumo Medio (S/)</t>
  </si>
  <si>
    <t>Parque (miles)</t>
  </si>
  <si>
    <t>Castigo para Cuentas/Trx</t>
  </si>
  <si>
    <t>Tx por cliente</t>
  </si>
  <si>
    <t>Gap diario vs. Ppto</t>
  </si>
  <si>
    <t>Trx Total (MM)</t>
  </si>
  <si>
    <t>Facturación sin PdS (S/MM)</t>
  </si>
  <si>
    <t>Ticket Promedio (S/)</t>
  </si>
  <si>
    <t>% Factu Pds</t>
  </si>
  <si>
    <t>% Factu Pds Real</t>
  </si>
  <si>
    <t>Explicación de Gap:</t>
  </si>
  <si>
    <t>Facturación Procesada</t>
  </si>
  <si>
    <t>Parque Proyectado</t>
  </si>
  <si>
    <t>Fecha proyección</t>
  </si>
  <si>
    <t>Diff</t>
  </si>
  <si>
    <t>Cancelaciones</t>
  </si>
  <si>
    <t>Involuntarias</t>
  </si>
  <si>
    <t>Voluntarias</t>
  </si>
  <si>
    <t>Desbloqueos</t>
  </si>
  <si>
    <t>Cierre</t>
  </si>
  <si>
    <t>^ Este resultado es proyección/lo ideal</t>
  </si>
  <si>
    <t>en caso alguien pida procesada es mejor usar el query</t>
  </si>
  <si>
    <t>Fecha</t>
  </si>
  <si>
    <t>Día Sem</t>
  </si>
  <si>
    <t>Presupuesto</t>
  </si>
  <si>
    <t>Gap PPTO</t>
  </si>
  <si>
    <t>Gap Meta</t>
  </si>
  <si>
    <t>TDT</t>
  </si>
  <si>
    <t>ORACLE</t>
  </si>
  <si>
    <t>Semana 1</t>
  </si>
  <si>
    <t>Días Laborales</t>
  </si>
  <si>
    <t>Fin de semana</t>
  </si>
  <si>
    <t>Proyección</t>
  </si>
  <si>
    <t>FC</t>
  </si>
  <si>
    <t>Semana 2</t>
  </si>
  <si>
    <t>Semana 3</t>
  </si>
  <si>
    <t>Semana 4</t>
  </si>
  <si>
    <t>Semana 5</t>
  </si>
  <si>
    <r>
      <rPr>
        <b/>
        <sz val="14"/>
        <color theme="0"/>
        <rFont val="Omnes Medium"/>
        <family val="3"/>
      </rPr>
      <t xml:space="preserve">3  </t>
    </r>
    <r>
      <rPr>
        <b/>
        <u/>
        <sz val="14"/>
        <color theme="0"/>
        <rFont val="Omnes Medium"/>
        <family val="3"/>
      </rPr>
      <t>Curvas diarias</t>
    </r>
  </si>
  <si>
    <t>2026 PPTO</t>
  </si>
  <si>
    <t>2025 Forecast</t>
  </si>
  <si>
    <t>2025 Real</t>
  </si>
  <si>
    <r>
      <rPr>
        <b/>
        <sz val="14"/>
        <color theme="0"/>
        <rFont val="Omnes Medium"/>
        <family val="3"/>
      </rPr>
      <t xml:space="preserve">4  </t>
    </r>
    <r>
      <rPr>
        <b/>
        <u/>
        <sz val="14"/>
        <color theme="0"/>
        <rFont val="Omnes Medium"/>
        <family val="3"/>
      </rPr>
      <t>Evolución mensual</t>
    </r>
  </si>
  <si>
    <t>Cierre mes</t>
  </si>
  <si>
    <t xml:space="preserve">TC </t>
  </si>
  <si>
    <t>-Facturación se proyecta en 1372M, -3M vs ppto(1375MM)/ YoY -5.4%</t>
  </si>
  <si>
    <t>-Cuentas con consumo 680K, -147K vs ppto(827K)</t>
  </si>
  <si>
    <t xml:space="preserve"> </t>
  </si>
  <si>
    <t>-Consumo medio de 2016, +20 vs ppto(1996)</t>
  </si>
  <si>
    <t>-Actividad 86.1%, +10.8% vs ppto(76.4%)</t>
  </si>
  <si>
    <t xml:space="preserve">-Parque 790K, -3K vs ppto(793K) </t>
  </si>
  <si>
    <t>-Factu Digital 400M, -84M vs ppto(484M) / YoY +0.7%</t>
  </si>
  <si>
    <t>-Actividad Digital 49.5%, +9.7% vs ppto(39.8%)</t>
  </si>
  <si>
    <t>fecha de proy</t>
  </si>
  <si>
    <t>Corte Acum</t>
  </si>
  <si>
    <t>Factor</t>
  </si>
  <si>
    <t>Castigo</t>
  </si>
  <si>
    <t>Cuentas con Consumo</t>
  </si>
  <si>
    <t>(Actividad)</t>
  </si>
  <si>
    <t>Transacciones</t>
  </si>
  <si>
    <t>Trx promedio</t>
  </si>
  <si>
    <t>2026P</t>
  </si>
  <si>
    <t>2026R</t>
  </si>
  <si>
    <t>Crecimiento 2025</t>
  </si>
  <si>
    <t>25-24</t>
  </si>
  <si>
    <t>Curva de Actividad</t>
  </si>
  <si>
    <t>Actividad Nov-24</t>
  </si>
  <si>
    <t>Actividad Dic-24</t>
  </si>
  <si>
    <t>Proyección Factu TC Digital Enero 2025</t>
  </si>
  <si>
    <t>TC + TD  (Proyección Cierre)</t>
  </si>
  <si>
    <t>2021 vs 2020</t>
  </si>
  <si>
    <t>% Sobre Total</t>
  </si>
  <si>
    <t>Consumo Medio</t>
  </si>
  <si>
    <t>Ticket Promedio</t>
  </si>
  <si>
    <t>Act(CC Dig / CC Total)%</t>
  </si>
  <si>
    <t>Trx Total</t>
  </si>
  <si>
    <t>% Nuevos Ecommerce</t>
  </si>
  <si>
    <t>Nuevos Ecommerce</t>
  </si>
  <si>
    <t>% Sobre (Total-P. Servicios)</t>
  </si>
  <si>
    <t>Act(CC Dig / CC Tc)%</t>
  </si>
  <si>
    <t xml:space="preserve">TD ppto </t>
  </si>
  <si>
    <t xml:space="preserve">TD DIGITAL/tot 2020 </t>
  </si>
  <si>
    <t>factu digital td</t>
  </si>
  <si>
    <t>factu total td</t>
  </si>
  <si>
    <t>tarj con consumo td</t>
  </si>
  <si>
    <t>parque td</t>
  </si>
  <si>
    <t>trx prom</t>
  </si>
  <si>
    <t>Cuentas Tot</t>
  </si>
  <si>
    <t>Escenarios</t>
  </si>
  <si>
    <t>Gap diario a la fecha</t>
  </si>
  <si>
    <t>Escenario</t>
  </si>
  <si>
    <t>Gap diario proy</t>
  </si>
  <si>
    <t>Proyección Cierre</t>
  </si>
  <si>
    <t>YoY</t>
  </si>
  <si>
    <t>Pesimista</t>
  </si>
  <si>
    <t>Conservador (Power BI)</t>
  </si>
  <si>
    <t>Optimista</t>
  </si>
  <si>
    <t>Última Proyección (Power BI)</t>
  </si>
  <si>
    <t>Meta Comercial</t>
  </si>
  <si>
    <t>Real + Proyección</t>
  </si>
  <si>
    <t>Gap</t>
  </si>
  <si>
    <t>Gap acumulado</t>
  </si>
  <si>
    <t>%Peso Digital Acum</t>
  </si>
  <si>
    <t>%Peso Digital Diario</t>
  </si>
  <si>
    <t>Cumplimiento
Acum</t>
  </si>
  <si>
    <t>Cumplimiento
Diario</t>
  </si>
  <si>
    <t>Curvas diarias</t>
  </si>
  <si>
    <t>2024P</t>
  </si>
  <si>
    <t>2024R</t>
  </si>
  <si>
    <t>Evolución mensual</t>
  </si>
  <si>
    <t>(Para Actividad)</t>
  </si>
  <si>
    <t>2023P</t>
  </si>
  <si>
    <t>202301 Av</t>
  </si>
  <si>
    <t>PROYEC MARZO</t>
  </si>
  <si>
    <t>Sems</t>
  </si>
  <si>
    <t>2023 R</t>
  </si>
  <si>
    <t>2023 P</t>
  </si>
  <si>
    <t>Sem 1</t>
  </si>
  <si>
    <t>Etiquetas de fila</t>
  </si>
  <si>
    <t>Suma de 2023 P</t>
  </si>
  <si>
    <t>Suma de 2023 R</t>
  </si>
  <si>
    <t>Sem 2</t>
  </si>
  <si>
    <t>Sem 3</t>
  </si>
  <si>
    <t>Sem 4</t>
  </si>
  <si>
    <t>Total general</t>
  </si>
  <si>
    <t>PPTO 2024</t>
  </si>
  <si>
    <t>AÑO</t>
  </si>
  <si>
    <t>MES</t>
  </si>
  <si>
    <t>FACT</t>
  </si>
  <si>
    <t>CUENTAS</t>
  </si>
  <si>
    <t>PARQUE</t>
  </si>
  <si>
    <t>ACTIVIDAD</t>
  </si>
  <si>
    <t>VAR CM MOM</t>
  </si>
  <si>
    <t>TICKET</t>
  </si>
  <si>
    <t>VARIACIÓN FACTU MoM</t>
  </si>
  <si>
    <t>FAC_SIN_PDS</t>
  </si>
  <si>
    <t>FAC_PDS</t>
  </si>
  <si>
    <t>PESO_PDS</t>
  </si>
  <si>
    <t>FACT_PROC</t>
  </si>
  <si>
    <t>PPTO_ACT</t>
  </si>
  <si>
    <t>PPTO_CM</t>
  </si>
  <si>
    <t>PPTO_TRX</t>
  </si>
  <si>
    <t>PPTO_PARQUE</t>
  </si>
  <si>
    <t>PPTO_TICKET</t>
  </si>
  <si>
    <t>PPTO_PDS</t>
  </si>
  <si>
    <t>Saldo CC</t>
  </si>
  <si>
    <t>Amortizacion+Det</t>
  </si>
  <si>
    <t>PPTO Factu Prcoesada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</si>
  <si>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</si>
  <si>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</si>
  <si>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</si>
  <si>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</si>
  <si>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</si>
  <si>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</si>
  <si>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</si>
  <si>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</si>
  <si>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</si>
  <si>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</si>
  <si>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</si>
  <si>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</si>
  <si>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</t>
  </si>
  <si>
    <t>Feb</t>
  </si>
  <si>
    <t>Mar</t>
  </si>
  <si>
    <t>2025 FC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</si>
  <si>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</si>
  <si>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</si>
  <si>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</si>
  <si>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</si>
  <si>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</si>
  <si>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</si>
  <si>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</si>
  <si>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</si>
  <si>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</si>
  <si>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Setiembre</t>
  </si>
  <si>
    <t>Sep</t>
  </si>
  <si>
    <t>Digital</t>
  </si>
  <si>
    <t>2025 PPTO DIG</t>
  </si>
  <si>
    <t>PROY_FACT</t>
  </si>
  <si>
    <t>PROY_ACT</t>
  </si>
  <si>
    <t>PROY_CM</t>
  </si>
  <si>
    <t>PESO</t>
  </si>
  <si>
    <t>actualizado</t>
  </si>
  <si>
    <t>Denegaciones</t>
  </si>
  <si>
    <t>E-commerce</t>
  </si>
  <si>
    <t>Facturación E-commerce TC</t>
  </si>
  <si>
    <t>Actividad TC</t>
  </si>
  <si>
    <t>Actividad TD</t>
  </si>
  <si>
    <t>Proy.</t>
  </si>
  <si>
    <t>TC Total</t>
  </si>
  <si>
    <t>S1</t>
  </si>
  <si>
    <t>S2</t>
  </si>
  <si>
    <t>S3</t>
  </si>
  <si>
    <t>S4</t>
  </si>
  <si>
    <t>S5</t>
  </si>
  <si>
    <t>TC Digital</t>
  </si>
  <si>
    <t>TC TOT</t>
  </si>
  <si>
    <t>TC DIG</t>
  </si>
  <si>
    <t>Excedido límite de crédito</t>
  </si>
  <si>
    <t xml:space="preserve">Contrato bloqueado </t>
  </si>
  <si>
    <t>Error en validación</t>
  </si>
  <si>
    <t>Restricc servicios asociados</t>
  </si>
  <si>
    <t>Emisor no disponible</t>
  </si>
  <si>
    <t>Sospecha de Fraude</t>
  </si>
  <si>
    <t>Excedido límite del período</t>
  </si>
  <si>
    <t xml:space="preserve">Otros motivos       </t>
  </si>
  <si>
    <t>Denegada</t>
  </si>
  <si>
    <t>Tarjeta expirada</t>
  </si>
  <si>
    <t>Fallback negado</t>
  </si>
  <si>
    <t>Otros</t>
  </si>
  <si>
    <t>Factu proy</t>
  </si>
  <si>
    <t>TC total</t>
  </si>
  <si>
    <t>TC digital</t>
  </si>
  <si>
    <t>TD total</t>
  </si>
  <si>
    <t>TD digital</t>
  </si>
  <si>
    <t>compra en cuotas</t>
  </si>
  <si>
    <t>pase a cuotas</t>
  </si>
  <si>
    <t xml:space="preserve">SELECT FECTRANSACCION, SUM (mtotrxsoles_SBS)/1000000 FROM CUBO_CONSUMO </t>
  </si>
  <si>
    <t>WHERE codtransaccion = '05' and codmes = '201807' and marca_tipo not in ('0150','0151','0152','0103','0104','0403')</t>
  </si>
  <si>
    <t>GROUP BY FECTRANSACCION</t>
  </si>
  <si>
    <t>01. Premia</t>
  </si>
  <si>
    <t>ORDER BY FECTRANSACCION</t>
  </si>
  <si>
    <t>02. Claro</t>
  </si>
  <si>
    <t>03. Visa Clasica</t>
  </si>
  <si>
    <t>alter session set Nls_Date_Format = 'DD/MM/YYYY';</t>
  </si>
  <si>
    <t>04. Visa Oro</t>
  </si>
  <si>
    <t>select pp.codmes,To_char(pp.FECTRANSACCION,'DD') AS DIA,pp.FECTRANSACCION,count(*),(select count(distinct r.codctatarjeta)</t>
  </si>
  <si>
    <t>05. Visa Platinum y Signature</t>
  </si>
  <si>
    <t xml:space="preserve">from ELC_TC_CC_RES_201807 r </t>
  </si>
  <si>
    <t>06. Cashback</t>
  </si>
  <si>
    <t xml:space="preserve">where r.tipo_tc_tablero&lt;&gt;'8.Otros' and r.FECTRANSACCION&lt;=pp.FECTRANSACCION ) as Cuenta  </t>
  </si>
  <si>
    <t>07. Amex Blue</t>
  </si>
  <si>
    <t xml:space="preserve">from ELC_TC_CC_RES_201807 pp </t>
  </si>
  <si>
    <t>08. Amex Green</t>
  </si>
  <si>
    <t>where pp.FECTRANSACCION&lt;='31/07/2018' and pp.tipo_tc_tablero&lt;&gt;'8.Otros'</t>
  </si>
  <si>
    <t>09. Amex Gold</t>
  </si>
  <si>
    <t>group by pp.FECTRANSACCION,pp.codmes,To_char(pp.FECTRANSACCION,'DD')</t>
  </si>
  <si>
    <t>10. Amex Platinum y Black</t>
  </si>
  <si>
    <t>order by 2;</t>
  </si>
  <si>
    <t>11. The Platinum Card</t>
  </si>
  <si>
    <t>12. Mastercard</t>
  </si>
  <si>
    <t>SELECT case when marca_tipo in ('0117') then '01. Premia'</t>
  </si>
  <si>
    <t>when marca_tipo in ('0129', '0130', '0131' ) then '02. Claro'</t>
  </si>
  <si>
    <t>when marca_tipo in ('0120', '0124', '0101', '0105' ) then '03. Visa Clasica'</t>
  </si>
  <si>
    <t>01. Joven</t>
  </si>
  <si>
    <t>when marca_tipo in ('0102') then '04. Visa Oro'</t>
  </si>
  <si>
    <t>02. Clasico</t>
  </si>
  <si>
    <t>when marca_tipo in ('0123', '0114') then '05. Visa Platinum y Signature'</t>
  </si>
  <si>
    <t>03. Independiente</t>
  </si>
  <si>
    <t>when marca_tipo in ('0121', '0116', '0122' ) then '06. Cashback'</t>
  </si>
  <si>
    <t>04. Premium</t>
  </si>
  <si>
    <t>when marca_tipo in ('0207') then '07. Amex Blue'</t>
  </si>
  <si>
    <t>05. Select</t>
  </si>
  <si>
    <t>when marca_tipo in ('0203') then '08. Amex Green'</t>
  </si>
  <si>
    <t>06. Consumo inicial</t>
  </si>
  <si>
    <t>when marca_tipo in ('0210', '0204') then '09. Amex Gold'</t>
  </si>
  <si>
    <t>when marca_tipo in ('0211', '0209', '0208', '0212' ) then '10. Amex Platinum y Black'</t>
  </si>
  <si>
    <t>when marca_tipo in ('0206') then '11. The Platinum Card'</t>
  </si>
  <si>
    <t>when marca_tipo in ('0401', '0402', '0404' ) then '12. Mastercard'</t>
  </si>
  <si>
    <t xml:space="preserve">else '13. Otros' end as TIPO_TC, SUM (mtotrxsoles_SBS)/1000000 FROM CUBO_CONSUMO </t>
  </si>
  <si>
    <t>WHERE codtransaccion = '05' and codmes = '201810' and fectransaccion &lt;= '31/10/2018' and marca_tipo not in ('0150','0151','0152','0103','0104','0403')</t>
  </si>
  <si>
    <t>GROUP BY case when marca_tipo in ('0117') then '01. Premia'</t>
  </si>
  <si>
    <t>else '13. Otros' end</t>
  </si>
  <si>
    <t>order by case when marca_tipo in ('0117') then '01. Premia'</t>
  </si>
  <si>
    <t>SELECT FECPROCESOTRANSACCION, FECTRANSACCION, SUM (mtotrxsoles_SBS)/1000000 FROM CUBO_CONSUMO</t>
  </si>
  <si>
    <t>WHERE codtransaccion = '05' and codmes in ('201802', '201803') and marca_tipo not in ('0150','0151','0152','0103','0104','0403')</t>
  </si>
  <si>
    <t>GROUP BY FECPROCESOTRANSACCION, FECTRANSACCION</t>
  </si>
  <si>
    <t>SELECT case when seg_f_2018 = '1A'  then '01. Joven'</t>
  </si>
  <si>
    <t xml:space="preserve">            when seg_f_2018 = '2'   then '02. Clasico'</t>
  </si>
  <si>
    <t xml:space="preserve">            when seg_f_2018 = '3'   then '03. Independiente'</t>
  </si>
  <si>
    <t xml:space="preserve">            when seg_f_2018 = '1BC' then '04. Premium'</t>
  </si>
  <si>
    <t xml:space="preserve">            when seg_f_2018 = '4'   then '05. Select'</t>
  </si>
  <si>
    <t xml:space="preserve">            when seg_f_2018 = '6'   then '06. Consumo inicial' end as Segmento,</t>
  </si>
  <si>
    <t xml:space="preserve">       SUM (mtotrxsoles_SBS)/1000000 FROM CUBO_CONSUMO </t>
  </si>
  <si>
    <t>WHERE codtransaccion = '05' and codmes = '201810' and marca_tipo not in ('0150','0151','0152','0103','0104','0403')</t>
  </si>
  <si>
    <t>GROUP BY case when seg_f_2018 = '1A'  then '01. Joven'</t>
  </si>
  <si>
    <t xml:space="preserve">              when seg_f_2018 = '2'   then '02. Clasico'</t>
  </si>
  <si>
    <t xml:space="preserve">              when seg_f_2018 = '3'   then '03. Independiente'</t>
  </si>
  <si>
    <t xml:space="preserve">              when seg_f_2018 = '1BC' then '04. Premium'</t>
  </si>
  <si>
    <t xml:space="preserve">              when seg_f_2018 = '4'   then '05. Select'</t>
  </si>
  <si>
    <t xml:space="preserve">              when seg_f_2018 = '6'   then '06. Consumo inicial' end</t>
  </si>
  <si>
    <t>ORDER BY case when seg_f_2018 = '1A'  then '01. Joven'</t>
  </si>
  <si>
    <t xml:space="preserve">SELECT FECTRANSACCION, fecprocesotransaccion, SUM (mtotrxsoles_SBS)/1000000 FROM CUBO_CONSUMO </t>
  </si>
  <si>
    <t>WHERE codtransaccion = '05' and codmes between 201810 and 201811 and marca_tipo not in ('0150','0151','0152','0103','0104','0403')</t>
  </si>
  <si>
    <t xml:space="preserve">      and fecprocesotransaccion &gt;= '01/11/2018'</t>
  </si>
  <si>
    <t>GROUP BY FECTRANSACCION, fecprocesotransaccion</t>
  </si>
  <si>
    <t>ORDER BY FECTRANSACCION, fecprocesotransaccion</t>
  </si>
  <si>
    <t>Factores</t>
  </si>
  <si>
    <t>Mes anterior</t>
  </si>
  <si>
    <t>Solo Real</t>
  </si>
  <si>
    <t>Día semana</t>
  </si>
  <si>
    <t>Facturación Transac 2025</t>
  </si>
  <si>
    <t>Factu proces. Real</t>
  </si>
  <si>
    <t>Saldo 2019 Proy</t>
  </si>
  <si>
    <t>Saldo 2018</t>
  </si>
  <si>
    <t>F.Procesada 18</t>
  </si>
  <si>
    <t>Ppto 2019 Amortizacion</t>
  </si>
  <si>
    <t>Real 2019 Amortización</t>
  </si>
  <si>
    <t>Amort 2018</t>
  </si>
  <si>
    <t>Old</t>
  </si>
  <si>
    <t>Lunes-1</t>
  </si>
  <si>
    <t>Martes-1</t>
  </si>
  <si>
    <t>Miércoles-1</t>
  </si>
  <si>
    <t>Jueves-1</t>
  </si>
  <si>
    <t>Viernes-1</t>
  </si>
  <si>
    <t>Sábado-1</t>
  </si>
  <si>
    <t>Domingo-1</t>
  </si>
  <si>
    <t>Lunes-2</t>
  </si>
  <si>
    <t>Martes-2</t>
  </si>
  <si>
    <t>Miércoles-2</t>
  </si>
  <si>
    <t>Jueves-2</t>
  </si>
  <si>
    <t>Viernes-2</t>
  </si>
  <si>
    <t>Lunes</t>
  </si>
  <si>
    <t>Martes</t>
  </si>
  <si>
    <t>Miércoles</t>
  </si>
  <si>
    <t>Jueves</t>
  </si>
  <si>
    <t>Viernes</t>
  </si>
  <si>
    <t>Sábado</t>
  </si>
  <si>
    <t>Domingo</t>
  </si>
  <si>
    <t>Propuesta</t>
  </si>
  <si>
    <t>Sabado-2</t>
  </si>
  <si>
    <t>Domingo-2</t>
  </si>
  <si>
    <t>Lunes-3</t>
  </si>
  <si>
    <t>Facturación Transac 2026</t>
  </si>
  <si>
    <t>F.Procesada proy 2026</t>
  </si>
  <si>
    <t>Proy Segmento</t>
  </si>
  <si>
    <t>Proyección pasada</t>
  </si>
  <si>
    <t>Monto</t>
  </si>
  <si>
    <t>TC - monto</t>
  </si>
  <si>
    <t>Tarjeta no operativa</t>
  </si>
  <si>
    <t>Inválida fecha de caducidad</t>
  </si>
  <si>
    <t>total</t>
  </si>
  <si>
    <r>
      <rPr>
        <b/>
        <sz val="14"/>
        <color theme="0"/>
        <rFont val="Omnes Medium"/>
        <family val="3"/>
      </rPr>
      <t xml:space="preserve">2  </t>
    </r>
    <r>
      <rPr>
        <b/>
        <u/>
        <sz val="14"/>
        <color theme="0"/>
        <rFont val="Omnes Medium"/>
        <family val="3"/>
      </rPr>
      <t>Control de meta diaria - Marzo 2026</t>
    </r>
  </si>
  <si>
    <t>Proyeccion</t>
  </si>
  <si>
    <t>Real Hasta el 9</t>
  </si>
  <si>
    <t>Variación Semana vs Semana</t>
  </si>
  <si>
    <r>
      <rPr>
        <b/>
        <sz val="14"/>
        <color theme="0"/>
        <rFont val="Omnes Medium"/>
        <family val="3"/>
      </rPr>
      <t xml:space="preserve">1  </t>
    </r>
    <r>
      <rPr>
        <b/>
        <u/>
        <sz val="14"/>
        <color theme="0"/>
        <rFont val="Omnes Medium"/>
        <family val="3"/>
      </rPr>
      <t>Proyección Factu TC Abril 2026</t>
    </r>
  </si>
  <si>
    <t>Abril vs Mar</t>
  </si>
  <si>
    <t>dia</t>
  </si>
  <si>
    <t>Marca</t>
  </si>
  <si>
    <t>volumen</t>
  </si>
  <si>
    <t>trx</t>
  </si>
  <si>
    <t>Etiquetas de columna</t>
  </si>
  <si>
    <t>Suma de volumen</t>
  </si>
  <si>
    <t>Peso Amex</t>
  </si>
  <si>
    <t>Peso Vsia</t>
  </si>
  <si>
    <t>Peso Visa</t>
  </si>
  <si>
    <t>Factu total</t>
  </si>
  <si>
    <t>Cuotas</t>
  </si>
  <si>
    <t>N</t>
  </si>
  <si>
    <t>S</t>
  </si>
  <si>
    <t>Dia</t>
  </si>
  <si>
    <t>Trx</t>
  </si>
  <si>
    <t>Volumen</t>
  </si>
  <si>
    <t>Cuota</t>
  </si>
  <si>
    <t>Psea a cuotas</t>
  </si>
  <si>
    <t>codmes</t>
  </si>
  <si>
    <t>Suma de Trx</t>
  </si>
  <si>
    <t>día</t>
  </si>
  <si>
    <t>cuotas</t>
  </si>
  <si>
    <t>Última proyección</t>
  </si>
  <si>
    <t>Vs PPTO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</si>
</sst>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_(* #,##0.00_);_(* \(#,##0.00\);_(* &quot;-&quot;??_);_(@_)"/>
    <numFmt numFmtId="165" formatCode="_ * #,##0.00_ ;_ * \-#,##0.00_ ;_ * &quot;-&quot;??_ ;_ @_ "/>
    <numFmt numFmtId="166" formatCode="0.0"/>
    <numFmt numFmtId="167" formatCode="0.0%"/>
    <numFmt numFmtId="168" formatCode="#,##0_ ;\-#,##0\ "/>
    <numFmt numFmtId="169" formatCode="#,##0.0_ ;\-#,##0.0\ "/>
    <numFmt numFmtId="170" formatCode="dd/mmm"/>
    <numFmt numFmtId="171" formatCode="#,##0.00_ ;\-#,##0.00\ "/>
    <numFmt numFmtId="172" formatCode="_ * #,##0_ ;_ * \-#,##0_ ;_ * &quot;-&quot;??_ ;_ @_ "/>
    <numFmt numFmtId="173" formatCode="#,##0.000_ ;\-#,##0.000\ "/>
    <numFmt numFmtId="174" formatCode="0.0000000000"/>
    <numFmt numFmtId="175" formatCode="0.000"/>
    <numFmt numFmtId="176" formatCode="_ * #,##0.0000_ ;_ * \-#,##0.0000_ ;_ * &quot;-&quot;??_ ;_ @_ "/>
    <numFmt numFmtId="177" formatCode="_ * #,##0.000_ ;_ * \-#,##0.000_ ;_ * &quot;-&quot;??_ ;_ @_ "/>
    <numFmt numFmtId="178" formatCode="_ * #,##0.0_ ;_ * \-#,##0.0_ ;_ * &quot;-&quot;??_ ;_ @_ "/>
    <numFmt numFmtId="179" formatCode="#,##0.0"/>
    <numFmt numFmtId="180" formatCode="_-* #,##0_-;\-* #,##0_-;_-* &quot;-&quot;??_-;_-@_-"/>
    <numFmt numFmtId="181" formatCode="0.000000000000000"/>
    <numFmt numFmtId="182" formatCode="_-* #,##0.0_-;\-* #,##0.0_-;_-* &quot;-&quot;??_-;_-@_-"/>
    <numFmt numFmtId="183" formatCode="_(* #,##0_);_(* \(#,##0\);_(* &quot;-&quot;??_);_(@_)"/>
    <numFmt numFmtId="184" formatCode="_ * #,##0.0000000_ ;_ * \-#,##0.0000000_ ;_ * &quot;-&quot;??_ ;_ @_ "/>
    <numFmt numFmtId="185" formatCode="#,##0.00000_ ;\-#,##0.00000\ "/>
    <numFmt numFmtId="186" formatCode="_-* #,##0.0000_-;\-* #,##0.0000_-;_-* &quot;-&quot;??_-;_-@_-"/>
    <numFmt numFmtId="187" formatCode="0.0000"/>
  </numFmts>
  <fonts count="66">
    <font>
      <sz val="11"/>
      <color theme="1"/>
      <name val="Calibri"/>
      <family val="2"/>
      <scheme val="minor"/>
    </font>
    <font>
      <sz val="10"/>
      <color theme="1"/>
      <name val="Omnes Medium"/>
      <family val="2"/>
    </font>
    <font>
      <sz val="11"/>
      <color theme="1"/>
      <name val="Calibri"/>
      <family val="2"/>
      <scheme val="minor"/>
    </font>
    <font>
      <b/>
      <sz val="10"/>
      <color indexed="64"/>
      <name val="Arial"/>
      <family val="2"/>
    </font>
    <font>
      <sz val="11"/>
      <color rgb="FF9C6500"/>
      <name val="Calibri"/>
      <family val="2"/>
      <scheme val="minor"/>
    </font>
    <font>
      <sz val="11"/>
      <color theme="1"/>
      <name val="Omnes Regular"/>
      <family val="3"/>
    </font>
    <font>
      <b/>
      <u/>
      <sz val="11"/>
      <color theme="1"/>
      <name val="Calibri"/>
      <family val="2"/>
      <scheme val="minor"/>
    </font>
    <font>
      <sz val="11"/>
      <color rgb="FFFF0000"/>
      <name val="Omnes Regular"/>
      <family val="3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0"/>
      <name val="Omnes Medium"/>
      <family val="3"/>
    </font>
    <font>
      <b/>
      <u/>
      <sz val="14"/>
      <color theme="0"/>
      <name val="Omnes Medium"/>
      <family val="3"/>
    </font>
    <font>
      <sz val="11"/>
      <color theme="1"/>
      <name val="Omnes Medium"/>
      <family val="3"/>
    </font>
    <font>
      <b/>
      <sz val="11"/>
      <color theme="1"/>
      <name val="Omnes Medium"/>
      <family val="3"/>
    </font>
    <font>
      <b/>
      <u/>
      <sz val="14"/>
      <color theme="1"/>
      <name val="Omnes Medium"/>
      <family val="3"/>
    </font>
    <font>
      <b/>
      <sz val="11"/>
      <name val="Omnes Medium"/>
      <family val="3"/>
    </font>
    <font>
      <sz val="11"/>
      <name val="Omnes Medium"/>
      <family val="3"/>
    </font>
    <font>
      <sz val="11"/>
      <color rgb="FFFF0000"/>
      <name val="Omnes Medium"/>
      <family val="3"/>
    </font>
    <font>
      <sz val="11"/>
      <color theme="0"/>
      <name val="Omnes Medium"/>
      <family val="3"/>
    </font>
    <font>
      <sz val="10"/>
      <color indexed="64"/>
      <name val="Arial"/>
      <family val="2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color indexed="8"/>
      <name val="Omnes Medium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Omnes Medium"/>
      <family val="3"/>
    </font>
    <font>
      <sz val="11"/>
      <color rgb="FF000000"/>
      <name val="Omnes Medium"/>
      <family val="3"/>
    </font>
    <font>
      <sz val="9"/>
      <color theme="1"/>
      <name val="Calibri"/>
      <family val="2"/>
      <scheme val="minor"/>
    </font>
    <font>
      <sz val="9"/>
      <color theme="8"/>
      <name val="Omnes Medium"/>
      <family val="3"/>
    </font>
    <font>
      <b/>
      <sz val="9"/>
      <color theme="8"/>
      <name val="Omnes Medium"/>
      <family val="3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color theme="1"/>
      <name val="Geometria"/>
      <family val="2"/>
    </font>
    <font>
      <sz val="10"/>
      <color theme="1"/>
      <name val="Omnes Medium"/>
      <family val="3"/>
    </font>
    <font>
      <sz val="10"/>
      <name val="Omnes Medium"/>
      <family val="3"/>
    </font>
    <font>
      <sz val="11"/>
      <color theme="1"/>
      <name val="Geometria"/>
      <family val="2"/>
    </font>
    <font>
      <sz val="11"/>
      <color theme="1"/>
      <name val="Calibri Light"/>
      <family val="2"/>
    </font>
    <font>
      <sz val="11"/>
      <color rgb="FF242424"/>
      <name val="Segoe UI"/>
      <family val="2"/>
    </font>
    <font>
      <sz val="10"/>
      <color rgb="FF000000"/>
      <name val="Geometria"/>
      <family val="2"/>
    </font>
    <font>
      <b/>
      <sz val="11"/>
      <color theme="1"/>
      <name val="Omnes Regular"/>
      <family val="3"/>
    </font>
    <font>
      <b/>
      <sz val="14"/>
      <color rgb="FF0070C0"/>
      <name val="Calibri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9"/>
      <name val="Omnes Medium"/>
      <family val="3"/>
    </font>
    <font>
      <b/>
      <sz val="12"/>
      <color theme="1"/>
      <name val="Omnes Medium"/>
      <family val="3"/>
    </font>
    <font>
      <b/>
      <sz val="11"/>
      <color rgb="FF000000"/>
      <name val="Omnes Medium"/>
      <family val="3"/>
    </font>
    <font>
      <b/>
      <sz val="14"/>
      <color rgb="FFFF0000"/>
      <name val="Omnes Medium"/>
      <family val="3"/>
    </font>
    <font>
      <b/>
      <sz val="14"/>
      <color theme="9"/>
      <name val="Omnes Medium"/>
      <family val="3"/>
    </font>
    <font>
      <b/>
      <sz val="10"/>
      <color theme="1"/>
      <name val="Omnes Medium"/>
      <family val="3"/>
    </font>
    <font>
      <b/>
      <sz val="11"/>
      <color theme="1"/>
      <name val="Poppins"/>
    </font>
    <font>
      <sz val="11"/>
      <color theme="1"/>
      <name val="Poppins"/>
    </font>
    <font>
      <sz val="11"/>
      <color rgb="FF000000"/>
      <name val="Poppins"/>
    </font>
    <font>
      <sz val="11"/>
      <color rgb="FFFF0000"/>
      <name val="Poppins"/>
    </font>
    <font>
      <sz val="11"/>
      <name val="Poppins"/>
    </font>
    <font>
      <b/>
      <sz val="8"/>
      <color theme="0"/>
      <name val="Montserrat"/>
    </font>
    <font>
      <sz val="8"/>
      <color theme="1"/>
      <name val="Montserrat"/>
    </font>
    <font>
      <u/>
      <sz val="11"/>
      <color theme="1"/>
      <name val="Omnes Medium"/>
      <family val="3"/>
    </font>
  </fonts>
  <fills count="3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5" tint="0.39997558519241921"/>
      </bottom>
      <diagonal/>
    </border>
    <border>
      <left/>
      <right/>
      <top/>
      <bottom style="thin">
        <color theme="8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3" borderId="0" applyNumberFormat="0" applyBorder="0" applyAlignment="0" applyProtection="0"/>
    <xf numFmtId="165" fontId="2" fillId="0" borderId="0" applyFont="0" applyFill="0" applyBorder="0" applyAlignment="0" applyProtection="0"/>
    <xf numFmtId="0" fontId="9" fillId="12" borderId="0" applyNumberFormat="0" applyBorder="0" applyAlignment="0" applyProtection="0"/>
    <xf numFmtId="0" fontId="25" fillId="0" borderId="0"/>
    <xf numFmtId="0" fontId="1" fillId="0" borderId="0"/>
    <xf numFmtId="9" fontId="26" fillId="0" borderId="0" applyFont="0" applyFill="0" applyBorder="0" applyAlignment="0" applyProtection="0"/>
    <xf numFmtId="0" fontId="3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5" fillId="3" borderId="0" applyNumberFormat="0" applyBorder="0" applyAlignment="0" applyProtection="0"/>
    <xf numFmtId="0" fontId="36" fillId="0" borderId="0"/>
    <xf numFmtId="165" fontId="2" fillId="0" borderId="0" applyFont="0" applyFill="0" applyBorder="0" applyAlignment="0" applyProtection="0"/>
    <xf numFmtId="0" fontId="2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0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724">
    <xf numFmtId="0" fontId="0" fillId="0" borderId="0" xfId="0"/>
    <xf numFmtId="168" fontId="5" fillId="0" borderId="0" xfId="0" applyNumberFormat="1" applyFont="1" applyAlignment="1">
      <alignment horizontal="center"/>
    </xf>
    <xf numFmtId="167" fontId="5" fillId="0" borderId="0" xfId="1" applyNumberFormat="1" applyFont="1" applyFill="1" applyBorder="1" applyAlignment="1">
      <alignment horizontal="center"/>
    </xf>
    <xf numFmtId="169" fontId="5" fillId="0" borderId="0" xfId="0" applyNumberFormat="1" applyFont="1" applyAlignment="1">
      <alignment horizontal="center"/>
    </xf>
    <xf numFmtId="171" fontId="5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9" fontId="5" fillId="0" borderId="0" xfId="1" applyFont="1" applyFill="1" applyBorder="1" applyAlignment="1">
      <alignment horizontal="center"/>
    </xf>
    <xf numFmtId="168" fontId="5" fillId="5" borderId="0" xfId="0" applyNumberFormat="1" applyFont="1" applyFill="1" applyAlignment="1">
      <alignment horizontal="center"/>
    </xf>
    <xf numFmtId="0" fontId="0" fillId="0" borderId="0" xfId="0" quotePrefix="1" applyAlignment="1">
      <alignment horizontal="center"/>
    </xf>
    <xf numFmtId="168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167" fontId="0" fillId="0" borderId="0" xfId="1" applyNumberFormat="1" applyFont="1" applyAlignment="1">
      <alignment horizontal="center"/>
    </xf>
    <xf numFmtId="0" fontId="0" fillId="5" borderId="0" xfId="0" applyFill="1"/>
    <xf numFmtId="168" fontId="7" fillId="5" borderId="0" xfId="0" applyNumberFormat="1" applyFont="1" applyFill="1" applyAlignment="1">
      <alignment horizontal="center"/>
    </xf>
    <xf numFmtId="168" fontId="0" fillId="0" borderId="0" xfId="0" applyNumberFormat="1"/>
    <xf numFmtId="9" fontId="0" fillId="0" borderId="0" xfId="1" applyFont="1"/>
    <xf numFmtId="9" fontId="0" fillId="5" borderId="0" xfId="0" applyNumberFormat="1" applyFill="1"/>
    <xf numFmtId="9" fontId="0" fillId="0" borderId="0" xfId="0" applyNumberFormat="1"/>
    <xf numFmtId="166" fontId="0" fillId="0" borderId="0" xfId="0" applyNumberFormat="1"/>
    <xf numFmtId="168" fontId="5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168" fontId="0" fillId="0" borderId="0" xfId="0" applyNumberFormat="1" applyAlignment="1">
      <alignment horizontal="left"/>
    </xf>
    <xf numFmtId="168" fontId="8" fillId="10" borderId="0" xfId="0" applyNumberFormat="1" applyFont="1" applyFill="1" applyAlignment="1">
      <alignment horizontal="center"/>
    </xf>
    <xf numFmtId="167" fontId="0" fillId="11" borderId="0" xfId="1" applyNumberFormat="1" applyFont="1" applyFill="1" applyAlignment="1">
      <alignment horizontal="center"/>
    </xf>
    <xf numFmtId="9" fontId="0" fillId="0" borderId="0" xfId="1" applyFont="1" applyFill="1" applyAlignment="1">
      <alignment horizontal="center"/>
    </xf>
    <xf numFmtId="167" fontId="0" fillId="5" borderId="0" xfId="1" applyNumberFormat="1" applyFont="1" applyFill="1" applyAlignment="1">
      <alignment horizontal="center"/>
    </xf>
    <xf numFmtId="0" fontId="10" fillId="0" borderId="0" xfId="0" applyFont="1"/>
    <xf numFmtId="167" fontId="0" fillId="5" borderId="4" xfId="1" applyNumberFormat="1" applyFont="1" applyFill="1" applyBorder="1" applyAlignment="1">
      <alignment horizontal="center"/>
    </xf>
    <xf numFmtId="168" fontId="8" fillId="10" borderId="0" xfId="5" applyNumberFormat="1" applyFont="1" applyFill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right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169" fontId="13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0" fontId="14" fillId="8" borderId="0" xfId="0" applyFont="1" applyFill="1"/>
    <xf numFmtId="0" fontId="13" fillId="8" borderId="0" xfId="0" applyFont="1" applyFill="1"/>
    <xf numFmtId="0" fontId="13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168" fontId="13" fillId="8" borderId="0" xfId="0" applyNumberFormat="1" applyFont="1" applyFill="1" applyAlignment="1">
      <alignment horizontal="center"/>
    </xf>
    <xf numFmtId="167" fontId="13" fillId="8" borderId="0" xfId="0" applyNumberFormat="1" applyFont="1" applyFill="1" applyAlignment="1">
      <alignment horizontal="center"/>
    </xf>
    <xf numFmtId="168" fontId="13" fillId="0" borderId="0" xfId="0" applyNumberFormat="1" applyFont="1"/>
    <xf numFmtId="167" fontId="13" fillId="0" borderId="0" xfId="1" applyNumberFormat="1" applyFont="1"/>
    <xf numFmtId="167" fontId="13" fillId="8" borderId="0" xfId="1" applyNumberFormat="1" applyFont="1" applyFill="1" applyBorder="1" applyAlignment="1">
      <alignment horizontal="center"/>
    </xf>
    <xf numFmtId="169" fontId="13" fillId="8" borderId="0" xfId="0" applyNumberFormat="1" applyFont="1" applyFill="1" applyAlignment="1">
      <alignment horizontal="center"/>
    </xf>
    <xf numFmtId="0" fontId="14" fillId="0" borderId="0" xfId="0" applyFont="1"/>
    <xf numFmtId="0" fontId="14" fillId="0" borderId="1" xfId="0" applyFont="1" applyBorder="1"/>
    <xf numFmtId="0" fontId="14" fillId="8" borderId="1" xfId="0" applyFont="1" applyFill="1" applyBorder="1" applyAlignment="1">
      <alignment horizontal="center"/>
    </xf>
    <xf numFmtId="169" fontId="14" fillId="0" borderId="0" xfId="0" quotePrefix="1" applyNumberFormat="1" applyFont="1" applyAlignment="1">
      <alignment horizontal="left"/>
    </xf>
    <xf numFmtId="1" fontId="13" fillId="8" borderId="0" xfId="0" applyNumberFormat="1" applyFont="1" applyFill="1" applyAlignment="1">
      <alignment horizontal="center"/>
    </xf>
    <xf numFmtId="1" fontId="14" fillId="8" borderId="0" xfId="0" applyNumberFormat="1" applyFont="1" applyFill="1" applyAlignment="1">
      <alignment horizontal="center"/>
    </xf>
    <xf numFmtId="169" fontId="14" fillId="0" borderId="0" xfId="0" applyNumberFormat="1" applyFont="1" applyAlignment="1">
      <alignment horizontal="left"/>
    </xf>
    <xf numFmtId="169" fontId="14" fillId="0" borderId="1" xfId="0" applyNumberFormat="1" applyFont="1" applyBorder="1" applyAlignment="1">
      <alignment horizontal="left"/>
    </xf>
    <xf numFmtId="1" fontId="13" fillId="8" borderId="1" xfId="0" applyNumberFormat="1" applyFont="1" applyFill="1" applyBorder="1" applyAlignment="1">
      <alignment horizontal="center"/>
    </xf>
    <xf numFmtId="1" fontId="14" fillId="8" borderId="1" xfId="0" applyNumberFormat="1" applyFont="1" applyFill="1" applyBorder="1" applyAlignment="1">
      <alignment horizontal="center"/>
    </xf>
    <xf numFmtId="169" fontId="13" fillId="0" borderId="0" xfId="0" applyNumberFormat="1" applyFont="1" applyAlignment="1">
      <alignment horizontal="left"/>
    </xf>
    <xf numFmtId="173" fontId="13" fillId="0" borderId="0" xfId="0" applyNumberFormat="1" applyFont="1"/>
    <xf numFmtId="2" fontId="13" fillId="0" borderId="0" xfId="0" applyNumberFormat="1" applyFont="1" applyAlignment="1">
      <alignment horizontal="center"/>
    </xf>
    <xf numFmtId="174" fontId="13" fillId="0" borderId="0" xfId="0" applyNumberFormat="1" applyFont="1"/>
    <xf numFmtId="171" fontId="13" fillId="0" borderId="0" xfId="0" applyNumberFormat="1" applyFont="1" applyAlignment="1">
      <alignment horizontal="center"/>
    </xf>
    <xf numFmtId="0" fontId="15" fillId="0" borderId="0" xfId="0" applyFont="1" applyAlignment="1">
      <alignment horizontal="left"/>
    </xf>
    <xf numFmtId="0" fontId="16" fillId="6" borderId="0" xfId="7" applyFont="1" applyFill="1" applyBorder="1"/>
    <xf numFmtId="166" fontId="16" fillId="6" borderId="0" xfId="7" applyNumberFormat="1" applyFont="1" applyFill="1" applyBorder="1" applyAlignment="1">
      <alignment horizontal="center"/>
    </xf>
    <xf numFmtId="0" fontId="17" fillId="6" borderId="0" xfId="7" applyFont="1" applyFill="1" applyBorder="1"/>
    <xf numFmtId="0" fontId="16" fillId="6" borderId="1" xfId="7" applyFont="1" applyFill="1" applyBorder="1" applyAlignment="1">
      <alignment horizontal="center" vertical="center"/>
    </xf>
    <xf numFmtId="0" fontId="16" fillId="6" borderId="1" xfId="7" applyFont="1" applyFill="1" applyBorder="1" applyAlignment="1">
      <alignment horizontal="center" vertical="center" wrapText="1"/>
    </xf>
    <xf numFmtId="0" fontId="17" fillId="6" borderId="0" xfId="7" applyFont="1" applyFill="1" applyBorder="1" applyAlignment="1">
      <alignment horizontal="left" vertical="center"/>
    </xf>
    <xf numFmtId="166" fontId="17" fillId="6" borderId="0" xfId="7" applyNumberFormat="1" applyFont="1" applyFill="1" applyBorder="1" applyAlignment="1">
      <alignment horizontal="center" vertical="center"/>
    </xf>
    <xf numFmtId="167" fontId="17" fillId="6" borderId="0" xfId="1" applyNumberFormat="1" applyFont="1" applyFill="1" applyBorder="1" applyAlignment="1">
      <alignment horizontal="center" vertical="center"/>
    </xf>
    <xf numFmtId="2" fontId="17" fillId="6" borderId="0" xfId="7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70" fontId="13" fillId="0" borderId="3" xfId="0" applyNumberFormat="1" applyFont="1" applyBorder="1" applyAlignment="1">
      <alignment horizontal="center"/>
    </xf>
    <xf numFmtId="166" fontId="13" fillId="0" borderId="0" xfId="0" applyNumberFormat="1" applyFont="1" applyAlignment="1">
      <alignment horizontal="center"/>
    </xf>
    <xf numFmtId="167" fontId="13" fillId="0" borderId="0" xfId="1" applyNumberFormat="1" applyFont="1" applyAlignment="1">
      <alignment horizontal="center"/>
    </xf>
    <xf numFmtId="0" fontId="17" fillId="0" borderId="0" xfId="0" applyFont="1"/>
    <xf numFmtId="170" fontId="13" fillId="0" borderId="0" xfId="0" applyNumberFormat="1" applyFont="1" applyAlignment="1">
      <alignment horizontal="center"/>
    </xf>
    <xf numFmtId="166" fontId="13" fillId="0" borderId="0" xfId="0" applyNumberFormat="1" applyFont="1"/>
    <xf numFmtId="0" fontId="18" fillId="0" borderId="0" xfId="0" applyFont="1"/>
    <xf numFmtId="166" fontId="18" fillId="0" borderId="0" xfId="0" applyNumberFormat="1" applyFont="1"/>
    <xf numFmtId="9" fontId="13" fillId="0" borderId="0" xfId="0" applyNumberFormat="1" applyFont="1"/>
    <xf numFmtId="2" fontId="13" fillId="0" borderId="0" xfId="0" applyNumberFormat="1" applyFont="1"/>
    <xf numFmtId="0" fontId="11" fillId="7" borderId="0" xfId="0" applyFont="1" applyFill="1" applyAlignment="1">
      <alignment horizontal="center" vertical="center" wrapText="1"/>
    </xf>
    <xf numFmtId="0" fontId="12" fillId="7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0" fontId="14" fillId="0" borderId="1" xfId="0" applyFont="1" applyBorder="1" applyAlignment="1">
      <alignment horizontal="center"/>
    </xf>
    <xf numFmtId="166" fontId="13" fillId="5" borderId="0" xfId="0" applyNumberFormat="1" applyFont="1" applyFill="1" applyAlignment="1">
      <alignment horizontal="center"/>
    </xf>
    <xf numFmtId="0" fontId="19" fillId="0" borderId="0" xfId="0" applyFont="1" applyAlignment="1">
      <alignment horizontal="center"/>
    </xf>
    <xf numFmtId="0" fontId="11" fillId="7" borderId="0" xfId="0" applyFont="1" applyFill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170" fontId="13" fillId="6" borderId="0" xfId="0" applyNumberFormat="1" applyFont="1" applyFill="1" applyAlignment="1">
      <alignment horizontal="center"/>
    </xf>
    <xf numFmtId="0" fontId="13" fillId="6" borderId="0" xfId="0" applyFont="1" applyFill="1"/>
    <xf numFmtId="0" fontId="20" fillId="0" borderId="0" xfId="0" applyFont="1" applyAlignment="1">
      <alignment horizontal="center"/>
    </xf>
    <xf numFmtId="0" fontId="20" fillId="0" borderId="0" xfId="0" applyFont="1"/>
    <xf numFmtId="0" fontId="13" fillId="5" borderId="0" xfId="0" applyFont="1" applyFill="1"/>
    <xf numFmtId="170" fontId="13" fillId="5" borderId="0" xfId="0" applyNumberFormat="1" applyFont="1" applyFill="1" applyAlignment="1">
      <alignment horizontal="center"/>
    </xf>
    <xf numFmtId="0" fontId="14" fillId="0" borderId="0" xfId="0" applyFont="1" applyAlignment="1">
      <alignment horizontal="center" vertical="center" wrapText="1"/>
    </xf>
    <xf numFmtId="10" fontId="0" fillId="0" borderId="0" xfId="0" applyNumberFormat="1"/>
    <xf numFmtId="167" fontId="13" fillId="0" borderId="0" xfId="1" applyNumberFormat="1" applyFont="1" applyAlignment="1">
      <alignment horizontal="center" vertical="center"/>
    </xf>
    <xf numFmtId="168" fontId="17" fillId="8" borderId="0" xfId="0" applyNumberFormat="1" applyFont="1" applyFill="1" applyAlignment="1">
      <alignment horizontal="center"/>
    </xf>
    <xf numFmtId="167" fontId="17" fillId="8" borderId="0" xfId="1" applyNumberFormat="1" applyFont="1" applyFill="1" applyBorder="1" applyAlignment="1">
      <alignment horizontal="center"/>
    </xf>
    <xf numFmtId="3" fontId="8" fillId="10" borderId="0" xfId="6" applyNumberFormat="1" applyFont="1" applyFill="1" applyAlignment="1">
      <alignment horizontal="center" vertical="center"/>
    </xf>
    <xf numFmtId="165" fontId="5" fillId="0" borderId="0" xfId="6" applyFont="1" applyFill="1" applyBorder="1" applyAlignment="1">
      <alignment horizontal="center"/>
    </xf>
    <xf numFmtId="3" fontId="8" fillId="10" borderId="0" xfId="6" applyNumberFormat="1" applyFont="1" applyFill="1" applyAlignment="1">
      <alignment horizontal="center"/>
    </xf>
    <xf numFmtId="167" fontId="0" fillId="0" borderId="0" xfId="1" applyNumberFormat="1" applyFont="1" applyFill="1" applyAlignment="1">
      <alignment horizontal="center"/>
    </xf>
    <xf numFmtId="9" fontId="21" fillId="0" borderId="0" xfId="1" applyFont="1" applyAlignment="1">
      <alignment horizontal="center"/>
    </xf>
    <xf numFmtId="167" fontId="21" fillId="0" borderId="0" xfId="1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9" fontId="13" fillId="0" borderId="0" xfId="1" applyFont="1"/>
    <xf numFmtId="166" fontId="17" fillId="0" borderId="0" xfId="1" applyNumberFormat="1" applyFont="1" applyFill="1" applyAlignment="1">
      <alignment horizontal="center"/>
    </xf>
    <xf numFmtId="166" fontId="13" fillId="0" borderId="0" xfId="1" applyNumberFormat="1" applyFont="1" applyFill="1" applyAlignment="1">
      <alignment horizontal="center"/>
    </xf>
    <xf numFmtId="170" fontId="13" fillId="9" borderId="0" xfId="0" applyNumberFormat="1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166" fontId="13" fillId="9" borderId="0" xfId="0" applyNumberFormat="1" applyFont="1" applyFill="1" applyAlignment="1">
      <alignment horizontal="center"/>
    </xf>
    <xf numFmtId="166" fontId="13" fillId="9" borderId="0" xfId="1" applyNumberFormat="1" applyFont="1" applyFill="1" applyAlignment="1">
      <alignment horizontal="center"/>
    </xf>
    <xf numFmtId="170" fontId="13" fillId="9" borderId="3" xfId="0" applyNumberFormat="1" applyFont="1" applyFill="1" applyBorder="1" applyAlignment="1">
      <alignment horizontal="center"/>
    </xf>
    <xf numFmtId="9" fontId="13" fillId="5" borderId="0" xfId="1" applyFont="1" applyFill="1"/>
    <xf numFmtId="176" fontId="0" fillId="0" borderId="0" xfId="6" applyNumberFormat="1" applyFont="1"/>
    <xf numFmtId="3" fontId="22" fillId="0" borderId="2" xfId="0" applyNumberFormat="1" applyFont="1" applyBorder="1" applyAlignment="1">
      <alignment horizontal="center"/>
    </xf>
    <xf numFmtId="3" fontId="22" fillId="10" borderId="2" xfId="0" applyNumberFormat="1" applyFont="1" applyFill="1" applyBorder="1" applyAlignment="1">
      <alignment horizontal="center"/>
    </xf>
    <xf numFmtId="168" fontId="13" fillId="0" borderId="0" xfId="0" applyNumberFormat="1" applyFont="1" applyAlignment="1">
      <alignment horizontal="center"/>
    </xf>
    <xf numFmtId="16" fontId="13" fillId="0" borderId="0" xfId="0" applyNumberFormat="1" applyFont="1" applyAlignment="1">
      <alignment horizontal="center"/>
    </xf>
    <xf numFmtId="169" fontId="13" fillId="9" borderId="0" xfId="6" applyNumberFormat="1" applyFont="1" applyFill="1" applyAlignment="1">
      <alignment horizontal="center"/>
    </xf>
    <xf numFmtId="166" fontId="17" fillId="6" borderId="0" xfId="7" quotePrefix="1" applyNumberFormat="1" applyFont="1" applyFill="1" applyBorder="1" applyAlignment="1">
      <alignment horizontal="center" vertical="center"/>
    </xf>
    <xf numFmtId="173" fontId="13" fillId="0" borderId="0" xfId="0" applyNumberFormat="1" applyFont="1" applyAlignment="1">
      <alignment horizontal="center"/>
    </xf>
    <xf numFmtId="3" fontId="13" fillId="0" borderId="0" xfId="0" applyNumberFormat="1" applyFont="1"/>
    <xf numFmtId="172" fontId="0" fillId="0" borderId="0" xfId="6" applyNumberFormat="1" applyFont="1"/>
    <xf numFmtId="1" fontId="0" fillId="0" borderId="0" xfId="0" applyNumberFormat="1"/>
    <xf numFmtId="0" fontId="14" fillId="16" borderId="0" xfId="0" applyFont="1" applyFill="1"/>
    <xf numFmtId="0" fontId="13" fillId="16" borderId="0" xfId="0" applyFont="1" applyFill="1"/>
    <xf numFmtId="0" fontId="14" fillId="16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 wrapText="1"/>
    </xf>
    <xf numFmtId="168" fontId="13" fillId="16" borderId="0" xfId="0" applyNumberFormat="1" applyFont="1" applyFill="1" applyAlignment="1">
      <alignment horizontal="center"/>
    </xf>
    <xf numFmtId="167" fontId="13" fillId="16" borderId="0" xfId="0" applyNumberFormat="1" applyFont="1" applyFill="1" applyAlignment="1">
      <alignment horizontal="center"/>
    </xf>
    <xf numFmtId="167" fontId="13" fillId="16" borderId="0" xfId="1" applyNumberFormat="1" applyFont="1" applyFill="1" applyBorder="1" applyAlignment="1">
      <alignment horizontal="center"/>
    </xf>
    <xf numFmtId="168" fontId="13" fillId="16" borderId="0" xfId="0" applyNumberFormat="1" applyFont="1" applyFill="1" applyAlignment="1">
      <alignment horizontal="center" wrapText="1"/>
    </xf>
    <xf numFmtId="169" fontId="13" fillId="16" borderId="0" xfId="0" applyNumberFormat="1" applyFont="1" applyFill="1" applyAlignment="1">
      <alignment horizontal="center"/>
    </xf>
    <xf numFmtId="10" fontId="13" fillId="0" borderId="0" xfId="0" applyNumberFormat="1" applyFont="1"/>
    <xf numFmtId="0" fontId="27" fillId="0" borderId="0" xfId="0" applyFont="1"/>
    <xf numFmtId="0" fontId="14" fillId="0" borderId="3" xfId="0" applyFont="1" applyBorder="1" applyAlignment="1">
      <alignment horizontal="center"/>
    </xf>
    <xf numFmtId="0" fontId="13" fillId="0" borderId="3" xfId="0" applyFont="1" applyBorder="1"/>
    <xf numFmtId="166" fontId="14" fillId="0" borderId="3" xfId="0" applyNumberFormat="1" applyFont="1" applyBorder="1" applyAlignment="1">
      <alignment horizontal="center"/>
    </xf>
    <xf numFmtId="166" fontId="13" fillId="0" borderId="3" xfId="0" applyNumberFormat="1" applyFont="1" applyBorder="1" applyAlignment="1">
      <alignment horizontal="center"/>
    </xf>
    <xf numFmtId="167" fontId="13" fillId="0" borderId="3" xfId="1" applyNumberFormat="1" applyFont="1" applyBorder="1" applyAlignment="1">
      <alignment horizontal="center"/>
    </xf>
    <xf numFmtId="178" fontId="0" fillId="0" borderId="0" xfId="0" applyNumberFormat="1"/>
    <xf numFmtId="178" fontId="0" fillId="0" borderId="0" xfId="6" applyNumberFormat="1" applyFont="1"/>
    <xf numFmtId="179" fontId="13" fillId="0" borderId="0" xfId="0" applyNumberFormat="1" applyFont="1" applyAlignment="1">
      <alignment horizontal="center"/>
    </xf>
    <xf numFmtId="17" fontId="13" fillId="0" borderId="0" xfId="0" applyNumberFormat="1" applyFont="1"/>
    <xf numFmtId="0" fontId="28" fillId="0" borderId="0" xfId="0" applyFont="1"/>
    <xf numFmtId="169" fontId="17" fillId="6" borderId="0" xfId="0" applyNumberFormat="1" applyFont="1" applyFill="1" applyAlignment="1">
      <alignment horizontal="center"/>
    </xf>
    <xf numFmtId="172" fontId="0" fillId="0" borderId="0" xfId="6" applyNumberFormat="1" applyFont="1" applyFill="1"/>
    <xf numFmtId="167" fontId="17" fillId="6" borderId="0" xfId="1" applyNumberFormat="1" applyFont="1" applyFill="1" applyBorder="1" applyAlignment="1">
      <alignment horizontal="center"/>
    </xf>
    <xf numFmtId="167" fontId="0" fillId="0" borderId="0" xfId="1" applyNumberFormat="1" applyFont="1"/>
    <xf numFmtId="178" fontId="13" fillId="0" borderId="0" xfId="6" applyNumberFormat="1" applyFont="1"/>
    <xf numFmtId="17" fontId="13" fillId="9" borderId="0" xfId="0" applyNumberFormat="1" applyFont="1" applyFill="1" applyAlignment="1">
      <alignment vertical="center"/>
    </xf>
    <xf numFmtId="167" fontId="13" fillId="9" borderId="0" xfId="1" applyNumberFormat="1" applyFont="1" applyFill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" fontId="13" fillId="0" borderId="2" xfId="1" applyNumberFormat="1" applyFont="1" applyBorder="1" applyAlignment="1">
      <alignment horizontal="center" vertical="center"/>
    </xf>
    <xf numFmtId="0" fontId="32" fillId="0" borderId="0" xfId="0" applyFont="1" applyAlignment="1">
      <alignment horizontal="left" indent="1"/>
    </xf>
    <xf numFmtId="168" fontId="31" fillId="8" borderId="0" xfId="0" applyNumberFormat="1" applyFont="1" applyFill="1" applyAlignment="1">
      <alignment horizontal="center"/>
    </xf>
    <xf numFmtId="167" fontId="31" fillId="8" borderId="0" xfId="0" applyNumberFormat="1" applyFont="1" applyFill="1" applyAlignment="1">
      <alignment horizontal="center"/>
    </xf>
    <xf numFmtId="0" fontId="29" fillId="0" borderId="0" xfId="0" applyFont="1" applyAlignment="1">
      <alignment horizontal="center" vertical="center"/>
    </xf>
    <xf numFmtId="167" fontId="29" fillId="0" borderId="0" xfId="0" applyNumberFormat="1" applyFont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167" fontId="13" fillId="9" borderId="0" xfId="1" applyNumberFormat="1" applyFont="1" applyFill="1" applyBorder="1" applyAlignment="1">
      <alignment horizontal="center" vertical="center"/>
    </xf>
    <xf numFmtId="17" fontId="13" fillId="6" borderId="2" xfId="0" applyNumberFormat="1" applyFont="1" applyFill="1" applyBorder="1" applyAlignment="1">
      <alignment vertical="center"/>
    </xf>
    <xf numFmtId="167" fontId="13" fillId="0" borderId="2" xfId="0" applyNumberFormat="1" applyFont="1" applyBorder="1" applyAlignment="1">
      <alignment horizontal="center" vertical="center"/>
    </xf>
    <xf numFmtId="167" fontId="19" fillId="0" borderId="0" xfId="1" applyNumberFormat="1" applyFont="1" applyAlignment="1">
      <alignment horizontal="center" vertical="center"/>
    </xf>
    <xf numFmtId="167" fontId="19" fillId="0" borderId="0" xfId="0" applyNumberFormat="1" applyFont="1" applyAlignment="1">
      <alignment horizontal="center"/>
    </xf>
    <xf numFmtId="0" fontId="19" fillId="0" borderId="0" xfId="0" applyFont="1"/>
    <xf numFmtId="167" fontId="13" fillId="0" borderId="2" xfId="1" applyNumberFormat="1" applyFont="1" applyBorder="1" applyAlignment="1">
      <alignment horizontal="center"/>
    </xf>
    <xf numFmtId="165" fontId="0" fillId="0" borderId="0" xfId="6" applyFont="1" applyFill="1"/>
    <xf numFmtId="178" fontId="13" fillId="0" borderId="0" xfId="6" applyNumberFormat="1" applyFont="1" applyFill="1" applyAlignment="1">
      <alignment horizontal="center"/>
    </xf>
    <xf numFmtId="179" fontId="13" fillId="0" borderId="0" xfId="0" applyNumberFormat="1" applyFont="1"/>
    <xf numFmtId="165" fontId="0" fillId="0" borderId="0" xfId="6" applyFont="1" applyAlignment="1"/>
    <xf numFmtId="1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78" fontId="0" fillId="0" borderId="0" xfId="6" applyNumberFormat="1" applyFont="1" applyFill="1"/>
    <xf numFmtId="172" fontId="0" fillId="0" borderId="0" xfId="6" applyNumberFormat="1" applyFont="1" applyAlignment="1">
      <alignment horizontal="center"/>
    </xf>
    <xf numFmtId="165" fontId="0" fillId="0" borderId="0" xfId="6" applyFont="1"/>
    <xf numFmtId="172" fontId="0" fillId="5" borderId="0" xfId="6" applyNumberFormat="1" applyFont="1" applyFill="1"/>
    <xf numFmtId="166" fontId="13" fillId="8" borderId="0" xfId="0" applyNumberFormat="1" applyFont="1" applyFill="1" applyAlignment="1">
      <alignment horizontal="center"/>
    </xf>
    <xf numFmtId="10" fontId="13" fillId="0" borderId="0" xfId="1" applyNumberFormat="1" applyFont="1"/>
    <xf numFmtId="167" fontId="13" fillId="8" borderId="0" xfId="0" applyNumberFormat="1" applyFont="1" applyFill="1" applyAlignment="1">
      <alignment horizontal="center" vertical="center"/>
    </xf>
    <xf numFmtId="17" fontId="14" fillId="8" borderId="1" xfId="0" applyNumberFormat="1" applyFont="1" applyFill="1" applyBorder="1" applyAlignment="1">
      <alignment horizontal="center" vertical="center"/>
    </xf>
    <xf numFmtId="3" fontId="0" fillId="0" borderId="0" xfId="0" applyNumberFormat="1"/>
    <xf numFmtId="0" fontId="33" fillId="20" borderId="5" xfId="0" applyFont="1" applyFill="1" applyBorder="1" applyAlignment="1">
      <alignment horizontal="left" indent="1"/>
    </xf>
    <xf numFmtId="17" fontId="0" fillId="20" borderId="2" xfId="0" applyNumberFormat="1" applyFill="1" applyBorder="1"/>
    <xf numFmtId="0" fontId="34" fillId="15" borderId="2" xfId="0" applyFont="1" applyFill="1" applyBorder="1" applyAlignment="1">
      <alignment horizontal="left" indent="3"/>
    </xf>
    <xf numFmtId="180" fontId="0" fillId="0" borderId="2" xfId="6" applyNumberFormat="1" applyFont="1" applyBorder="1"/>
    <xf numFmtId="180" fontId="0" fillId="20" borderId="2" xfId="6" applyNumberFormat="1" applyFont="1" applyFill="1" applyBorder="1"/>
    <xf numFmtId="167" fontId="0" fillId="0" borderId="2" xfId="1" applyNumberFormat="1" applyFont="1" applyBorder="1"/>
    <xf numFmtId="167" fontId="0" fillId="20" borderId="2" xfId="1" applyNumberFormat="1" applyFont="1" applyFill="1" applyBorder="1"/>
    <xf numFmtId="180" fontId="0" fillId="0" borderId="0" xfId="0" applyNumberFormat="1"/>
    <xf numFmtId="9" fontId="13" fillId="0" borderId="0" xfId="1" applyFont="1" applyFill="1" applyBorder="1" applyAlignment="1">
      <alignment horizontal="center"/>
    </xf>
    <xf numFmtId="168" fontId="13" fillId="0" borderId="0" xfId="0" applyNumberFormat="1" applyFont="1" applyAlignment="1">
      <alignment horizontal="center" vertical="center"/>
    </xf>
    <xf numFmtId="168" fontId="17" fillId="0" borderId="0" xfId="0" applyNumberFormat="1" applyFont="1" applyAlignment="1">
      <alignment horizontal="center" vertical="center"/>
    </xf>
    <xf numFmtId="10" fontId="0" fillId="0" borderId="0" xfId="1" applyNumberFormat="1" applyFont="1"/>
    <xf numFmtId="9" fontId="0" fillId="0" borderId="2" xfId="1" applyFont="1" applyBorder="1"/>
    <xf numFmtId="9" fontId="0" fillId="20" borderId="2" xfId="1" applyFont="1" applyFill="1" applyBorder="1"/>
    <xf numFmtId="1" fontId="0" fillId="0" borderId="2" xfId="1" applyNumberFormat="1" applyFont="1" applyBorder="1"/>
    <xf numFmtId="1" fontId="0" fillId="20" borderId="2" xfId="1" applyNumberFormat="1" applyFont="1" applyFill="1" applyBorder="1"/>
    <xf numFmtId="166" fontId="13" fillId="5" borderId="0" xfId="1" applyNumberFormat="1" applyFont="1" applyFill="1" applyAlignment="1">
      <alignment horizontal="center"/>
    </xf>
    <xf numFmtId="167" fontId="13" fillId="8" borderId="0" xfId="1" applyNumberFormat="1" applyFont="1" applyFill="1" applyAlignment="1">
      <alignment horizontal="center"/>
    </xf>
    <xf numFmtId="167" fontId="0" fillId="0" borderId="0" xfId="0" applyNumberFormat="1"/>
    <xf numFmtId="167" fontId="31" fillId="8" borderId="0" xfId="1" applyNumberFormat="1" applyFont="1" applyFill="1" applyBorder="1" applyAlignment="1">
      <alignment horizontal="center"/>
    </xf>
    <xf numFmtId="169" fontId="31" fillId="8" borderId="0" xfId="0" applyNumberFormat="1" applyFont="1" applyFill="1" applyAlignment="1">
      <alignment horizontal="center"/>
    </xf>
    <xf numFmtId="165" fontId="13" fillId="0" borderId="0" xfId="6" applyFont="1"/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167" fontId="13" fillId="0" borderId="0" xfId="1" applyNumberFormat="1" applyFont="1" applyFill="1" applyAlignment="1">
      <alignment horizontal="center"/>
    </xf>
    <xf numFmtId="179" fontId="17" fillId="0" borderId="0" xfId="0" applyNumberFormat="1" applyFont="1" applyAlignment="1">
      <alignment horizontal="center"/>
    </xf>
    <xf numFmtId="177" fontId="13" fillId="0" borderId="0" xfId="6" applyNumberFormat="1" applyFont="1"/>
    <xf numFmtId="167" fontId="13" fillId="0" borderId="0" xfId="1" applyNumberFormat="1" applyFont="1" applyFill="1" applyAlignment="1">
      <alignment horizontal="center" vertical="center"/>
    </xf>
    <xf numFmtId="0" fontId="0" fillId="0" borderId="7" xfId="0" applyBorder="1"/>
    <xf numFmtId="0" fontId="0" fillId="0" borderId="3" xfId="0" applyBorder="1"/>
    <xf numFmtId="180" fontId="0" fillId="0" borderId="6" xfId="13" applyNumberFormat="1" applyFont="1" applyBorder="1"/>
    <xf numFmtId="180" fontId="0" fillId="0" borderId="0" xfId="13" applyNumberFormat="1" applyFont="1" applyBorder="1"/>
    <xf numFmtId="180" fontId="0" fillId="5" borderId="0" xfId="13" applyNumberFormat="1" applyFont="1" applyFill="1" applyBorder="1"/>
    <xf numFmtId="9" fontId="0" fillId="0" borderId="0" xfId="1" applyFont="1" applyBorder="1"/>
    <xf numFmtId="167" fontId="0" fillId="21" borderId="0" xfId="1" applyNumberFormat="1" applyFont="1" applyFill="1" applyBorder="1"/>
    <xf numFmtId="167" fontId="0" fillId="11" borderId="0" xfId="1" applyNumberFormat="1" applyFont="1" applyFill="1" applyBorder="1"/>
    <xf numFmtId="167" fontId="0" fillId="11" borderId="4" xfId="1" applyNumberFormat="1" applyFont="1" applyFill="1" applyBorder="1"/>
    <xf numFmtId="167" fontId="0" fillId="21" borderId="4" xfId="1" applyNumberFormat="1" applyFont="1" applyFill="1" applyBorder="1"/>
    <xf numFmtId="9" fontId="0" fillId="0" borderId="4" xfId="1" applyFont="1" applyBorder="1"/>
    <xf numFmtId="0" fontId="27" fillId="0" borderId="9" xfId="0" applyFont="1" applyBorder="1" applyAlignment="1">
      <alignment horizontal="center"/>
    </xf>
    <xf numFmtId="180" fontId="0" fillId="0" borderId="8" xfId="13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172" fontId="0" fillId="0" borderId="9" xfId="6" applyNumberFormat="1" applyFont="1" applyBorder="1"/>
    <xf numFmtId="0" fontId="0" fillId="0" borderId="8" xfId="0" applyBorder="1"/>
    <xf numFmtId="9" fontId="0" fillId="0" borderId="8" xfId="1" applyFont="1" applyBorder="1"/>
    <xf numFmtId="167" fontId="0" fillId="21" borderId="10" xfId="1" applyNumberFormat="1" applyFont="1" applyFill="1" applyBorder="1"/>
    <xf numFmtId="167" fontId="0" fillId="11" borderId="10" xfId="1" applyNumberFormat="1" applyFont="1" applyFill="1" applyBorder="1"/>
    <xf numFmtId="0" fontId="27" fillId="0" borderId="2" xfId="0" applyFont="1" applyBorder="1"/>
    <xf numFmtId="172" fontId="0" fillId="0" borderId="7" xfId="6" applyNumberFormat="1" applyFont="1" applyBorder="1"/>
    <xf numFmtId="172" fontId="0" fillId="0" borderId="8" xfId="6" applyNumberFormat="1" applyFont="1" applyBorder="1"/>
    <xf numFmtId="172" fontId="0" fillId="0" borderId="10" xfId="6" applyNumberFormat="1" applyFont="1" applyBorder="1"/>
    <xf numFmtId="0" fontId="0" fillId="0" borderId="2" xfId="0" applyBorder="1" applyAlignment="1">
      <alignment horizontal="center"/>
    </xf>
    <xf numFmtId="167" fontId="13" fillId="0" borderId="3" xfId="1" applyNumberFormat="1" applyFont="1" applyFill="1" applyBorder="1" applyAlignment="1">
      <alignment horizontal="center"/>
    </xf>
    <xf numFmtId="0" fontId="37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167" fontId="13" fillId="21" borderId="0" xfId="1" applyNumberFormat="1" applyFont="1" applyFill="1" applyAlignment="1">
      <alignment horizontal="center"/>
    </xf>
    <xf numFmtId="168" fontId="13" fillId="21" borderId="0" xfId="0" applyNumberFormat="1" applyFont="1" applyFill="1" applyAlignment="1">
      <alignment horizontal="right"/>
    </xf>
    <xf numFmtId="168" fontId="13" fillId="5" borderId="0" xfId="0" applyNumberFormat="1" applyFont="1" applyFill="1" applyAlignment="1">
      <alignment horizontal="right"/>
    </xf>
    <xf numFmtId="172" fontId="17" fillId="5" borderId="0" xfId="6" applyNumberFormat="1" applyFont="1" applyFill="1" applyAlignment="1">
      <alignment horizontal="right"/>
    </xf>
    <xf numFmtId="168" fontId="17" fillId="21" borderId="0" xfId="0" applyNumberFormat="1" applyFont="1" applyFill="1" applyAlignment="1">
      <alignment horizontal="right" wrapText="1"/>
    </xf>
    <xf numFmtId="168" fontId="17" fillId="5" borderId="0" xfId="0" applyNumberFormat="1" applyFont="1" applyFill="1" applyAlignment="1">
      <alignment horizontal="right" wrapText="1"/>
    </xf>
    <xf numFmtId="169" fontId="17" fillId="21" borderId="0" xfId="0" applyNumberFormat="1" applyFont="1" applyFill="1" applyAlignment="1">
      <alignment horizontal="right" wrapText="1"/>
    </xf>
    <xf numFmtId="169" fontId="17" fillId="5" borderId="0" xfId="0" applyNumberFormat="1" applyFont="1" applyFill="1" applyAlignment="1">
      <alignment horizontal="right" wrapText="1"/>
    </xf>
    <xf numFmtId="0" fontId="28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168" fontId="17" fillId="25" borderId="0" xfId="0" applyNumberFormat="1" applyFont="1" applyFill="1" applyAlignment="1">
      <alignment horizontal="right" wrapText="1"/>
    </xf>
    <xf numFmtId="0" fontId="27" fillId="23" borderId="7" xfId="0" applyFont="1" applyFill="1" applyBorder="1"/>
    <xf numFmtId="0" fontId="27" fillId="23" borderId="3" xfId="0" applyFont="1" applyFill="1" applyBorder="1"/>
    <xf numFmtId="0" fontId="27" fillId="23" borderId="12" xfId="0" applyFont="1" applyFill="1" applyBorder="1"/>
    <xf numFmtId="0" fontId="0" fillId="0" borderId="12" xfId="0" applyBorder="1"/>
    <xf numFmtId="180" fontId="0" fillId="0" borderId="4" xfId="13" applyNumberFormat="1" applyFont="1" applyBorder="1"/>
    <xf numFmtId="167" fontId="0" fillId="21" borderId="11" xfId="1" applyNumberFormat="1" applyFont="1" applyFill="1" applyBorder="1"/>
    <xf numFmtId="167" fontId="0" fillId="21" borderId="1" xfId="1" applyNumberFormat="1" applyFont="1" applyFill="1" applyBorder="1"/>
    <xf numFmtId="167" fontId="0" fillId="21" borderId="13" xfId="1" applyNumberFormat="1" applyFont="1" applyFill="1" applyBorder="1"/>
    <xf numFmtId="0" fontId="27" fillId="23" borderId="5" xfId="0" applyFont="1" applyFill="1" applyBorder="1"/>
    <xf numFmtId="0" fontId="27" fillId="23" borderId="15" xfId="0" applyFont="1" applyFill="1" applyBorder="1"/>
    <xf numFmtId="0" fontId="27" fillId="0" borderId="9" xfId="0" applyFont="1" applyBorder="1"/>
    <xf numFmtId="0" fontId="27" fillId="23" borderId="9" xfId="0" applyFont="1" applyFill="1" applyBorder="1"/>
    <xf numFmtId="0" fontId="0" fillId="0" borderId="9" xfId="0" applyBorder="1"/>
    <xf numFmtId="167" fontId="0" fillId="0" borderId="0" xfId="1" applyNumberFormat="1" applyFont="1" applyFill="1" applyBorder="1"/>
    <xf numFmtId="0" fontId="0" fillId="0" borderId="7" xfId="0" applyBorder="1" applyAlignment="1">
      <alignment horizontal="left"/>
    </xf>
    <xf numFmtId="172" fontId="0" fillId="0" borderId="7" xfId="6" applyNumberFormat="1" applyFont="1" applyFill="1" applyBorder="1"/>
    <xf numFmtId="172" fontId="0" fillId="0" borderId="3" xfId="6" applyNumberFormat="1" applyFont="1" applyFill="1" applyBorder="1"/>
    <xf numFmtId="0" fontId="0" fillId="0" borderId="11" xfId="0" applyBorder="1" applyAlignment="1">
      <alignment horizontal="left"/>
    </xf>
    <xf numFmtId="172" fontId="0" fillId="0" borderId="11" xfId="6" applyNumberFormat="1" applyFont="1" applyFill="1" applyBorder="1"/>
    <xf numFmtId="172" fontId="0" fillId="0" borderId="1" xfId="6" applyNumberFormat="1" applyFont="1" applyFill="1" applyBorder="1"/>
    <xf numFmtId="0" fontId="0" fillId="23" borderId="6" xfId="0" applyFill="1" applyBorder="1" applyAlignment="1">
      <alignment horizontal="left"/>
    </xf>
    <xf numFmtId="172" fontId="0" fillId="23" borderId="6" xfId="6" applyNumberFormat="1" applyFont="1" applyFill="1" applyBorder="1"/>
    <xf numFmtId="172" fontId="0" fillId="23" borderId="0" xfId="6" applyNumberFormat="1" applyFont="1" applyFill="1" applyBorder="1"/>
    <xf numFmtId="172" fontId="0" fillId="23" borderId="8" xfId="6" applyNumberFormat="1" applyFont="1" applyFill="1" applyBorder="1"/>
    <xf numFmtId="167" fontId="0" fillId="0" borderId="7" xfId="1" applyNumberFormat="1" applyFont="1" applyFill="1" applyBorder="1"/>
    <xf numFmtId="172" fontId="0" fillId="0" borderId="0" xfId="6" applyNumberFormat="1" applyFont="1" applyFill="1" applyBorder="1"/>
    <xf numFmtId="167" fontId="0" fillId="0" borderId="11" xfId="1" applyNumberFormat="1" applyFont="1" applyFill="1" applyBorder="1"/>
    <xf numFmtId="10" fontId="0" fillId="0" borderId="1" xfId="1" applyNumberFormat="1" applyFont="1" applyFill="1" applyBorder="1"/>
    <xf numFmtId="172" fontId="0" fillId="0" borderId="6" xfId="6" applyNumberFormat="1" applyFont="1" applyFill="1" applyBorder="1"/>
    <xf numFmtId="0" fontId="0" fillId="0" borderId="6" xfId="0" applyBorder="1" applyAlignment="1">
      <alignment horizontal="left"/>
    </xf>
    <xf numFmtId="167" fontId="0" fillId="0" borderId="6" xfId="1" applyNumberFormat="1" applyFont="1" applyFill="1" applyBorder="1"/>
    <xf numFmtId="0" fontId="27" fillId="18" borderId="5" xfId="0" applyFont="1" applyFill="1" applyBorder="1"/>
    <xf numFmtId="0" fontId="27" fillId="18" borderId="15" xfId="0" applyFont="1" applyFill="1" applyBorder="1"/>
    <xf numFmtId="0" fontId="27" fillId="18" borderId="14" xfId="0" applyFont="1" applyFill="1" applyBorder="1"/>
    <xf numFmtId="167" fontId="0" fillId="11" borderId="1" xfId="1" applyNumberFormat="1" applyFont="1" applyFill="1" applyBorder="1"/>
    <xf numFmtId="167" fontId="0" fillId="11" borderId="13" xfId="1" applyNumberFormat="1" applyFont="1" applyFill="1" applyBorder="1"/>
    <xf numFmtId="0" fontId="0" fillId="18" borderId="6" xfId="0" applyFill="1" applyBorder="1" applyAlignment="1">
      <alignment horizontal="left"/>
    </xf>
    <xf numFmtId="172" fontId="0" fillId="18" borderId="6" xfId="6" applyNumberFormat="1" applyFont="1" applyFill="1" applyBorder="1"/>
    <xf numFmtId="172" fontId="0" fillId="18" borderId="0" xfId="6" applyNumberFormat="1" applyFont="1" applyFill="1" applyBorder="1"/>
    <xf numFmtId="172" fontId="0" fillId="18" borderId="8" xfId="6" applyNumberFormat="1" applyFont="1" applyFill="1" applyBorder="1"/>
    <xf numFmtId="180" fontId="0" fillId="0" borderId="6" xfId="13" applyNumberFormat="1" applyFont="1" applyBorder="1" applyAlignment="1">
      <alignment horizontal="center"/>
    </xf>
    <xf numFmtId="167" fontId="0" fillId="0" borderId="6" xfId="1" applyNumberFormat="1" applyFont="1" applyBorder="1"/>
    <xf numFmtId="167" fontId="0" fillId="0" borderId="0" xfId="1" applyNumberFormat="1" applyFont="1" applyBorder="1"/>
    <xf numFmtId="167" fontId="0" fillId="0" borderId="8" xfId="1" applyNumberFormat="1" applyFont="1" applyBorder="1"/>
    <xf numFmtId="167" fontId="0" fillId="0" borderId="8" xfId="0" applyNumberFormat="1" applyBorder="1"/>
    <xf numFmtId="167" fontId="0" fillId="11" borderId="11" xfId="1" applyNumberFormat="1" applyFont="1" applyFill="1" applyBorder="1"/>
    <xf numFmtId="172" fontId="0" fillId="0" borderId="2" xfId="6" applyNumberFormat="1" applyFont="1" applyBorder="1"/>
    <xf numFmtId="166" fontId="27" fillId="5" borderId="0" xfId="0" applyNumberFormat="1" applyFont="1" applyFill="1" applyAlignment="1">
      <alignment horizontal="center"/>
    </xf>
    <xf numFmtId="168" fontId="17" fillId="0" borderId="0" xfId="0" applyNumberFormat="1" applyFont="1" applyAlignment="1">
      <alignment horizontal="center"/>
    </xf>
    <xf numFmtId="0" fontId="27" fillId="24" borderId="0" xfId="0" applyFont="1" applyFill="1"/>
    <xf numFmtId="167" fontId="0" fillId="0" borderId="11" xfId="1" applyNumberFormat="1" applyFont="1" applyBorder="1"/>
    <xf numFmtId="167" fontId="0" fillId="0" borderId="1" xfId="1" applyNumberFormat="1" applyFont="1" applyBorder="1"/>
    <xf numFmtId="167" fontId="0" fillId="0" borderId="10" xfId="1" applyNumberFormat="1" applyFont="1" applyBorder="1"/>
    <xf numFmtId="180" fontId="0" fillId="5" borderId="0" xfId="13" applyNumberFormat="1" applyFont="1" applyFill="1"/>
    <xf numFmtId="180" fontId="0" fillId="0" borderId="0" xfId="13" applyNumberFormat="1" applyFont="1"/>
    <xf numFmtId="172" fontId="0" fillId="0" borderId="3" xfId="6" applyNumberFormat="1" applyFont="1" applyBorder="1"/>
    <xf numFmtId="180" fontId="0" fillId="0" borderId="9" xfId="6" applyNumberFormat="1" applyFont="1" applyBorder="1"/>
    <xf numFmtId="9" fontId="0" fillId="0" borderId="6" xfId="1" applyFont="1" applyBorder="1"/>
    <xf numFmtId="172" fontId="0" fillId="0" borderId="6" xfId="6" applyNumberFormat="1" applyFont="1" applyBorder="1"/>
    <xf numFmtId="180" fontId="0" fillId="0" borderId="8" xfId="6" applyNumberFormat="1" applyFont="1" applyBorder="1"/>
    <xf numFmtId="172" fontId="0" fillId="23" borderId="0" xfId="6" applyNumberFormat="1" applyFont="1" applyFill="1"/>
    <xf numFmtId="10" fontId="0" fillId="0" borderId="1" xfId="1" applyNumberFormat="1" applyFont="1" applyBorder="1"/>
    <xf numFmtId="43" fontId="0" fillId="0" borderId="9" xfId="6" applyNumberFormat="1" applyFont="1" applyBorder="1"/>
    <xf numFmtId="180" fontId="0" fillId="0" borderId="1" xfId="0" applyNumberFormat="1" applyBorder="1"/>
    <xf numFmtId="180" fontId="0" fillId="0" borderId="0" xfId="13" applyNumberFormat="1" applyFont="1" applyAlignment="1">
      <alignment horizontal="right"/>
    </xf>
    <xf numFmtId="172" fontId="0" fillId="0" borderId="11" xfId="6" applyNumberFormat="1" applyFont="1" applyBorder="1"/>
    <xf numFmtId="172" fontId="0" fillId="0" borderId="1" xfId="6" applyNumberFormat="1" applyFont="1" applyBorder="1"/>
    <xf numFmtId="180" fontId="0" fillId="0" borderId="10" xfId="6" applyNumberFormat="1" applyFont="1" applyBorder="1"/>
    <xf numFmtId="172" fontId="0" fillId="18" borderId="0" xfId="6" applyNumberFormat="1" applyFont="1" applyFill="1"/>
    <xf numFmtId="0" fontId="27" fillId="0" borderId="12" xfId="0" applyFont="1" applyBorder="1"/>
    <xf numFmtId="0" fontId="27" fillId="18" borderId="3" xfId="0" applyFont="1" applyFill="1" applyBorder="1"/>
    <xf numFmtId="0" fontId="0" fillId="0" borderId="9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167" fontId="0" fillId="5" borderId="0" xfId="1" applyNumberFormat="1" applyFont="1" applyFill="1"/>
    <xf numFmtId="0" fontId="0" fillId="0" borderId="0" xfId="0" pivotButton="1"/>
    <xf numFmtId="0" fontId="27" fillId="26" borderId="16" xfId="0" applyFont="1" applyFill="1" applyBorder="1"/>
    <xf numFmtId="0" fontId="27" fillId="27" borderId="17" xfId="0" applyFont="1" applyFill="1" applyBorder="1"/>
    <xf numFmtId="0" fontId="0" fillId="5" borderId="2" xfId="0" applyFill="1" applyBorder="1"/>
    <xf numFmtId="167" fontId="0" fillId="0" borderId="0" xfId="1" applyNumberFormat="1" applyFont="1" applyFill="1"/>
    <xf numFmtId="167" fontId="13" fillId="0" borderId="0" xfId="0" applyNumberFormat="1" applyFont="1" applyAlignment="1">
      <alignment horizontal="center"/>
    </xf>
    <xf numFmtId="166" fontId="17" fillId="0" borderId="0" xfId="0" applyNumberFormat="1" applyFont="1"/>
    <xf numFmtId="168" fontId="17" fillId="21" borderId="0" xfId="6" applyNumberFormat="1" applyFont="1" applyFill="1" applyAlignment="1">
      <alignment horizontal="right"/>
    </xf>
    <xf numFmtId="167" fontId="39" fillId="6" borderId="0" xfId="1" applyNumberFormat="1" applyFont="1" applyFill="1" applyBorder="1" applyAlignment="1">
      <alignment horizontal="center" vertical="center"/>
    </xf>
    <xf numFmtId="172" fontId="0" fillId="0" borderId="0" xfId="6" applyNumberFormat="1" applyFont="1" applyBorder="1"/>
    <xf numFmtId="9" fontId="17" fillId="0" borderId="0" xfId="1" applyFont="1" applyFill="1" applyAlignment="1">
      <alignment horizontal="center"/>
    </xf>
    <xf numFmtId="16" fontId="14" fillId="8" borderId="1" xfId="0" applyNumberFormat="1" applyFont="1" applyFill="1" applyBorder="1" applyAlignment="1">
      <alignment horizontal="center" vertical="center"/>
    </xf>
    <xf numFmtId="4" fontId="40" fillId="0" borderId="0" xfId="0" applyNumberFormat="1" applyFont="1" applyAlignment="1">
      <alignment horizontal="center" vertical="center"/>
    </xf>
    <xf numFmtId="14" fontId="0" fillId="0" borderId="0" xfId="0" applyNumberFormat="1"/>
    <xf numFmtId="9" fontId="13" fillId="11" borderId="0" xfId="1" applyFont="1" applyFill="1"/>
    <xf numFmtId="9" fontId="13" fillId="15" borderId="0" xfId="1" applyFont="1" applyFill="1"/>
    <xf numFmtId="2" fontId="0" fillId="0" borderId="0" xfId="0" applyNumberFormat="1"/>
    <xf numFmtId="0" fontId="19" fillId="0" borderId="6" xfId="0" applyFont="1" applyBorder="1"/>
    <xf numFmtId="0" fontId="13" fillId="0" borderId="4" xfId="0" applyFont="1" applyBorder="1" applyAlignment="1">
      <alignment horizontal="center"/>
    </xf>
    <xf numFmtId="0" fontId="13" fillId="0" borderId="4" xfId="0" applyFont="1" applyBorder="1"/>
    <xf numFmtId="10" fontId="0" fillId="0" borderId="0" xfId="1" applyNumberFormat="1" applyFont="1" applyAlignment="1">
      <alignment horizontal="center"/>
    </xf>
    <xf numFmtId="0" fontId="14" fillId="0" borderId="0" xfId="0" applyFont="1" applyAlignment="1">
      <alignment horizontal="center"/>
    </xf>
    <xf numFmtId="166" fontId="14" fillId="0" borderId="0" xfId="0" applyNumberFormat="1" applyFont="1" applyAlignment="1">
      <alignment horizontal="center"/>
    </xf>
    <xf numFmtId="167" fontId="13" fillId="0" borderId="0" xfId="1" applyNumberFormat="1" applyFont="1" applyBorder="1" applyAlignment="1">
      <alignment horizontal="center"/>
    </xf>
    <xf numFmtId="10" fontId="13" fillId="0" borderId="0" xfId="1" applyNumberFormat="1" applyFont="1" applyBorder="1" applyAlignment="1">
      <alignment horizontal="center"/>
    </xf>
    <xf numFmtId="167" fontId="13" fillId="0" borderId="0" xfId="0" applyNumberFormat="1" applyFont="1"/>
    <xf numFmtId="167" fontId="13" fillId="0" borderId="0" xfId="1" applyNumberFormat="1" applyFont="1" applyFill="1" applyBorder="1" applyAlignment="1">
      <alignment horizontal="center"/>
    </xf>
    <xf numFmtId="0" fontId="41" fillId="0" borderId="0" xfId="0" applyFont="1" applyAlignment="1">
      <alignment horizontal="right" vertical="center" wrapText="1"/>
    </xf>
    <xf numFmtId="0" fontId="41" fillId="0" borderId="0" xfId="0" applyFont="1" applyAlignment="1">
      <alignment vertical="center" wrapText="1"/>
    </xf>
    <xf numFmtId="3" fontId="41" fillId="0" borderId="0" xfId="0" applyNumberFormat="1" applyFont="1" applyAlignment="1">
      <alignment vertical="center" wrapText="1"/>
    </xf>
    <xf numFmtId="0" fontId="0" fillId="5" borderId="2" xfId="0" applyFill="1" applyBorder="1" applyAlignment="1">
      <alignment horizontal="center"/>
    </xf>
    <xf numFmtId="167" fontId="0" fillId="0" borderId="0" xfId="0" applyNumberFormat="1" applyAlignment="1">
      <alignment horizontal="center"/>
    </xf>
    <xf numFmtId="9" fontId="0" fillId="0" borderId="0" xfId="1" applyFont="1" applyFill="1"/>
    <xf numFmtId="167" fontId="43" fillId="0" borderId="0" xfId="1" applyNumberFormat="1" applyFont="1" applyFill="1" applyBorder="1" applyAlignment="1">
      <alignment horizontal="center"/>
    </xf>
    <xf numFmtId="178" fontId="27" fillId="0" borderId="0" xfId="6" applyNumberFormat="1" applyFont="1"/>
    <xf numFmtId="166" fontId="0" fillId="0" borderId="0" xfId="6" applyNumberFormat="1" applyFont="1" applyAlignment="1">
      <alignment horizontal="center"/>
    </xf>
    <xf numFmtId="167" fontId="27" fillId="5" borderId="0" xfId="1" applyNumberFormat="1" applyFont="1" applyFill="1"/>
    <xf numFmtId="167" fontId="4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8" fontId="4" fillId="3" borderId="0" xfId="5" applyNumberFormat="1" applyAlignment="1">
      <alignment horizontal="center"/>
    </xf>
    <xf numFmtId="166" fontId="13" fillId="0" borderId="0" xfId="1" applyNumberFormat="1" applyFont="1" applyAlignment="1">
      <alignment horizontal="center"/>
    </xf>
    <xf numFmtId="167" fontId="27" fillId="0" borderId="0" xfId="1" applyNumberFormat="1" applyFont="1" applyFill="1"/>
    <xf numFmtId="178" fontId="27" fillId="0" borderId="0" xfId="6" applyNumberFormat="1" applyFont="1" applyFill="1"/>
    <xf numFmtId="181" fontId="13" fillId="0" borderId="0" xfId="0" applyNumberFormat="1" applyFont="1"/>
    <xf numFmtId="1" fontId="17" fillId="6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left"/>
    </xf>
    <xf numFmtId="0" fontId="0" fillId="0" borderId="0" xfId="0" pivotButton="1" applyAlignment="1">
      <alignment horizontal="left"/>
    </xf>
    <xf numFmtId="166" fontId="14" fillId="5" borderId="0" xfId="0" applyNumberFormat="1" applyFont="1" applyFill="1" applyAlignment="1">
      <alignment horizontal="center"/>
    </xf>
    <xf numFmtId="166" fontId="27" fillId="0" borderId="0" xfId="0" applyNumberFormat="1" applyFont="1"/>
    <xf numFmtId="0" fontId="0" fillId="11" borderId="0" xfId="0" applyFill="1"/>
    <xf numFmtId="1" fontId="13" fillId="0" borderId="0" xfId="0" applyNumberFormat="1" applyFont="1"/>
    <xf numFmtId="166" fontId="13" fillId="5" borderId="0" xfId="0" applyNumberFormat="1" applyFont="1" applyFill="1"/>
    <xf numFmtId="178" fontId="0" fillId="0" borderId="0" xfId="0" applyNumberFormat="1" applyAlignment="1">
      <alignment horizontal="left"/>
    </xf>
    <xf numFmtId="167" fontId="13" fillId="9" borderId="0" xfId="1" applyNumberFormat="1" applyFont="1" applyFill="1" applyAlignment="1">
      <alignment horizontal="center"/>
    </xf>
    <xf numFmtId="10" fontId="0" fillId="0" borderId="0" xfId="0" applyNumberFormat="1" applyAlignment="1">
      <alignment horizontal="center"/>
    </xf>
    <xf numFmtId="10" fontId="0" fillId="13" borderId="0" xfId="0" applyNumberFormat="1" applyFill="1" applyAlignment="1">
      <alignment horizontal="center"/>
    </xf>
    <xf numFmtId="10" fontId="0" fillId="0" borderId="0" xfId="1" applyNumberFormat="1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24" borderId="0" xfId="0" applyFont="1" applyFill="1" applyAlignment="1">
      <alignment horizontal="center"/>
    </xf>
    <xf numFmtId="182" fontId="3" fillId="0" borderId="5" xfId="20" applyNumberFormat="1" applyFont="1" applyBorder="1"/>
    <xf numFmtId="43" fontId="3" fillId="0" borderId="15" xfId="20" applyNumberFormat="1" applyFont="1" applyBorder="1"/>
    <xf numFmtId="43" fontId="3" fillId="0" borderId="14" xfId="20" applyNumberFormat="1" applyFont="1" applyBorder="1"/>
    <xf numFmtId="0" fontId="27" fillId="5" borderId="0" xfId="0" applyFont="1" applyFill="1"/>
    <xf numFmtId="0" fontId="27" fillId="28" borderId="0" xfId="0" applyFont="1" applyFill="1" applyAlignment="1">
      <alignment horizontal="center"/>
    </xf>
    <xf numFmtId="0" fontId="27" fillId="25" borderId="0" xfId="0" applyFont="1" applyFill="1" applyAlignment="1">
      <alignment horizontal="center"/>
    </xf>
    <xf numFmtId="182" fontId="0" fillId="0" borderId="0" xfId="20" applyNumberFormat="1" applyFont="1"/>
    <xf numFmtId="164" fontId="0" fillId="0" borderId="0" xfId="0" applyNumberFormat="1"/>
    <xf numFmtId="182" fontId="27" fillId="0" borderId="0" xfId="20" applyNumberFormat="1" applyFont="1"/>
    <xf numFmtId="168" fontId="27" fillId="0" borderId="0" xfId="20" applyNumberFormat="1" applyFont="1"/>
    <xf numFmtId="0" fontId="27" fillId="29" borderId="0" xfId="0" applyFont="1" applyFill="1" applyAlignment="1">
      <alignment horizontal="center"/>
    </xf>
    <xf numFmtId="0" fontId="44" fillId="0" borderId="0" xfId="0" applyFont="1"/>
    <xf numFmtId="0" fontId="27" fillId="0" borderId="0" xfId="0" applyFont="1" applyAlignment="1">
      <alignment horizontal="left"/>
    </xf>
    <xf numFmtId="182" fontId="0" fillId="0" borderId="0" xfId="20" applyNumberFormat="1" applyFont="1" applyFill="1"/>
    <xf numFmtId="182" fontId="0" fillId="8" borderId="0" xfId="20" applyNumberFormat="1" applyFont="1" applyFill="1"/>
    <xf numFmtId="0" fontId="45" fillId="30" borderId="0" xfId="21" applyFont="1" applyFill="1" applyAlignment="1">
      <alignment horizontal="left"/>
    </xf>
    <xf numFmtId="180" fontId="0" fillId="0" borderId="0" xfId="20" applyNumberFormat="1" applyFont="1"/>
    <xf numFmtId="182" fontId="27" fillId="5" borderId="0" xfId="20" applyNumberFormat="1" applyFont="1" applyFill="1"/>
    <xf numFmtId="180" fontId="3" fillId="0" borderId="21" xfId="22" applyNumberFormat="1" applyFont="1" applyBorder="1"/>
    <xf numFmtId="167" fontId="27" fillId="0" borderId="0" xfId="1" applyNumberFormat="1" applyFont="1"/>
    <xf numFmtId="164" fontId="0" fillId="0" borderId="0" xfId="20" applyFont="1"/>
    <xf numFmtId="167" fontId="0" fillId="0" borderId="0" xfId="20" applyNumberFormat="1" applyFont="1"/>
    <xf numFmtId="0" fontId="46" fillId="0" borderId="0" xfId="0" applyFont="1"/>
    <xf numFmtId="167" fontId="46" fillId="0" borderId="0" xfId="1" applyNumberFormat="1" applyFont="1"/>
    <xf numFmtId="0" fontId="27" fillId="8" borderId="0" xfId="0" applyFont="1" applyFill="1"/>
    <xf numFmtId="175" fontId="0" fillId="0" borderId="0" xfId="0" applyNumberFormat="1"/>
    <xf numFmtId="0" fontId="0" fillId="31" borderId="0" xfId="0" applyFill="1"/>
    <xf numFmtId="0" fontId="0" fillId="8" borderId="0" xfId="0" applyFill="1"/>
    <xf numFmtId="183" fontId="0" fillId="0" borderId="0" xfId="20" applyNumberFormat="1" applyFont="1"/>
    <xf numFmtId="183" fontId="0" fillId="0" borderId="22" xfId="20" applyNumberFormat="1" applyFont="1" applyBorder="1"/>
    <xf numFmtId="183" fontId="0" fillId="0" borderId="23" xfId="20" applyNumberFormat="1" applyFont="1" applyBorder="1"/>
    <xf numFmtId="183" fontId="0" fillId="0" borderId="0" xfId="0" applyNumberFormat="1"/>
    <xf numFmtId="167" fontId="0" fillId="0" borderId="0" xfId="0" applyNumberFormat="1" applyAlignment="1">
      <alignment horizontal="right"/>
    </xf>
    <xf numFmtId="14" fontId="0" fillId="5" borderId="0" xfId="0" applyNumberFormat="1" applyFill="1"/>
    <xf numFmtId="14" fontId="17" fillId="0" borderId="0" xfId="0" applyNumberFormat="1" applyFont="1"/>
    <xf numFmtId="3" fontId="0" fillId="0" borderId="0" xfId="20" applyNumberFormat="1" applyFont="1"/>
    <xf numFmtId="3" fontId="0" fillId="0" borderId="23" xfId="20" applyNumberFormat="1" applyFont="1" applyBorder="1"/>
    <xf numFmtId="3" fontId="0" fillId="0" borderId="0" xfId="20" applyNumberFormat="1" applyFont="1" applyBorder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67" fontId="0" fillId="0" borderId="0" xfId="1" applyNumberFormat="1" applyFont="1" applyAlignment="1">
      <alignment horizontal="right"/>
    </xf>
    <xf numFmtId="2" fontId="0" fillId="0" borderId="0" xfId="1" applyNumberFormat="1" applyFont="1" applyAlignment="1">
      <alignment horizontal="right"/>
    </xf>
    <xf numFmtId="0" fontId="0" fillId="32" borderId="0" xfId="0" applyFill="1" applyAlignment="1">
      <alignment horizontal="right"/>
    </xf>
    <xf numFmtId="3" fontId="0" fillId="32" borderId="0" xfId="0" applyNumberFormat="1" applyFill="1" applyAlignment="1">
      <alignment horizontal="right"/>
    </xf>
    <xf numFmtId="2" fontId="0" fillId="0" borderId="0" xfId="0" applyNumberFormat="1" applyAlignment="1">
      <alignment horizontal="center"/>
    </xf>
    <xf numFmtId="0" fontId="47" fillId="0" borderId="0" xfId="0" applyFont="1"/>
    <xf numFmtId="0" fontId="47" fillId="0" borderId="0" xfId="0" applyFont="1" applyAlignment="1">
      <alignment wrapText="1"/>
    </xf>
    <xf numFmtId="0" fontId="49" fillId="0" borderId="27" xfId="0" applyFont="1" applyBorder="1" applyAlignment="1">
      <alignment vertical="center"/>
    </xf>
    <xf numFmtId="3" fontId="49" fillId="0" borderId="26" xfId="0" applyNumberFormat="1" applyFont="1" applyBorder="1" applyAlignment="1">
      <alignment horizontal="center" vertical="center"/>
    </xf>
    <xf numFmtId="3" fontId="49" fillId="0" borderId="25" xfId="0" applyNumberFormat="1" applyFont="1" applyBorder="1" applyAlignment="1">
      <alignment horizontal="center" vertical="center"/>
    </xf>
    <xf numFmtId="0" fontId="49" fillId="0" borderId="25" xfId="0" applyFont="1" applyBorder="1" applyAlignment="1">
      <alignment vertical="center"/>
    </xf>
    <xf numFmtId="16" fontId="48" fillId="33" borderId="24" xfId="0" applyNumberFormat="1" applyFont="1" applyFill="1" applyBorder="1" applyAlignment="1">
      <alignment horizontal="center" vertical="center" wrapText="1"/>
    </xf>
    <xf numFmtId="168" fontId="49" fillId="0" borderId="26" xfId="0" applyNumberFormat="1" applyFont="1" applyBorder="1" applyAlignment="1">
      <alignment horizontal="center" vertical="center"/>
    </xf>
    <xf numFmtId="168" fontId="49" fillId="0" borderId="25" xfId="0" applyNumberFormat="1" applyFont="1" applyBorder="1" applyAlignment="1">
      <alignment horizontal="center" vertical="center"/>
    </xf>
    <xf numFmtId="1" fontId="49" fillId="0" borderId="25" xfId="0" applyNumberFormat="1" applyFont="1" applyBorder="1" applyAlignment="1">
      <alignment horizontal="center" vertical="center"/>
    </xf>
    <xf numFmtId="16" fontId="48" fillId="33" borderId="0" xfId="0" applyNumberFormat="1" applyFont="1" applyFill="1" applyAlignment="1">
      <alignment horizontal="center" vertical="center" wrapText="1"/>
    </xf>
    <xf numFmtId="3" fontId="47" fillId="15" borderId="0" xfId="0" applyNumberFormat="1" applyFont="1" applyFill="1" applyAlignment="1">
      <alignment horizontal="center"/>
    </xf>
    <xf numFmtId="179" fontId="47" fillId="11" borderId="0" xfId="0" applyNumberFormat="1" applyFont="1" applyFill="1" applyAlignment="1">
      <alignment horizontal="center"/>
    </xf>
    <xf numFmtId="1" fontId="13" fillId="0" borderId="0" xfId="1" applyNumberFormat="1" applyFont="1" applyAlignment="1">
      <alignment horizontal="center"/>
    </xf>
    <xf numFmtId="179" fontId="49" fillId="0" borderId="25" xfId="0" applyNumberFormat="1" applyFont="1" applyBorder="1" applyAlignment="1">
      <alignment horizontal="center" vertical="center"/>
    </xf>
    <xf numFmtId="178" fontId="13" fillId="14" borderId="0" xfId="6" applyNumberFormat="1" applyFont="1" applyFill="1" applyAlignment="1">
      <alignment horizontal="center"/>
    </xf>
    <xf numFmtId="167" fontId="0" fillId="0" borderId="0" xfId="0" applyNumberFormat="1" applyAlignment="1">
      <alignment horizontal="center" vertical="center"/>
    </xf>
    <xf numFmtId="16" fontId="13" fillId="6" borderId="0" xfId="0" applyNumberFormat="1" applyFont="1" applyFill="1" applyAlignment="1">
      <alignment horizontal="center"/>
    </xf>
    <xf numFmtId="168" fontId="13" fillId="8" borderId="0" xfId="0" applyNumberFormat="1" applyFont="1" applyFill="1"/>
    <xf numFmtId="168" fontId="14" fillId="8" borderId="0" xfId="0" applyNumberFormat="1" applyFont="1" applyFill="1"/>
    <xf numFmtId="3" fontId="13" fillId="8" borderId="0" xfId="0" applyNumberFormat="1" applyFont="1" applyFill="1"/>
    <xf numFmtId="172" fontId="8" fillId="10" borderId="0" xfId="6" applyNumberFormat="1" applyFont="1" applyFill="1" applyAlignment="1">
      <alignment horizontal="center"/>
    </xf>
    <xf numFmtId="165" fontId="17" fillId="0" borderId="0" xfId="6" applyFont="1" applyFill="1" applyAlignment="1">
      <alignment horizontal="center"/>
    </xf>
    <xf numFmtId="172" fontId="17" fillId="0" borderId="0" xfId="6" applyNumberFormat="1" applyFont="1" applyFill="1" applyAlignment="1">
      <alignment horizontal="center"/>
    </xf>
    <xf numFmtId="9" fontId="13" fillId="0" borderId="0" xfId="1" applyFont="1" applyFill="1" applyAlignment="1">
      <alignment horizontal="center"/>
    </xf>
    <xf numFmtId="168" fontId="52" fillId="8" borderId="0" xfId="0" applyNumberFormat="1" applyFont="1" applyFill="1" applyAlignment="1">
      <alignment horizontal="center"/>
    </xf>
    <xf numFmtId="167" fontId="52" fillId="8" borderId="0" xfId="0" applyNumberFormat="1" applyFont="1" applyFill="1" applyAlignment="1">
      <alignment horizontal="center"/>
    </xf>
    <xf numFmtId="0" fontId="0" fillId="0" borderId="0" xfId="0" applyAlignment="1">
      <alignment vertical="center" wrapText="1"/>
    </xf>
    <xf numFmtId="0" fontId="27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17" fontId="14" fillId="8" borderId="1" xfId="0" applyNumberFormat="1" applyFont="1" applyFill="1" applyBorder="1" applyAlignment="1">
      <alignment horizontal="center" vertical="center" wrapText="1"/>
    </xf>
    <xf numFmtId="168" fontId="51" fillId="0" borderId="0" xfId="5" applyNumberFormat="1" applyFont="1" applyFill="1" applyAlignment="1">
      <alignment horizontal="center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left" vertical="center" wrapText="1"/>
    </xf>
    <xf numFmtId="17" fontId="14" fillId="6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 wrapText="1" indent="2"/>
    </xf>
    <xf numFmtId="3" fontId="13" fillId="0" borderId="0" xfId="0" applyNumberFormat="1" applyFont="1" applyAlignment="1">
      <alignment horizontal="center"/>
    </xf>
    <xf numFmtId="0" fontId="53" fillId="0" borderId="0" xfId="0" applyFont="1"/>
    <xf numFmtId="166" fontId="13" fillId="6" borderId="0" xfId="0" applyNumberFormat="1" applyFont="1" applyFill="1" applyAlignment="1">
      <alignment horizontal="center"/>
    </xf>
    <xf numFmtId="168" fontId="51" fillId="0" borderId="0" xfId="0" applyNumberFormat="1" applyFont="1" applyAlignment="1">
      <alignment horizontal="center"/>
    </xf>
    <xf numFmtId="0" fontId="17" fillId="34" borderId="0" xfId="0" applyFont="1" applyFill="1" applyAlignment="1">
      <alignment horizontal="center"/>
    </xf>
    <xf numFmtId="3" fontId="17" fillId="34" borderId="0" xfId="0" applyNumberFormat="1" applyFont="1" applyFill="1" applyAlignment="1">
      <alignment horizontal="center"/>
    </xf>
    <xf numFmtId="0" fontId="54" fillId="34" borderId="0" xfId="0" applyFont="1" applyFill="1" applyAlignment="1">
      <alignment horizontal="center"/>
    </xf>
    <xf numFmtId="0" fontId="29" fillId="34" borderId="0" xfId="0" applyFont="1" applyFill="1" applyAlignment="1">
      <alignment horizontal="center"/>
    </xf>
    <xf numFmtId="10" fontId="29" fillId="35" borderId="0" xfId="0" applyNumberFormat="1" applyFont="1" applyFill="1" applyAlignment="1">
      <alignment horizontal="center"/>
    </xf>
    <xf numFmtId="10" fontId="13" fillId="0" borderId="0" xfId="1" applyNumberFormat="1" applyFont="1" applyAlignment="1">
      <alignment horizontal="center"/>
    </xf>
    <xf numFmtId="166" fontId="14" fillId="8" borderId="0" xfId="0" applyNumberFormat="1" applyFont="1" applyFill="1" applyAlignment="1">
      <alignment horizontal="center"/>
    </xf>
    <xf numFmtId="179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/>
    </xf>
    <xf numFmtId="179" fontId="14" fillId="0" borderId="3" xfId="0" applyNumberFormat="1" applyFont="1" applyBorder="1" applyAlignment="1">
      <alignment horizontal="center"/>
    </xf>
    <xf numFmtId="168" fontId="16" fillId="8" borderId="0" xfId="0" applyNumberFormat="1" applyFont="1" applyFill="1" applyAlignment="1">
      <alignment horizontal="center"/>
    </xf>
    <xf numFmtId="3" fontId="16" fillId="34" borderId="0" xfId="0" applyNumberFormat="1" applyFont="1" applyFill="1" applyAlignment="1">
      <alignment horizontal="center"/>
    </xf>
    <xf numFmtId="10" fontId="16" fillId="34" borderId="0" xfId="0" applyNumberFormat="1" applyFont="1" applyFill="1" applyAlignment="1">
      <alignment horizontal="center"/>
    </xf>
    <xf numFmtId="169" fontId="14" fillId="8" borderId="0" xfId="0" applyNumberFormat="1" applyFont="1" applyFill="1" applyAlignment="1">
      <alignment horizontal="center"/>
    </xf>
    <xf numFmtId="2" fontId="14" fillId="0" borderId="0" xfId="0" applyNumberFormat="1" applyFont="1" applyAlignment="1">
      <alignment horizontal="center"/>
    </xf>
    <xf numFmtId="179" fontId="13" fillId="0" borderId="6" xfId="0" applyNumberFormat="1" applyFont="1" applyBorder="1" applyAlignment="1">
      <alignment horizontal="center"/>
    </xf>
    <xf numFmtId="17" fontId="14" fillId="0" borderId="1" xfId="0" applyNumberFormat="1" applyFont="1" applyBorder="1" applyAlignment="1">
      <alignment horizontal="center"/>
    </xf>
    <xf numFmtId="9" fontId="13" fillId="0" borderId="0" xfId="1" applyFont="1" applyBorder="1" applyAlignment="1">
      <alignment horizontal="center"/>
    </xf>
    <xf numFmtId="3" fontId="14" fillId="0" borderId="0" xfId="1" applyNumberFormat="1" applyFont="1"/>
    <xf numFmtId="167" fontId="14" fillId="8" borderId="0" xfId="1" applyNumberFormat="1" applyFont="1" applyFill="1" applyBorder="1" applyAlignment="1">
      <alignment horizontal="center"/>
    </xf>
    <xf numFmtId="3" fontId="17" fillId="6" borderId="0" xfId="7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/>
    </xf>
    <xf numFmtId="184" fontId="13" fillId="0" borderId="0" xfId="6" applyNumberFormat="1" applyFont="1"/>
    <xf numFmtId="177" fontId="13" fillId="0" borderId="0" xfId="6" applyNumberFormat="1" applyFont="1" applyBorder="1" applyAlignment="1">
      <alignment horizontal="center"/>
    </xf>
    <xf numFmtId="165" fontId="13" fillId="0" borderId="0" xfId="6" applyFont="1" applyBorder="1" applyAlignment="1">
      <alignment horizontal="center"/>
    </xf>
    <xf numFmtId="178" fontId="13" fillId="0" borderId="0" xfId="6" applyNumberFormat="1" applyFont="1" applyBorder="1" applyAlignment="1">
      <alignment horizontal="center"/>
    </xf>
    <xf numFmtId="2" fontId="13" fillId="0" borderId="0" xfId="1" applyNumberFormat="1" applyFont="1" applyAlignment="1">
      <alignment horizontal="center"/>
    </xf>
    <xf numFmtId="170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4" fontId="13" fillId="0" borderId="0" xfId="0" applyNumberFormat="1" applyFont="1"/>
    <xf numFmtId="175" fontId="13" fillId="0" borderId="0" xfId="0" applyNumberFormat="1" applyFont="1"/>
    <xf numFmtId="173" fontId="17" fillId="8" borderId="0" xfId="0" applyNumberFormat="1" applyFont="1" applyFill="1" applyAlignment="1">
      <alignment horizontal="center"/>
    </xf>
    <xf numFmtId="173" fontId="52" fillId="8" borderId="0" xfId="0" applyNumberFormat="1" applyFont="1" applyFill="1" applyAlignment="1">
      <alignment horizontal="center"/>
    </xf>
    <xf numFmtId="173" fontId="31" fillId="8" borderId="0" xfId="0" applyNumberFormat="1" applyFont="1" applyFill="1" applyAlignment="1">
      <alignment horizontal="center"/>
    </xf>
    <xf numFmtId="166" fontId="17" fillId="5" borderId="0" xfId="1" applyNumberFormat="1" applyFont="1" applyFill="1" applyAlignment="1">
      <alignment horizontal="center"/>
    </xf>
    <xf numFmtId="172" fontId="13" fillId="0" borderId="0" xfId="6" applyNumberFormat="1" applyFont="1"/>
    <xf numFmtId="167" fontId="0" fillId="13" borderId="0" xfId="0" applyNumberFormat="1" applyFill="1" applyAlignment="1">
      <alignment horizontal="center"/>
    </xf>
    <xf numFmtId="167" fontId="0" fillId="13" borderId="0" xfId="1" applyNumberFormat="1" applyFont="1" applyFill="1" applyBorder="1" applyAlignment="1">
      <alignment horizontal="center"/>
    </xf>
    <xf numFmtId="167" fontId="0" fillId="5" borderId="0" xfId="0" applyNumberFormat="1" applyFill="1" applyAlignment="1">
      <alignment horizontal="center"/>
    </xf>
    <xf numFmtId="167" fontId="0" fillId="0" borderId="0" xfId="1" applyNumberFormat="1" applyFont="1" applyBorder="1" applyAlignment="1">
      <alignment horizontal="center"/>
    </xf>
    <xf numFmtId="185" fontId="13" fillId="0" borderId="0" xfId="0" applyNumberFormat="1" applyFont="1" applyAlignment="1">
      <alignment horizontal="center"/>
    </xf>
    <xf numFmtId="0" fontId="55" fillId="0" borderId="0" xfId="0" applyFont="1"/>
    <xf numFmtId="0" fontId="56" fillId="6" borderId="0" xfId="0" applyFont="1" applyFill="1"/>
    <xf numFmtId="9" fontId="13" fillId="0" borderId="0" xfId="1" applyFont="1" applyAlignment="1">
      <alignment horizontal="center"/>
    </xf>
    <xf numFmtId="43" fontId="13" fillId="0" borderId="0" xfId="0" applyNumberFormat="1" applyFont="1"/>
    <xf numFmtId="186" fontId="13" fillId="0" borderId="0" xfId="0" applyNumberFormat="1" applyFont="1"/>
    <xf numFmtId="169" fontId="17" fillId="8" borderId="0" xfId="0" applyNumberFormat="1" applyFont="1" applyFill="1" applyAlignment="1">
      <alignment horizontal="center"/>
    </xf>
    <xf numFmtId="172" fontId="13" fillId="0" borderId="0" xfId="6" applyNumberFormat="1" applyFont="1" applyAlignment="1">
      <alignment horizontal="center" vertical="center"/>
    </xf>
    <xf numFmtId="0" fontId="57" fillId="0" borderId="0" xfId="0" applyFont="1" applyAlignment="1">
      <alignment horizontal="left" vertical="center" wrapText="1" indent="2"/>
    </xf>
    <xf numFmtId="167" fontId="14" fillId="0" borderId="0" xfId="1" applyNumberFormat="1" applyFont="1" applyAlignment="1">
      <alignment horizontal="center"/>
    </xf>
    <xf numFmtId="3" fontId="17" fillId="0" borderId="0" xfId="0" applyNumberFormat="1" applyFont="1"/>
    <xf numFmtId="3" fontId="19" fillId="0" borderId="0" xfId="0" applyNumberFormat="1" applyFont="1"/>
    <xf numFmtId="9" fontId="14" fillId="0" borderId="0" xfId="1" applyFont="1" applyAlignment="1">
      <alignment horizontal="center"/>
    </xf>
    <xf numFmtId="14" fontId="14" fillId="0" borderId="0" xfId="1" applyNumberFormat="1" applyFont="1" applyAlignment="1">
      <alignment horizontal="center"/>
    </xf>
    <xf numFmtId="0" fontId="14" fillId="0" borderId="5" xfId="0" applyFont="1" applyBorder="1" applyAlignment="1">
      <alignment horizontal="center" vertical="center" wrapText="1"/>
    </xf>
    <xf numFmtId="172" fontId="14" fillId="0" borderId="0" xfId="6" applyNumberFormat="1" applyFont="1"/>
    <xf numFmtId="170" fontId="17" fillId="0" borderId="3" xfId="0" applyNumberFormat="1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168" fontId="5" fillId="8" borderId="0" xfId="0" applyNumberFormat="1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168" fontId="5" fillId="8" borderId="0" xfId="0" applyNumberFormat="1" applyFont="1" applyFill="1" applyAlignment="1">
      <alignment horizontal="left"/>
    </xf>
    <xf numFmtId="167" fontId="43" fillId="8" borderId="0" xfId="1" applyNumberFormat="1" applyFont="1" applyFill="1" applyBorder="1" applyAlignment="1">
      <alignment horizontal="center"/>
    </xf>
    <xf numFmtId="167" fontId="5" fillId="8" borderId="0" xfId="1" applyNumberFormat="1" applyFont="1" applyFill="1" applyBorder="1" applyAlignment="1">
      <alignment horizontal="center"/>
    </xf>
    <xf numFmtId="168" fontId="5" fillId="8" borderId="3" xfId="0" applyNumberFormat="1" applyFont="1" applyFill="1" applyBorder="1" applyAlignment="1">
      <alignment horizontal="center"/>
    </xf>
    <xf numFmtId="171" fontId="5" fillId="8" borderId="0" xfId="0" applyNumberFormat="1" applyFont="1" applyFill="1" applyAlignment="1">
      <alignment horizontal="center"/>
    </xf>
    <xf numFmtId="168" fontId="5" fillId="8" borderId="1" xfId="0" applyNumberFormat="1" applyFont="1" applyFill="1" applyBorder="1" applyAlignment="1">
      <alignment horizontal="center"/>
    </xf>
    <xf numFmtId="167" fontId="43" fillId="8" borderId="1" xfId="1" applyNumberFormat="1" applyFont="1" applyFill="1" applyBorder="1" applyAlignment="1">
      <alignment horizontal="center"/>
    </xf>
    <xf numFmtId="169" fontId="5" fillId="8" borderId="1" xfId="0" applyNumberFormat="1" applyFont="1" applyFill="1" applyBorder="1" applyAlignment="1">
      <alignment horizontal="center"/>
    </xf>
    <xf numFmtId="168" fontId="5" fillId="8" borderId="1" xfId="0" applyNumberFormat="1" applyFont="1" applyFill="1" applyBorder="1" applyAlignment="1">
      <alignment horizontal="left"/>
    </xf>
    <xf numFmtId="0" fontId="0" fillId="8" borderId="1" xfId="0" applyFill="1" applyBorder="1" applyAlignment="1">
      <alignment horizontal="center"/>
    </xf>
    <xf numFmtId="168" fontId="5" fillId="8" borderId="9" xfId="0" applyNumberFormat="1" applyFont="1" applyFill="1" applyBorder="1" applyAlignment="1">
      <alignment horizontal="left"/>
    </xf>
    <xf numFmtId="168" fontId="5" fillId="8" borderId="8" xfId="0" applyNumberFormat="1" applyFont="1" applyFill="1" applyBorder="1" applyAlignment="1">
      <alignment horizontal="left"/>
    </xf>
    <xf numFmtId="168" fontId="5" fillId="8" borderId="10" xfId="0" applyNumberFormat="1" applyFont="1" applyFill="1" applyBorder="1" applyAlignment="1">
      <alignment horizontal="left"/>
    </xf>
    <xf numFmtId="168" fontId="5" fillId="8" borderId="5" xfId="0" applyNumberFormat="1" applyFont="1" applyFill="1" applyBorder="1" applyAlignment="1">
      <alignment horizontal="center"/>
    </xf>
    <xf numFmtId="168" fontId="5" fillId="8" borderId="15" xfId="0" applyNumberFormat="1" applyFont="1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8" borderId="14" xfId="0" applyFill="1" applyBorder="1"/>
    <xf numFmtId="171" fontId="5" fillId="8" borderId="12" xfId="0" applyNumberFormat="1" applyFont="1" applyFill="1" applyBorder="1" applyAlignment="1">
      <alignment horizontal="center"/>
    </xf>
    <xf numFmtId="173" fontId="5" fillId="8" borderId="13" xfId="0" applyNumberFormat="1" applyFont="1" applyFill="1" applyBorder="1" applyAlignment="1">
      <alignment horizontal="center"/>
    </xf>
    <xf numFmtId="168" fontId="5" fillId="5" borderId="7" xfId="0" applyNumberFormat="1" applyFont="1" applyFill="1" applyBorder="1" applyAlignment="1">
      <alignment horizontal="center"/>
    </xf>
    <xf numFmtId="168" fontId="5" fillId="5" borderId="11" xfId="0" applyNumberFormat="1" applyFont="1" applyFill="1" applyBorder="1" applyAlignment="1">
      <alignment horizontal="center"/>
    </xf>
    <xf numFmtId="168" fontId="5" fillId="5" borderId="1" xfId="0" applyNumberFormat="1" applyFont="1" applyFill="1" applyBorder="1" applyAlignment="1">
      <alignment horizontal="center"/>
    </xf>
    <xf numFmtId="10" fontId="0" fillId="5" borderId="4" xfId="1" applyNumberFormat="1" applyFont="1" applyFill="1" applyBorder="1" applyAlignment="1">
      <alignment horizontal="center"/>
    </xf>
    <xf numFmtId="2" fontId="0" fillId="5" borderId="13" xfId="0" applyNumberFormat="1" applyFill="1" applyBorder="1" applyAlignment="1">
      <alignment horizontal="center"/>
    </xf>
    <xf numFmtId="168" fontId="43" fillId="8" borderId="15" xfId="0" applyNumberFormat="1" applyFont="1" applyFill="1" applyBorder="1" applyAlignment="1">
      <alignment horizontal="center"/>
    </xf>
    <xf numFmtId="168" fontId="5" fillId="8" borderId="14" xfId="0" applyNumberFormat="1" applyFont="1" applyFill="1" applyBorder="1" applyAlignment="1">
      <alignment horizontal="center"/>
    </xf>
    <xf numFmtId="166" fontId="13" fillId="31" borderId="0" xfId="0" applyNumberFormat="1" applyFont="1" applyFill="1" applyAlignment="1">
      <alignment horizontal="center"/>
    </xf>
    <xf numFmtId="169" fontId="13" fillId="0" borderId="0" xfId="0" applyNumberFormat="1" applyFont="1"/>
    <xf numFmtId="178" fontId="13" fillId="0" borderId="0" xfId="6" applyNumberFormat="1" applyFont="1" applyAlignment="1">
      <alignment horizontal="center" vertical="center"/>
    </xf>
    <xf numFmtId="166" fontId="0" fillId="13" borderId="0" xfId="6" applyNumberFormat="1" applyFont="1" applyFill="1" applyAlignment="1">
      <alignment horizontal="center"/>
    </xf>
    <xf numFmtId="166" fontId="0" fillId="13" borderId="0" xfId="0" applyNumberFormat="1" applyFill="1" applyAlignment="1">
      <alignment horizontal="center"/>
    </xf>
    <xf numFmtId="171" fontId="5" fillId="8" borderId="1" xfId="0" applyNumberFormat="1" applyFont="1" applyFill="1" applyBorder="1" applyAlignment="1">
      <alignment horizontal="center"/>
    </xf>
    <xf numFmtId="179" fontId="17" fillId="36" borderId="0" xfId="0" applyNumberFormat="1" applyFont="1" applyFill="1" applyAlignment="1">
      <alignment horizontal="center"/>
    </xf>
    <xf numFmtId="0" fontId="58" fillId="0" borderId="0" xfId="0" applyFont="1"/>
    <xf numFmtId="0" fontId="59" fillId="0" borderId="0" xfId="0" applyFont="1"/>
    <xf numFmtId="177" fontId="59" fillId="0" borderId="0" xfId="6" applyNumberFormat="1" applyFont="1"/>
    <xf numFmtId="43" fontId="59" fillId="0" borderId="0" xfId="0" applyNumberFormat="1" applyFont="1"/>
    <xf numFmtId="0" fontId="59" fillId="0" borderId="0" xfId="0" applyFont="1" applyAlignment="1">
      <alignment wrapText="1"/>
    </xf>
    <xf numFmtId="0" fontId="59" fillId="11" borderId="0" xfId="0" applyFont="1" applyFill="1"/>
    <xf numFmtId="0" fontId="59" fillId="0" borderId="0" xfId="0" applyFont="1" applyAlignment="1">
      <alignment horizontal="center"/>
    </xf>
    <xf numFmtId="172" fontId="59" fillId="0" borderId="0" xfId="6" applyNumberFormat="1" applyFont="1"/>
    <xf numFmtId="1" fontId="59" fillId="0" borderId="0" xfId="6" applyNumberFormat="1" applyFont="1"/>
    <xf numFmtId="167" fontId="59" fillId="0" borderId="0" xfId="1" applyNumberFormat="1" applyFont="1"/>
    <xf numFmtId="172" fontId="59" fillId="0" borderId="0" xfId="0" applyNumberFormat="1" applyFont="1"/>
    <xf numFmtId="178" fontId="59" fillId="0" borderId="0" xfId="0" applyNumberFormat="1" applyFont="1"/>
    <xf numFmtId="0" fontId="59" fillId="5" borderId="0" xfId="0" applyFont="1" applyFill="1"/>
    <xf numFmtId="1" fontId="59" fillId="0" borderId="0" xfId="0" applyNumberFormat="1" applyFont="1"/>
    <xf numFmtId="2" fontId="59" fillId="0" borderId="0" xfId="0" applyNumberFormat="1" applyFont="1"/>
    <xf numFmtId="178" fontId="59" fillId="0" borderId="0" xfId="6" applyNumberFormat="1" applyFont="1" applyFill="1"/>
    <xf numFmtId="166" fontId="59" fillId="0" borderId="0" xfId="0" applyNumberFormat="1" applyFont="1"/>
    <xf numFmtId="167" fontId="60" fillId="5" borderId="0" xfId="0" applyNumberFormat="1" applyFont="1" applyFill="1"/>
    <xf numFmtId="10" fontId="59" fillId="0" borderId="0" xfId="1" applyNumberFormat="1" applyFont="1"/>
    <xf numFmtId="167" fontId="59" fillId="5" borderId="0" xfId="1" applyNumberFormat="1" applyFont="1" applyFill="1"/>
    <xf numFmtId="2" fontId="59" fillId="0" borderId="0" xfId="1" applyNumberFormat="1" applyFont="1"/>
    <xf numFmtId="167" fontId="60" fillId="0" borderId="0" xfId="0" applyNumberFormat="1" applyFont="1"/>
    <xf numFmtId="9" fontId="59" fillId="0" borderId="0" xfId="1" applyFont="1"/>
    <xf numFmtId="172" fontId="59" fillId="0" borderId="0" xfId="6" applyNumberFormat="1" applyFont="1" applyFill="1"/>
    <xf numFmtId="1" fontId="59" fillId="0" borderId="0" xfId="6" applyNumberFormat="1" applyFont="1" applyFill="1"/>
    <xf numFmtId="167" fontId="59" fillId="0" borderId="0" xfId="1" applyNumberFormat="1" applyFont="1" applyFill="1"/>
    <xf numFmtId="2" fontId="59" fillId="0" borderId="0" xfId="1" applyNumberFormat="1" applyFont="1" applyFill="1"/>
    <xf numFmtId="9" fontId="59" fillId="0" borderId="0" xfId="1" applyFont="1" applyFill="1"/>
    <xf numFmtId="172" fontId="59" fillId="5" borderId="0" xfId="0" applyNumberFormat="1" applyFont="1" applyFill="1"/>
    <xf numFmtId="172" fontId="59" fillId="5" borderId="0" xfId="6" applyNumberFormat="1" applyFont="1" applyFill="1"/>
    <xf numFmtId="9" fontId="59" fillId="5" borderId="0" xfId="1" applyFont="1" applyFill="1"/>
    <xf numFmtId="1" fontId="59" fillId="5" borderId="0" xfId="0" applyNumberFormat="1" applyFont="1" applyFill="1"/>
    <xf numFmtId="10" fontId="59" fillId="0" borderId="0" xfId="0" applyNumberFormat="1" applyFont="1"/>
    <xf numFmtId="178" fontId="59" fillId="5" borderId="0" xfId="0" applyNumberFormat="1" applyFont="1" applyFill="1"/>
    <xf numFmtId="172" fontId="59" fillId="22" borderId="0" xfId="6" applyNumberFormat="1" applyFont="1" applyFill="1"/>
    <xf numFmtId="167" fontId="61" fillId="0" borderId="0" xfId="1" applyNumberFormat="1" applyFont="1" applyFill="1"/>
    <xf numFmtId="167" fontId="59" fillId="0" borderId="0" xfId="0" applyNumberFormat="1" applyFont="1"/>
    <xf numFmtId="0" fontId="59" fillId="0" borderId="0" xfId="0" applyFont="1" applyAlignment="1">
      <alignment vertical="center" wrapText="1"/>
    </xf>
    <xf numFmtId="10" fontId="60" fillId="0" borderId="0" xfId="0" applyNumberFormat="1" applyFont="1" applyAlignment="1">
      <alignment horizontal="center"/>
    </xf>
    <xf numFmtId="10" fontId="59" fillId="0" borderId="0" xfId="0" applyNumberFormat="1" applyFont="1" applyAlignment="1">
      <alignment vertical="center" wrapText="1"/>
    </xf>
    <xf numFmtId="0" fontId="60" fillId="0" borderId="0" xfId="0" applyFont="1" applyAlignment="1">
      <alignment horizontal="center"/>
    </xf>
    <xf numFmtId="0" fontId="59" fillId="0" borderId="0" xfId="1" applyNumberFormat="1" applyFont="1"/>
    <xf numFmtId="178" fontId="59" fillId="0" borderId="0" xfId="6" applyNumberFormat="1" applyFont="1"/>
    <xf numFmtId="9" fontId="59" fillId="0" borderId="0" xfId="0" applyNumberFormat="1" applyFont="1"/>
    <xf numFmtId="177" fontId="59" fillId="0" borderId="0" xfId="6" applyNumberFormat="1" applyFont="1" applyFill="1"/>
    <xf numFmtId="172" fontId="58" fillId="0" borderId="0" xfId="6" applyNumberFormat="1" applyFont="1" applyFill="1"/>
    <xf numFmtId="167" fontId="58" fillId="0" borderId="0" xfId="1" applyNumberFormat="1" applyFont="1" applyFill="1"/>
    <xf numFmtId="182" fontId="59" fillId="0" borderId="0" xfId="0" applyNumberFormat="1" applyFont="1"/>
    <xf numFmtId="1" fontId="59" fillId="0" borderId="0" xfId="1" applyNumberFormat="1" applyFont="1"/>
    <xf numFmtId="3" fontId="60" fillId="0" borderId="0" xfId="0" applyNumberFormat="1" applyFont="1"/>
    <xf numFmtId="0" fontId="60" fillId="0" borderId="0" xfId="0" applyFont="1"/>
    <xf numFmtId="1" fontId="60" fillId="0" borderId="0" xfId="0" applyNumberFormat="1" applyFont="1"/>
    <xf numFmtId="166" fontId="60" fillId="0" borderId="0" xfId="0" applyNumberFormat="1" applyFont="1"/>
    <xf numFmtId="10" fontId="60" fillId="0" borderId="0" xfId="0" applyNumberFormat="1" applyFont="1"/>
    <xf numFmtId="178" fontId="59" fillId="0" borderId="0" xfId="6" applyNumberFormat="1" applyFont="1" applyAlignment="1">
      <alignment vertical="center"/>
    </xf>
    <xf numFmtId="1" fontId="59" fillId="0" borderId="0" xfId="6" applyNumberFormat="1" applyFont="1" applyAlignment="1">
      <alignment horizontal="right" vertical="center"/>
    </xf>
    <xf numFmtId="172" fontId="59" fillId="0" borderId="0" xfId="6" applyNumberFormat="1" applyFont="1" applyAlignment="1">
      <alignment horizontal="right" vertical="center"/>
    </xf>
    <xf numFmtId="178" fontId="59" fillId="0" borderId="0" xfId="6" applyNumberFormat="1" applyFont="1" applyAlignment="1">
      <alignment horizontal="right" vertical="center"/>
    </xf>
    <xf numFmtId="1" fontId="59" fillId="0" borderId="0" xfId="0" applyNumberFormat="1" applyFont="1" applyAlignment="1">
      <alignment horizontal="right" vertical="center"/>
    </xf>
    <xf numFmtId="1" fontId="59" fillId="0" borderId="0" xfId="1" applyNumberFormat="1" applyFont="1" applyAlignment="1">
      <alignment horizontal="right" vertical="center"/>
    </xf>
    <xf numFmtId="1" fontId="59" fillId="0" borderId="0" xfId="6" applyNumberFormat="1" applyFont="1" applyFill="1" applyAlignment="1">
      <alignment horizontal="right" vertical="center"/>
    </xf>
    <xf numFmtId="167" fontId="59" fillId="0" borderId="0" xfId="1" applyNumberFormat="1" applyFont="1" applyAlignment="1">
      <alignment horizontal="right" vertical="center"/>
    </xf>
    <xf numFmtId="172" fontId="59" fillId="0" borderId="0" xfId="6" applyNumberFormat="1" applyFont="1" applyFill="1" applyAlignment="1">
      <alignment horizontal="right" vertical="center"/>
    </xf>
    <xf numFmtId="187" fontId="59" fillId="0" borderId="0" xfId="0" applyNumberFormat="1" applyFont="1"/>
    <xf numFmtId="172" fontId="59" fillId="0" borderId="0" xfId="6" applyNumberFormat="1" applyFont="1" applyAlignment="1"/>
    <xf numFmtId="3" fontId="60" fillId="5" borderId="0" xfId="0" applyNumberFormat="1" applyFont="1" applyFill="1"/>
    <xf numFmtId="166" fontId="60" fillId="5" borderId="0" xfId="0" applyNumberFormat="1" applyFont="1" applyFill="1"/>
    <xf numFmtId="172" fontId="59" fillId="5" borderId="0" xfId="6" applyNumberFormat="1" applyFont="1" applyFill="1" applyAlignment="1"/>
    <xf numFmtId="172" fontId="59" fillId="0" borderId="0" xfId="6" applyNumberFormat="1" applyFont="1" applyFill="1" applyAlignment="1"/>
    <xf numFmtId="0" fontId="59" fillId="0" borderId="0" xfId="1" applyNumberFormat="1" applyFont="1" applyFill="1"/>
    <xf numFmtId="166" fontId="59" fillId="5" borderId="0" xfId="0" applyNumberFormat="1" applyFont="1" applyFill="1"/>
    <xf numFmtId="177" fontId="59" fillId="0" borderId="0" xfId="6" applyNumberFormat="1" applyFont="1" applyAlignment="1"/>
    <xf numFmtId="0" fontId="58" fillId="17" borderId="0" xfId="0" applyFont="1" applyFill="1"/>
    <xf numFmtId="177" fontId="59" fillId="19" borderId="0" xfId="6" applyNumberFormat="1" applyFont="1" applyFill="1" applyAlignment="1">
      <alignment horizontal="right"/>
    </xf>
    <xf numFmtId="177" fontId="59" fillId="18" borderId="0" xfId="6" applyNumberFormat="1" applyFont="1" applyFill="1" applyAlignment="1">
      <alignment horizontal="right"/>
    </xf>
    <xf numFmtId="0" fontId="59" fillId="6" borderId="0" xfId="0" applyFont="1" applyFill="1"/>
    <xf numFmtId="17" fontId="59" fillId="0" borderId="0" xfId="0" applyNumberFormat="1" applyFont="1"/>
    <xf numFmtId="0" fontId="59" fillId="0" borderId="0" xfId="6" applyNumberFormat="1" applyFont="1" applyAlignment="1">
      <alignment horizontal="center"/>
    </xf>
    <xf numFmtId="178" fontId="59" fillId="0" borderId="0" xfId="6" applyNumberFormat="1" applyFont="1" applyAlignment="1">
      <alignment horizontal="center"/>
    </xf>
    <xf numFmtId="0" fontId="59" fillId="0" borderId="0" xfId="6" applyNumberFormat="1" applyFont="1" applyFill="1" applyAlignment="1">
      <alignment horizontal="center"/>
    </xf>
    <xf numFmtId="177" fontId="59" fillId="0" borderId="0" xfId="6" applyNumberFormat="1" applyFont="1" applyAlignment="1">
      <alignment horizontal="center"/>
    </xf>
    <xf numFmtId="178" fontId="59" fillId="0" borderId="0" xfId="6" applyNumberFormat="1" applyFont="1" applyAlignment="1">
      <alignment horizontal="left"/>
    </xf>
    <xf numFmtId="177" fontId="59" fillId="0" borderId="0" xfId="6" applyNumberFormat="1" applyFont="1" applyFill="1" applyAlignment="1">
      <alignment horizontal="center"/>
    </xf>
    <xf numFmtId="3" fontId="59" fillId="0" borderId="0" xfId="0" applyNumberFormat="1" applyFont="1"/>
    <xf numFmtId="0" fontId="62" fillId="0" borderId="0" xfId="0" applyFont="1" applyAlignment="1">
      <alignment horizontal="center"/>
    </xf>
    <xf numFmtId="9" fontId="60" fillId="0" borderId="0" xfId="0" applyNumberFormat="1" applyFont="1"/>
    <xf numFmtId="10" fontId="59" fillId="0" borderId="0" xfId="1" applyNumberFormat="1" applyFont="1" applyFill="1"/>
    <xf numFmtId="165" fontId="13" fillId="0" borderId="0" xfId="6" applyFont="1" applyAlignment="1">
      <alignment horizontal="center"/>
    </xf>
    <xf numFmtId="3" fontId="13" fillId="0" borderId="0" xfId="6" applyNumberFormat="1" applyFont="1" applyAlignment="1">
      <alignment horizontal="center" vertical="center"/>
    </xf>
    <xf numFmtId="3" fontId="17" fillId="8" borderId="0" xfId="0" applyNumberFormat="1" applyFont="1" applyFill="1" applyAlignment="1">
      <alignment horizontal="center" vertical="center"/>
    </xf>
    <xf numFmtId="3" fontId="37" fillId="0" borderId="0" xfId="1" applyNumberFormat="1" applyFont="1" applyAlignment="1">
      <alignment horizontal="center" vertical="center" wrapText="1"/>
    </xf>
    <xf numFmtId="4" fontId="0" fillId="0" borderId="0" xfId="0" applyNumberFormat="1" applyAlignment="1">
      <alignment horizontal="center"/>
    </xf>
    <xf numFmtId="4" fontId="13" fillId="0" borderId="0" xfId="0" applyNumberFormat="1" applyFont="1" applyAlignment="1">
      <alignment horizontal="center"/>
    </xf>
    <xf numFmtId="4" fontId="13" fillId="0" borderId="0" xfId="1" applyNumberFormat="1" applyFont="1" applyAlignment="1">
      <alignment horizontal="center"/>
    </xf>
    <xf numFmtId="3" fontId="13" fillId="0" borderId="0" xfId="1" applyNumberFormat="1" applyFont="1"/>
    <xf numFmtId="0" fontId="21" fillId="0" borderId="0" xfId="1" applyNumberFormat="1" applyFont="1" applyAlignment="1">
      <alignment horizontal="center"/>
    </xf>
    <xf numFmtId="168" fontId="13" fillId="0" borderId="0" xfId="0" applyNumberFormat="1" applyFont="1" applyAlignment="1">
      <alignment vertical="center"/>
    </xf>
    <xf numFmtId="1" fontId="13" fillId="0" borderId="0" xfId="0" applyNumberFormat="1" applyFont="1" applyAlignment="1">
      <alignment horizontal="center"/>
    </xf>
    <xf numFmtId="171" fontId="10" fillId="0" borderId="0" xfId="0" applyNumberFormat="1" applyFont="1" applyAlignment="1">
      <alignment horizontal="center"/>
    </xf>
    <xf numFmtId="0" fontId="17" fillId="0" borderId="0" xfId="0" applyFont="1" applyAlignment="1">
      <alignment horizontal="left" indent="1"/>
    </xf>
    <xf numFmtId="169" fontId="16" fillId="8" borderId="0" xfId="0" applyNumberFormat="1" applyFont="1" applyFill="1" applyAlignment="1">
      <alignment horizontal="center"/>
    </xf>
    <xf numFmtId="166" fontId="17" fillId="0" borderId="0" xfId="0" applyNumberFormat="1" applyFont="1" applyAlignment="1">
      <alignment horizontal="center"/>
    </xf>
    <xf numFmtId="14" fontId="0" fillId="0" borderId="0" xfId="0" applyNumberFormat="1" applyAlignment="1">
      <alignment horizontal="left"/>
    </xf>
    <xf numFmtId="4" fontId="0" fillId="0" borderId="0" xfId="0" applyNumberFormat="1"/>
    <xf numFmtId="0" fontId="63" fillId="37" borderId="0" xfId="0" applyFont="1" applyFill="1"/>
    <xf numFmtId="14" fontId="64" fillId="0" borderId="0" xfId="0" applyNumberFormat="1" applyFont="1" applyAlignment="1">
      <alignment horizontal="left"/>
    </xf>
    <xf numFmtId="4" fontId="64" fillId="0" borderId="0" xfId="0" applyNumberFormat="1" applyFont="1"/>
    <xf numFmtId="9" fontId="64" fillId="0" borderId="0" xfId="1" applyFont="1"/>
    <xf numFmtId="4" fontId="64" fillId="0" borderId="0" xfId="0" applyNumberFormat="1" applyFont="1" applyAlignment="1">
      <alignment horizontal="center"/>
    </xf>
    <xf numFmtId="9" fontId="64" fillId="0" borderId="0" xfId="1" applyFont="1" applyAlignment="1">
      <alignment horizontal="center"/>
    </xf>
    <xf numFmtId="0" fontId="63" fillId="37" borderId="0" xfId="0" applyFont="1" applyFill="1" applyAlignment="1">
      <alignment horizontal="center"/>
    </xf>
    <xf numFmtId="0" fontId="64" fillId="0" borderId="0" xfId="0" applyFont="1"/>
    <xf numFmtId="0" fontId="64" fillId="38" borderId="0" xfId="0" applyFont="1" applyFill="1"/>
    <xf numFmtId="0" fontId="64" fillId="0" borderId="0" xfId="0" pivotButton="1" applyFont="1"/>
    <xf numFmtId="14" fontId="64" fillId="0" borderId="0" xfId="0" applyNumberFormat="1" applyFont="1"/>
    <xf numFmtId="3" fontId="64" fillId="0" borderId="0" xfId="0" applyNumberFormat="1" applyFont="1"/>
    <xf numFmtId="0" fontId="64" fillId="0" borderId="0" xfId="0" applyFont="1" applyAlignment="1">
      <alignment horizontal="center"/>
    </xf>
    <xf numFmtId="10" fontId="16" fillId="8" borderId="0" xfId="1" applyNumberFormat="1" applyFont="1" applyFill="1" applyBorder="1" applyAlignment="1">
      <alignment horizontal="center"/>
    </xf>
    <xf numFmtId="9" fontId="10" fillId="0" borderId="0" xfId="1" applyFont="1" applyFill="1" applyAlignment="1">
      <alignment horizontal="center"/>
    </xf>
    <xf numFmtId="169" fontId="65" fillId="0" borderId="0" xfId="0" applyNumberFormat="1" applyFont="1" applyAlignment="1">
      <alignment horizontal="center"/>
    </xf>
    <xf numFmtId="167" fontId="16" fillId="8" borderId="0" xfId="1" applyNumberFormat="1" applyFont="1" applyFill="1" applyBorder="1" applyAlignment="1">
      <alignment horizontal="center"/>
    </xf>
    <xf numFmtId="0" fontId="41" fillId="0" borderId="0" xfId="0" applyFont="1" applyAlignment="1">
      <alignment vertical="center" wrapText="1"/>
    </xf>
    <xf numFmtId="0" fontId="13" fillId="0" borderId="1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27" fillId="28" borderId="0" xfId="0" applyFont="1" applyFill="1" applyAlignment="1">
      <alignment horizontal="center"/>
    </xf>
    <xf numFmtId="0" fontId="27" fillId="24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18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5" fillId="8" borderId="5" xfId="0" applyFont="1" applyFill="1" applyBorder="1" applyAlignment="1">
      <alignment horizontal="center"/>
    </xf>
    <xf numFmtId="0" fontId="5" fillId="8" borderId="15" xfId="0" applyFont="1" applyFill="1" applyBorder="1" applyAlignment="1">
      <alignment horizontal="center"/>
    </xf>
    <xf numFmtId="0" fontId="5" fillId="8" borderId="14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48" fillId="33" borderId="0" xfId="0" applyFont="1" applyFill="1" applyAlignment="1">
      <alignment horizontal="center" vertical="center" wrapText="1"/>
    </xf>
    <xf numFmtId="16" fontId="48" fillId="33" borderId="0" xfId="0" applyNumberFormat="1" applyFont="1" applyFill="1" applyAlignment="1">
      <alignment horizontal="center" vertical="center" wrapText="1"/>
    </xf>
    <xf numFmtId="170" fontId="13" fillId="0" borderId="3" xfId="0" applyNumberFormat="1" applyFont="1" applyBorder="1" applyAlignment="1">
      <alignment horizontal="center"/>
    </xf>
    <xf numFmtId="172" fontId="0" fillId="0" borderId="0" xfId="6" applyNumberFormat="1" applyFont="1" applyAlignment="1">
      <alignment horizontal="center"/>
    </xf>
    <xf numFmtId="0" fontId="0" fillId="0" borderId="0" xfId="0" applyAlignment="1">
      <alignment horizontal="center"/>
    </xf>
  </cellXfs>
  <cellStyles count="29">
    <cellStyle name="Bueno" xfId="7" builtinId="26"/>
    <cellStyle name="Comma" xfId="2" xr:uid="{00000000-0005-0000-0000-000001000000}"/>
    <cellStyle name="Millares" xfId="6" builtinId="3"/>
    <cellStyle name="Millares 2" xfId="13" xr:uid="{00000000-0005-0000-0000-000003000000}"/>
    <cellStyle name="Millares 2 2" xfId="16" xr:uid="{00000000-0005-0000-0000-000004000000}"/>
    <cellStyle name="Millares 2 2 3" xfId="4" xr:uid="{00000000-0005-0000-0000-000005000000}"/>
    <cellStyle name="Millares 2 3" xfId="19" xr:uid="{00000000-0005-0000-0000-000006000000}"/>
    <cellStyle name="Millares 2 3 2" xfId="26" xr:uid="{757442B3-EB58-4199-9FDF-87456097BC0A}"/>
    <cellStyle name="Millares 2 4" xfId="22" xr:uid="{00000000-0005-0000-0000-000007000000}"/>
    <cellStyle name="Millares 2 4 2" xfId="28" xr:uid="{2FB3464C-4E60-498B-8298-272C212A018B}"/>
    <cellStyle name="Millares 2 5" xfId="24" xr:uid="{AAFC37EE-56B4-403B-A10A-3F5A1CB647A8}"/>
    <cellStyle name="Millares 3" xfId="12" xr:uid="{00000000-0005-0000-0000-000008000000}"/>
    <cellStyle name="Millares 3 2" xfId="18" xr:uid="{00000000-0005-0000-0000-000009000000}"/>
    <cellStyle name="Millares 3 2 2" xfId="25" xr:uid="{181C0526-DEEE-4B46-8884-AA9E6033922C}"/>
    <cellStyle name="Millares 3 3" xfId="23" xr:uid="{970A64EC-2B6B-419A-A2F5-D7889D2A3201}"/>
    <cellStyle name="Millares 4" xfId="20" xr:uid="{00000000-0005-0000-0000-00000A000000}"/>
    <cellStyle name="Millares 4 2" xfId="27" xr:uid="{332D17FA-17F2-4E4C-A2A8-D9D142268BC8}"/>
    <cellStyle name="Neutral" xfId="5" builtinId="28"/>
    <cellStyle name="Neutral 2" xfId="14" xr:uid="{00000000-0005-0000-0000-00000C000000}"/>
    <cellStyle name="Normal" xfId="0" builtinId="0"/>
    <cellStyle name="Normal 2" xfId="8" xr:uid="{00000000-0005-0000-0000-00000E000000}"/>
    <cellStyle name="Normal 2 2" xfId="17" xr:uid="{00000000-0005-0000-0000-00000F000000}"/>
    <cellStyle name="Normal 2 3" xfId="15" xr:uid="{00000000-0005-0000-0000-000010000000}"/>
    <cellStyle name="Normal 2 4" xfId="21" xr:uid="{00000000-0005-0000-0000-000011000000}"/>
    <cellStyle name="Normal 3" xfId="9" xr:uid="{00000000-0005-0000-0000-000012000000}"/>
    <cellStyle name="Normal 4" xfId="11" xr:uid="{00000000-0005-0000-0000-000013000000}"/>
    <cellStyle name="Percent" xfId="3" xr:uid="{00000000-0005-0000-0000-000014000000}"/>
    <cellStyle name="Porcentaje" xfId="1" builtinId="5"/>
    <cellStyle name="Porcentaje 2" xfId="10" xr:uid="{00000000-0005-0000-0000-000016000000}"/>
  </cellStyles>
  <dxfs count="251">
    <dxf>
      <alignment horizontal="center" readingOrder="0"/>
    </dxf>
    <dxf>
      <numFmt numFmtId="1" formatCode="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numFmt numFmtId="4" formatCode="#,##0.00"/>
    </dxf>
    <dxf>
      <numFmt numFmtId="4" formatCode="#,##0.00"/>
    </dxf>
    <dxf>
      <numFmt numFmtId="3" formatCode="#,##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numFmt numFmtId="4" formatCode="#,##0.00"/>
    </dxf>
    <dxf>
      <numFmt numFmtId="4" formatCode="#,##0.00"/>
    </dxf>
    <dxf>
      <alignment horizontal="left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78" formatCode="_ * #,##0.0_ ;_ * \-#,##0.0_ ;_ * &quot;-&quot;??_ ;_ @_ 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numFmt numFmtId="178" formatCode="_ * #,##0.0_ ;_ * \-#,##0.0_ ;_ * &quot;-&quot;??_ ;_ @_ 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numFmt numFmtId="178" formatCode="_ * #,##0.0_ ;_ * \-#,##0.0_ ;_ * &quot;-&quot;??_ ;_ @_ "/>
    </dxf>
    <dxf>
      <numFmt numFmtId="178" formatCode="_ * #,##0.0_ ;_ * \-#,##0.0_ ;_ * &quot;-&quot;??_ ;_ @_ "/>
    </dxf>
  </dxfs>
  <tableStyles count="0" defaultTableStyle="TableStyleMedium2" defaultPivotStyle="PivotStyleLight16"/>
  <colors>
    <mruColors>
      <color rgb="FFFFFF99"/>
      <color rgb="FFD9D9D9"/>
      <color rgb="FFE8F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8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7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3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6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2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1.xml"/><Relationship Id="rId30" Type="http://schemas.openxmlformats.org/officeDocument/2006/relationships/pivotCacheDefinition" Target="pivotCache/pivotCacheDefinition4.xml"/><Relationship Id="rId35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3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Parque Verde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2021</c:v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FactuScore!$B$124:$M$124</c:f>
            </c:numRef>
          </c:val>
          <c:smooth val="0"/>
          <c:extLst>
            <c:ext xmlns:c16="http://schemas.microsoft.com/office/drawing/2014/chart" uri="{C3380CC4-5D6E-409C-BE32-E72D297353CC}">
              <c16:uniqueId val="{00000000-A9C9-4046-B790-5F528059EA05}"/>
            </c:ext>
          </c:extLst>
        </c:ser>
        <c:ser>
          <c:idx val="1"/>
          <c:order val="1"/>
          <c:tx>
            <c:v>2022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'FactuScore (2)'!$N$124:$U$124</c:f>
              <c:numCache>
                <c:formatCode>_(* #,##0_);_(* \(#,##0\);_(* "-"??_);_(@_)</c:formatCode>
                <c:ptCount val="8"/>
                <c:pt idx="0">
                  <c:v>536.35500000000002</c:v>
                </c:pt>
                <c:pt idx="1">
                  <c:v>536.35500000000002</c:v>
                </c:pt>
                <c:pt idx="2">
                  <c:v>536.35500000000002</c:v>
                </c:pt>
                <c:pt idx="3">
                  <c:v>536.35500000000002</c:v>
                </c:pt>
                <c:pt idx="4">
                  <c:v>536.35500000000002</c:v>
                </c:pt>
                <c:pt idx="5">
                  <c:v>536.35500000000002</c:v>
                </c:pt>
                <c:pt idx="6">
                  <c:v>536.35500000000002</c:v>
                </c:pt>
                <c:pt idx="7">
                  <c:v>536.35500000000002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C9-4046-B790-5F528059E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3372528"/>
        <c:axId val="303372920"/>
      </c:lineChart>
      <c:catAx>
        <c:axId val="3033725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03372920"/>
        <c:crosses val="autoZero"/>
        <c:auto val="1"/>
        <c:lblAlgn val="ctr"/>
        <c:lblOffset val="100"/>
        <c:noMultiLvlLbl val="0"/>
      </c:catAx>
      <c:valAx>
        <c:axId val="303372920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0337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Parque Amarillo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2021</c:v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FactuScore!$B$125:$M$125</c:f>
            </c:numRef>
          </c:val>
          <c:smooth val="0"/>
          <c:extLst>
            <c:ext xmlns:c16="http://schemas.microsoft.com/office/drawing/2014/chart" uri="{C3380CC4-5D6E-409C-BE32-E72D297353CC}">
              <c16:uniqueId val="{00000000-DF1B-4F04-89ED-6FAD457A9F59}"/>
            </c:ext>
          </c:extLst>
        </c:ser>
        <c:ser>
          <c:idx val="1"/>
          <c:order val="1"/>
          <c:tx>
            <c:v>2022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'FactuScore (2)'!$N$125:$U$125</c:f>
              <c:numCache>
                <c:formatCode>_(* #,##0_);_(* \(#,##0\);_(* "-"??_);_(@_)</c:formatCode>
                <c:ptCount val="8"/>
                <c:pt idx="0">
                  <c:v>277.78500000000003</c:v>
                </c:pt>
                <c:pt idx="1">
                  <c:v>277.78500000000003</c:v>
                </c:pt>
                <c:pt idx="2">
                  <c:v>277.78500000000003</c:v>
                </c:pt>
                <c:pt idx="3">
                  <c:v>277.78500000000003</c:v>
                </c:pt>
                <c:pt idx="4">
                  <c:v>277.78500000000003</c:v>
                </c:pt>
                <c:pt idx="5">
                  <c:v>277.78500000000003</c:v>
                </c:pt>
                <c:pt idx="6">
                  <c:v>277.78500000000003</c:v>
                </c:pt>
                <c:pt idx="7">
                  <c:v>277.78500000000003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1B-4F04-89ED-6FAD457A9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3378408"/>
        <c:axId val="303376056"/>
      </c:lineChart>
      <c:catAx>
        <c:axId val="303378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03376056"/>
        <c:crosses val="autoZero"/>
        <c:auto val="1"/>
        <c:lblAlgn val="ctr"/>
        <c:lblOffset val="100"/>
        <c:noMultiLvlLbl val="0"/>
      </c:catAx>
      <c:valAx>
        <c:axId val="303376056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03378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Parque Rojo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2021</c:v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FactuScore!$B$126:$M$126</c:f>
            </c:numRef>
          </c:val>
          <c:smooth val="0"/>
          <c:extLst>
            <c:ext xmlns:c16="http://schemas.microsoft.com/office/drawing/2014/chart" uri="{C3380CC4-5D6E-409C-BE32-E72D297353CC}">
              <c16:uniqueId val="{00000000-71D6-4213-A23E-A290CDAE2E99}"/>
            </c:ext>
          </c:extLst>
        </c:ser>
        <c:ser>
          <c:idx val="1"/>
          <c:order val="1"/>
          <c:tx>
            <c:v>2022</c:v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'FactuScore (2)'!$N$126:$U$126</c:f>
              <c:numCache>
                <c:formatCode>_(* #,##0_);_(* \(#,##0\);_(* "-"??_);_(@_)</c:formatCode>
                <c:ptCount val="8"/>
                <c:pt idx="0">
                  <c:v>106.45099999999999</c:v>
                </c:pt>
                <c:pt idx="1">
                  <c:v>106.45099999999999</c:v>
                </c:pt>
                <c:pt idx="2">
                  <c:v>106.45099999999999</c:v>
                </c:pt>
                <c:pt idx="3">
                  <c:v>106.45099999999999</c:v>
                </c:pt>
                <c:pt idx="4">
                  <c:v>106.45099999999999</c:v>
                </c:pt>
                <c:pt idx="5">
                  <c:v>106.45099999999999</c:v>
                </c:pt>
                <c:pt idx="6">
                  <c:v>106.45099999999999</c:v>
                </c:pt>
                <c:pt idx="7">
                  <c:v>106.45099999999999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D6-4213-A23E-A290CDAE2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3373704"/>
        <c:axId val="303376448"/>
      </c:lineChart>
      <c:catAx>
        <c:axId val="303373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03376448"/>
        <c:crosses val="autoZero"/>
        <c:auto val="1"/>
        <c:lblAlgn val="ctr"/>
        <c:lblOffset val="100"/>
        <c:noMultiLvlLbl val="0"/>
      </c:catAx>
      <c:valAx>
        <c:axId val="30337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03373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Factu Verde (S/MM)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2021</c:v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FactuScore!$B$143:$M$143</c:f>
            </c:numRef>
          </c:val>
          <c:smooth val="0"/>
          <c:extLst>
            <c:ext xmlns:c16="http://schemas.microsoft.com/office/drawing/2014/chart" uri="{C3380CC4-5D6E-409C-BE32-E72D297353CC}">
              <c16:uniqueId val="{00000000-A64C-414D-B82B-89B6B721E451}"/>
            </c:ext>
          </c:extLst>
        </c:ser>
        <c:ser>
          <c:idx val="1"/>
          <c:order val="1"/>
          <c:tx>
            <c:v>2022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'FactuScore (2)'!$N$143:$U$143</c:f>
              <c:numCache>
                <c:formatCode>_(* #,##0_);_(* \(#,##0\);_(* "-"??_);_(@_)</c:formatCode>
                <c:ptCount val="8"/>
                <c:pt idx="0">
                  <c:v>721.08411207170002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4C-414D-B82B-89B6B721E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0141872"/>
        <c:axId val="310132856"/>
      </c:lineChart>
      <c:catAx>
        <c:axId val="310141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10132856"/>
        <c:crosses val="autoZero"/>
        <c:auto val="1"/>
        <c:lblAlgn val="ctr"/>
        <c:lblOffset val="100"/>
        <c:noMultiLvlLbl val="0"/>
      </c:catAx>
      <c:valAx>
        <c:axId val="310132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1014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Factu Amarillo (S/MM)</a:t>
            </a:r>
          </a:p>
        </c:rich>
      </c:tx>
      <c:layout>
        <c:manualLayout>
          <c:xMode val="edge"/>
          <c:yMode val="edge"/>
          <c:x val="0.35219013448535647"/>
          <c:y val="3.52552209651047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2021</c:v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FactuScore!$B$144:$M$144</c:f>
            </c:numRef>
          </c:val>
          <c:smooth val="0"/>
          <c:extLst>
            <c:ext xmlns:c16="http://schemas.microsoft.com/office/drawing/2014/chart" uri="{C3380CC4-5D6E-409C-BE32-E72D297353CC}">
              <c16:uniqueId val="{00000000-BBCC-493D-9371-E9F29AE4FEC2}"/>
            </c:ext>
          </c:extLst>
        </c:ser>
        <c:ser>
          <c:idx val="1"/>
          <c:order val="1"/>
          <c:tx>
            <c:v>2022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'FactuScore (2)'!$N$144:$U$144</c:f>
              <c:numCache>
                <c:formatCode>_(* #,##0_);_(* \(#,##0\);_(* "-"??_);_(@_)</c:formatCode>
                <c:ptCount val="8"/>
                <c:pt idx="0">
                  <c:v>273.42227230545001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CC-493D-9371-E9F29AE4F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0134816"/>
        <c:axId val="310138344"/>
      </c:lineChart>
      <c:catAx>
        <c:axId val="310134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10138344"/>
        <c:crosses val="autoZero"/>
        <c:auto val="1"/>
        <c:lblAlgn val="ctr"/>
        <c:lblOffset val="100"/>
        <c:noMultiLvlLbl val="0"/>
      </c:catAx>
      <c:valAx>
        <c:axId val="310138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1013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Factu Rojo (S/MM)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2021</c:v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FactuScore!$B$145:$M$145</c:f>
            </c:numRef>
          </c:val>
          <c:smooth val="0"/>
          <c:extLst>
            <c:ext xmlns:c16="http://schemas.microsoft.com/office/drawing/2014/chart" uri="{C3380CC4-5D6E-409C-BE32-E72D297353CC}">
              <c16:uniqueId val="{00000000-718C-4F5E-86E7-947CAED4A091}"/>
            </c:ext>
          </c:extLst>
        </c:ser>
        <c:ser>
          <c:idx val="1"/>
          <c:order val="1"/>
          <c:tx>
            <c:v>2022</c:v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'FactuScore (2)'!$N$145:$U$145</c:f>
              <c:numCache>
                <c:formatCode>_(* #,##0_);_(* \(#,##0\);_(* "-"??_);_(@_)</c:formatCode>
                <c:ptCount val="8"/>
                <c:pt idx="0">
                  <c:v>53.414161053690002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8C-4F5E-86E7-947CAED4A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0139520"/>
        <c:axId val="310132072"/>
      </c:lineChart>
      <c:catAx>
        <c:axId val="310139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10132072"/>
        <c:crosses val="autoZero"/>
        <c:auto val="1"/>
        <c:lblAlgn val="ctr"/>
        <c:lblOffset val="100"/>
        <c:noMultiLvlLbl val="0"/>
      </c:catAx>
      <c:valAx>
        <c:axId val="310132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1013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Actividad Verde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2021</c:v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FactuScore!$B$167:$M$167</c:f>
            </c:numRef>
          </c:val>
          <c:smooth val="0"/>
          <c:extLst>
            <c:ext xmlns:c16="http://schemas.microsoft.com/office/drawing/2014/chart" uri="{C3380CC4-5D6E-409C-BE32-E72D297353CC}">
              <c16:uniqueId val="{00000000-0A0B-43E3-83E7-A0C969079403}"/>
            </c:ext>
          </c:extLst>
        </c:ser>
        <c:ser>
          <c:idx val="1"/>
          <c:order val="1"/>
          <c:tx>
            <c:v>2022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'FactuScore (2)'!$N$167:$U$167</c:f>
              <c:numCache>
                <c:formatCode>0%</c:formatCode>
                <c:ptCount val="8"/>
                <c:pt idx="0">
                  <c:v>0.72454064938333751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0B-43E3-83E7-A0C969079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0142656"/>
        <c:axId val="310139912"/>
      </c:lineChart>
      <c:catAx>
        <c:axId val="310142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10139912"/>
        <c:crosses val="autoZero"/>
        <c:auto val="1"/>
        <c:lblAlgn val="ctr"/>
        <c:lblOffset val="100"/>
        <c:noMultiLvlLbl val="0"/>
      </c:catAx>
      <c:valAx>
        <c:axId val="310139912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1014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Actividad Amarillo</a:t>
            </a:r>
          </a:p>
        </c:rich>
      </c:tx>
      <c:layout>
        <c:manualLayout>
          <c:xMode val="edge"/>
          <c:yMode val="edge"/>
          <c:x val="0.35219013448535647"/>
          <c:y val="3.52552209651047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2021</c:v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FactuScore!$B$168:$M$168</c:f>
            </c:numRef>
          </c:val>
          <c:smooth val="0"/>
          <c:extLst>
            <c:ext xmlns:c16="http://schemas.microsoft.com/office/drawing/2014/chart" uri="{C3380CC4-5D6E-409C-BE32-E72D297353CC}">
              <c16:uniqueId val="{00000000-0F8D-44D0-9705-ECE2B5A40958}"/>
            </c:ext>
          </c:extLst>
        </c:ser>
        <c:ser>
          <c:idx val="1"/>
          <c:order val="1"/>
          <c:tx>
            <c:v>2022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'FactuScore (2)'!$N$168:$U$168</c:f>
              <c:numCache>
                <c:formatCode>0%</c:formatCode>
                <c:ptCount val="8"/>
                <c:pt idx="0">
                  <c:v>0.7531400183595226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8D-44D0-9705-ECE2B5A40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0135208"/>
        <c:axId val="309068304"/>
      </c:lineChart>
      <c:catAx>
        <c:axId val="310135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09068304"/>
        <c:crosses val="autoZero"/>
        <c:auto val="1"/>
        <c:lblAlgn val="ctr"/>
        <c:lblOffset val="100"/>
        <c:noMultiLvlLbl val="0"/>
      </c:catAx>
      <c:valAx>
        <c:axId val="309068304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10135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Actividad Rojo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2021</c:v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FactuScore!$B$169:$M$169</c:f>
            </c:numRef>
          </c:val>
          <c:smooth val="0"/>
          <c:extLst>
            <c:ext xmlns:c16="http://schemas.microsoft.com/office/drawing/2014/chart" uri="{C3380CC4-5D6E-409C-BE32-E72D297353CC}">
              <c16:uniqueId val="{00000000-FCCA-40DF-988D-21EA0FC83711}"/>
            </c:ext>
          </c:extLst>
        </c:ser>
        <c:ser>
          <c:idx val="1"/>
          <c:order val="1"/>
          <c:tx>
            <c:v>2022</c:v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'FactuScore (2)'!$N$169:$U$169</c:f>
              <c:numCache>
                <c:formatCode>0%</c:formatCode>
                <c:ptCount val="8"/>
                <c:pt idx="0">
                  <c:v>0.64401461705385576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CA-40DF-988D-21EA0FC83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065168"/>
        <c:axId val="309064384"/>
      </c:lineChart>
      <c:catAx>
        <c:axId val="309065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09064384"/>
        <c:crosses val="autoZero"/>
        <c:auto val="1"/>
        <c:lblAlgn val="ctr"/>
        <c:lblOffset val="100"/>
        <c:noMultiLvlLbl val="0"/>
      </c:catAx>
      <c:valAx>
        <c:axId val="309064384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0906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CM Verde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2021</c:v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FactuScore!$B$186:$M$186</c:f>
            </c:numRef>
          </c:val>
          <c:smooth val="0"/>
          <c:extLst>
            <c:ext xmlns:c16="http://schemas.microsoft.com/office/drawing/2014/chart" uri="{C3380CC4-5D6E-409C-BE32-E72D297353CC}">
              <c16:uniqueId val="{00000000-EE5E-4435-9153-D3903FDB87F0}"/>
            </c:ext>
          </c:extLst>
        </c:ser>
        <c:ser>
          <c:idx val="1"/>
          <c:order val="1"/>
          <c:tx>
            <c:v>2022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'FactuScore (2)'!$N$186:$U$186</c:f>
              <c:numCache>
                <c:formatCode>_-* #,##0_-;\-* #,##0_-;_-* "-"??_-;_-@_-</c:formatCode>
                <c:ptCount val="8"/>
                <c:pt idx="0">
                  <c:v>1855.5422056290224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5E-4435-9153-D3903FDB8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065560"/>
        <c:axId val="309066736"/>
      </c:lineChart>
      <c:catAx>
        <c:axId val="309065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09066736"/>
        <c:crosses val="autoZero"/>
        <c:auto val="1"/>
        <c:lblAlgn val="ctr"/>
        <c:lblOffset val="100"/>
        <c:noMultiLvlLbl val="0"/>
      </c:catAx>
      <c:valAx>
        <c:axId val="30906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09065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CM Amarillo</a:t>
            </a:r>
          </a:p>
        </c:rich>
      </c:tx>
      <c:layout>
        <c:manualLayout>
          <c:xMode val="edge"/>
          <c:yMode val="edge"/>
          <c:x val="0.35219013448535647"/>
          <c:y val="3.52552209651047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2021</c:v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FactuScore!$B$187:$M$187</c:f>
            </c:numRef>
          </c:val>
          <c:smooth val="0"/>
          <c:extLst>
            <c:ext xmlns:c16="http://schemas.microsoft.com/office/drawing/2014/chart" uri="{C3380CC4-5D6E-409C-BE32-E72D297353CC}">
              <c16:uniqueId val="{00000000-4F4B-4F47-97F2-D2796D5D1B12}"/>
            </c:ext>
          </c:extLst>
        </c:ser>
        <c:ser>
          <c:idx val="1"/>
          <c:order val="1"/>
          <c:tx>
            <c:v>2022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'FactuScore (2)'!$N$187:$U$187</c:f>
              <c:numCache>
                <c:formatCode>_-* #,##0_-;\-* #,##0_-;_-* "-"??_-;_-@_-</c:formatCode>
                <c:ptCount val="8"/>
                <c:pt idx="0">
                  <c:v>1306.9211098147323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4B-4F47-97F2-D2796D5D1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131456"/>
        <c:axId val="468132632"/>
      </c:lineChart>
      <c:catAx>
        <c:axId val="4681314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68132632"/>
        <c:crosses val="autoZero"/>
        <c:auto val="1"/>
        <c:lblAlgn val="ctr"/>
        <c:lblOffset val="100"/>
        <c:noMultiLvlLbl val="0"/>
      </c:catAx>
      <c:valAx>
        <c:axId val="468132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6813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CM Rojo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2021</c:v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FactuScore!$B$188:$M$188</c:f>
            </c:numRef>
          </c:val>
          <c:smooth val="0"/>
          <c:extLst>
            <c:ext xmlns:c16="http://schemas.microsoft.com/office/drawing/2014/chart" uri="{C3380CC4-5D6E-409C-BE32-E72D297353CC}">
              <c16:uniqueId val="{00000000-F14C-4CBF-B37D-C4E627D74DDF}"/>
            </c:ext>
          </c:extLst>
        </c:ser>
        <c:ser>
          <c:idx val="1"/>
          <c:order val="1"/>
          <c:tx>
            <c:v>2022</c:v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'FactuScore (2)'!$N$188:$U$188</c:f>
              <c:numCache>
                <c:formatCode>_-* #,##0_-;\-* #,##0_-;_-* "-"??_-;_-@_-</c:formatCode>
                <c:ptCount val="8"/>
                <c:pt idx="0">
                  <c:v>779.13182002581846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4C-4CBF-B37D-C4E627D74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134592"/>
        <c:axId val="468134984"/>
      </c:lineChart>
      <c:catAx>
        <c:axId val="468134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68134984"/>
        <c:crosses val="autoZero"/>
        <c:auto val="1"/>
        <c:lblAlgn val="ctr"/>
        <c:lblOffset val="100"/>
        <c:noMultiLvlLbl val="0"/>
      </c:catAx>
      <c:valAx>
        <c:axId val="468134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6813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25421289209019E-2"/>
          <c:y val="1.5194920739871182E-2"/>
          <c:w val="0.94447811477607491"/>
          <c:h val="0.82113420756005506"/>
        </c:manualLayout>
      </c:layout>
      <c:lineChart>
        <c:grouping val="standard"/>
        <c:varyColors val="0"/>
        <c:ser>
          <c:idx val="0"/>
          <c:order val="2"/>
          <c:tx>
            <c:strRef>
              <c:f>Resumen!$F$133</c:f>
              <c:strCache>
                <c:ptCount val="1"/>
                <c:pt idx="0">
                  <c:v>2025 Real</c:v>
                </c:pt>
              </c:strCache>
              <c:extLst xmlns:c15="http://schemas.microsoft.com/office/drawing/2012/chart"/>
            </c:strRef>
          </c:tx>
          <c:spPr>
            <a:ln w="28575">
              <a:solidFill>
                <a:srgbClr val="00B050"/>
              </a:solidFill>
            </a:ln>
          </c:spPr>
          <c:marker>
            <c:symbol val="circle"/>
            <c:size val="4"/>
            <c:spPr>
              <a:solidFill>
                <a:srgbClr val="00B050"/>
              </a:solidFill>
              <a:ln w="28575">
                <a:solidFill>
                  <a:srgbClr val="00B050"/>
                </a:solidFill>
              </a:ln>
            </c:spPr>
          </c:marker>
          <c:val>
            <c:numRef>
              <c:f>Resumen!$F$134:$F$163</c:f>
              <c:numCache>
                <c:formatCode>0.0</c:formatCode>
                <c:ptCount val="30"/>
                <c:pt idx="0">
                  <c:v>69.450154613859993</c:v>
                </c:pt>
                <c:pt idx="1">
                  <c:v>54.145314768989998</c:v>
                </c:pt>
                <c:pt idx="2">
                  <c:v>36.973360684900001</c:v>
                </c:pt>
                <c:pt idx="3">
                  <c:v>49.389049673140001</c:v>
                </c:pt>
                <c:pt idx="4">
                  <c:v>39.947746357020002</c:v>
                </c:pt>
                <c:pt idx="5">
                  <c:v>61.58556499665</c:v>
                </c:pt>
                <c:pt idx="6">
                  <c:v>63.431738435360003</c:v>
                </c:pt>
                <c:pt idx="7">
                  <c:v>55.969330691480003</c:v>
                </c:pt>
                <c:pt idx="8">
                  <c:v>52.036932866599997</c:v>
                </c:pt>
                <c:pt idx="9">
                  <c:v>57.908774223659996</c:v>
                </c:pt>
                <c:pt idx="10">
                  <c:v>52.595859892340002</c:v>
                </c:pt>
                <c:pt idx="11">
                  <c:v>33.390565760400001</c:v>
                </c:pt>
                <c:pt idx="12">
                  <c:v>55.94746848682</c:v>
                </c:pt>
                <c:pt idx="13">
                  <c:v>57.3321441505</c:v>
                </c:pt>
                <c:pt idx="14">
                  <c:v>64.122386613789999</c:v>
                </c:pt>
                <c:pt idx="15">
                  <c:v>56.954018859919998</c:v>
                </c:pt>
                <c:pt idx="16">
                  <c:v>54.7826827114</c:v>
                </c:pt>
                <c:pt idx="17">
                  <c:v>54.563293576760003</c:v>
                </c:pt>
                <c:pt idx="18">
                  <c:v>41.411147659100003</c:v>
                </c:pt>
                <c:pt idx="19">
                  <c:v>81.913180560040004</c:v>
                </c:pt>
                <c:pt idx="20">
                  <c:v>72.335877275550004</c:v>
                </c:pt>
                <c:pt idx="21">
                  <c:v>69.080742005600001</c:v>
                </c:pt>
                <c:pt idx="22">
                  <c:v>69.501410634029995</c:v>
                </c:pt>
                <c:pt idx="23">
                  <c:v>60.136748694799998</c:v>
                </c:pt>
                <c:pt idx="24">
                  <c:v>54.432363589719998</c:v>
                </c:pt>
                <c:pt idx="25">
                  <c:v>43.044570582989998</c:v>
                </c:pt>
                <c:pt idx="26">
                  <c:v>57.044620271299998</c:v>
                </c:pt>
                <c:pt idx="27">
                  <c:v>60.548065702640002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0C20-47D5-A212-C4196EAE42A8}"/>
            </c:ext>
          </c:extLst>
        </c:ser>
        <c:ser>
          <c:idx val="1"/>
          <c:order val="3"/>
          <c:tx>
            <c:strRef>
              <c:f>Resumen!$C$133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circle"/>
            <c:size val="5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val>
            <c:numRef>
              <c:f>Resumen!$C$134:$C$164</c:f>
              <c:numCache>
                <c:formatCode>0.0</c:formatCode>
                <c:ptCount val="31"/>
                <c:pt idx="0">
                  <c:v>49.842785805879998</c:v>
                </c:pt>
                <c:pt idx="1">
                  <c:v>39.961925858320001</c:v>
                </c:pt>
                <c:pt idx="2">
                  <c:v>53.91126915708</c:v>
                </c:pt>
                <c:pt idx="3">
                  <c:v>50.718531470839999</c:v>
                </c:pt>
                <c:pt idx="4">
                  <c:v>52.86120278416</c:v>
                </c:pt>
                <c:pt idx="5">
                  <c:v>43.895670919600001</c:v>
                </c:pt>
                <c:pt idx="6">
                  <c:v>44.80499523308</c:v>
                </c:pt>
                <c:pt idx="7">
                  <c:v>41.926604713700002</c:v>
                </c:pt>
                <c:pt idx="8">
                  <c:v>31.210730809240001</c:v>
                </c:pt>
                <c:pt idx="9">
                  <c:v>46.801338073419998</c:v>
                </c:pt>
                <c:pt idx="10">
                  <c:v>46.436081654200002</c:v>
                </c:pt>
                <c:pt idx="11">
                  <c:v>49.442279021819999</c:v>
                </c:pt>
                <c:pt idx="12">
                  <c:v>47.730441328559998</c:v>
                </c:pt>
                <c:pt idx="13">
                  <c:v>53.002407162440001</c:v>
                </c:pt>
                <c:pt idx="14">
                  <c:v>44.03214800328</c:v>
                </c:pt>
                <c:pt idx="15">
                  <c:v>34.264268093360002</c:v>
                </c:pt>
                <c:pt idx="16">
                  <c:v>49.049940520619998</c:v>
                </c:pt>
                <c:pt idx="17">
                  <c:v>49.8765616353</c:v>
                </c:pt>
                <c:pt idx="18">
                  <c:v>52.891089099360002</c:v>
                </c:pt>
                <c:pt idx="19">
                  <c:v>64.314754326479999</c:v>
                </c:pt>
                <c:pt idx="20">
                  <c:v>51.832479210800003</c:v>
                </c:pt>
                <c:pt idx="21">
                  <c:v>47.352248400400001</c:v>
                </c:pt>
                <c:pt idx="22">
                  <c:v>33.471898384799999</c:v>
                </c:pt>
                <c:pt idx="23">
                  <c:v>48.741633230700003</c:v>
                </c:pt>
                <c:pt idx="24">
                  <c:v>50.645714105179998</c:v>
                </c:pt>
                <c:pt idx="25">
                  <c:v>49.498578204940003</c:v>
                </c:pt>
                <c:pt idx="26">
                  <c:v>57.785067183149998</c:v>
                </c:pt>
                <c:pt idx="27">
                  <c:v>68.749626944100001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20-47D5-A212-C4196EAE42A8}"/>
            </c:ext>
          </c:extLst>
        </c:ser>
        <c:ser>
          <c:idx val="2"/>
          <c:order val="4"/>
          <c:tx>
            <c:strRef>
              <c:f>Resumen!$B$133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circ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val>
            <c:numRef>
              <c:f>Resumen!$B$134:$B$164</c:f>
              <c:numCache>
                <c:formatCode>0.0</c:formatCode>
                <c:ptCount val="31"/>
                <c:pt idx="0">
                  <c:v>54.270768430079997</c:v>
                </c:pt>
                <c:pt idx="1">
                  <c:v>49.243120013750001</c:v>
                </c:pt>
                <c:pt idx="2">
                  <c:v>40.794077443500001</c:v>
                </c:pt>
                <c:pt idx="3">
                  <c:v>29.412618477999999</c:v>
                </c:pt>
                <c:pt idx="4">
                  <c:v>49.374106786349998</c:v>
                </c:pt>
                <c:pt idx="5">
                  <c:v>42.096305871920002</c:v>
                </c:pt>
                <c:pt idx="6">
                  <c:v>42.698719053280001</c:v>
                </c:pt>
                <c:pt idx="7">
                  <c:v>40.730043878879997</c:v>
                </c:pt>
                <c:pt idx="8">
                  <c:v>40.897919481279999</c:v>
                </c:pt>
                <c:pt idx="9">
                  <c:v>38.325739419439998</c:v>
                </c:pt>
                <c:pt idx="10">
                  <c:v>29.067262919920001</c:v>
                </c:pt>
                <c:pt idx="11">
                  <c:v>45.839161136199998</c:v>
                </c:pt>
                <c:pt idx="12">
                  <c:v>45.024577893599997</c:v>
                </c:pt>
                <c:pt idx="13">
                  <c:v>49.341676200759998</c:v>
                </c:pt>
                <c:pt idx="14">
                  <c:v>46.058684931549998</c:v>
                </c:pt>
                <c:pt idx="15">
                  <c:v>44.804766790080002</c:v>
                </c:pt>
                <c:pt idx="16">
                  <c:v>39.162394237039997</c:v>
                </c:pt>
                <c:pt idx="17">
                  <c:v>29.819349609500001</c:v>
                </c:pt>
                <c:pt idx="18">
                  <c:v>47.794074300779997</c:v>
                </c:pt>
                <c:pt idx="19">
                  <c:v>49.5417699184</c:v>
                </c:pt>
                <c:pt idx="20">
                  <c:v>47.187612942850002</c:v>
                </c:pt>
                <c:pt idx="21">
                  <c:v>47.8415472541</c:v>
                </c:pt>
                <c:pt idx="22">
                  <c:v>46.866190157049999</c:v>
                </c:pt>
                <c:pt idx="23">
                  <c:v>40.799068153039997</c:v>
                </c:pt>
                <c:pt idx="24">
                  <c:v>29.95203140029</c:v>
                </c:pt>
                <c:pt idx="25">
                  <c:v>46.3388801161</c:v>
                </c:pt>
                <c:pt idx="26">
                  <c:v>50.975389038499998</c:v>
                </c:pt>
                <c:pt idx="27">
                  <c:v>54.416013154760002</c:v>
                </c:pt>
                <c:pt idx="28">
                  <c:v>62.123320813600003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20-47D5-A212-C4196EAE42A8}"/>
            </c:ext>
          </c:extLst>
        </c:ser>
        <c:ser>
          <c:idx val="5"/>
          <c:order val="5"/>
          <c:tx>
            <c:v>FC</c:v>
          </c:tx>
          <c:marker>
            <c:spPr>
              <a:solidFill>
                <a:schemeClr val="accent4"/>
              </a:solidFill>
              <a:ln>
                <a:solidFill>
                  <a:schemeClr val="accent4"/>
                </a:solidFill>
              </a:ln>
            </c:spPr>
          </c:marker>
          <c:val>
            <c:numRef>
              <c:f>Resumen!#REF!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37-4D6F-B7D3-9854F9A2F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3180056"/>
        <c:axId val="333182016"/>
        <c:extLst>
          <c:ext xmlns:c15="http://schemas.microsoft.com/office/drawing/2012/chart" uri="{02D57815-91ED-43cb-92C2-25804820EDAC}">
            <c15:filteredLineSeries>
              <c15:ser>
                <c:idx val="3"/>
                <c:order val="0"/>
                <c:tx>
                  <c:strRef>
                    <c:extLst>
                      <c:ext uri="{02D57815-91ED-43cb-92C2-25804820EDAC}">
                        <c15:formulaRef>
                          <c15:sqref>Resumen!$D$133</c15:sqref>
                        </c15:formulaRef>
                      </c:ext>
                    </c:extLst>
                    <c:strCache>
                      <c:ptCount val="1"/>
                      <c:pt idx="0">
                        <c:v>2026 PPTO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Resumen!$D$134:$D$164</c15:sqref>
                        </c15:formulaRef>
                      </c:ext>
                    </c:extLst>
                    <c:numCache>
                      <c:formatCode>#,##0.0</c:formatCode>
                      <c:ptCount val="31"/>
                      <c:pt idx="0">
                        <c:v>55.902833127602683</c:v>
                      </c:pt>
                      <c:pt idx="1">
                        <c:v>59.25700311525884</c:v>
                      </c:pt>
                      <c:pt idx="2">
                        <c:v>63.914227983215014</c:v>
                      </c:pt>
                      <c:pt idx="3">
                        <c:v>60.56199960238169</c:v>
                      </c:pt>
                      <c:pt idx="4">
                        <c:v>54.772241292076885</c:v>
                      </c:pt>
                      <c:pt idx="5">
                        <c:v>56.518584869923473</c:v>
                      </c:pt>
                      <c:pt idx="6">
                        <c:v>52.281290398837804</c:v>
                      </c:pt>
                      <c:pt idx="7">
                        <c:v>33.541699876561609</c:v>
                      </c:pt>
                      <c:pt idx="8">
                        <c:v>57.248166692876737</c:v>
                      </c:pt>
                      <c:pt idx="9">
                        <c:v>58.904582361125797</c:v>
                      </c:pt>
                      <c:pt idx="10">
                        <c:v>59.455330853651823</c:v>
                      </c:pt>
                      <c:pt idx="11">
                        <c:v>56.502217818401753</c:v>
                      </c:pt>
                      <c:pt idx="12">
                        <c:v>60.178496917616009</c:v>
                      </c:pt>
                      <c:pt idx="13">
                        <c:v>52.407943937491396</c:v>
                      </c:pt>
                      <c:pt idx="14">
                        <c:v>32.423643214009552</c:v>
                      </c:pt>
                      <c:pt idx="15">
                        <c:v>60.16953403345002</c:v>
                      </c:pt>
                      <c:pt idx="16">
                        <c:v>56.511796354985258</c:v>
                      </c:pt>
                      <c:pt idx="17">
                        <c:v>60.311113634894994</c:v>
                      </c:pt>
                      <c:pt idx="18">
                        <c:v>60.300052347438466</c:v>
                      </c:pt>
                      <c:pt idx="19">
                        <c:v>60.86496879310436</c:v>
                      </c:pt>
                      <c:pt idx="20">
                        <c:v>55.816194357783537</c:v>
                      </c:pt>
                      <c:pt idx="21">
                        <c:v>36.336841532941747</c:v>
                      </c:pt>
                      <c:pt idx="22">
                        <c:v>59.075111466438109</c:v>
                      </c:pt>
                      <c:pt idx="23">
                        <c:v>57.519037717679254</c:v>
                      </c:pt>
                      <c:pt idx="24">
                        <c:v>60.72490473731461</c:v>
                      </c:pt>
                      <c:pt idx="25">
                        <c:v>54.321943641207625</c:v>
                      </c:pt>
                      <c:pt idx="26">
                        <c:v>50.799346034442252</c:v>
                      </c:pt>
                      <c:pt idx="27">
                        <c:v>54.615203338441141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C20-47D5-A212-C4196EAE42A8}"/>
                  </c:ext>
                </c:extLst>
              </c15:ser>
            </c15:filteredLineSeries>
            <c15:filteredLineSeries>
              <c15:ser>
                <c:idx val="4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Resumen!$E$133</c15:sqref>
                        </c15:formulaRef>
                      </c:ext>
                    </c:extLst>
                    <c:strCache>
                      <c:ptCount val="1"/>
                      <c:pt idx="0">
                        <c:v>2025 Forecast</c:v>
                      </c:pt>
                    </c:strCache>
                  </c:strRef>
                </c:tx>
                <c:spPr>
                  <a:ln w="28575" cap="rnd">
                    <a:solidFill>
                      <a:schemeClr val="tx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tx2"/>
                    </a:solidFill>
                    <a:ln w="9525">
                      <a:solidFill>
                        <a:schemeClr val="tx2"/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Resumen!$E$134:$E$163</c15:sqref>
                        </c15:formulaRef>
                      </c:ext>
                    </c:extLst>
                    <c:numCache>
                      <c:formatCode>#,##0.00</c:formatCode>
                      <c:ptCount val="3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C20-47D5-A212-C4196EAE42A8}"/>
                  </c:ext>
                </c:extLst>
              </c15:ser>
            </c15:filteredLineSeries>
          </c:ext>
        </c:extLst>
      </c:lineChart>
      <c:catAx>
        <c:axId val="333180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mnes Medium" pitchFamily="50" charset="0"/>
                <a:ea typeface="+mn-ea"/>
                <a:cs typeface="+mn-cs"/>
              </a:defRPr>
            </a:pPr>
            <a:endParaRPr lang="es-419"/>
          </a:p>
        </c:txPr>
        <c:crossAx val="333182016"/>
        <c:crosses val="autoZero"/>
        <c:auto val="1"/>
        <c:lblAlgn val="ctr"/>
        <c:lblOffset val="100"/>
        <c:noMultiLvlLbl val="0"/>
      </c:catAx>
      <c:valAx>
        <c:axId val="333182016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mnes Medium" pitchFamily="50" charset="0"/>
                <a:ea typeface="+mn-ea"/>
                <a:cs typeface="+mn-cs"/>
              </a:defRPr>
            </a:pPr>
            <a:endParaRPr lang="es-419"/>
          </a:p>
        </c:txPr>
        <c:crossAx val="333180056"/>
        <c:crosses val="autoZero"/>
        <c:crossBetween val="between"/>
        <c:majorUnit val="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mnes Medium" pitchFamily="50" charset="0"/>
                <a:ea typeface="+mn-ea"/>
                <a:cs typeface="+mn-cs"/>
              </a:defRPr>
            </a:pPr>
            <a:endParaRPr lang="es-419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Omnes Medium" pitchFamily="50" charset="0"/>
        </a:defRPr>
      </a:pPr>
      <a:endParaRPr lang="es-419"/>
    </a:p>
  </c:txPr>
  <c:printSettings>
    <c:headerFooter/>
    <c:pageMargins b="0.75" l="0.7" r="0.7" t="0.75" header="0.3" footer="0.3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s-PE" sz="1600"/>
              <a:t>Consumo Promedio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2023</c:v>
          </c:tx>
          <c:dLbls>
            <c:dLbl>
              <c:idx val="0"/>
              <c:layout>
                <c:manualLayout>
                  <c:x val="-3.2059688169938809E-2"/>
                  <c:y val="3.14383626881178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7C8-47B3-9711-6DA6AC151CCE}"/>
                </c:ext>
              </c:extLst>
            </c:dLbl>
            <c:dLbl>
              <c:idx val="1"/>
              <c:layout>
                <c:manualLayout>
                  <c:x val="-3.0177295423298341E-2"/>
                  <c:y val="2.54276786392027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12-4423-B731-B5B8C36F986E}"/>
                </c:ext>
              </c:extLst>
            </c:dLbl>
            <c:dLbl>
              <c:idx val="2"/>
              <c:layout>
                <c:manualLayout>
                  <c:x val="-2.7867105609575952E-2"/>
                  <c:y val="2.48691599402805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888-45A7-B28E-9B98CF631D78}"/>
                </c:ext>
              </c:extLst>
            </c:dLbl>
            <c:dLbl>
              <c:idx val="3"/>
              <c:layout>
                <c:manualLayout>
                  <c:x val="-2.506878188279784E-2"/>
                  <c:y val="2.0883979333190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888-45A7-B28E-9B98CF631D78}"/>
                </c:ext>
              </c:extLst>
            </c:dLbl>
            <c:dLbl>
              <c:idx val="11"/>
              <c:layout>
                <c:manualLayout>
                  <c:x val="-1.1549339352949493E-2"/>
                  <c:y val="3.4938909926754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E12-4423-B731-B5B8C36F986E}"/>
                </c:ext>
              </c:extLst>
            </c:dLbl>
            <c:spPr>
              <a:noFill/>
            </c:spPr>
            <c:txPr>
              <a:bodyPr/>
              <a:lstStyle/>
              <a:p>
                <a:pPr>
                  <a:defRPr sz="1000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es-419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Graf_PowerBI!$B$16:$B$27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Graf_PowerBI!$G$52:$G$63</c:f>
              <c:numCache>
                <c:formatCode>_ * #,##0_ ;_ * \-#,##0_ ;_ * "-"??_ ;_ @_ </c:formatCode>
                <c:ptCount val="12"/>
                <c:pt idx="0">
                  <c:v>1758.4052440621706</c:v>
                </c:pt>
                <c:pt idx="1">
                  <c:v>1754.4680321987441</c:v>
                </c:pt>
                <c:pt idx="2">
                  <c:v>1959.2820069834486</c:v>
                </c:pt>
                <c:pt idx="3">
                  <c:v>1824.5531578747489</c:v>
                </c:pt>
                <c:pt idx="4">
                  <c:v>1946.0794885219048</c:v>
                </c:pt>
                <c:pt idx="5">
                  <c:v>1867.9436528848812</c:v>
                </c:pt>
                <c:pt idx="6">
                  <c:v>2044.0495866008778</c:v>
                </c:pt>
                <c:pt idx="7">
                  <c:v>2032.225181939149</c:v>
                </c:pt>
                <c:pt idx="8">
                  <c:v>1925.3532892213107</c:v>
                </c:pt>
                <c:pt idx="9">
                  <c:v>2009.121569905592</c:v>
                </c:pt>
                <c:pt idx="10">
                  <c:v>2025.5805511033675</c:v>
                </c:pt>
                <c:pt idx="11">
                  <c:v>2165.3435997697798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E3-464D-96EB-29E8F28B7D82}"/>
            </c:ext>
          </c:extLst>
        </c:ser>
        <c:ser>
          <c:idx val="2"/>
          <c:order val="1"/>
          <c:tx>
            <c:strRef>
              <c:f>Graf_PowerBI!$V$3</c:f>
              <c:strCache>
                <c:ptCount val="1"/>
                <c:pt idx="0">
                  <c:v>PPTO_CM</c:v>
                </c:pt>
              </c:strCache>
            </c:strRef>
          </c:tx>
          <c:dLbls>
            <c:dLbl>
              <c:idx val="0"/>
              <c:layout>
                <c:manualLayout>
                  <c:x val="-2.8300562747280898E-2"/>
                  <c:y val="2.7654126519290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3A-4FFB-B4EA-1F5011DFE81B}"/>
                </c:ext>
              </c:extLst>
            </c:dLbl>
            <c:dLbl>
              <c:idx val="1"/>
              <c:layout>
                <c:manualLayout>
                  <c:x val="-3.8949880808346132E-2"/>
                  <c:y val="2.1513868522088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E3A-4FFB-B4EA-1F5011DFE81B}"/>
                </c:ext>
              </c:extLst>
            </c:dLbl>
            <c:dLbl>
              <c:idx val="2"/>
              <c:layout>
                <c:manualLayout>
                  <c:x val="-4.826803411177822E-2"/>
                  <c:y val="9.233352527683135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3A-4FFB-B4EA-1F5011DFE81B}"/>
                </c:ext>
              </c:extLst>
            </c:dLbl>
            <c:dLbl>
              <c:idx val="3"/>
              <c:layout>
                <c:manualLayout>
                  <c:x val="-1.2326585655683019E-2"/>
                  <c:y val="-1.5327679461127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E3A-4FFB-B4EA-1F5011DFE81B}"/>
                </c:ext>
              </c:extLst>
            </c:dLbl>
            <c:dLbl>
              <c:idx val="6"/>
              <c:layout>
                <c:manualLayout>
                  <c:x val="-1.3595427447271817E-2"/>
                  <c:y val="-2.20307205322472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98-47F1-AA46-5DEE3D09A9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chemeClr val="bg1">
                        <a:lumMod val="50000"/>
                      </a:schemeClr>
                    </a:solidFill>
                  </a:defRPr>
                </a:pPr>
                <a:endParaRPr lang="es-419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Graf_PowerBI!$B$16:$B$27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Graf_PowerBI!$V$4:$V$15</c:f>
              <c:numCache>
                <c:formatCode>_ * #,##0_ ;_ * \-#,##0_ ;_ * "-"??_ ;_ @_ </c:formatCode>
                <c:ptCount val="12"/>
                <c:pt idx="0">
                  <c:v>2092.0172409984493</c:v>
                </c:pt>
                <c:pt idx="1">
                  <c:v>2062.9133502237905</c:v>
                </c:pt>
                <c:pt idx="2">
                  <c:v>2188.116993349207</c:v>
                </c:pt>
                <c:pt idx="3">
                  <c:v>2128.9065238807293</c:v>
                </c:pt>
                <c:pt idx="4">
                  <c:v>2218.0364944164512</c:v>
                </c:pt>
                <c:pt idx="5">
                  <c:v>2109.540088309499</c:v>
                </c:pt>
                <c:pt idx="6">
                  <c:v>2297.3171600951714</c:v>
                </c:pt>
                <c:pt idx="7">
                  <c:v>2203.8317190542284</c:v>
                </c:pt>
                <c:pt idx="8">
                  <c:v>2083.3244206131353</c:v>
                </c:pt>
                <c:pt idx="9">
                  <c:v>2156.6601775826789</c:v>
                </c:pt>
                <c:pt idx="10">
                  <c:v>2184.8842451478522</c:v>
                </c:pt>
                <c:pt idx="11">
                  <c:v>2271.7989797136779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C8-47B3-9711-6DA6AC151CCE}"/>
            </c:ext>
          </c:extLst>
        </c:ser>
        <c:ser>
          <c:idx val="1"/>
          <c:order val="2"/>
          <c:tx>
            <c:v>2024</c:v>
          </c:tx>
          <c:dLbls>
            <c:dLbl>
              <c:idx val="0"/>
              <c:layout>
                <c:manualLayout>
                  <c:x val="-3.5748040622202604E-2"/>
                  <c:y val="3.80618638245490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A8D-4281-BCE5-03AA27942260}"/>
                </c:ext>
              </c:extLst>
            </c:dLbl>
            <c:dLbl>
              <c:idx val="1"/>
              <c:layout>
                <c:manualLayout>
                  <c:x val="-2.5779947676669076E-2"/>
                  <c:y val="2.88514768287451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A8D-4281-BCE5-03AA27942260}"/>
                </c:ext>
              </c:extLst>
            </c:dLbl>
            <c:dLbl>
              <c:idx val="8"/>
              <c:layout>
                <c:manualLayout>
                  <c:x val="-2.9278803706792506E-2"/>
                  <c:y val="2.91021754974768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EE-41C5-BEE1-7E128AA9CC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2"/>
                    </a:solidFill>
                  </a:defRPr>
                </a:pPr>
                <a:endParaRPr lang="es-419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Graf_PowerBI!$G$64:$G$75</c:f>
              <c:numCache>
                <c:formatCode>_ * #,##0_ ;_ * \-#,##0_ ;_ * "-"??_ ;_ @_ </c:formatCode>
                <c:ptCount val="12"/>
                <c:pt idx="0">
                  <c:v>1984.5639343726552</c:v>
                </c:pt>
                <c:pt idx="1">
                  <c:v>1978.0365380351107</c:v>
                </c:pt>
                <c:pt idx="2">
                  <c:v>2059.0980051845272</c:v>
                </c:pt>
                <c:pt idx="3">
                  <c:v>2012.24558586738</c:v>
                </c:pt>
                <c:pt idx="4">
                  <c:v>2125.382575819604</c:v>
                </c:pt>
                <c:pt idx="5">
                  <c:v>2020.7641622218628</c:v>
                </c:pt>
                <c:pt idx="6">
                  <c:v>2203.6621324488933</c:v>
                </c:pt>
                <c:pt idx="7">
                  <c:v>2083.0331626444695</c:v>
                </c:pt>
                <c:pt idx="8">
                  <c:v>1985.1440374698354</c:v>
                </c:pt>
                <c:pt idx="9">
                  <c:v>2066.4829270267005</c:v>
                </c:pt>
                <c:pt idx="10">
                  <c:v>2109.0437390912389</c:v>
                </c:pt>
                <c:pt idx="11">
                  <c:v>2233.326210616327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3A-4FFB-B4EA-1F5011DFE81B}"/>
            </c:ext>
          </c:extLst>
        </c:ser>
        <c:ser>
          <c:idx val="3"/>
          <c:order val="3"/>
          <c:tx>
            <c:v>2025</c:v>
          </c:tx>
          <c:spPr>
            <a:ln>
              <a:solidFill>
                <a:srgbClr val="00B050"/>
              </a:solidFill>
            </a:ln>
          </c:spPr>
          <c:marker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dLbls>
            <c:dLbl>
              <c:idx val="0"/>
              <c:layout>
                <c:manualLayout>
                  <c:x val="-4.6517767079156475E-2"/>
                  <c:y val="-4.29818059804178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A8D-4281-BCE5-03AA27942260}"/>
                </c:ext>
              </c:extLst>
            </c:dLbl>
            <c:dLbl>
              <c:idx val="9"/>
              <c:layout>
                <c:manualLayout>
                  <c:x val="-3.6549674133622957E-2"/>
                  <c:y val="-4.29818059804179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F63-4965-A729-207F4D53BB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00B050"/>
                    </a:solidFill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Graf_PowerBI!$G$76:$G$91</c:f>
              <c:numCache>
                <c:formatCode>#,##0</c:formatCode>
                <c:ptCount val="16"/>
                <c:pt idx="0">
                  <c:v>2025</c:v>
                </c:pt>
                <c:pt idx="1">
                  <c:v>1987.6025541742115</c:v>
                </c:pt>
                <c:pt idx="2" formatCode="_ * #,##0_ ;_ * \-#,##0_ ;_ * &quot;-&quot;??_ ;_ @_ ">
                  <c:v>2136.7261007584984</c:v>
                </c:pt>
                <c:pt idx="3" formatCode="_ * #,##0_ ;_ * \-#,##0_ ;_ * &quot;-&quot;??_ ;_ @_ ">
                  <c:v>2055.4406226462897</c:v>
                </c:pt>
                <c:pt idx="4" formatCode="_ * #,##0_ ;_ * \-#,##0_ ;_ * &quot;-&quot;??_ ;_ @_ ">
                  <c:v>2137.443295888384</c:v>
                </c:pt>
                <c:pt idx="5" formatCode="_ * #,##0_ ;_ * \-#,##0_ ;_ * &quot;-&quot;??_ ;_ @_ ">
                  <c:v>2022.7277339218376</c:v>
                </c:pt>
                <c:pt idx="6" formatCode="_ * #,##0_ ;_ * \-#,##0_ ;_ * &quot;-&quot;??_ ;_ @_ ">
                  <c:v>2216.9244750426228</c:v>
                </c:pt>
                <c:pt idx="7" formatCode="_ * #,##0_ ;_ * \-#,##0_ ;_ * &quot;-&quot;??_ ;_ @_ ">
                  <c:v>2149.6104768674577</c:v>
                </c:pt>
                <c:pt idx="8" formatCode="_ * #,##0_ ;_ * \-#,##0_ ;_ * &quot;-&quot;??_ ;_ @_ ">
                  <c:v>2079.5795737256963</c:v>
                </c:pt>
                <c:pt idx="9" formatCode="_ * #,##0_ ;_ * \-#,##0_ ;_ * &quot;-&quot;??_ ;_ @_ ">
                  <c:v>2160.1072424128752</c:v>
                </c:pt>
                <c:pt idx="10" formatCode="_ * #,##0_ ;_ * \-#,##0_ ;_ * &quot;-&quot;??_ ;_ @_ ">
                  <c:v>2239.3921997270972</c:v>
                </c:pt>
                <c:pt idx="11" formatCode="_ * #,##0_ ;_ * \-#,##0_ ;_ * &quot;-&quot;??_ ;_ @_ ">
                  <c:v>2376.9937965135437</c:v>
                </c:pt>
                <c:pt idx="12" formatCode="_ * #,##0_ ;_ * \-#,##0_ ;_ * &quot;-&quot;??_ ;_ @_ ">
                  <c:v>2178.4825546321808</c:v>
                </c:pt>
                <c:pt idx="13" formatCode="_ * #,##0_ ;_ * \-#,##0_ ;_ * &quot;-&quot;??_ ;_ @_ ">
                  <c:v>2098.545660420958</c:v>
                </c:pt>
                <c:pt idx="14" formatCode="_ * #,##0_ ;_ * \-#,##0_ ;_ * &quot;-&quot;??_ ;_ @_ ">
                  <c:v>2318.9315858893406</c:v>
                </c:pt>
                <c:pt idx="15" formatCode="_ * #,##0_ ;_ * \-#,##0_ ;_ * &quot;-&quot;??_ ;_ @_ ">
                  <c:v>2273.1345934192327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8D-4281-BCE5-03AA27942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931464"/>
        <c:axId val="307272672"/>
      </c:lineChart>
      <c:catAx>
        <c:axId val="189931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7272672"/>
        <c:crosses val="autoZero"/>
        <c:auto val="1"/>
        <c:lblAlgn val="ctr"/>
        <c:lblOffset val="100"/>
        <c:noMultiLvlLbl val="0"/>
      </c:catAx>
      <c:valAx>
        <c:axId val="307272672"/>
        <c:scaling>
          <c:orientation val="minMax"/>
          <c:min val="1300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crossAx val="189931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s-PE" sz="1600"/>
              <a:t>Trx Promedio por Cliente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2023</c:v>
          </c:tx>
          <c:dLbls>
            <c:spPr>
              <a:noFill/>
            </c:spPr>
            <c:txPr>
              <a:bodyPr/>
              <a:lstStyle/>
              <a:p>
                <a:pPr>
                  <a:defRPr sz="1000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es-419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Graf_PowerBI!$B$28:$B$39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Graf_PowerBI!$H$52:$H$63</c:f>
              <c:numCache>
                <c:formatCode>_ * #,##0.0_ ;_ * \-#,##0.0_ ;_ * "-"??_ ;_ @_ </c:formatCode>
                <c:ptCount val="12"/>
                <c:pt idx="0">
                  <c:v>9.9947796296458851</c:v>
                </c:pt>
                <c:pt idx="1">
                  <c:v>9.8932960592572528</c:v>
                </c:pt>
                <c:pt idx="2">
                  <c:v>10.79110516446501</c:v>
                </c:pt>
                <c:pt idx="3">
                  <c:v>10.629555418940424</c:v>
                </c:pt>
                <c:pt idx="4">
                  <c:v>10.949817616741603</c:v>
                </c:pt>
                <c:pt idx="5">
                  <c:v>10.837766701632759</c:v>
                </c:pt>
                <c:pt idx="6">
                  <c:v>11.329643484734888</c:v>
                </c:pt>
                <c:pt idx="7">
                  <c:v>11.260637717007322</c:v>
                </c:pt>
                <c:pt idx="8">
                  <c:v>11.230265082317359</c:v>
                </c:pt>
                <c:pt idx="9">
                  <c:v>11.50771650254009</c:v>
                </c:pt>
                <c:pt idx="10">
                  <c:v>11.478073271077228</c:v>
                </c:pt>
                <c:pt idx="11">
                  <c:v>12.072411880952926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B0-4226-A804-D192F881C1BD}"/>
            </c:ext>
          </c:extLst>
        </c:ser>
        <c:ser>
          <c:idx val="2"/>
          <c:order val="1"/>
          <c:tx>
            <c:strRef>
              <c:f>Graf_PowerBI!$W$3</c:f>
              <c:strCache>
                <c:ptCount val="1"/>
                <c:pt idx="0">
                  <c:v>PPTO_TRX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>
                        <a:lumMod val="50000"/>
                      </a:schemeClr>
                    </a:solidFill>
                  </a:defRPr>
                </a:pPr>
                <a:endParaRPr lang="es-419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Graf_PowerBI!$W$4:$W$15</c:f>
              <c:numCache>
                <c:formatCode>0.0</c:formatCode>
                <c:ptCount val="12"/>
                <c:pt idx="0">
                  <c:v>12.274683517457742</c:v>
                </c:pt>
                <c:pt idx="1">
                  <c:v>12.066450494393333</c:v>
                </c:pt>
                <c:pt idx="2">
                  <c:v>13.269927084595157</c:v>
                </c:pt>
                <c:pt idx="3">
                  <c:v>12.664218145877609</c:v>
                </c:pt>
                <c:pt idx="4">
                  <c:v>13.422061655043102</c:v>
                </c:pt>
                <c:pt idx="5">
                  <c:v>12.65790050200193</c:v>
                </c:pt>
                <c:pt idx="6">
                  <c:v>13.092033928353754</c:v>
                </c:pt>
                <c:pt idx="7">
                  <c:v>12.92276490330609</c:v>
                </c:pt>
                <c:pt idx="8">
                  <c:v>12.436784510917786</c:v>
                </c:pt>
                <c:pt idx="9">
                  <c:v>13.110895542912466</c:v>
                </c:pt>
                <c:pt idx="10">
                  <c:v>12.866257020032878</c:v>
                </c:pt>
                <c:pt idx="11">
                  <c:v>14.657526080299544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D3-4A22-AEDA-48456EDD0794}"/>
            </c:ext>
          </c:extLst>
        </c:ser>
        <c:ser>
          <c:idx val="1"/>
          <c:order val="2"/>
          <c:tx>
            <c:v>2024</c:v>
          </c:tx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2"/>
                    </a:solidFill>
                  </a:defRPr>
                </a:pPr>
                <a:endParaRPr lang="es-419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Graf_PowerBI!$H$64:$H$75</c:f>
              <c:numCache>
                <c:formatCode>_ * #,##0.0_ ;_ * \-#,##0.0_ ;_ * "-"??_ ;_ @_ </c:formatCode>
                <c:ptCount val="12"/>
                <c:pt idx="0">
                  <c:v>11.569776546128782</c:v>
                </c:pt>
                <c:pt idx="1">
                  <c:v>11.596732315876132</c:v>
                </c:pt>
                <c:pt idx="2">
                  <c:v>12.323876938247107</c:v>
                </c:pt>
                <c:pt idx="3">
                  <c:v>12.029552355286743</c:v>
                </c:pt>
                <c:pt idx="4">
                  <c:v>12.587127286441637</c:v>
                </c:pt>
                <c:pt idx="5">
                  <c:v>12.078802614916388</c:v>
                </c:pt>
                <c:pt idx="6">
                  <c:v>12.293331019533161</c:v>
                </c:pt>
                <c:pt idx="7">
                  <c:v>12.2085218293642</c:v>
                </c:pt>
                <c:pt idx="8">
                  <c:v>11.768484690391533</c:v>
                </c:pt>
                <c:pt idx="9">
                  <c:v>12.254208710009598</c:v>
                </c:pt>
                <c:pt idx="10">
                  <c:v>12.121916276880535</c:v>
                </c:pt>
                <c:pt idx="11">
                  <c:v>12.981979947281838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AF-4BCD-9E7F-BA539B06EF4B}"/>
            </c:ext>
          </c:extLst>
        </c:ser>
        <c:ser>
          <c:idx val="3"/>
          <c:order val="3"/>
          <c:tx>
            <c:v>2025</c:v>
          </c:tx>
          <c:spPr>
            <a:ln>
              <a:solidFill>
                <a:srgbClr val="00B050"/>
              </a:solidFill>
            </a:ln>
          </c:spPr>
          <c:marker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dLbls>
            <c:dLbl>
              <c:idx val="0"/>
              <c:layout>
                <c:manualLayout>
                  <c:x val="-4.5516684254106397E-2"/>
                  <c:y val="-9.307475001734464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6F-48D6-9692-A55DD2B7D990}"/>
                </c:ext>
              </c:extLst>
            </c:dLbl>
            <c:dLbl>
              <c:idx val="9"/>
              <c:layout>
                <c:manualLayout>
                  <c:x val="-1.4295942313038427E-2"/>
                  <c:y val="-2.0962339171229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FD4-4200-90DE-B42BF7D932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00B050"/>
                    </a:solidFill>
                  </a:defRPr>
                </a:pPr>
                <a:endParaRPr lang="es-419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Graf_PowerBI!$H$76:$H$91</c:f>
              <c:numCache>
                <c:formatCode>0.0</c:formatCode>
                <c:ptCount val="16"/>
                <c:pt idx="0">
                  <c:v>12</c:v>
                </c:pt>
                <c:pt idx="1">
                  <c:v>11.993625780126541</c:v>
                </c:pt>
                <c:pt idx="2" formatCode="_ * #,##0.0_ ;_ * \-#,##0.0_ ;_ * &quot;-&quot;??_ ;_ @_ ">
                  <c:v>12.752314864855128</c:v>
                </c:pt>
                <c:pt idx="3" formatCode="_ * #,##0.0_ ;_ * \-#,##0.0_ ;_ * &quot;-&quot;??_ ;_ @_ ">
                  <c:v>12.189877953944009</c:v>
                </c:pt>
                <c:pt idx="4" formatCode="_ * #,##0.0_ ;_ * \-#,##0.0_ ;_ * &quot;-&quot;??_ ;_ @_ ">
                  <c:v>12.672192602705794</c:v>
                </c:pt>
                <c:pt idx="5" formatCode="_ * #,##0.0_ ;_ * \-#,##0.0_ ;_ * &quot;-&quot;??_ ;_ @_ ">
                  <c:v>12.304846388711598</c:v>
                </c:pt>
                <c:pt idx="6" formatCode="_ * #,##0.0_ ;_ * \-#,##0.0_ ;_ * &quot;-&quot;??_ ;_ @_ ">
                  <c:v>12.437817510630406</c:v>
                </c:pt>
                <c:pt idx="7" formatCode="_ * #,##0.0_ ;_ * \-#,##0.0_ ;_ * &quot;-&quot;??_ ;_ @_ ">
                  <c:v>12.563838867759445</c:v>
                </c:pt>
                <c:pt idx="8" formatCode="_ * #,##0.0_ ;_ * \-#,##0.0_ ;_ * &quot;-&quot;??_ ;_ @_ ">
                  <c:v>12.344105561123026</c:v>
                </c:pt>
                <c:pt idx="9" formatCode="_ * #,##0.0_ ;_ * \-#,##0.0_ ;_ * &quot;-&quot;??_ ;_ @_ ">
                  <c:v>12.964783155092171</c:v>
                </c:pt>
                <c:pt idx="10" formatCode="_ * #,##0.0_ ;_ * \-#,##0.0_ ;_ * &quot;-&quot;??_ ;_ @_ ">
                  <c:v>12.960631648816145</c:v>
                </c:pt>
                <c:pt idx="11" formatCode="_ * #,##0.0_ ;_ * \-#,##0.0_ ;_ * &quot;-&quot;??_ ;_ @_ ">
                  <c:v>13.477138752662604</c:v>
                </c:pt>
                <c:pt idx="12" formatCode="_ * #,##0.0_ ;_ * \-#,##0.0_ ;_ * &quot;-&quot;??_ ;_ @_ ">
                  <c:v>12.577646414105967</c:v>
                </c:pt>
                <c:pt idx="13" formatCode="_ * #,##0.0_ ;_ * \-#,##0.0_ ;_ * &quot;-&quot;??_ ;_ @_ ">
                  <c:v>11.965679199589031</c:v>
                </c:pt>
                <c:pt idx="14" formatCode="_ * #,##0.0_ ;_ * \-#,##0.0_ ;_ * &quot;-&quot;??_ ;_ @_ ">
                  <c:v>12.978495686844608</c:v>
                </c:pt>
                <c:pt idx="15" formatCode="_ * #,##0.0_ ;_ * \-#,##0.0_ ;_ * &quot;-&quot;??_ ;_ @_ ">
                  <c:v>12.81311221244567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6F-48D6-9692-A55DD2B7D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276984"/>
        <c:axId val="307266008"/>
      </c:lineChart>
      <c:catAx>
        <c:axId val="307276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7266008"/>
        <c:crosses val="autoZero"/>
        <c:auto val="1"/>
        <c:lblAlgn val="ctr"/>
        <c:lblOffset val="100"/>
        <c:noMultiLvlLbl val="0"/>
      </c:catAx>
      <c:valAx>
        <c:axId val="307266008"/>
        <c:scaling>
          <c:orientation val="minMax"/>
          <c:min val="7.5"/>
        </c:scaling>
        <c:delete val="0"/>
        <c:axPos val="l"/>
        <c:numFmt formatCode="_ * #,##0.0_ ;_ * \-#,##0.0_ ;_ * &quot;-&quot;??_ ;_ @_ " sourceLinked="1"/>
        <c:majorTickMark val="out"/>
        <c:minorTickMark val="none"/>
        <c:tickLblPos val="nextTo"/>
        <c:crossAx val="3072769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s-PE" sz="1600"/>
              <a:t>Parque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5813540374555127E-2"/>
          <c:y val="0.12735371790219499"/>
          <c:w val="0.7740757677648642"/>
          <c:h val="0.68864266057403434"/>
        </c:manualLayout>
      </c:layout>
      <c:lineChart>
        <c:grouping val="standard"/>
        <c:varyColors val="0"/>
        <c:ser>
          <c:idx val="0"/>
          <c:order val="0"/>
          <c:tx>
            <c:v>2023</c:v>
          </c:tx>
          <c:dLbls>
            <c:dLbl>
              <c:idx val="0"/>
              <c:layout>
                <c:manualLayout>
                  <c:x val="-3.183202351647408E-2"/>
                  <c:y val="-2.91762123616685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FDE-4B6C-8EC7-F68AA373EAAC}"/>
                </c:ext>
              </c:extLst>
            </c:dLbl>
            <c:dLbl>
              <c:idx val="1"/>
              <c:layout>
                <c:manualLayout>
                  <c:x val="-2.5788277997936138E-2"/>
                  <c:y val="-2.44180305784106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DE-4B6C-8EC7-F68AA373EAAC}"/>
                </c:ext>
              </c:extLst>
            </c:dLbl>
            <c:dLbl>
              <c:idx val="2"/>
              <c:layout>
                <c:manualLayout>
                  <c:x val="-3.2577067660289581E-3"/>
                  <c:y val="-1.92828986997192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34E-485C-AA49-40D086FBFDDB}"/>
                </c:ext>
              </c:extLst>
            </c:dLbl>
            <c:dLbl>
              <c:idx val="3"/>
              <c:layout>
                <c:manualLayout>
                  <c:x val="-3.2784192039133756E-3"/>
                  <c:y val="-2.87623758804282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4E-485C-AA49-40D086FBFDDB}"/>
                </c:ext>
              </c:extLst>
            </c:dLbl>
            <c:dLbl>
              <c:idx val="4"/>
              <c:layout>
                <c:manualLayout>
                  <c:x val="-2.4407217407160113E-2"/>
                  <c:y val="3.89872931058484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48-4C75-8823-527B37888F38}"/>
                </c:ext>
              </c:extLst>
            </c:dLbl>
            <c:dLbl>
              <c:idx val="5"/>
              <c:layout>
                <c:manualLayout>
                  <c:x val="-2.5734452909779246E-2"/>
                  <c:y val="3.8121988377805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48-4C75-8823-527B37888F38}"/>
                </c:ext>
              </c:extLst>
            </c:dLbl>
            <c:dLbl>
              <c:idx val="6"/>
              <c:layout>
                <c:manualLayout>
                  <c:x val="-3.1660522383076317E-2"/>
                  <c:y val="1.52487458708938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7E-47FC-8AAD-D12073622C69}"/>
                </c:ext>
              </c:extLst>
            </c:dLbl>
            <c:dLbl>
              <c:idx val="7"/>
              <c:layout>
                <c:manualLayout>
                  <c:x val="-4.4657799351210788E-2"/>
                  <c:y val="1.22690087869396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7E-47FC-8AAD-D12073622C69}"/>
                </c:ext>
              </c:extLst>
            </c:dLbl>
            <c:dLbl>
              <c:idx val="8"/>
              <c:layout>
                <c:manualLayout>
                  <c:x val="-4.9531778214261253E-2"/>
                  <c:y val="9.2892717029854389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7E-47FC-8AAD-D12073622C69}"/>
                </c:ext>
              </c:extLst>
            </c:dLbl>
            <c:dLbl>
              <c:idx val="9"/>
              <c:layout>
                <c:manualLayout>
                  <c:x val="-2.8418088464680268E-2"/>
                  <c:y val="2.13048206617012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77E-47FC-8AAD-D12073622C69}"/>
                </c:ext>
              </c:extLst>
            </c:dLbl>
            <c:dLbl>
              <c:idx val="10"/>
              <c:layout>
                <c:manualLayout>
                  <c:x val="-3.328521987493066E-2"/>
                  <c:y val="1.83490697645073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77E-47FC-8AAD-D12073622C69}"/>
                </c:ext>
              </c:extLst>
            </c:dLbl>
            <c:dLbl>
              <c:idx val="11"/>
              <c:layout>
                <c:manualLayout>
                  <c:x val="-2.6632949564638849E-2"/>
                  <c:y val="2.27378384180125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016-40CD-BDB3-ACF98E70CAD0}"/>
                </c:ext>
              </c:extLst>
            </c:dLbl>
            <c:spPr>
              <a:noFill/>
            </c:spPr>
            <c:txPr>
              <a:bodyPr/>
              <a:lstStyle/>
              <a:p>
                <a:pPr>
                  <a:defRPr sz="1000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es-419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Graf_PowerBI!$B$4:$B$15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Graf_PowerBI!$E$52:$E$63</c:f>
              <c:numCache>
                <c:formatCode>_ * #,##0_ ;_ * \-#,##0_ ;_ * "-"??_ ;_ @_ </c:formatCode>
                <c:ptCount val="12"/>
                <c:pt idx="0">
                  <c:v>1045.155</c:v>
                </c:pt>
                <c:pt idx="1">
                  <c:v>1045.9090000000001</c:v>
                </c:pt>
                <c:pt idx="2">
                  <c:v>1031.0450000000001</c:v>
                </c:pt>
                <c:pt idx="3">
                  <c:v>1022.3579999999999</c:v>
                </c:pt>
                <c:pt idx="4">
                  <c:v>1011.735</c:v>
                </c:pt>
                <c:pt idx="5">
                  <c:v>988.01300000000003</c:v>
                </c:pt>
                <c:pt idx="6">
                  <c:v>967.13699999999994</c:v>
                </c:pt>
                <c:pt idx="7">
                  <c:v>928.21100000000001</c:v>
                </c:pt>
                <c:pt idx="8">
                  <c:v>918.89</c:v>
                </c:pt>
                <c:pt idx="9">
                  <c:v>857.38300000000004</c:v>
                </c:pt>
                <c:pt idx="10">
                  <c:v>785.04499999999996</c:v>
                </c:pt>
                <c:pt idx="11">
                  <c:v>779.57299999999998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CB-4B55-878E-EB2147FDA13D}"/>
            </c:ext>
          </c:extLst>
        </c:ser>
        <c:ser>
          <c:idx val="2"/>
          <c:order val="1"/>
          <c:tx>
            <c:strRef>
              <c:f>Graf_PowerBI!$X$3</c:f>
              <c:strCache>
                <c:ptCount val="1"/>
                <c:pt idx="0">
                  <c:v>PPTO_PARQUE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>
                        <a:lumMod val="50000"/>
                      </a:schemeClr>
                    </a:solidFill>
                  </a:defRPr>
                </a:pPr>
                <a:endParaRPr lang="es-419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Graf_PowerBI!$X$4:$X$15</c:f>
              <c:numCache>
                <c:formatCode>_ * #,##0_ ;_ * \-#,##0_ ;_ * "-"??_ ;_ @_ </c:formatCode>
                <c:ptCount val="12"/>
                <c:pt idx="0">
                  <c:v>852.02378169628787</c:v>
                </c:pt>
                <c:pt idx="1">
                  <c:v>858.39428255679468</c:v>
                </c:pt>
                <c:pt idx="2">
                  <c:v>866.79497994858593</c:v>
                </c:pt>
                <c:pt idx="3">
                  <c:v>873.61227559443773</c:v>
                </c:pt>
                <c:pt idx="4">
                  <c:v>881.13153592778281</c:v>
                </c:pt>
                <c:pt idx="5">
                  <c:v>888.71644772954812</c:v>
                </c:pt>
                <c:pt idx="6">
                  <c:v>895.78277356263993</c:v>
                </c:pt>
                <c:pt idx="7">
                  <c:v>903.8790019725817</c:v>
                </c:pt>
                <c:pt idx="8">
                  <c:v>913.53866652352542</c:v>
                </c:pt>
                <c:pt idx="9">
                  <c:v>922.40704579353735</c:v>
                </c:pt>
                <c:pt idx="10">
                  <c:v>930.14134328465195</c:v>
                </c:pt>
                <c:pt idx="11">
                  <c:v>935.02868021954714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FDE-4B6C-8EC7-F68AA373EAAC}"/>
            </c:ext>
          </c:extLst>
        </c:ser>
        <c:ser>
          <c:idx val="4"/>
          <c:order val="2"/>
          <c:tx>
            <c:v>2024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2"/>
                    </a:solidFill>
                  </a:defRPr>
                </a:pPr>
                <a:endParaRPr lang="es-419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Graf_PowerBI!$E$64:$E$75</c:f>
              <c:numCache>
                <c:formatCode>_ * #,##0_ ;_ * \-#,##0_ ;_ * "-"??_ ;_ @_ </c:formatCode>
                <c:ptCount val="12"/>
                <c:pt idx="0">
                  <c:v>772.05499999999995</c:v>
                </c:pt>
                <c:pt idx="1">
                  <c:v>773.20600000000002</c:v>
                </c:pt>
                <c:pt idx="2">
                  <c:v>775.09799999999996</c:v>
                </c:pt>
                <c:pt idx="3">
                  <c:v>783.00699999999995</c:v>
                </c:pt>
                <c:pt idx="4">
                  <c:v>782.971</c:v>
                </c:pt>
                <c:pt idx="5">
                  <c:v>783.48</c:v>
                </c:pt>
                <c:pt idx="6">
                  <c:v>785.58</c:v>
                </c:pt>
                <c:pt idx="7">
                  <c:v>783.46299999999997</c:v>
                </c:pt>
                <c:pt idx="8">
                  <c:v>789.24699999999996</c:v>
                </c:pt>
                <c:pt idx="9">
                  <c:v>799.9</c:v>
                </c:pt>
                <c:pt idx="10">
                  <c:v>807.81100000000004</c:v>
                </c:pt>
                <c:pt idx="11">
                  <c:v>808.80899999999997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C6-4CEF-A1F1-EC8392ABA836}"/>
            </c:ext>
          </c:extLst>
        </c:ser>
        <c:ser>
          <c:idx val="1"/>
          <c:order val="3"/>
          <c:tx>
            <c:v>2025</c:v>
          </c:tx>
          <c:spPr>
            <a:ln>
              <a:solidFill>
                <a:srgbClr val="00B050"/>
              </a:solidFill>
            </a:ln>
          </c:spPr>
          <c:marker>
            <c:spPr>
              <a:solidFill>
                <a:srgbClr val="00B050"/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00B050"/>
                    </a:solidFill>
                  </a:defRPr>
                </a:pPr>
                <a:endParaRPr lang="es-419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Graf_PowerBI!$E$76:$E$91</c:f>
              <c:numCache>
                <c:formatCode>0</c:formatCode>
                <c:ptCount val="16"/>
                <c:pt idx="0">
                  <c:v>812</c:v>
                </c:pt>
                <c:pt idx="1">
                  <c:v>815.92900000000009</c:v>
                </c:pt>
                <c:pt idx="2">
                  <c:v>815.45899999999995</c:v>
                </c:pt>
                <c:pt idx="3">
                  <c:v>816.01300000000003</c:v>
                </c:pt>
                <c:pt idx="4">
                  <c:v>817.45699999999999</c:v>
                </c:pt>
                <c:pt idx="5">
                  <c:v>817.06399999999996</c:v>
                </c:pt>
                <c:pt idx="6">
                  <c:v>818.32</c:v>
                </c:pt>
                <c:pt idx="7" formatCode="_ * #,##0_ ;_ * \-#,##0_ ;_ * &quot;-&quot;??_ ;_ @_ ">
                  <c:v>824.71600000000001</c:v>
                </c:pt>
                <c:pt idx="8" formatCode="_ * #,##0_ ;_ * \-#,##0_ ;_ * &quot;-&quot;??_ ;_ @_ ">
                  <c:v>830.60500000000002</c:v>
                </c:pt>
                <c:pt idx="9" formatCode="_ * #,##0_ ;_ * \-#,##0_ ;_ * &quot;-&quot;??_ ;_ @_ ">
                  <c:v>837.97699999999998</c:v>
                </c:pt>
                <c:pt idx="10" formatCode="_ * #,##0_ ;_ * \-#,##0_ ;_ * &quot;-&quot;??_ ;_ @_ ">
                  <c:v>838.94500000000005</c:v>
                </c:pt>
                <c:pt idx="11" formatCode="_ * #,##0_ ;_ * \-#,##0_ ;_ * &quot;-&quot;??_ ;_ @_ ">
                  <c:v>848.38800000000003</c:v>
                </c:pt>
                <c:pt idx="12">
                  <c:v>856.1</c:v>
                </c:pt>
                <c:pt idx="13">
                  <c:v>858.62800000000004</c:v>
                </c:pt>
                <c:pt idx="14">
                  <c:v>867.91</c:v>
                </c:pt>
                <c:pt idx="15">
                  <c:v>878.92899999999997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52-4CAE-921F-DF6282DA9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269144"/>
        <c:axId val="307266792"/>
      </c:lineChart>
      <c:catAx>
        <c:axId val="307269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7266792"/>
        <c:crosses val="autoZero"/>
        <c:auto val="1"/>
        <c:lblAlgn val="ctr"/>
        <c:lblOffset val="100"/>
        <c:noMultiLvlLbl val="0"/>
      </c:catAx>
      <c:valAx>
        <c:axId val="307266792"/>
        <c:scaling>
          <c:orientation val="minMax"/>
          <c:max val="1200"/>
          <c:min val="700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crossAx val="3072691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 sz="1400"/>
              <a:t>Facturación  diaria (S/MM</a:t>
            </a:r>
            <a:r>
              <a:rPr lang="es-PE"/>
              <a:t>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870835261436395E-2"/>
          <c:y val="0.16680764487227545"/>
          <c:w val="0.95033417417320687"/>
          <c:h val="0.65777092281586325"/>
        </c:manualLayout>
      </c:layout>
      <c:lineChart>
        <c:grouping val="standard"/>
        <c:varyColors val="0"/>
        <c:ser>
          <c:idx val="4"/>
          <c:order val="1"/>
          <c:tx>
            <c:strRef>
              <c:f>Resumen!$E$133</c:f>
              <c:strCache>
                <c:ptCount val="1"/>
                <c:pt idx="0">
                  <c:v>2025 Forecast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Resumen!$A$134:$A$164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cat>
          <c:val>
            <c:numRef>
              <c:f>Resumen!$E$134:$E$164</c:f>
              <c:numCache>
                <c:formatCode>#,##0.00</c:formatCode>
                <c:ptCount val="31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2D98-40FA-BE1B-CF8A547FC57E}"/>
            </c:ext>
          </c:extLst>
        </c:ser>
        <c:ser>
          <c:idx val="0"/>
          <c:order val="2"/>
          <c:tx>
            <c:strRef>
              <c:f>Resumen!$F$133</c:f>
              <c:strCache>
                <c:ptCount val="1"/>
                <c:pt idx="0">
                  <c:v>2025 Real</c:v>
                </c:pt>
              </c:strCache>
            </c:strRef>
          </c:tx>
          <c:spPr>
            <a:ln w="28575">
              <a:solidFill>
                <a:srgbClr val="00B050"/>
              </a:solidFill>
            </a:ln>
          </c:spPr>
          <c:marker>
            <c:symbol val="none"/>
          </c:marker>
          <c:dLbls>
            <c:delete val="1"/>
          </c:dLbls>
          <c:cat>
            <c:numRef>
              <c:f>Resumen!$A$134:$A$164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cat>
          <c:val>
            <c:numRef>
              <c:f>Resumen!$F$134:$F$164</c:f>
              <c:numCache>
                <c:formatCode>0.0</c:formatCode>
                <c:ptCount val="31"/>
                <c:pt idx="0">
                  <c:v>69.450154613859993</c:v>
                </c:pt>
                <c:pt idx="1">
                  <c:v>54.145314768989998</c:v>
                </c:pt>
                <c:pt idx="2">
                  <c:v>36.973360684900001</c:v>
                </c:pt>
                <c:pt idx="3">
                  <c:v>49.389049673140001</c:v>
                </c:pt>
                <c:pt idx="4">
                  <c:v>39.947746357020002</c:v>
                </c:pt>
                <c:pt idx="5">
                  <c:v>61.58556499665</c:v>
                </c:pt>
                <c:pt idx="6">
                  <c:v>63.431738435360003</c:v>
                </c:pt>
                <c:pt idx="7">
                  <c:v>55.969330691480003</c:v>
                </c:pt>
                <c:pt idx="8">
                  <c:v>52.036932866599997</c:v>
                </c:pt>
                <c:pt idx="9">
                  <c:v>57.908774223659996</c:v>
                </c:pt>
                <c:pt idx="10">
                  <c:v>52.595859892340002</c:v>
                </c:pt>
                <c:pt idx="11">
                  <c:v>33.390565760400001</c:v>
                </c:pt>
                <c:pt idx="12">
                  <c:v>55.94746848682</c:v>
                </c:pt>
                <c:pt idx="13">
                  <c:v>57.3321441505</c:v>
                </c:pt>
                <c:pt idx="14">
                  <c:v>64.122386613789999</c:v>
                </c:pt>
                <c:pt idx="15">
                  <c:v>56.954018859919998</c:v>
                </c:pt>
                <c:pt idx="16">
                  <c:v>54.7826827114</c:v>
                </c:pt>
                <c:pt idx="17">
                  <c:v>54.563293576760003</c:v>
                </c:pt>
                <c:pt idx="18">
                  <c:v>41.411147659100003</c:v>
                </c:pt>
                <c:pt idx="19">
                  <c:v>81.913180560040004</c:v>
                </c:pt>
                <c:pt idx="20">
                  <c:v>72.335877275550004</c:v>
                </c:pt>
                <c:pt idx="21">
                  <c:v>69.080742005600001</c:v>
                </c:pt>
                <c:pt idx="22">
                  <c:v>69.501410634029995</c:v>
                </c:pt>
                <c:pt idx="23">
                  <c:v>60.136748694799998</c:v>
                </c:pt>
                <c:pt idx="24">
                  <c:v>54.432363589719998</c:v>
                </c:pt>
                <c:pt idx="25">
                  <c:v>43.044570582989998</c:v>
                </c:pt>
                <c:pt idx="26">
                  <c:v>57.044620271299998</c:v>
                </c:pt>
                <c:pt idx="27">
                  <c:v>60.548065702640002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98-40FA-BE1B-CF8A547FC57E}"/>
            </c:ext>
          </c:extLst>
        </c:ser>
        <c:ser>
          <c:idx val="1"/>
          <c:order val="3"/>
          <c:tx>
            <c:strRef>
              <c:f>Resumen!$C$133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solidFill>
                <a:schemeClr val="bg2">
                  <a:lumMod val="75000"/>
                </a:schemeClr>
              </a:solidFill>
            </a:ln>
          </c:spPr>
          <c:marker>
            <c:symbol val="none"/>
          </c:marker>
          <c:dLbls>
            <c:delete val="1"/>
          </c:dLbls>
          <c:cat>
            <c:numRef>
              <c:f>Resumen!$A$134:$A$164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cat>
          <c:val>
            <c:numRef>
              <c:f>Resumen!$C$134:$C$164</c:f>
              <c:numCache>
                <c:formatCode>0.0</c:formatCode>
                <c:ptCount val="31"/>
                <c:pt idx="0">
                  <c:v>49.842785805879998</c:v>
                </c:pt>
                <c:pt idx="1">
                  <c:v>39.961925858320001</c:v>
                </c:pt>
                <c:pt idx="2">
                  <c:v>53.91126915708</c:v>
                </c:pt>
                <c:pt idx="3">
                  <c:v>50.718531470839999</c:v>
                </c:pt>
                <c:pt idx="4">
                  <c:v>52.86120278416</c:v>
                </c:pt>
                <c:pt idx="5">
                  <c:v>43.895670919600001</c:v>
                </c:pt>
                <c:pt idx="6">
                  <c:v>44.80499523308</c:v>
                </c:pt>
                <c:pt idx="7">
                  <c:v>41.926604713700002</c:v>
                </c:pt>
                <c:pt idx="8">
                  <c:v>31.210730809240001</c:v>
                </c:pt>
                <c:pt idx="9">
                  <c:v>46.801338073419998</c:v>
                </c:pt>
                <c:pt idx="10">
                  <c:v>46.436081654200002</c:v>
                </c:pt>
                <c:pt idx="11">
                  <c:v>49.442279021819999</c:v>
                </c:pt>
                <c:pt idx="12">
                  <c:v>47.730441328559998</c:v>
                </c:pt>
                <c:pt idx="13">
                  <c:v>53.002407162440001</c:v>
                </c:pt>
                <c:pt idx="14">
                  <c:v>44.03214800328</c:v>
                </c:pt>
                <c:pt idx="15">
                  <c:v>34.264268093360002</c:v>
                </c:pt>
                <c:pt idx="16">
                  <c:v>49.049940520619998</c:v>
                </c:pt>
                <c:pt idx="17">
                  <c:v>49.8765616353</c:v>
                </c:pt>
                <c:pt idx="18">
                  <c:v>52.891089099360002</c:v>
                </c:pt>
                <c:pt idx="19">
                  <c:v>64.314754326479999</c:v>
                </c:pt>
                <c:pt idx="20">
                  <c:v>51.832479210800003</c:v>
                </c:pt>
                <c:pt idx="21">
                  <c:v>47.352248400400001</c:v>
                </c:pt>
                <c:pt idx="22">
                  <c:v>33.471898384799999</c:v>
                </c:pt>
                <c:pt idx="23">
                  <c:v>48.741633230700003</c:v>
                </c:pt>
                <c:pt idx="24">
                  <c:v>50.645714105179998</c:v>
                </c:pt>
                <c:pt idx="25">
                  <c:v>49.498578204940003</c:v>
                </c:pt>
                <c:pt idx="26">
                  <c:v>57.785067183149998</c:v>
                </c:pt>
                <c:pt idx="27">
                  <c:v>68.749626944100001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F9-4E39-97DC-83EAC85C484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07266400"/>
        <c:axId val="307268752"/>
        <c:extLst>
          <c:ext xmlns:c15="http://schemas.microsoft.com/office/drawing/2012/chart" uri="{02D57815-91ED-43cb-92C2-25804820EDAC}">
            <c15:filteredLineSeries>
              <c15:ser>
                <c:idx val="3"/>
                <c:order val="0"/>
                <c:tx>
                  <c:strRef>
                    <c:extLst>
                      <c:ext uri="{02D57815-91ED-43cb-92C2-25804820EDAC}">
                        <c15:formulaRef>
                          <c15:sqref>Resumen!$D$133</c15:sqref>
                        </c15:formulaRef>
                      </c:ext>
                    </c:extLst>
                    <c:strCache>
                      <c:ptCount val="1"/>
                      <c:pt idx="0">
                        <c:v>2026 PPTO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ormulaRef>
                          <c15:sqref>Resumen!$A$134:$A$164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Resumen!$D$134:$D$161</c15:sqref>
                        </c15:formulaRef>
                      </c:ext>
                    </c:extLst>
                    <c:numCache>
                      <c:formatCode>#,##0.0</c:formatCode>
                      <c:ptCount val="28"/>
                      <c:pt idx="0">
                        <c:v>55.902833127602683</c:v>
                      </c:pt>
                      <c:pt idx="1">
                        <c:v>59.25700311525884</c:v>
                      </c:pt>
                      <c:pt idx="2">
                        <c:v>63.914227983215014</c:v>
                      </c:pt>
                      <c:pt idx="3">
                        <c:v>60.56199960238169</c:v>
                      </c:pt>
                      <c:pt idx="4">
                        <c:v>54.772241292076885</c:v>
                      </c:pt>
                      <c:pt idx="5">
                        <c:v>56.518584869923473</c:v>
                      </c:pt>
                      <c:pt idx="6">
                        <c:v>52.281290398837804</c:v>
                      </c:pt>
                      <c:pt idx="7">
                        <c:v>33.541699876561609</c:v>
                      </c:pt>
                      <c:pt idx="8">
                        <c:v>57.248166692876737</c:v>
                      </c:pt>
                      <c:pt idx="9">
                        <c:v>58.904582361125797</c:v>
                      </c:pt>
                      <c:pt idx="10">
                        <c:v>59.455330853651823</c:v>
                      </c:pt>
                      <c:pt idx="11">
                        <c:v>56.502217818401753</c:v>
                      </c:pt>
                      <c:pt idx="12">
                        <c:v>60.178496917616009</c:v>
                      </c:pt>
                      <c:pt idx="13">
                        <c:v>52.407943937491396</c:v>
                      </c:pt>
                      <c:pt idx="14">
                        <c:v>32.423643214009552</c:v>
                      </c:pt>
                      <c:pt idx="15">
                        <c:v>60.16953403345002</c:v>
                      </c:pt>
                      <c:pt idx="16">
                        <c:v>56.511796354985258</c:v>
                      </c:pt>
                      <c:pt idx="17">
                        <c:v>60.311113634894994</c:v>
                      </c:pt>
                      <c:pt idx="18">
                        <c:v>60.300052347438466</c:v>
                      </c:pt>
                      <c:pt idx="19">
                        <c:v>60.86496879310436</c:v>
                      </c:pt>
                      <c:pt idx="20">
                        <c:v>55.816194357783537</c:v>
                      </c:pt>
                      <c:pt idx="21">
                        <c:v>36.336841532941747</c:v>
                      </c:pt>
                      <c:pt idx="22">
                        <c:v>59.075111466438109</c:v>
                      </c:pt>
                      <c:pt idx="23">
                        <c:v>57.519037717679254</c:v>
                      </c:pt>
                      <c:pt idx="24">
                        <c:v>60.72490473731461</c:v>
                      </c:pt>
                      <c:pt idx="25">
                        <c:v>54.321943641207625</c:v>
                      </c:pt>
                      <c:pt idx="26">
                        <c:v>50.799346034442252</c:v>
                      </c:pt>
                      <c:pt idx="27">
                        <c:v>54.615203338441141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D98-40FA-BE1B-CF8A547FC57E}"/>
                  </c:ext>
                </c:extLst>
              </c15:ser>
            </c15:filteredLineSeries>
          </c:ext>
        </c:extLst>
      </c:lineChart>
      <c:catAx>
        <c:axId val="30726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bg1">
                    <a:lumMod val="50000"/>
                  </a:schemeClr>
                </a:solidFill>
              </a:defRPr>
            </a:pPr>
            <a:endParaRPr lang="es-419"/>
          </a:p>
        </c:txPr>
        <c:crossAx val="307268752"/>
        <c:crosses val="autoZero"/>
        <c:auto val="1"/>
        <c:lblAlgn val="ctr"/>
        <c:lblOffset val="100"/>
        <c:noMultiLvlLbl val="0"/>
      </c:catAx>
      <c:valAx>
        <c:axId val="307268752"/>
        <c:scaling>
          <c:orientation val="minMax"/>
          <c:min val="15"/>
        </c:scaling>
        <c:delete val="0"/>
        <c:axPos val="l"/>
        <c:majorGridlines>
          <c:spPr>
            <a:ln>
              <a:solidFill>
                <a:schemeClr val="tx1">
                  <a:alpha val="13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30726640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Calibri   "/>
        </a:defRPr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s-PE" sz="1600"/>
              <a:t>Ticket Promedio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2023</c:v>
          </c:tx>
          <c:dLbls>
            <c:dLbl>
              <c:idx val="0"/>
              <c:layout>
                <c:manualLayout>
                  <c:x val="-4.0636875480473678E-2"/>
                  <c:y val="1.017328969412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47B-4ABD-9809-235C8C903BDA}"/>
                </c:ext>
              </c:extLst>
            </c:dLbl>
            <c:dLbl>
              <c:idx val="1"/>
              <c:layout>
                <c:manualLayout>
                  <c:x val="-8.7859144047773667E-3"/>
                  <c:y val="-2.94564664650171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47B-4ABD-9809-235C8C903BDA}"/>
                </c:ext>
              </c:extLst>
            </c:dLbl>
            <c:dLbl>
              <c:idx val="2"/>
              <c:layout>
                <c:manualLayout>
                  <c:x val="-2.1329814932167131E-2"/>
                  <c:y val="-2.03831910589545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47B-4ABD-9809-235C8C903BDA}"/>
                </c:ext>
              </c:extLst>
            </c:dLbl>
            <c:dLbl>
              <c:idx val="3"/>
              <c:layout>
                <c:manualLayout>
                  <c:x val="-3.4423305181353739E-2"/>
                  <c:y val="1.94287157994857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47B-4ABD-9809-235C8C903BDA}"/>
                </c:ext>
              </c:extLst>
            </c:dLbl>
            <c:dLbl>
              <c:idx val="5"/>
              <c:layout>
                <c:manualLayout>
                  <c:x val="-1.8360808726729516E-2"/>
                  <c:y val="5.75525953989589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47B-4ABD-9809-235C8C903BDA}"/>
                </c:ext>
              </c:extLst>
            </c:dLbl>
            <c:dLbl>
              <c:idx val="6"/>
              <c:layout>
                <c:manualLayout>
                  <c:x val="-2.3726195719655889E-2"/>
                  <c:y val="3.09055009684726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F80-408D-8044-86178027E8E2}"/>
                </c:ext>
              </c:extLst>
            </c:dLbl>
            <c:dLbl>
              <c:idx val="7"/>
              <c:layout>
                <c:manualLayout>
                  <c:x val="-2.5463820417025371E-3"/>
                  <c:y val="4.31242688066900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80-408D-8044-86178027E8E2}"/>
                </c:ext>
              </c:extLst>
            </c:dLbl>
            <c:dLbl>
              <c:idx val="8"/>
              <c:layout>
                <c:manualLayout>
                  <c:x val="-3.0234315367592177E-2"/>
                  <c:y val="5.53428114500344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F80-408D-8044-86178027E8E2}"/>
                </c:ext>
              </c:extLst>
            </c:dLbl>
            <c:dLbl>
              <c:idx val="9"/>
              <c:layout>
                <c:manualLayout>
                  <c:x val="-2.3726195719655948E-2"/>
                  <c:y val="4.00694923990583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F80-408D-8044-86178027E8E2}"/>
                </c:ext>
              </c:extLst>
            </c:dLbl>
            <c:dLbl>
              <c:idx val="10"/>
              <c:layout>
                <c:manualLayout>
                  <c:x val="-2.8607285455608211E-2"/>
                  <c:y val="2.78508371582775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F80-408D-8044-86178027E8E2}"/>
                </c:ext>
              </c:extLst>
            </c:dLbl>
            <c:numFmt formatCode="#,##0" sourceLinked="0"/>
            <c:spPr>
              <a:noFill/>
            </c:spPr>
            <c:txPr>
              <a:bodyPr/>
              <a:lstStyle/>
              <a:p>
                <a:pPr>
                  <a:defRPr sz="800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es-419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Graf_PowerBI!$B$28:$B$39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Graf_PowerBI!$J$52:$J$63</c:f>
              <c:numCache>
                <c:formatCode>0</c:formatCode>
                <c:ptCount val="12"/>
                <c:pt idx="0">
                  <c:v>175.93236761784121</c:v>
                </c:pt>
                <c:pt idx="1">
                  <c:v>177.33908109998097</c:v>
                </c:pt>
                <c:pt idx="2">
                  <c:v>181.56453645131199</c:v>
                </c:pt>
                <c:pt idx="3">
                  <c:v>171.64905642465939</c:v>
                </c:pt>
                <c:pt idx="4">
                  <c:v>177.72711442667941</c:v>
                </c:pt>
                <c:pt idx="5">
                  <c:v>172.35503441898845</c:v>
                </c:pt>
                <c:pt idx="6">
                  <c:v>180.41605539970865</c:v>
                </c:pt>
                <c:pt idx="7">
                  <c:v>180.47158899977845</c:v>
                </c:pt>
                <c:pt idx="8">
                  <c:v>171.4432629246553</c:v>
                </c:pt>
                <c:pt idx="9">
                  <c:v>174.58907416272552</c:v>
                </c:pt>
                <c:pt idx="10">
                  <c:v>176.47391711703762</c:v>
                </c:pt>
                <c:pt idx="11">
                  <c:v>179.36296583668749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B0-4226-A804-D192F881C1BD}"/>
            </c:ext>
          </c:extLst>
        </c:ser>
        <c:ser>
          <c:idx val="2"/>
          <c:order val="1"/>
          <c:tx>
            <c:strRef>
              <c:f>Graf_PowerBI!$Y$3</c:f>
              <c:strCache>
                <c:ptCount val="1"/>
                <c:pt idx="0">
                  <c:v>PPTO_TICKET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>
                        <a:lumMod val="50000"/>
                      </a:schemeClr>
                    </a:solidFill>
                  </a:defRPr>
                </a:pPr>
                <a:endParaRPr lang="es-419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Graf_PowerBI!$Y$4:$Y$15</c:f>
              <c:numCache>
                <c:formatCode>0</c:formatCode>
                <c:ptCount val="12"/>
                <c:pt idx="0">
                  <c:v>171.01242716323429</c:v>
                </c:pt>
                <c:pt idx="1">
                  <c:v>171.61816157341599</c:v>
                </c:pt>
                <c:pt idx="2">
                  <c:v>165.56722802209686</c:v>
                </c:pt>
                <c:pt idx="3">
                  <c:v>168.46480515801272</c:v>
                </c:pt>
                <c:pt idx="4">
                  <c:v>165.67179308408939</c:v>
                </c:pt>
                <c:pt idx="5">
                  <c:v>165.93955911243631</c:v>
                </c:pt>
                <c:pt idx="6">
                  <c:v>174.52722387977587</c:v>
                </c:pt>
                <c:pt idx="7">
                  <c:v>168.90533177334299</c:v>
                </c:pt>
                <c:pt idx="8">
                  <c:v>167.814855400997</c:v>
                </c:pt>
                <c:pt idx="9">
                  <c:v>164.35776672510642</c:v>
                </c:pt>
                <c:pt idx="10">
                  <c:v>170.14999876371746</c:v>
                </c:pt>
                <c:pt idx="11">
                  <c:v>160.3668376055885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6B-446A-BA35-11994F4C88DA}"/>
            </c:ext>
          </c:extLst>
        </c:ser>
        <c:ser>
          <c:idx val="1"/>
          <c:order val="2"/>
          <c:tx>
            <c:v>2024</c:v>
          </c:tx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2"/>
                    </a:solidFill>
                  </a:defRPr>
                </a:pPr>
                <a:endParaRPr lang="es-419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Graf_PowerBI!$J$64:$J$75</c:f>
              <c:numCache>
                <c:formatCode>0</c:formatCode>
                <c:ptCount val="12"/>
                <c:pt idx="0">
                  <c:v>171.53001412431647</c:v>
                </c:pt>
                <c:pt idx="1">
                  <c:v>170.56843981188939</c:v>
                </c:pt>
                <c:pt idx="2">
                  <c:v>167.08199988545195</c:v>
                </c:pt>
                <c:pt idx="3" formatCode="_ * #,##0_ ;_ * \-#,##0_ ;_ * &quot;-&quot;??_ ;_ @_ ">
                  <c:v>167.27518418281284</c:v>
                </c:pt>
                <c:pt idx="4" formatCode="_ * #,##0_ ;_ * \-#,##0_ ;_ * &quot;-&quot;??_ ;_ @_ ">
                  <c:v>168.85366513366264</c:v>
                </c:pt>
                <c:pt idx="5" formatCode="_ * #,##0_ ;_ * \-#,##0_ ;_ * &quot;-&quot;??_ ;_ @_ ">
                  <c:v>167.29838433872371</c:v>
                </c:pt>
                <c:pt idx="6" formatCode="_ * #,##0_ ;_ * \-#,##0_ ;_ * &quot;-&quot;??_ ;_ @_ ">
                  <c:v>179.25671479499275</c:v>
                </c:pt>
                <c:pt idx="7">
                  <c:v>170.6212424205454</c:v>
                </c:pt>
                <c:pt idx="8" formatCode="_ * #,##0_ ;_ * \-#,##0_ ;_ * &quot;-&quot;??_ ;_ @_ ">
                  <c:v>168.68306240739906</c:v>
                </c:pt>
                <c:pt idx="9" formatCode="_ * #,##0_ ;_ * \-#,##0_ ;_ * &quot;-&quot;??_ ;_ @_ ">
                  <c:v>168.63454637742024</c:v>
                </c:pt>
                <c:pt idx="10" formatCode="_ * #,##0_ ;_ * \-#,##0_ ;_ * &quot;-&quot;??_ ;_ @_ ">
                  <c:v>173.98600113364105</c:v>
                </c:pt>
                <c:pt idx="11" formatCode="_ * #,##0_ ;_ * \-#,##0_ ;_ * &quot;-&quot;??_ ;_ @_ ">
                  <c:v>172.03278850264593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56-483A-8CEE-4123514041C1}"/>
            </c:ext>
          </c:extLst>
        </c:ser>
        <c:ser>
          <c:idx val="3"/>
          <c:order val="3"/>
          <c:tx>
            <c:v>2025</c:v>
          </c:tx>
          <c:spPr>
            <a:ln>
              <a:solidFill>
                <a:srgbClr val="00B050"/>
              </a:solidFill>
            </a:ln>
          </c:spPr>
          <c:marker>
            <c:spPr>
              <a:solidFill>
                <a:srgbClr val="00B050"/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00B050"/>
                    </a:solidFill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Graf_PowerBI!$J$76:$J$91</c:f>
              <c:numCache>
                <c:formatCode>#,##0</c:formatCode>
                <c:ptCount val="16"/>
                <c:pt idx="0" formatCode="General">
                  <c:v>168</c:v>
                </c:pt>
                <c:pt idx="1">
                  <c:v>165.72157499425006</c:v>
                </c:pt>
                <c:pt idx="2" formatCode="0">
                  <c:v>167.55593971783355</c:v>
                </c:pt>
                <c:pt idx="3" formatCode="0">
                  <c:v>168.61863838277858</c:v>
                </c:pt>
                <c:pt idx="4" formatCode="0.0">
                  <c:v>168.67193885863071</c:v>
                </c:pt>
                <c:pt idx="5" formatCode="0.0">
                  <c:v>164.38463919204042</c:v>
                </c:pt>
                <c:pt idx="6" formatCode="0">
                  <c:v>178.24063370827338</c:v>
                </c:pt>
                <c:pt idx="7" formatCode="_ * #,##0_ ;_ * \-#,##0_ ;_ * &quot;-&quot;??_ ;_ @_ ">
                  <c:v>171.09503707371292</c:v>
                </c:pt>
                <c:pt idx="8" formatCode="_ * #,##0_ ;_ * \-#,##0_ ;_ * &quot;-&quot;??_ ;_ @_ ">
                  <c:v>168.46741656805006</c:v>
                </c:pt>
                <c:pt idx="9" formatCode="_ * #,##0_ ;_ * \-#,##0_ ;_ * &quot;-&quot;??_ ;_ @_ ">
                  <c:v>166.61344941696547</c:v>
                </c:pt>
                <c:pt idx="10" formatCode="_ * #,##0_ ;_ * \-#,##0_ ;_ * &quot;-&quot;??_ ;_ @_ ">
                  <c:v>172.7841867901283</c:v>
                </c:pt>
                <c:pt idx="11" formatCode="_ * #,##0_ ;_ * \-#,##0_ ;_ * &quot;-&quot;??_ ;_ @_ ">
                  <c:v>176.37228792676294</c:v>
                </c:pt>
                <c:pt idx="12" formatCode="0">
                  <c:v>173.20271876851214</c:v>
                </c:pt>
                <c:pt idx="13" formatCode="0">
                  <c:v>175.38040469052805</c:v>
                </c:pt>
                <c:pt idx="14" formatCode="0">
                  <c:v>178.67491285911348</c:v>
                </c:pt>
                <c:pt idx="15" formatCode="0">
                  <c:v>177.40690596709868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CE-4085-8EF2-DB508130D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275024"/>
        <c:axId val="307275416"/>
      </c:lineChart>
      <c:catAx>
        <c:axId val="307275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7275416"/>
        <c:crosses val="autoZero"/>
        <c:auto val="1"/>
        <c:lblAlgn val="ctr"/>
        <c:lblOffset val="100"/>
        <c:noMultiLvlLbl val="0"/>
      </c:catAx>
      <c:valAx>
        <c:axId val="307275416"/>
        <c:scaling>
          <c:orientation val="minMax"/>
          <c:max val="190"/>
        </c:scaling>
        <c:delete val="0"/>
        <c:axPos val="l"/>
        <c:numFmt formatCode="0" sourceLinked="0"/>
        <c:majorTickMark val="out"/>
        <c:minorTickMark val="none"/>
        <c:tickLblPos val="nextTo"/>
        <c:crossAx val="3072750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s-PE" sz="1600"/>
              <a:t>Actividad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2023</c:v>
          </c:tx>
          <c:dLbls>
            <c:dLbl>
              <c:idx val="0"/>
              <c:layout>
                <c:manualLayout>
                  <c:x val="-1.9666687970486971E-2"/>
                  <c:y val="-4.46293654581335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B6F-4F4A-9BEF-5ADF9DF43517}"/>
                </c:ext>
              </c:extLst>
            </c:dLbl>
            <c:dLbl>
              <c:idx val="1"/>
              <c:layout>
                <c:manualLayout>
                  <c:x val="-2.7826968536703783E-2"/>
                  <c:y val="-3.46877807486561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6F-4F4A-9BEF-5ADF9DF43517}"/>
                </c:ext>
              </c:extLst>
            </c:dLbl>
            <c:dLbl>
              <c:idx val="2"/>
              <c:layout>
                <c:manualLayout>
                  <c:x val="-2.0976639310715302E-2"/>
                  <c:y val="-2.66291347482541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D7C-49C1-88B5-C7D8FE480F69}"/>
                </c:ext>
              </c:extLst>
            </c:dLbl>
            <c:dLbl>
              <c:idx val="3"/>
              <c:layout>
                <c:manualLayout>
                  <c:x val="-2.0976618088859762E-2"/>
                  <c:y val="-3.89430921250907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D7C-49C1-88B5-C7D8FE480F69}"/>
                </c:ext>
              </c:extLst>
            </c:dLbl>
            <c:dLbl>
              <c:idx val="8"/>
              <c:layout>
                <c:manualLayout>
                  <c:x val="-3.0853087263811557E-2"/>
                  <c:y val="-5.64539844146753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4A-44A6-A69D-0F0577FB5DF9}"/>
                </c:ext>
              </c:extLst>
            </c:dLbl>
            <c:dLbl>
              <c:idx val="9"/>
              <c:layout>
                <c:manualLayout>
                  <c:x val="-7.3186088416949107E-3"/>
                  <c:y val="1.10728936706400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BCA-401B-922A-3CEEEA251DA4}"/>
                </c:ext>
              </c:extLst>
            </c:dLbl>
            <c:dLbl>
              <c:idx val="10"/>
              <c:layout>
                <c:manualLayout>
                  <c:x val="-2.415460025462712E-2"/>
                  <c:y val="-3.11984900396158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377-462B-A7B5-0FEEC0FB5D37}"/>
                </c:ext>
              </c:extLst>
            </c:dLbl>
            <c:dLbl>
              <c:idx val="11"/>
              <c:layout>
                <c:manualLayout>
                  <c:x val="-2.9334049773460588E-2"/>
                  <c:y val="-3.11984900396158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377-462B-A7B5-0FEEC0FB5D37}"/>
                </c:ext>
              </c:extLst>
            </c:dLbl>
            <c:spPr>
              <a:noFill/>
            </c:spPr>
            <c:txPr>
              <a:bodyPr/>
              <a:lstStyle/>
              <a:p>
                <a:pPr>
                  <a:defRPr sz="900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es-419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2"/>
              <c:pt idx="0">
                <c:v>Enero</c:v>
              </c:pt>
              <c:pt idx="1">
                <c:v>Febrero</c:v>
              </c:pt>
              <c:pt idx="2">
                <c:v>Marzo</c:v>
              </c:pt>
              <c:pt idx="3">
                <c:v>Abril</c:v>
              </c:pt>
              <c:pt idx="4">
                <c:v>Mayo</c:v>
              </c:pt>
              <c:pt idx="5">
                <c:v>Junio</c:v>
              </c:pt>
              <c:pt idx="6">
                <c:v>Julio</c:v>
              </c:pt>
              <c:pt idx="7">
                <c:v>Agosto</c:v>
              </c:pt>
              <c:pt idx="8">
                <c:v>Septiembre</c:v>
              </c:pt>
              <c:pt idx="9">
                <c:v>Octubre</c:v>
              </c:pt>
              <c:pt idx="10">
                <c:v>Noviembre</c:v>
              </c:pt>
              <c:pt idx="11">
                <c:v>Diciembre</c:v>
              </c:pt>
            </c:strLit>
          </c:cat>
          <c:val>
            <c:numRef>
              <c:f>Graf_PowerBI!$F$52:$F$63</c:f>
              <c:numCache>
                <c:formatCode>0.0%</c:formatCode>
                <c:ptCount val="12"/>
                <c:pt idx="0">
                  <c:v>0.7629997464490913</c:v>
                </c:pt>
                <c:pt idx="1">
                  <c:v>0.76233878855617454</c:v>
                </c:pt>
                <c:pt idx="2">
                  <c:v>0.78722267214331088</c:v>
                </c:pt>
                <c:pt idx="3">
                  <c:v>0.77325359609843136</c:v>
                </c:pt>
                <c:pt idx="4">
                  <c:v>0.7874334682500852</c:v>
                </c:pt>
                <c:pt idx="5">
                  <c:v>0.79215860520053882</c:v>
                </c:pt>
                <c:pt idx="6">
                  <c:v>0.7902282716926351</c:v>
                </c:pt>
                <c:pt idx="7">
                  <c:v>0.81883860458451785</c:v>
                </c:pt>
                <c:pt idx="8">
                  <c:v>0.78872988061683114</c:v>
                </c:pt>
                <c:pt idx="9">
                  <c:v>0.83301193999504108</c:v>
                </c:pt>
                <c:pt idx="10">
                  <c:v>0.86212892254584128</c:v>
                </c:pt>
                <c:pt idx="11">
                  <c:v>0.85660659464060007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45-4D8C-B996-F440D7084533}"/>
            </c:ext>
          </c:extLst>
        </c:ser>
        <c:ser>
          <c:idx val="2"/>
          <c:order val="1"/>
          <c:tx>
            <c:strRef>
              <c:f>Graf_PowerBI!$U$3</c:f>
              <c:strCache>
                <c:ptCount val="1"/>
                <c:pt idx="0">
                  <c:v>PPTO_ACT</c:v>
                </c:pt>
              </c:strCache>
            </c:strRef>
          </c:tx>
          <c:dLbls>
            <c:dLbl>
              <c:idx val="0"/>
              <c:layout>
                <c:manualLayout>
                  <c:x val="-1.3150786029088682E-2"/>
                  <c:y val="-2.68103478919492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B6F-4F4A-9BEF-5ADF9DF43517}"/>
                </c:ext>
              </c:extLst>
            </c:dLbl>
            <c:dLbl>
              <c:idx val="1"/>
              <c:layout>
                <c:manualLayout>
                  <c:x val="-2.2659896328529217E-2"/>
                  <c:y val="-2.99672846888317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6F-4F4A-9BEF-5ADF9DF43517}"/>
                </c:ext>
              </c:extLst>
            </c:dLbl>
            <c:dLbl>
              <c:idx val="2"/>
              <c:layout>
                <c:manualLayout>
                  <c:x val="-1.0445132449808077E-2"/>
                  <c:y val="-2.99672846888317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D7C-49C1-88B5-C7D8FE480F69}"/>
                </c:ext>
              </c:extLst>
            </c:dLbl>
            <c:dLbl>
              <c:idx val="3"/>
              <c:layout>
                <c:manualLayout>
                  <c:x val="-1.58672735828757E-2"/>
                  <c:y val="-2.99672846888316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D7C-49C1-88B5-C7D8FE480F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chemeClr val="bg1">
                        <a:lumMod val="50000"/>
                      </a:schemeClr>
                    </a:solidFill>
                  </a:defRPr>
                </a:pPr>
                <a:endParaRPr lang="es-419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2"/>
              <c:pt idx="0">
                <c:v>Enero</c:v>
              </c:pt>
              <c:pt idx="1">
                <c:v>Febrero</c:v>
              </c:pt>
              <c:pt idx="2">
                <c:v>Marzo</c:v>
              </c:pt>
              <c:pt idx="3">
                <c:v>Abril</c:v>
              </c:pt>
              <c:pt idx="4">
                <c:v>Mayo</c:v>
              </c:pt>
              <c:pt idx="5">
                <c:v>Junio</c:v>
              </c:pt>
              <c:pt idx="6">
                <c:v>Julio</c:v>
              </c:pt>
              <c:pt idx="7">
                <c:v>Agosto</c:v>
              </c:pt>
              <c:pt idx="8">
                <c:v>Septiembre</c:v>
              </c:pt>
              <c:pt idx="9">
                <c:v>Octubre</c:v>
              </c:pt>
              <c:pt idx="10">
                <c:v>Noviembre</c:v>
              </c:pt>
              <c:pt idx="11">
                <c:v>Diciembre</c:v>
              </c:pt>
            </c:strLit>
          </c:cat>
          <c:val>
            <c:numRef>
              <c:f>Graf_PowerBI!$U$4:$U$15</c:f>
              <c:numCache>
                <c:formatCode>0.0%</c:formatCode>
                <c:ptCount val="12"/>
                <c:pt idx="0">
                  <c:v>0.8470183570335863</c:v>
                </c:pt>
                <c:pt idx="1">
                  <c:v>0.84637523455457431</c:v>
                </c:pt>
                <c:pt idx="2">
                  <c:v>0.85150094007768828</c:v>
                </c:pt>
                <c:pt idx="3">
                  <c:v>0.84866507780745004</c:v>
                </c:pt>
                <c:pt idx="4">
                  <c:v>0.85261092592261367</c:v>
                </c:pt>
                <c:pt idx="5">
                  <c:v>0.85019096353049051</c:v>
                </c:pt>
                <c:pt idx="6">
                  <c:v>0.8538150806450544</c:v>
                </c:pt>
                <c:pt idx="7">
                  <c:v>0.85264908905820869</c:v>
                </c:pt>
                <c:pt idx="8">
                  <c:v>0.85184330840836264</c:v>
                </c:pt>
                <c:pt idx="9">
                  <c:v>0.85332109209992213</c:v>
                </c:pt>
                <c:pt idx="10">
                  <c:v>0.85202595278744986</c:v>
                </c:pt>
                <c:pt idx="11">
                  <c:v>0.85500836476653019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45-4D8C-B996-F440D7084533}"/>
            </c:ext>
          </c:extLst>
        </c:ser>
        <c:ser>
          <c:idx val="4"/>
          <c:order val="2"/>
          <c:tx>
            <c:v>2024</c:v>
          </c:tx>
          <c:spPr>
            <a:ln>
              <a:solidFill>
                <a:schemeClr val="accent2"/>
              </a:solidFill>
            </a:ln>
          </c:spPr>
          <c:marker>
            <c:spPr>
              <a:ln>
                <a:solidFill>
                  <a:schemeClr val="accent2"/>
                </a:solidFill>
              </a:ln>
            </c:spPr>
          </c:marker>
          <c:dLbls>
            <c:dLbl>
              <c:idx val="7"/>
              <c:layout>
                <c:manualLayout>
                  <c:x val="-3.8425895337076944E-2"/>
                  <c:y val="-3.44026565996012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264-444C-BC1B-C0FBD8423A99}"/>
                </c:ext>
              </c:extLst>
            </c:dLbl>
            <c:dLbl>
              <c:idx val="9"/>
              <c:layout>
                <c:manualLayout>
                  <c:x val="-3.2662646088188529E-2"/>
                  <c:y val="3.18930161349299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BCA-401B-922A-3CEEEA251D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2"/>
                    </a:solidFill>
                  </a:defRPr>
                </a:pPr>
                <a:endParaRPr lang="es-419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Graf_PowerBI!$F$64:$F$75</c:f>
              <c:numCache>
                <c:formatCode>0.0%</c:formatCode>
                <c:ptCount val="12"/>
                <c:pt idx="0">
                  <c:v>0.84037277136991539</c:v>
                </c:pt>
                <c:pt idx="1">
                  <c:v>0.83733312985155317</c:v>
                </c:pt>
                <c:pt idx="2">
                  <c:v>0.84260699937298245</c:v>
                </c:pt>
                <c:pt idx="3">
                  <c:v>0.83786734984489297</c:v>
                </c:pt>
                <c:pt idx="4">
                  <c:v>0.84661500872956985</c:v>
                </c:pt>
                <c:pt idx="5">
                  <c:v>0.84461887986930095</c:v>
                </c:pt>
                <c:pt idx="6">
                  <c:v>0.85090379082970535</c:v>
                </c:pt>
                <c:pt idx="7">
                  <c:v>0.85855873219284129</c:v>
                </c:pt>
                <c:pt idx="8">
                  <c:v>0.85487432958250087</c:v>
                </c:pt>
                <c:pt idx="9">
                  <c:v>0.85710963870483814</c:v>
                </c:pt>
                <c:pt idx="10">
                  <c:v>0.8416077523083989</c:v>
                </c:pt>
                <c:pt idx="11">
                  <c:v>0.84852047887696613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94-4ECA-BDFD-74DBF18322B8}"/>
            </c:ext>
          </c:extLst>
        </c:ser>
        <c:ser>
          <c:idx val="1"/>
          <c:order val="3"/>
          <c:tx>
            <c:v>2025</c:v>
          </c:tx>
          <c:spPr>
            <a:ln>
              <a:solidFill>
                <a:srgbClr val="00B050"/>
              </a:solidFill>
            </a:ln>
          </c:spPr>
          <c:marker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00B050"/>
                    </a:solidFill>
                  </a:defRPr>
                </a:pPr>
                <a:endParaRPr lang="es-419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Graf_PowerBI!$F$76:$F$91</c:f>
              <c:numCache>
                <c:formatCode>0.0%</c:formatCode>
                <c:ptCount val="16"/>
                <c:pt idx="0">
                  <c:v>0.84199999999999997</c:v>
                </c:pt>
                <c:pt idx="1">
                  <c:v>0.83555325059585617</c:v>
                </c:pt>
                <c:pt idx="2">
                  <c:v>0.85091341195572068</c:v>
                </c:pt>
                <c:pt idx="3">
                  <c:v>0.84465321018170059</c:v>
                </c:pt>
                <c:pt idx="4">
                  <c:v>0.84941715588709865</c:v>
                </c:pt>
                <c:pt idx="5">
                  <c:v>0.84572851086328626</c:v>
                </c:pt>
                <c:pt idx="6">
                  <c:v>0.85009042917196198</c:v>
                </c:pt>
                <c:pt idx="7">
                  <c:v>0.850909888979964</c:v>
                </c:pt>
                <c:pt idx="8">
                  <c:v>0.84936522173596352</c:v>
                </c:pt>
                <c:pt idx="9">
                  <c:v>0.85076594942343287</c:v>
                </c:pt>
                <c:pt idx="10">
                  <c:v>0.85692204077164358</c:v>
                </c:pt>
                <c:pt idx="11">
                  <c:v>0.85526558905044625</c:v>
                </c:pt>
                <c:pt idx="12">
                  <c:v>0.85047190748744306</c:v>
                </c:pt>
                <c:pt idx="13">
                  <c:v>0.85697414945704076</c:v>
                </c:pt>
                <c:pt idx="14">
                  <c:v>0.86231060824279016</c:v>
                </c:pt>
                <c:pt idx="15">
                  <c:v>0.85859039808676241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A1-4FDD-9558-8AE0A37F36D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07288744"/>
        <c:axId val="307282080"/>
      </c:lineChart>
      <c:catAx>
        <c:axId val="307288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7282080"/>
        <c:crosses val="autoZero"/>
        <c:auto val="1"/>
        <c:lblAlgn val="ctr"/>
        <c:lblOffset val="100"/>
        <c:noMultiLvlLbl val="0"/>
      </c:catAx>
      <c:valAx>
        <c:axId val="307282080"/>
        <c:scaling>
          <c:orientation val="minMax"/>
          <c:max val="0.9"/>
          <c:min val="0.70000000000000007"/>
        </c:scaling>
        <c:delete val="0"/>
        <c:axPos val="l"/>
        <c:numFmt formatCode="0.0%" sourceLinked="1"/>
        <c:majorTickMark val="out"/>
        <c:minorTickMark val="none"/>
        <c:tickLblPos val="nextTo"/>
        <c:crossAx val="3072887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s-PE" sz="1600"/>
              <a:t>Facturación (S/MM)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3142201795897838E-2"/>
          <c:y val="0.12629492108402263"/>
          <c:w val="0.81429185816345773"/>
          <c:h val="0.79387425734773465"/>
        </c:manualLayout>
      </c:layout>
      <c:lineChart>
        <c:grouping val="standard"/>
        <c:varyColors val="0"/>
        <c:ser>
          <c:idx val="2"/>
          <c:order val="0"/>
          <c:tx>
            <c:strRef>
              <c:f>Graf_PowerBI!$T$3</c:f>
              <c:strCache>
                <c:ptCount val="1"/>
                <c:pt idx="0">
                  <c:v>PPTO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chemeClr val="bg1">
                        <a:lumMod val="50000"/>
                      </a:schemeClr>
                    </a:solidFill>
                  </a:defRPr>
                </a:pPr>
                <a:endParaRPr lang="es-419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Graf_PowerBI!$B$52:$B$63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Graf_PowerBI!$T$4:$T$15</c:f>
              <c:numCache>
                <c:formatCode>0.0</c:formatCode>
                <c:ptCount val="12"/>
                <c:pt idx="0">
                  <c:v>1509.7665500346834</c:v>
                </c:pt>
                <c:pt idx="1">
                  <c:v>1498.755362086958</c:v>
                </c:pt>
                <c:pt idx="2">
                  <c:v>1614.9982578042996</c:v>
                </c:pt>
                <c:pt idx="3">
                  <c:v>1578.3803017410532</c:v>
                </c:pt>
                <c:pt idx="4">
                  <c:v>1666.3273639820964</c:v>
                </c:pt>
                <c:pt idx="5">
                  <c:v>1593.9235427572178</c:v>
                </c:pt>
                <c:pt idx="6">
                  <c:v>1757.0636103481306</c:v>
                </c:pt>
                <c:pt idx="7">
                  <c:v>1698.4746105496513</c:v>
                </c:pt>
                <c:pt idx="8">
                  <c:v>1621.2259809658171</c:v>
                </c:pt>
                <c:pt idx="9">
                  <c:v>1697.5274718049127</c:v>
                </c:pt>
                <c:pt idx="10">
                  <c:v>1731.5307366137827</c:v>
                </c:pt>
                <c:pt idx="11">
                  <c:v>1816.2063758892104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AB-4C8A-8C3C-2C68F44A618E}"/>
            </c:ext>
          </c:extLst>
        </c:ser>
        <c:ser>
          <c:idx val="0"/>
          <c:order val="1"/>
          <c:tx>
            <c:v>2023</c:v>
          </c:tx>
          <c:marker>
            <c:symbol val="none"/>
          </c:marker>
          <c:dLbls>
            <c:dLbl>
              <c:idx val="8"/>
              <c:layout>
                <c:manualLayout>
                  <c:x val="-2.7450097171147558E-2"/>
                  <c:y val="1.72116425460878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88-41C5-9274-2F15F1675331}"/>
                </c:ext>
              </c:extLst>
            </c:dLbl>
            <c:spPr>
              <a:noFill/>
            </c:spPr>
            <c:txPr>
              <a:bodyPr/>
              <a:lstStyle/>
              <a:p>
                <a:pPr>
                  <a:defRPr sz="900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es-419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Graf_PowerBI!$B$52:$B$63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Graf_PowerBI!$C$52:$C$63</c:f>
              <c:numCache>
                <c:formatCode>_ * #,##0_ ;_ * \-#,##0_ ;_ * "-"??_ ;_ @_ </c:formatCode>
                <c:ptCount val="12"/>
                <c:pt idx="0">
                  <c:v>1402.2455370931102</c:v>
                </c:pt>
                <c:pt idx="1">
                  <c:v>1398.90227738925</c:v>
                </c:pt>
                <c:pt idx="2">
                  <c:v>1590.2747523522</c:v>
                </c:pt>
                <c:pt idx="3">
                  <c:v>1442.3859025326199</c:v>
                </c:pt>
                <c:pt idx="4">
                  <c:v>1550.3909304387</c:v>
                </c:pt>
                <c:pt idx="5">
                  <c:v>1461.9703831978397</c:v>
                </c:pt>
                <c:pt idx="6">
                  <c:v>1562.1832930060002</c:v>
                </c:pt>
                <c:pt idx="7">
                  <c:v>1544.6029106587598</c:v>
                </c:pt>
                <c:pt idx="8">
                  <c:v>1395.4113484828802</c:v>
                </c:pt>
                <c:pt idx="9">
                  <c:v>1434.9352712587197</c:v>
                </c:pt>
                <c:pt idx="10">
                  <c:v>1370.9331727922702</c:v>
                </c:pt>
                <c:pt idx="11">
                  <c:v>1445.98911370769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AB-4C8A-8C3C-2C68F44A618E}"/>
            </c:ext>
          </c:extLst>
        </c:ser>
        <c:ser>
          <c:idx val="4"/>
          <c:order val="2"/>
          <c:tx>
            <c:v>2024</c:v>
          </c:tx>
          <c:spPr>
            <a:ln w="22225">
              <a:solidFill>
                <a:schemeClr val="accent2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787728571768747E-2"/>
                  <c:y val="2.65306317132602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BAB-4C8A-8C3C-2C68F44A618E}"/>
                </c:ext>
              </c:extLst>
            </c:dLbl>
            <c:dLbl>
              <c:idx val="1"/>
              <c:layout>
                <c:manualLayout>
                  <c:x val="-2.787728571768747E-2"/>
                  <c:y val="2.32562636469602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AB-4C8A-8C3C-2C68F44A618E}"/>
                </c:ext>
              </c:extLst>
            </c:dLbl>
            <c:dLbl>
              <c:idx val="2"/>
              <c:layout>
                <c:manualLayout>
                  <c:x val="-1.3495713580894699E-3"/>
                  <c:y val="-1.60361531486400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BAB-4C8A-8C3C-2C68F44A618E}"/>
                </c:ext>
              </c:extLst>
            </c:dLbl>
            <c:dLbl>
              <c:idx val="6"/>
              <c:layout>
                <c:manualLayout>
                  <c:x val="-1.9471517233511853E-2"/>
                  <c:y val="-9.055029271726914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5CF-475C-BC14-A5CC300D655F}"/>
                </c:ext>
              </c:extLst>
            </c:dLbl>
            <c:dLbl>
              <c:idx val="7"/>
              <c:layout>
                <c:manualLayout>
                  <c:x val="-2.780778237688273E-2"/>
                  <c:y val="-3.09310035707791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088-41C5-9274-2F15F1675331}"/>
                </c:ext>
              </c:extLst>
            </c:dLbl>
            <c:dLbl>
              <c:idx val="8"/>
              <c:layout>
                <c:manualLayout>
                  <c:x val="-1.391515772550285E-2"/>
                  <c:y val="-1.21801684573058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620-4515-A397-4137B7894A85}"/>
                </c:ext>
              </c:extLst>
            </c:dLbl>
            <c:dLbl>
              <c:idx val="9"/>
              <c:layout>
                <c:manualLayout>
                  <c:x val="-1.9465936032192897E-2"/>
                  <c:y val="9.695805841746396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59F-4296-A8E3-B56CD36EA8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2"/>
                    </a:solidFill>
                  </a:defRPr>
                </a:pPr>
                <a:endParaRPr lang="es-419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Graf_PowerBI!$B$52:$B$63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Graf_PowerBI!$C$64:$C$75</c:f>
              <c:numCache>
                <c:formatCode>_ * #,##0_ ;_ * \-#,##0_ ;_ * "-"??_ ;_ @_ </c:formatCode>
                <c:ptCount val="12"/>
                <c:pt idx="0">
                  <c:v>1287.61286451606</c:v>
                </c:pt>
                <c:pt idx="1">
                  <c:v>1280.64217385661</c:v>
                </c:pt>
                <c:pt idx="2">
                  <c:v>1344.8030844800301</c:v>
                </c:pt>
                <c:pt idx="3">
                  <c:v>1320.14579008181</c:v>
                </c:pt>
                <c:pt idx="4">
                  <c:v>1408.8629749464201</c:v>
                </c:pt>
                <c:pt idx="5">
                  <c:v>1337.22451823702</c:v>
                </c:pt>
                <c:pt idx="6">
                  <c:v>1473.0445634218599</c:v>
                </c:pt>
                <c:pt idx="7">
                  <c:v>1401.1501738196398</c:v>
                </c:pt>
                <c:pt idx="8">
                  <c:v>1339.3905780891603</c:v>
                </c:pt>
                <c:pt idx="9">
                  <c:v>1416.7848277353598</c:v>
                </c:pt>
                <c:pt idx="10">
                  <c:v>1433.8544764585697</c:v>
                </c:pt>
                <c:pt idx="11">
                  <c:v>1532.7116784100899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BAB-4C8A-8C3C-2C68F44A618E}"/>
            </c:ext>
          </c:extLst>
        </c:ser>
        <c:ser>
          <c:idx val="1"/>
          <c:order val="3"/>
          <c:tx>
            <c:v>2025</c:v>
          </c:tx>
          <c:spPr>
            <a:ln>
              <a:solidFill>
                <a:srgbClr val="00B050"/>
              </a:solidFill>
            </a:ln>
          </c:spPr>
          <c:marker>
            <c:spPr>
              <a:solidFill>
                <a:srgbClr val="00B050"/>
              </a:solidFill>
              <a:ln>
                <a:noFill/>
              </a:ln>
            </c:spPr>
          </c:marker>
          <c:dLbls>
            <c:dLbl>
              <c:idx val="0"/>
              <c:layout>
                <c:manualLayout>
                  <c:x val="-5.4715022335113397E-2"/>
                  <c:y val="1.95528403964761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218-47DD-B0CD-6479BCFF64D6}"/>
                </c:ext>
              </c:extLst>
            </c:dLbl>
            <c:dLbl>
              <c:idx val="9"/>
              <c:layout>
                <c:manualLayout>
                  <c:x val="-4.9789492378483256E-2"/>
                  <c:y val="2.549319035735129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B050"/>
                      </a:solidFill>
                    </a:defRPr>
                  </a:pPr>
                  <a:endParaRPr lang="es-419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2FF-45C2-BED1-1C7E15E26A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00B050"/>
                    </a:solidFill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Graf_PowerBI!$C$76:$C$91</c:f>
              <c:numCache>
                <c:formatCode>#,##0</c:formatCode>
                <c:ptCount val="16"/>
                <c:pt idx="0">
                  <c:v>1385</c:v>
                </c:pt>
                <c:pt idx="1">
                  <c:v>1355.05227133481</c:v>
                </c:pt>
                <c:pt idx="2" formatCode="_ * #,##0_ ;_ * \-#,##0_ ;_ * &quot;-&quot;??_ ;_ @_ ">
                  <c:v>1482.6421904248105</c:v>
                </c:pt>
                <c:pt idx="3" formatCode="_ * #,##0.0_ ;_ * \-#,##0.0_ ;_ * &quot;-&quot;??_ ;_ @_ ">
                  <c:v>1416.70833827771</c:v>
                </c:pt>
                <c:pt idx="4" formatCode="_ * #,##0.0_ ;_ * \-#,##0.0_ ;_ * &quot;-&quot;??_ ;_ @_ ">
                  <c:v>1484.1594018196502</c:v>
                </c:pt>
                <c:pt idx="5" formatCode="_ * #,##0.0_ ;_ * \-#,##0.0_ ;_ * &quot;-&quot;??_ ;_ @_ ">
                  <c:v>1397.7338296011399</c:v>
                </c:pt>
                <c:pt idx="6" formatCode="_ * #,##0.0_ ;_ * \-#,##0.0_ ;_ * &quot;-&quot;??_ ;_ @_ ">
                  <c:v>1542.1946433655003</c:v>
                </c:pt>
                <c:pt idx="7" formatCode="_ * #,##0.0_ ;_ * \-#,##0.0_ ;_ * &quot;-&quot;??_ ;_ @_ ">
                  <c:v>1508.50849863603</c:v>
                </c:pt>
                <c:pt idx="8" formatCode="_ * #,##0.0_ ;_ * \-#,##0.0_ ;_ * &quot;-&quot;??_ ;_ @_ ">
                  <c:v>1467.11635472902</c:v>
                </c:pt>
                <c:pt idx="9" formatCode="_ * #,##0.0_ ;_ * \-#,##0.0_ ;_ * &quot;-&quot;??_ ;_ @_ ">
                  <c:v>1539.9886191874298</c:v>
                </c:pt>
                <c:pt idx="10" formatCode="_ * #,##0.0_ ;_ * \-#,##0.0_ ;_ * &quot;-&quot;??_ ;_ @_ ">
                  <c:v>1612.6915744568701</c:v>
                </c:pt>
                <c:pt idx="11" formatCode="_ * #,##0.0_ ;_ * \-#,##0.0_ ;_ * &quot;-&quot;??_ ;_ @_ ">
                  <c:v>1727.4374557278804</c:v>
                </c:pt>
                <c:pt idx="12" formatCode="_ * #,##0.0_ ;_ * \-#,##0.0_ ;_ * &quot;-&quot;??_ ;_ @_ ">
                  <c:v>1586.1291847195901</c:v>
                </c:pt>
                <c:pt idx="13" formatCode="_ * #,##0.0_ ;_ * \-#,##0.0_ ;_ * &quot;-&quot;??_ ;_ @_ ">
                  <c:v>1544.1560649422699</c:v>
                </c:pt>
                <c:pt idx="14" formatCode="_ * #,##0.0_ ;_ * \-#,##0.0_ ;_ * &quot;-&quot;??_ ;_ @_ ">
                  <c:v>1735.5069503322698</c:v>
                </c:pt>
                <c:pt idx="15" formatCode="_ * #,##0.0_ ;_ * \-#,##0.0_ ;_ * &quot;-&quot;??_ ;_ @_ ">
                  <c:v>1715.3982895778897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18-47DD-B0CD-6479BCFF6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7284824"/>
        <c:axId val="307286000"/>
      </c:lineChart>
      <c:catAx>
        <c:axId val="307284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7286000"/>
        <c:crosses val="autoZero"/>
        <c:auto val="1"/>
        <c:lblAlgn val="ctr"/>
        <c:lblOffset val="100"/>
        <c:noMultiLvlLbl val="0"/>
      </c:catAx>
      <c:valAx>
        <c:axId val="307286000"/>
        <c:scaling>
          <c:orientation val="minMax"/>
          <c:min val="900"/>
        </c:scaling>
        <c:delete val="0"/>
        <c:axPos val="l"/>
        <c:numFmt formatCode="0.0" sourceLinked="1"/>
        <c:majorTickMark val="out"/>
        <c:minorTickMark val="none"/>
        <c:tickLblPos val="nextTo"/>
        <c:crossAx val="3072848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eometria" panose="020B0503020204020204" pitchFamily="34" charset="0"/>
                <a:ea typeface="Geometria" panose="020B0503020204020204" pitchFamily="34" charset="0"/>
                <a:cs typeface="+mn-cs"/>
              </a:defRPr>
            </a:pPr>
            <a:r>
              <a:rPr lang="es-PE" sz="1800">
                <a:latin typeface="Geometria" panose="020B0503020204020204" pitchFamily="34" charset="0"/>
                <a:ea typeface="Geometria" panose="020B0503020204020204" pitchFamily="34" charset="0"/>
              </a:rPr>
              <a:t>Curvas de actividad diaria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eometria" panose="020B0503020204020204" pitchFamily="34" charset="0"/>
              <a:ea typeface="Geometria" panose="020B0503020204020204" pitchFamily="34" charset="0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Proyección_indicadores!$C$86</c:f>
              <c:strCache>
                <c:ptCount val="1"/>
                <c:pt idx="0">
                  <c:v>Nov-24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eometria" panose="020B0503020204020204" pitchFamily="34" charset="0"/>
                    <a:ea typeface="Geometria" panose="020B0503020204020204" pitchFamily="34" charset="0"/>
                    <a:cs typeface="+mn-cs"/>
                  </a:defRPr>
                </a:pPr>
                <a:endParaRPr lang="es-419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Proyección_indicadores!$B$90:$B$96</c:f>
              <c:numCache>
                <c:formatCode>General</c:formatCode>
                <c:ptCount val="7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</c:numCache>
            </c:numRef>
          </c:cat>
          <c:val>
            <c:numRef>
              <c:f>Proyección_indicadores!$E$90:$E$96</c:f>
              <c:numCache>
                <c:formatCode>0.0%</c:formatCode>
                <c:ptCount val="7"/>
                <c:pt idx="0">
                  <c:v>0.41493988073943039</c:v>
                </c:pt>
                <c:pt idx="1">
                  <c:v>0.47740127331764487</c:v>
                </c:pt>
                <c:pt idx="2">
                  <c:v>0.52355810950828841</c:v>
                </c:pt>
                <c:pt idx="3">
                  <c:v>0.56212158537083545</c:v>
                </c:pt>
                <c:pt idx="4">
                  <c:v>0.58876519383865777</c:v>
                </c:pt>
                <c:pt idx="5">
                  <c:v>0.60940120894615202</c:v>
                </c:pt>
                <c:pt idx="6">
                  <c:v>0.62543590022913775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66-4503-AB33-73B40E409A73}"/>
            </c:ext>
          </c:extLst>
        </c:ser>
        <c:ser>
          <c:idx val="1"/>
          <c:order val="1"/>
          <c:tx>
            <c:strRef>
              <c:f>Proyección_indicadores!$D$86</c:f>
              <c:strCache>
                <c:ptCount val="1"/>
                <c:pt idx="0">
                  <c:v>Dic-24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eometria" panose="020B0503020204020204" pitchFamily="34" charset="0"/>
                    <a:ea typeface="Geometria" panose="020B0503020204020204" pitchFamily="34" charset="0"/>
                    <a:cs typeface="+mn-cs"/>
                  </a:defRPr>
                </a:pPr>
                <a:endParaRPr lang="es-419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Proyección_indicadores!$B$90:$B$96</c:f>
              <c:numCache>
                <c:formatCode>General</c:formatCode>
                <c:ptCount val="7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</c:numCache>
            </c:numRef>
          </c:cat>
          <c:val>
            <c:numRef>
              <c:f>Proyección_indicadores!$F$90:$F$96</c:f>
              <c:numCache>
                <c:formatCode>0.0%</c:formatCode>
                <c:ptCount val="7"/>
                <c:pt idx="0">
                  <c:v>0.42999832750995814</c:v>
                </c:pt>
                <c:pt idx="1">
                  <c:v>0.47338522224206964</c:v>
                </c:pt>
                <c:pt idx="2">
                  <c:v>0.50793067471889086</c:v>
                </c:pt>
                <c:pt idx="3">
                  <c:v>0.53366426639694442</c:v>
                </c:pt>
                <c:pt idx="4">
                  <c:v>0.55248262373866375</c:v>
                </c:pt>
                <c:pt idx="5">
                  <c:v>0.56886847515555861</c:v>
                </c:pt>
                <c:pt idx="6">
                  <c:v>0.59579897807445192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66-4503-AB33-73B40E409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4318704"/>
        <c:axId val="1964319120"/>
      </c:lineChart>
      <c:catAx>
        <c:axId val="196431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eometria" panose="020B0503020204020204" pitchFamily="34" charset="0"/>
                <a:ea typeface="Geometria" panose="020B0503020204020204" pitchFamily="34" charset="0"/>
                <a:cs typeface="+mn-cs"/>
              </a:defRPr>
            </a:pPr>
            <a:endParaRPr lang="es-419"/>
          </a:p>
        </c:txPr>
        <c:crossAx val="1964319120"/>
        <c:crosses val="autoZero"/>
        <c:auto val="1"/>
        <c:lblAlgn val="ctr"/>
        <c:lblOffset val="100"/>
        <c:noMultiLvlLbl val="0"/>
      </c:catAx>
      <c:valAx>
        <c:axId val="1964319120"/>
        <c:scaling>
          <c:orientation val="minMax"/>
          <c:min val="0.13"/>
        </c:scaling>
        <c:delete val="1"/>
        <c:axPos val="l"/>
        <c:numFmt formatCode="0.0%" sourceLinked="1"/>
        <c:majorTickMark val="out"/>
        <c:minorTickMark val="none"/>
        <c:tickLblPos val="nextTo"/>
        <c:crossAx val="196431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eometria" panose="020B0503020204020204" pitchFamily="34" charset="0"/>
              <a:ea typeface="Geometria" panose="020B0503020204020204" pitchFamily="34" charset="0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Cuentas</a:t>
            </a:r>
            <a:r>
              <a:rPr lang="es-PE" baseline="0"/>
              <a:t> con Consumo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Proyección_indicadores!$D$8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Proyección_indicadores!$C$9:$C$38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Proyección_indicadores!$D$9:$D$38</c:f>
              <c:numCache>
                <c:formatCode>_ * #,##0_ ;_ * \-#,##0_ ;_ * "-"??_ ;_ @_ </c:formatCode>
                <c:ptCount val="30"/>
                <c:pt idx="0">
                  <c:v>179322</c:v>
                </c:pt>
                <c:pt idx="1">
                  <c:v>267607</c:v>
                </c:pt>
                <c:pt idx="2">
                  <c:v>319636</c:v>
                </c:pt>
                <c:pt idx="3">
                  <c:v>356463</c:v>
                </c:pt>
                <c:pt idx="4">
                  <c:v>396851</c:v>
                </c:pt>
                <c:pt idx="5">
                  <c:v>424283</c:v>
                </c:pt>
                <c:pt idx="6">
                  <c:v>442987</c:v>
                </c:pt>
                <c:pt idx="7">
                  <c:v>464336</c:v>
                </c:pt>
                <c:pt idx="8">
                  <c:v>484906</c:v>
                </c:pt>
                <c:pt idx="9">
                  <c:v>499075</c:v>
                </c:pt>
                <c:pt idx="10">
                  <c:v>512543</c:v>
                </c:pt>
                <c:pt idx="11">
                  <c:v>525434</c:v>
                </c:pt>
                <c:pt idx="12">
                  <c:v>536631</c:v>
                </c:pt>
                <c:pt idx="13">
                  <c:v>545260</c:v>
                </c:pt>
                <c:pt idx="14">
                  <c:v>558451</c:v>
                </c:pt>
                <c:pt idx="15">
                  <c:v>571099</c:v>
                </c:pt>
                <c:pt idx="16">
                  <c:v>582614</c:v>
                </c:pt>
                <c:pt idx="17">
                  <c:v>590056</c:v>
                </c:pt>
                <c:pt idx="18">
                  <c:v>597691</c:v>
                </c:pt>
                <c:pt idx="19">
                  <c:v>604479</c:v>
                </c:pt>
                <c:pt idx="20">
                  <c:v>609523</c:v>
                </c:pt>
                <c:pt idx="21">
                  <c:v>621538</c:v>
                </c:pt>
                <c:pt idx="22">
                  <c:v>626648</c:v>
                </c:pt>
                <c:pt idx="23">
                  <c:v>632342</c:v>
                </c:pt>
                <c:pt idx="24">
                  <c:v>637115</c:v>
                </c:pt>
                <c:pt idx="25">
                  <c:v>641271</c:v>
                </c:pt>
                <c:pt idx="26">
                  <c:v>645122</c:v>
                </c:pt>
                <c:pt idx="27">
                  <c:v>648083</c:v>
                </c:pt>
                <c:pt idx="28">
                  <c:v>651686</c:v>
                </c:pt>
                <c:pt idx="29">
                  <c:v>656118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F3-4773-8CB1-EF8A2BA1C8F5}"/>
            </c:ext>
          </c:extLst>
        </c:ser>
        <c:ser>
          <c:idx val="1"/>
          <c:order val="1"/>
          <c:tx>
            <c:strRef>
              <c:f>Proyección_indicadores!$E$8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Proyección_indicadores!$C$9:$C$38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Proyección_indicadores!$E$9:$E$38</c:f>
              <c:numCache>
                <c:formatCode>_ * #,##0_ ;_ * \-#,##0_ ;_ * "-"??_ ;_ @_ </c:formatCode>
                <c:ptCount val="30"/>
                <c:pt idx="0">
                  <c:v>170678</c:v>
                </c:pt>
                <c:pt idx="1">
                  <c:v>254342</c:v>
                </c:pt>
                <c:pt idx="2">
                  <c:v>342761</c:v>
                </c:pt>
                <c:pt idx="3">
                  <c:v>383022</c:v>
                </c:pt>
                <c:pt idx="4">
                  <c:v>423462</c:v>
                </c:pt>
                <c:pt idx="5">
                  <c:v>449639</c:v>
                </c:pt>
                <c:pt idx="6">
                  <c:v>474491</c:v>
                </c:pt>
                <c:pt idx="7">
                  <c:v>495029</c:v>
                </c:pt>
                <c:pt idx="8">
                  <c:v>508945</c:v>
                </c:pt>
                <c:pt idx="9">
                  <c:v>528368</c:v>
                </c:pt>
                <c:pt idx="10">
                  <c:v>544241</c:v>
                </c:pt>
                <c:pt idx="11">
                  <c:v>558519</c:v>
                </c:pt>
                <c:pt idx="12">
                  <c:v>570893</c:v>
                </c:pt>
                <c:pt idx="13">
                  <c:v>583730</c:v>
                </c:pt>
                <c:pt idx="14">
                  <c:v>593237</c:v>
                </c:pt>
                <c:pt idx="15">
                  <c:v>600607</c:v>
                </c:pt>
                <c:pt idx="16">
                  <c:v>613063</c:v>
                </c:pt>
                <c:pt idx="17">
                  <c:v>621057</c:v>
                </c:pt>
                <c:pt idx="18">
                  <c:v>629623</c:v>
                </c:pt>
                <c:pt idx="19">
                  <c:v>638268</c:v>
                </c:pt>
                <c:pt idx="20">
                  <c:v>647696</c:v>
                </c:pt>
                <c:pt idx="21">
                  <c:v>653969</c:v>
                </c:pt>
                <c:pt idx="22">
                  <c:v>658215</c:v>
                </c:pt>
                <c:pt idx="23">
                  <c:v>664791</c:v>
                </c:pt>
                <c:pt idx="24">
                  <c:v>670813</c:v>
                </c:pt>
                <c:pt idx="25">
                  <c:v>675955</c:v>
                </c:pt>
                <c:pt idx="26">
                  <c:v>680315</c:v>
                </c:pt>
                <c:pt idx="27">
                  <c:v>684652</c:v>
                </c:pt>
                <c:pt idx="28">
                  <c:v>687748</c:v>
                </c:pt>
                <c:pt idx="29">
                  <c:v>690265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F3-4773-8CB1-EF8A2BA1C8F5}"/>
            </c:ext>
          </c:extLst>
        </c:ser>
        <c:ser>
          <c:idx val="2"/>
          <c:order val="2"/>
          <c:tx>
            <c:strRef>
              <c:f>Proyección_indicadores!$F$8</c:f>
              <c:strCache>
                <c:ptCount val="1"/>
                <c:pt idx="0">
                  <c:v>2026P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Proyección_indicadores!$C$9:$C$38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Proyección_indicadores!$F$9:$F$38</c:f>
              <c:numCache>
                <c:formatCode>#,##0_ ;\-#,##0\ </c:formatCode>
                <c:ptCount val="30"/>
                <c:pt idx="0">
                  <c:v>204813.6</c:v>
                </c:pt>
                <c:pt idx="1">
                  <c:v>297692.94181328989</c:v>
                </c:pt>
                <c:pt idx="2">
                  <c:v>388041.57179230388</c:v>
                </c:pt>
                <c:pt idx="3">
                  <c:v>448489.79977585521</c:v>
                </c:pt>
                <c:pt idx="4">
                  <c:v>511915.60529245186</c:v>
                </c:pt>
                <c:pt idx="5">
                  <c:v>553998.9423179368</c:v>
                </c:pt>
                <c:pt idx="6">
                  <c:v>588099.98768149014</c:v>
                </c:pt>
                <c:pt idx="7">
                  <c:v>620979.35080848751</c:v>
                </c:pt>
                <c:pt idx="8">
                  <c:v>648124.96750843269</c:v>
                </c:pt>
                <c:pt idx="9">
                  <c:v>699068.09273194429</c:v>
                </c:pt>
                <c:pt idx="10">
                  <c:v>743659.86707818473</c:v>
                </c:pt>
                <c:pt idx="11">
                  <c:v>784987.37454075553</c:v>
                </c:pt>
                <c:pt idx="12">
                  <c:v>833174.04910430417</c:v>
                </c:pt>
                <c:pt idx="13">
                  <c:v>877031.47925407626</c:v>
                </c:pt>
                <c:pt idx="14">
                  <c:v>923473.32435473579</c:v>
                </c:pt>
                <c:pt idx="15">
                  <c:v>964448.47335854883</c:v>
                </c:pt>
                <c:pt idx="16">
                  <c:v>1038060.1865689006</c:v>
                </c:pt>
                <c:pt idx="17">
                  <c:v>1085466.468688223</c:v>
                </c:pt>
                <c:pt idx="18">
                  <c:v>1135193.4729778932</c:v>
                </c:pt>
                <c:pt idx="19">
                  <c:v>1204611.4319132676</c:v>
                </c:pt>
                <c:pt idx="20">
                  <c:v>1269485.1737577005</c:v>
                </c:pt>
                <c:pt idx="21">
                  <c:v>1352411.0663619402</c:v>
                </c:pt>
                <c:pt idx="22">
                  <c:v>1394661.4196253766</c:v>
                </c:pt>
                <c:pt idx="23">
                  <c:v>1449901.9866461612</c:v>
                </c:pt>
                <c:pt idx="24">
                  <c:v>1567186.3579444855</c:v>
                </c:pt>
                <c:pt idx="25">
                  <c:v>1696785.1510585884</c:v>
                </c:pt>
                <c:pt idx="26">
                  <c:v>1811291.8983255636</c:v>
                </c:pt>
                <c:pt idx="27">
                  <c:v>1912915.8804785551</c:v>
                </c:pt>
                <c:pt idx="28">
                  <c:v>2006487.266449854</c:v>
                </c:pt>
                <c:pt idx="29">
                  <c:v>741404.22984089691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F3-4773-8CB1-EF8A2BA1C8F5}"/>
            </c:ext>
          </c:extLst>
        </c:ser>
        <c:ser>
          <c:idx val="3"/>
          <c:order val="3"/>
          <c:tx>
            <c:strRef>
              <c:f>Proyección_indicadores!$G$8</c:f>
              <c:strCache>
                <c:ptCount val="1"/>
                <c:pt idx="0">
                  <c:v>2026R</c:v>
                </c:pt>
              </c:strCache>
            </c:strRef>
          </c:tx>
          <c:cat>
            <c:numRef>
              <c:f>Proyección_indicadores!$C$9:$C$38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Proyección_indicadores!$G$9:$G$38</c:f>
              <c:numCache>
                <c:formatCode>#,##0_ ;\-#,##0\ </c:formatCode>
                <c:ptCount val="30"/>
                <c:pt idx="0">
                  <c:v>208931</c:v>
                </c:pt>
                <c:pt idx="1">
                  <c:v>298554</c:v>
                </c:pt>
                <c:pt idx="2">
                  <c:v>344769</c:v>
                </c:pt>
                <c:pt idx="3">
                  <c:v>388718</c:v>
                </c:pt>
                <c:pt idx="4">
                  <c:v>420270</c:v>
                </c:pt>
                <c:pt idx="5">
                  <c:v>469582</c:v>
                </c:pt>
                <c:pt idx="6">
                  <c:v>497746</c:v>
                </c:pt>
                <c:pt idx="7">
                  <c:v>520973</c:v>
                </c:pt>
                <c:pt idx="8">
                  <c:v>541224</c:v>
                </c:pt>
                <c:pt idx="9">
                  <c:v>560857</c:v>
                </c:pt>
                <c:pt idx="10">
                  <c:v>575629</c:v>
                </c:pt>
                <c:pt idx="11">
                  <c:v>586549</c:v>
                </c:pt>
                <c:pt idx="12">
                  <c:v>604216</c:v>
                </c:pt>
                <c:pt idx="13">
                  <c:v>619338</c:v>
                </c:pt>
                <c:pt idx="14">
                  <c:v>632883</c:v>
                </c:pt>
                <c:pt idx="15">
                  <c:v>645294</c:v>
                </c:pt>
                <c:pt idx="16">
                  <c:v>656043</c:v>
                </c:pt>
                <c:pt idx="17">
                  <c:v>664884</c:v>
                </c:pt>
                <c:pt idx="18">
                  <c:v>672018</c:v>
                </c:pt>
                <c:pt idx="19">
                  <c:v>687134</c:v>
                </c:pt>
                <c:pt idx="20">
                  <c:v>699005</c:v>
                </c:pt>
                <c:pt idx="21">
                  <c:v>707602</c:v>
                </c:pt>
                <c:pt idx="22">
                  <c:v>714542</c:v>
                </c:pt>
                <c:pt idx="23">
                  <c:v>722824</c:v>
                </c:pt>
                <c:pt idx="24">
                  <c:v>728155</c:v>
                </c:pt>
                <c:pt idx="25">
                  <c:v>732211</c:v>
                </c:pt>
                <c:pt idx="26">
                  <c:v>738355</c:v>
                </c:pt>
                <c:pt idx="27">
                  <c:v>742832</c:v>
                </c:pt>
                <c:pt idx="28">
                  <c:v>748519</c:v>
                </c:pt>
                <c:pt idx="29">
                  <c:v>754640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F3-4773-8CB1-EF8A2BA1C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289920"/>
        <c:axId val="307287960"/>
      </c:lineChart>
      <c:catAx>
        <c:axId val="30728992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07287960"/>
        <c:crosses val="autoZero"/>
        <c:auto val="1"/>
        <c:lblAlgn val="ctr"/>
        <c:lblOffset val="100"/>
        <c:noMultiLvlLbl val="0"/>
      </c:catAx>
      <c:valAx>
        <c:axId val="307287960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30728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Transacciones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Proyección_indicadores!$D$47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Proyección_indicadores!$C$48:$C$77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Proyección_indicadores!$D$48:$D$77</c:f>
              <c:numCache>
                <c:formatCode>_ * #,##0_ ;_ * \-#,##0_ ;_ * "-"??_ ;_ @_ </c:formatCode>
                <c:ptCount val="30"/>
                <c:pt idx="0">
                  <c:v>304081</c:v>
                </c:pt>
                <c:pt idx="1">
                  <c:v>574522</c:v>
                </c:pt>
                <c:pt idx="2">
                  <c:v>819601</c:v>
                </c:pt>
                <c:pt idx="3">
                  <c:v>1054694</c:v>
                </c:pt>
                <c:pt idx="4">
                  <c:v>1329483</c:v>
                </c:pt>
                <c:pt idx="5">
                  <c:v>1608341</c:v>
                </c:pt>
                <c:pt idx="6">
                  <c:v>1846275</c:v>
                </c:pt>
                <c:pt idx="7">
                  <c:v>2084635</c:v>
                </c:pt>
                <c:pt idx="8">
                  <c:v>2332015</c:v>
                </c:pt>
                <c:pt idx="9">
                  <c:v>2567197</c:v>
                </c:pt>
                <c:pt idx="10">
                  <c:v>2807783</c:v>
                </c:pt>
                <c:pt idx="11">
                  <c:v>3068543</c:v>
                </c:pt>
                <c:pt idx="12">
                  <c:v>3358776</c:v>
                </c:pt>
                <c:pt idx="13">
                  <c:v>3608684</c:v>
                </c:pt>
                <c:pt idx="14">
                  <c:v>3876362</c:v>
                </c:pt>
                <c:pt idx="15">
                  <c:v>4138088</c:v>
                </c:pt>
                <c:pt idx="16">
                  <c:v>4402170</c:v>
                </c:pt>
                <c:pt idx="17">
                  <c:v>4649827</c:v>
                </c:pt>
                <c:pt idx="18">
                  <c:v>4923393</c:v>
                </c:pt>
                <c:pt idx="19">
                  <c:v>5227046</c:v>
                </c:pt>
                <c:pt idx="20">
                  <c:v>5485142</c:v>
                </c:pt>
                <c:pt idx="21">
                  <c:v>5783456</c:v>
                </c:pt>
                <c:pt idx="22">
                  <c:v>6035442</c:v>
                </c:pt>
                <c:pt idx="23">
                  <c:v>6292643</c:v>
                </c:pt>
                <c:pt idx="24">
                  <c:v>6541501</c:v>
                </c:pt>
                <c:pt idx="25">
                  <c:v>6802114</c:v>
                </c:pt>
                <c:pt idx="26">
                  <c:v>7102821</c:v>
                </c:pt>
                <c:pt idx="27">
                  <c:v>7359745</c:v>
                </c:pt>
                <c:pt idx="28">
                  <c:v>7619358</c:v>
                </c:pt>
                <c:pt idx="29">
                  <c:v>7899550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DB-4DDA-9F83-604403AD6FFB}"/>
            </c:ext>
          </c:extLst>
        </c:ser>
        <c:ser>
          <c:idx val="1"/>
          <c:order val="1"/>
          <c:tx>
            <c:strRef>
              <c:f>Proyección_indicadores!$E$47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Proyección_indicadores!$C$48:$C$77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Proyección_indicadores!$E$48:$E$77</c:f>
              <c:numCache>
                <c:formatCode>_ * #,##0_ ;_ * \-#,##0_ ;_ * "-"??_ ;_ @_ </c:formatCode>
                <c:ptCount val="30"/>
                <c:pt idx="0">
                  <c:v>313428</c:v>
                </c:pt>
                <c:pt idx="1">
                  <c:v>606613</c:v>
                </c:pt>
                <c:pt idx="2">
                  <c:v>870085</c:v>
                </c:pt>
                <c:pt idx="3">
                  <c:v>1148413</c:v>
                </c:pt>
                <c:pt idx="4">
                  <c:v>1454812</c:v>
                </c:pt>
                <c:pt idx="5">
                  <c:v>1722043</c:v>
                </c:pt>
                <c:pt idx="6">
                  <c:v>2008078</c:v>
                </c:pt>
                <c:pt idx="7">
                  <c:v>2287958</c:v>
                </c:pt>
                <c:pt idx="8">
                  <c:v>2555578</c:v>
                </c:pt>
                <c:pt idx="9">
                  <c:v>2818156</c:v>
                </c:pt>
                <c:pt idx="10">
                  <c:v>3093335</c:v>
                </c:pt>
                <c:pt idx="11">
                  <c:v>3402696</c:v>
                </c:pt>
                <c:pt idx="12">
                  <c:v>3668188</c:v>
                </c:pt>
                <c:pt idx="13">
                  <c:v>3959897</c:v>
                </c:pt>
                <c:pt idx="14">
                  <c:v>4221794</c:v>
                </c:pt>
                <c:pt idx="15">
                  <c:v>4512979</c:v>
                </c:pt>
                <c:pt idx="16">
                  <c:v>4787772</c:v>
                </c:pt>
                <c:pt idx="17">
                  <c:v>5017788</c:v>
                </c:pt>
                <c:pt idx="18">
                  <c:v>5306638</c:v>
                </c:pt>
                <c:pt idx="19">
                  <c:v>5568920</c:v>
                </c:pt>
                <c:pt idx="20">
                  <c:v>5879582</c:v>
                </c:pt>
                <c:pt idx="21">
                  <c:v>6151302</c:v>
                </c:pt>
                <c:pt idx="22">
                  <c:v>6427779</c:v>
                </c:pt>
                <c:pt idx="23">
                  <c:v>6699164</c:v>
                </c:pt>
                <c:pt idx="24">
                  <c:v>6982095</c:v>
                </c:pt>
                <c:pt idx="25">
                  <c:v>7294532</c:v>
                </c:pt>
                <c:pt idx="26">
                  <c:v>7571036</c:v>
                </c:pt>
                <c:pt idx="27">
                  <c:v>7837022</c:v>
                </c:pt>
                <c:pt idx="28">
                  <c:v>8109202</c:v>
                </c:pt>
                <c:pt idx="29">
                  <c:v>8401849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DB-4DDA-9F83-604403AD6FFB}"/>
            </c:ext>
          </c:extLst>
        </c:ser>
        <c:ser>
          <c:idx val="2"/>
          <c:order val="2"/>
          <c:tx>
            <c:strRef>
              <c:f>Proyección_indicadores!$F$47</c:f>
              <c:strCache>
                <c:ptCount val="1"/>
                <c:pt idx="0">
                  <c:v>2026P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Proyección_indicadores!$C$48:$C$77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Proyección_indicadores!$F$48:$F$77</c:f>
              <c:numCache>
                <c:formatCode>_ * #,##0_ ;_ * \-#,##0_ ;_ * "-"??_ ;_ @_ </c:formatCode>
                <c:ptCount val="30"/>
                <c:pt idx="0">
                  <c:v>376113.6</c:v>
                </c:pt>
                <c:pt idx="1">
                  <c:v>697033.41003789729</c:v>
                </c:pt>
                <c:pt idx="2">
                  <c:v>998594.56596156687</c:v>
                </c:pt>
                <c:pt idx="3">
                  <c:v>1297881.775872492</c:v>
                </c:pt>
                <c:pt idx="4">
                  <c:v>1647704.3274763816</c:v>
                </c:pt>
                <c:pt idx="5">
                  <c:v>2002706.955293206</c:v>
                </c:pt>
                <c:pt idx="6">
                  <c:v>2305610.9252240253</c:v>
                </c:pt>
                <c:pt idx="7">
                  <c:v>2609057.21819901</c:v>
                </c:pt>
                <c:pt idx="8">
                  <c:v>2923986.50145187</c:v>
                </c:pt>
                <c:pt idx="9">
                  <c:v>3304718.7925910242</c:v>
                </c:pt>
                <c:pt idx="10">
                  <c:v>3694199.530895846</c:v>
                </c:pt>
                <c:pt idx="11">
                  <c:v>4143740.3817834319</c:v>
                </c:pt>
                <c:pt idx="12">
                  <c:v>4653817.2429474285</c:v>
                </c:pt>
                <c:pt idx="13">
                  <c:v>5149910.8921151161</c:v>
                </c:pt>
                <c:pt idx="14">
                  <c:v>5635706.5733568594</c:v>
                </c:pt>
                <c:pt idx="15">
                  <c:v>6142352.2500028368</c:v>
                </c:pt>
                <c:pt idx="16">
                  <c:v>6777190.4132008543</c:v>
                </c:pt>
                <c:pt idx="17">
                  <c:v>7340460.2555406904</c:v>
                </c:pt>
                <c:pt idx="18">
                  <c:v>8002951.0462339949</c:v>
                </c:pt>
                <c:pt idx="19">
                  <c:v>8844632.4084060658</c:v>
                </c:pt>
                <c:pt idx="20">
                  <c:v>9687770.6366345994</c:v>
                </c:pt>
                <c:pt idx="21">
                  <c:v>10535109.139658125</c:v>
                </c:pt>
                <c:pt idx="22">
                  <c:v>11319222.391838606</c:v>
                </c:pt>
                <c:pt idx="23">
                  <c:v>12103818.469933193</c:v>
                </c:pt>
                <c:pt idx="24">
                  <c:v>13550594.569479441</c:v>
                </c:pt>
                <c:pt idx="25">
                  <c:v>15407161.824210713</c:v>
                </c:pt>
                <c:pt idx="26">
                  <c:v>17282719.517089732</c:v>
                </c:pt>
                <c:pt idx="27">
                  <c:v>18979599.896385971</c:v>
                </c:pt>
                <c:pt idx="28">
                  <c:v>20705064.593415339</c:v>
                </c:pt>
                <c:pt idx="29">
                  <c:v>9389304.9009815007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DB-4DDA-9F83-604403AD6FFB}"/>
            </c:ext>
          </c:extLst>
        </c:ser>
        <c:ser>
          <c:idx val="3"/>
          <c:order val="3"/>
          <c:tx>
            <c:strRef>
              <c:f>Proyección_indicadores!$G$52</c:f>
              <c:strCache>
                <c:ptCount val="1"/>
                <c:pt idx="0">
                  <c:v>1,612,588 </c:v>
                </c:pt>
              </c:strCache>
            </c:strRef>
          </c:tx>
          <c:cat>
            <c:numRef>
              <c:f>Proyección_indicadores!$C$48:$C$77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Proyección_indicadores!$G$48:$G$77</c:f>
              <c:numCache>
                <c:formatCode>#,##0_ ;\-#,##0\ </c:formatCode>
                <c:ptCount val="30"/>
                <c:pt idx="0">
                  <c:v>378352</c:v>
                </c:pt>
                <c:pt idx="1">
                  <c:v>717366</c:v>
                </c:pt>
                <c:pt idx="2">
                  <c:v>988608</c:v>
                </c:pt>
                <c:pt idx="3">
                  <c:v>1315832</c:v>
                </c:pt>
                <c:pt idx="4">
                  <c:v>1612588</c:v>
                </c:pt>
                <c:pt idx="5">
                  <c:v>1950370</c:v>
                </c:pt>
                <c:pt idx="6">
                  <c:v>2245567</c:v>
                </c:pt>
                <c:pt idx="7">
                  <c:v>2540325</c:v>
                </c:pt>
                <c:pt idx="8">
                  <c:v>2834254</c:v>
                </c:pt>
                <c:pt idx="9">
                  <c:v>3156960</c:v>
                </c:pt>
                <c:pt idx="10">
                  <c:v>3500590</c:v>
                </c:pt>
                <c:pt idx="11">
                  <c:v>3772579</c:v>
                </c:pt>
                <c:pt idx="12">
                  <c:v>4075956</c:v>
                </c:pt>
                <c:pt idx="13">
                  <c:v>4378475</c:v>
                </c:pt>
                <c:pt idx="14">
                  <c:v>4685830</c:v>
                </c:pt>
                <c:pt idx="15">
                  <c:v>4993615</c:v>
                </c:pt>
                <c:pt idx="16">
                  <c:v>5311926</c:v>
                </c:pt>
                <c:pt idx="17">
                  <c:v>5671726</c:v>
                </c:pt>
                <c:pt idx="18">
                  <c:v>5990811</c:v>
                </c:pt>
                <c:pt idx="19">
                  <c:v>6355756</c:v>
                </c:pt>
                <c:pt idx="20">
                  <c:v>6694297</c:v>
                </c:pt>
                <c:pt idx="21">
                  <c:v>7021873</c:v>
                </c:pt>
                <c:pt idx="22">
                  <c:v>7347818</c:v>
                </c:pt>
                <c:pt idx="23">
                  <c:v>7690528</c:v>
                </c:pt>
                <c:pt idx="24">
                  <c:v>8055894</c:v>
                </c:pt>
                <c:pt idx="25">
                  <c:v>8379685</c:v>
                </c:pt>
                <c:pt idx="26">
                  <c:v>8693665</c:v>
                </c:pt>
                <c:pt idx="27">
                  <c:v>9000467</c:v>
                </c:pt>
                <c:pt idx="28">
                  <c:v>9318208</c:v>
                </c:pt>
                <c:pt idx="29">
                  <c:v>9669287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DB-4DDA-9F83-604403AD6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290312"/>
        <c:axId val="307289528"/>
      </c:lineChart>
      <c:catAx>
        <c:axId val="30729031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07289528"/>
        <c:crosses val="autoZero"/>
        <c:auto val="1"/>
        <c:lblAlgn val="ctr"/>
        <c:lblOffset val="100"/>
        <c:noMultiLvlLbl val="0"/>
      </c:catAx>
      <c:valAx>
        <c:axId val="307289528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307290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Cuentas</a:t>
            </a:r>
            <a:r>
              <a:rPr lang="es-PE" baseline="0"/>
              <a:t> con Consumo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Proyección_indicadores!$D$8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Proyección_indicadores!$C$9:$C$38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Proyección_indicadores!$D$9:$D$38</c:f>
              <c:numCache>
                <c:formatCode>_ * #,##0_ ;_ * \-#,##0_ ;_ * "-"??_ ;_ @_ </c:formatCode>
                <c:ptCount val="30"/>
                <c:pt idx="0">
                  <c:v>179322</c:v>
                </c:pt>
                <c:pt idx="1">
                  <c:v>267607</c:v>
                </c:pt>
                <c:pt idx="2">
                  <c:v>319636</c:v>
                </c:pt>
                <c:pt idx="3">
                  <c:v>356463</c:v>
                </c:pt>
                <c:pt idx="4">
                  <c:v>396851</c:v>
                </c:pt>
                <c:pt idx="5">
                  <c:v>424283</c:v>
                </c:pt>
                <c:pt idx="6">
                  <c:v>442987</c:v>
                </c:pt>
                <c:pt idx="7">
                  <c:v>464336</c:v>
                </c:pt>
                <c:pt idx="8">
                  <c:v>484906</c:v>
                </c:pt>
                <c:pt idx="9">
                  <c:v>499075</c:v>
                </c:pt>
                <c:pt idx="10">
                  <c:v>512543</c:v>
                </c:pt>
                <c:pt idx="11">
                  <c:v>525434</c:v>
                </c:pt>
                <c:pt idx="12">
                  <c:v>536631</c:v>
                </c:pt>
                <c:pt idx="13">
                  <c:v>545260</c:v>
                </c:pt>
                <c:pt idx="14">
                  <c:v>558451</c:v>
                </c:pt>
                <c:pt idx="15">
                  <c:v>571099</c:v>
                </c:pt>
                <c:pt idx="16">
                  <c:v>582614</c:v>
                </c:pt>
                <c:pt idx="17">
                  <c:v>590056</c:v>
                </c:pt>
                <c:pt idx="18">
                  <c:v>597691</c:v>
                </c:pt>
                <c:pt idx="19">
                  <c:v>604479</c:v>
                </c:pt>
                <c:pt idx="20">
                  <c:v>609523</c:v>
                </c:pt>
                <c:pt idx="21">
                  <c:v>621538</c:v>
                </c:pt>
                <c:pt idx="22">
                  <c:v>626648</c:v>
                </c:pt>
                <c:pt idx="23">
                  <c:v>632342</c:v>
                </c:pt>
                <c:pt idx="24">
                  <c:v>637115</c:v>
                </c:pt>
                <c:pt idx="25">
                  <c:v>641271</c:v>
                </c:pt>
                <c:pt idx="26">
                  <c:v>645122</c:v>
                </c:pt>
                <c:pt idx="27">
                  <c:v>648083</c:v>
                </c:pt>
                <c:pt idx="28">
                  <c:v>651686</c:v>
                </c:pt>
                <c:pt idx="29">
                  <c:v>656118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04-4F8E-8AC1-E91CE3711BD2}"/>
            </c:ext>
          </c:extLst>
        </c:ser>
        <c:ser>
          <c:idx val="1"/>
          <c:order val="1"/>
          <c:tx>
            <c:strRef>
              <c:f>Proyección_indicadores!$E$8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Proyección_indicadores!$C$9:$C$38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Proyección_indicadores!$E$9:$E$38</c:f>
              <c:numCache>
                <c:formatCode>_ * #,##0_ ;_ * \-#,##0_ ;_ * "-"??_ ;_ @_ </c:formatCode>
                <c:ptCount val="30"/>
                <c:pt idx="0">
                  <c:v>170678</c:v>
                </c:pt>
                <c:pt idx="1">
                  <c:v>254342</c:v>
                </c:pt>
                <c:pt idx="2">
                  <c:v>342761</c:v>
                </c:pt>
                <c:pt idx="3">
                  <c:v>383022</c:v>
                </c:pt>
                <c:pt idx="4">
                  <c:v>423462</c:v>
                </c:pt>
                <c:pt idx="5">
                  <c:v>449639</c:v>
                </c:pt>
                <c:pt idx="6">
                  <c:v>474491</c:v>
                </c:pt>
                <c:pt idx="7">
                  <c:v>495029</c:v>
                </c:pt>
                <c:pt idx="8">
                  <c:v>508945</c:v>
                </c:pt>
                <c:pt idx="9">
                  <c:v>528368</c:v>
                </c:pt>
                <c:pt idx="10">
                  <c:v>544241</c:v>
                </c:pt>
                <c:pt idx="11">
                  <c:v>558519</c:v>
                </c:pt>
                <c:pt idx="12">
                  <c:v>570893</c:v>
                </c:pt>
                <c:pt idx="13">
                  <c:v>583730</c:v>
                </c:pt>
                <c:pt idx="14">
                  <c:v>593237</c:v>
                </c:pt>
                <c:pt idx="15">
                  <c:v>600607</c:v>
                </c:pt>
                <c:pt idx="16">
                  <c:v>613063</c:v>
                </c:pt>
                <c:pt idx="17">
                  <c:v>621057</c:v>
                </c:pt>
                <c:pt idx="18">
                  <c:v>629623</c:v>
                </c:pt>
                <c:pt idx="19">
                  <c:v>638268</c:v>
                </c:pt>
                <c:pt idx="20">
                  <c:v>647696</c:v>
                </c:pt>
                <c:pt idx="21">
                  <c:v>653969</c:v>
                </c:pt>
                <c:pt idx="22">
                  <c:v>658215</c:v>
                </c:pt>
                <c:pt idx="23">
                  <c:v>664791</c:v>
                </c:pt>
                <c:pt idx="24">
                  <c:v>670813</c:v>
                </c:pt>
                <c:pt idx="25">
                  <c:v>675955</c:v>
                </c:pt>
                <c:pt idx="26">
                  <c:v>680315</c:v>
                </c:pt>
                <c:pt idx="27">
                  <c:v>684652</c:v>
                </c:pt>
                <c:pt idx="28">
                  <c:v>687748</c:v>
                </c:pt>
                <c:pt idx="29">
                  <c:v>690265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04-4F8E-8AC1-E91CE3711BD2}"/>
            </c:ext>
          </c:extLst>
        </c:ser>
        <c:ser>
          <c:idx val="2"/>
          <c:order val="2"/>
          <c:tx>
            <c:strRef>
              <c:f>Proyección_indicadores!$F$8</c:f>
              <c:strCache>
                <c:ptCount val="1"/>
                <c:pt idx="0">
                  <c:v>2026P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Proyección_indicadores!$C$9:$C$38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Proyección_indicadores!$F$9:$F$38</c:f>
              <c:numCache>
                <c:formatCode>#,##0_ ;\-#,##0\ </c:formatCode>
                <c:ptCount val="30"/>
                <c:pt idx="0">
                  <c:v>204813.6</c:v>
                </c:pt>
                <c:pt idx="1">
                  <c:v>297692.94181328989</c:v>
                </c:pt>
                <c:pt idx="2">
                  <c:v>388041.57179230388</c:v>
                </c:pt>
                <c:pt idx="3">
                  <c:v>448489.79977585521</c:v>
                </c:pt>
                <c:pt idx="4">
                  <c:v>511915.60529245186</c:v>
                </c:pt>
                <c:pt idx="5">
                  <c:v>553998.9423179368</c:v>
                </c:pt>
                <c:pt idx="6">
                  <c:v>588099.98768149014</c:v>
                </c:pt>
                <c:pt idx="7">
                  <c:v>620979.35080848751</c:v>
                </c:pt>
                <c:pt idx="8">
                  <c:v>648124.96750843269</c:v>
                </c:pt>
                <c:pt idx="9">
                  <c:v>699068.09273194429</c:v>
                </c:pt>
                <c:pt idx="10">
                  <c:v>743659.86707818473</c:v>
                </c:pt>
                <c:pt idx="11">
                  <c:v>784987.37454075553</c:v>
                </c:pt>
                <c:pt idx="12">
                  <c:v>833174.04910430417</c:v>
                </c:pt>
                <c:pt idx="13">
                  <c:v>877031.47925407626</c:v>
                </c:pt>
                <c:pt idx="14">
                  <c:v>923473.32435473579</c:v>
                </c:pt>
                <c:pt idx="15">
                  <c:v>964448.47335854883</c:v>
                </c:pt>
                <c:pt idx="16">
                  <c:v>1038060.1865689006</c:v>
                </c:pt>
                <c:pt idx="17">
                  <c:v>1085466.468688223</c:v>
                </c:pt>
                <c:pt idx="18">
                  <c:v>1135193.4729778932</c:v>
                </c:pt>
                <c:pt idx="19">
                  <c:v>1204611.4319132676</c:v>
                </c:pt>
                <c:pt idx="20">
                  <c:v>1269485.1737577005</c:v>
                </c:pt>
                <c:pt idx="21">
                  <c:v>1352411.0663619402</c:v>
                </c:pt>
                <c:pt idx="22">
                  <c:v>1394661.4196253766</c:v>
                </c:pt>
                <c:pt idx="23">
                  <c:v>1449901.9866461612</c:v>
                </c:pt>
                <c:pt idx="24">
                  <c:v>1567186.3579444855</c:v>
                </c:pt>
                <c:pt idx="25">
                  <c:v>1696785.1510585884</c:v>
                </c:pt>
                <c:pt idx="26">
                  <c:v>1811291.8983255636</c:v>
                </c:pt>
                <c:pt idx="27">
                  <c:v>1912915.8804785551</c:v>
                </c:pt>
                <c:pt idx="28">
                  <c:v>2006487.266449854</c:v>
                </c:pt>
                <c:pt idx="29">
                  <c:v>741404.22984089691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04-4F8E-8AC1-E91CE3711BD2}"/>
            </c:ext>
          </c:extLst>
        </c:ser>
        <c:ser>
          <c:idx val="3"/>
          <c:order val="3"/>
          <c:tx>
            <c:strRef>
              <c:f>Proyección_indicadores!$G$8</c:f>
              <c:strCache>
                <c:ptCount val="1"/>
                <c:pt idx="0">
                  <c:v>2026R</c:v>
                </c:pt>
              </c:strCache>
            </c:strRef>
          </c:tx>
          <c:cat>
            <c:numRef>
              <c:f>Proyección_indicadores!$C$9:$C$38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Proyección_indicadores!$G$9:$G$38</c:f>
              <c:numCache>
                <c:formatCode>#,##0_ ;\-#,##0\ </c:formatCode>
                <c:ptCount val="30"/>
                <c:pt idx="0">
                  <c:v>208931</c:v>
                </c:pt>
                <c:pt idx="1">
                  <c:v>298554</c:v>
                </c:pt>
                <c:pt idx="2">
                  <c:v>344769</c:v>
                </c:pt>
                <c:pt idx="3">
                  <c:v>388718</c:v>
                </c:pt>
                <c:pt idx="4">
                  <c:v>420270</c:v>
                </c:pt>
                <c:pt idx="5">
                  <c:v>469582</c:v>
                </c:pt>
                <c:pt idx="6">
                  <c:v>497746</c:v>
                </c:pt>
                <c:pt idx="7">
                  <c:v>520973</c:v>
                </c:pt>
                <c:pt idx="8">
                  <c:v>541224</c:v>
                </c:pt>
                <c:pt idx="9">
                  <c:v>560857</c:v>
                </c:pt>
                <c:pt idx="10">
                  <c:v>575629</c:v>
                </c:pt>
                <c:pt idx="11">
                  <c:v>586549</c:v>
                </c:pt>
                <c:pt idx="12">
                  <c:v>604216</c:v>
                </c:pt>
                <c:pt idx="13">
                  <c:v>619338</c:v>
                </c:pt>
                <c:pt idx="14">
                  <c:v>632883</c:v>
                </c:pt>
                <c:pt idx="15">
                  <c:v>645294</c:v>
                </c:pt>
                <c:pt idx="16">
                  <c:v>656043</c:v>
                </c:pt>
                <c:pt idx="17">
                  <c:v>664884</c:v>
                </c:pt>
                <c:pt idx="18">
                  <c:v>672018</c:v>
                </c:pt>
                <c:pt idx="19">
                  <c:v>687134</c:v>
                </c:pt>
                <c:pt idx="20">
                  <c:v>699005</c:v>
                </c:pt>
                <c:pt idx="21">
                  <c:v>707602</c:v>
                </c:pt>
                <c:pt idx="22">
                  <c:v>714542</c:v>
                </c:pt>
                <c:pt idx="23">
                  <c:v>722824</c:v>
                </c:pt>
                <c:pt idx="24">
                  <c:v>728155</c:v>
                </c:pt>
                <c:pt idx="25">
                  <c:v>732211</c:v>
                </c:pt>
                <c:pt idx="26">
                  <c:v>738355</c:v>
                </c:pt>
                <c:pt idx="27">
                  <c:v>742832</c:v>
                </c:pt>
                <c:pt idx="28">
                  <c:v>748519</c:v>
                </c:pt>
                <c:pt idx="29">
                  <c:v>754640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04-4F8E-8AC1-E91CE3711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288352"/>
        <c:axId val="307278160"/>
      </c:lineChart>
      <c:catAx>
        <c:axId val="30728835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07278160"/>
        <c:crosses val="autoZero"/>
        <c:auto val="1"/>
        <c:lblAlgn val="ctr"/>
        <c:lblOffset val="100"/>
        <c:noMultiLvlLbl val="0"/>
      </c:catAx>
      <c:valAx>
        <c:axId val="307278160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30728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Transacciones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Proyección_indicadores!$D$47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Proyección_indicadores!$C$48:$C$77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Proyección_indicadores!$D$48:$D$77</c:f>
              <c:numCache>
                <c:formatCode>_ * #,##0_ ;_ * \-#,##0_ ;_ * "-"??_ ;_ @_ </c:formatCode>
                <c:ptCount val="30"/>
                <c:pt idx="0">
                  <c:v>304081</c:v>
                </c:pt>
                <c:pt idx="1">
                  <c:v>574522</c:v>
                </c:pt>
                <c:pt idx="2">
                  <c:v>819601</c:v>
                </c:pt>
                <c:pt idx="3">
                  <c:v>1054694</c:v>
                </c:pt>
                <c:pt idx="4">
                  <c:v>1329483</c:v>
                </c:pt>
                <c:pt idx="5">
                  <c:v>1608341</c:v>
                </c:pt>
                <c:pt idx="6">
                  <c:v>1846275</c:v>
                </c:pt>
                <c:pt idx="7">
                  <c:v>2084635</c:v>
                </c:pt>
                <c:pt idx="8">
                  <c:v>2332015</c:v>
                </c:pt>
                <c:pt idx="9">
                  <c:v>2567197</c:v>
                </c:pt>
                <c:pt idx="10">
                  <c:v>2807783</c:v>
                </c:pt>
                <c:pt idx="11">
                  <c:v>3068543</c:v>
                </c:pt>
                <c:pt idx="12">
                  <c:v>3358776</c:v>
                </c:pt>
                <c:pt idx="13">
                  <c:v>3608684</c:v>
                </c:pt>
                <c:pt idx="14">
                  <c:v>3876362</c:v>
                </c:pt>
                <c:pt idx="15">
                  <c:v>4138088</c:v>
                </c:pt>
                <c:pt idx="16">
                  <c:v>4402170</c:v>
                </c:pt>
                <c:pt idx="17">
                  <c:v>4649827</c:v>
                </c:pt>
                <c:pt idx="18">
                  <c:v>4923393</c:v>
                </c:pt>
                <c:pt idx="19">
                  <c:v>5227046</c:v>
                </c:pt>
                <c:pt idx="20">
                  <c:v>5485142</c:v>
                </c:pt>
                <c:pt idx="21">
                  <c:v>5783456</c:v>
                </c:pt>
                <c:pt idx="22">
                  <c:v>6035442</c:v>
                </c:pt>
                <c:pt idx="23">
                  <c:v>6292643</c:v>
                </c:pt>
                <c:pt idx="24">
                  <c:v>6541501</c:v>
                </c:pt>
                <c:pt idx="25">
                  <c:v>6802114</c:v>
                </c:pt>
                <c:pt idx="26">
                  <c:v>7102821</c:v>
                </c:pt>
                <c:pt idx="27">
                  <c:v>7359745</c:v>
                </c:pt>
                <c:pt idx="28">
                  <c:v>7619358</c:v>
                </c:pt>
                <c:pt idx="29">
                  <c:v>7899550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75-42B4-AC6B-8860F697B2AF}"/>
            </c:ext>
          </c:extLst>
        </c:ser>
        <c:ser>
          <c:idx val="1"/>
          <c:order val="1"/>
          <c:tx>
            <c:strRef>
              <c:f>Proyección_indicadores!$E$47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Proyección_indicadores!$C$48:$C$77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Proyección_indicadores!$E$48:$E$77</c:f>
              <c:numCache>
                <c:formatCode>_ * #,##0_ ;_ * \-#,##0_ ;_ * "-"??_ ;_ @_ </c:formatCode>
                <c:ptCount val="30"/>
                <c:pt idx="0">
                  <c:v>313428</c:v>
                </c:pt>
                <c:pt idx="1">
                  <c:v>606613</c:v>
                </c:pt>
                <c:pt idx="2">
                  <c:v>870085</c:v>
                </c:pt>
                <c:pt idx="3">
                  <c:v>1148413</c:v>
                </c:pt>
                <c:pt idx="4">
                  <c:v>1454812</c:v>
                </c:pt>
                <c:pt idx="5">
                  <c:v>1722043</c:v>
                </c:pt>
                <c:pt idx="6">
                  <c:v>2008078</c:v>
                </c:pt>
                <c:pt idx="7">
                  <c:v>2287958</c:v>
                </c:pt>
                <c:pt idx="8">
                  <c:v>2555578</c:v>
                </c:pt>
                <c:pt idx="9">
                  <c:v>2818156</c:v>
                </c:pt>
                <c:pt idx="10">
                  <c:v>3093335</c:v>
                </c:pt>
                <c:pt idx="11">
                  <c:v>3402696</c:v>
                </c:pt>
                <c:pt idx="12">
                  <c:v>3668188</c:v>
                </c:pt>
                <c:pt idx="13">
                  <c:v>3959897</c:v>
                </c:pt>
                <c:pt idx="14">
                  <c:v>4221794</c:v>
                </c:pt>
                <c:pt idx="15">
                  <c:v>4512979</c:v>
                </c:pt>
                <c:pt idx="16">
                  <c:v>4787772</c:v>
                </c:pt>
                <c:pt idx="17">
                  <c:v>5017788</c:v>
                </c:pt>
                <c:pt idx="18">
                  <c:v>5306638</c:v>
                </c:pt>
                <c:pt idx="19">
                  <c:v>5568920</c:v>
                </c:pt>
                <c:pt idx="20">
                  <c:v>5879582</c:v>
                </c:pt>
                <c:pt idx="21">
                  <c:v>6151302</c:v>
                </c:pt>
                <c:pt idx="22">
                  <c:v>6427779</c:v>
                </c:pt>
                <c:pt idx="23">
                  <c:v>6699164</c:v>
                </c:pt>
                <c:pt idx="24">
                  <c:v>6982095</c:v>
                </c:pt>
                <c:pt idx="25">
                  <c:v>7294532</c:v>
                </c:pt>
                <c:pt idx="26">
                  <c:v>7571036</c:v>
                </c:pt>
                <c:pt idx="27">
                  <c:v>7837022</c:v>
                </c:pt>
                <c:pt idx="28">
                  <c:v>8109202</c:v>
                </c:pt>
                <c:pt idx="29">
                  <c:v>8401849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75-42B4-AC6B-8860F697B2AF}"/>
            </c:ext>
          </c:extLst>
        </c:ser>
        <c:ser>
          <c:idx val="2"/>
          <c:order val="2"/>
          <c:tx>
            <c:strRef>
              <c:f>Proyección_indicadores!$F$47</c:f>
              <c:strCache>
                <c:ptCount val="1"/>
                <c:pt idx="0">
                  <c:v>2026P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Proyección_indicadores!$C$48:$C$77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Proyección_indicadores!$F$48:$F$77</c:f>
              <c:numCache>
                <c:formatCode>_ * #,##0_ ;_ * \-#,##0_ ;_ * "-"??_ ;_ @_ </c:formatCode>
                <c:ptCount val="30"/>
                <c:pt idx="0">
                  <c:v>376113.6</c:v>
                </c:pt>
                <c:pt idx="1">
                  <c:v>697033.41003789729</c:v>
                </c:pt>
                <c:pt idx="2">
                  <c:v>998594.56596156687</c:v>
                </c:pt>
                <c:pt idx="3">
                  <c:v>1297881.775872492</c:v>
                </c:pt>
                <c:pt idx="4">
                  <c:v>1647704.3274763816</c:v>
                </c:pt>
                <c:pt idx="5">
                  <c:v>2002706.955293206</c:v>
                </c:pt>
                <c:pt idx="6">
                  <c:v>2305610.9252240253</c:v>
                </c:pt>
                <c:pt idx="7">
                  <c:v>2609057.21819901</c:v>
                </c:pt>
                <c:pt idx="8">
                  <c:v>2923986.50145187</c:v>
                </c:pt>
                <c:pt idx="9">
                  <c:v>3304718.7925910242</c:v>
                </c:pt>
                <c:pt idx="10">
                  <c:v>3694199.530895846</c:v>
                </c:pt>
                <c:pt idx="11">
                  <c:v>4143740.3817834319</c:v>
                </c:pt>
                <c:pt idx="12">
                  <c:v>4653817.2429474285</c:v>
                </c:pt>
                <c:pt idx="13">
                  <c:v>5149910.8921151161</c:v>
                </c:pt>
                <c:pt idx="14">
                  <c:v>5635706.5733568594</c:v>
                </c:pt>
                <c:pt idx="15">
                  <c:v>6142352.2500028368</c:v>
                </c:pt>
                <c:pt idx="16">
                  <c:v>6777190.4132008543</c:v>
                </c:pt>
                <c:pt idx="17">
                  <c:v>7340460.2555406904</c:v>
                </c:pt>
                <c:pt idx="18">
                  <c:v>8002951.0462339949</c:v>
                </c:pt>
                <c:pt idx="19">
                  <c:v>8844632.4084060658</c:v>
                </c:pt>
                <c:pt idx="20">
                  <c:v>9687770.6366345994</c:v>
                </c:pt>
                <c:pt idx="21">
                  <c:v>10535109.139658125</c:v>
                </c:pt>
                <c:pt idx="22">
                  <c:v>11319222.391838606</c:v>
                </c:pt>
                <c:pt idx="23">
                  <c:v>12103818.469933193</c:v>
                </c:pt>
                <c:pt idx="24">
                  <c:v>13550594.569479441</c:v>
                </c:pt>
                <c:pt idx="25">
                  <c:v>15407161.824210713</c:v>
                </c:pt>
                <c:pt idx="26">
                  <c:v>17282719.517089732</c:v>
                </c:pt>
                <c:pt idx="27">
                  <c:v>18979599.896385971</c:v>
                </c:pt>
                <c:pt idx="28">
                  <c:v>20705064.593415339</c:v>
                </c:pt>
                <c:pt idx="29">
                  <c:v>9389304.9009815007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75-42B4-AC6B-8860F697B2AF}"/>
            </c:ext>
          </c:extLst>
        </c:ser>
        <c:ser>
          <c:idx val="3"/>
          <c:order val="3"/>
          <c:tx>
            <c:strRef>
              <c:f>Proyección_indicadores!$G$52</c:f>
              <c:strCache>
                <c:ptCount val="1"/>
                <c:pt idx="0">
                  <c:v>1,612,588 </c:v>
                </c:pt>
              </c:strCache>
            </c:strRef>
          </c:tx>
          <c:cat>
            <c:numRef>
              <c:f>Proyección_indicadores!$C$48:$C$77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Proyección_indicadores!$G$48:$G$77</c:f>
              <c:numCache>
                <c:formatCode>#,##0_ ;\-#,##0\ </c:formatCode>
                <c:ptCount val="30"/>
                <c:pt idx="0">
                  <c:v>378352</c:v>
                </c:pt>
                <c:pt idx="1">
                  <c:v>717366</c:v>
                </c:pt>
                <c:pt idx="2">
                  <c:v>988608</c:v>
                </c:pt>
                <c:pt idx="3">
                  <c:v>1315832</c:v>
                </c:pt>
                <c:pt idx="4">
                  <c:v>1612588</c:v>
                </c:pt>
                <c:pt idx="5">
                  <c:v>1950370</c:v>
                </c:pt>
                <c:pt idx="6">
                  <c:v>2245567</c:v>
                </c:pt>
                <c:pt idx="7">
                  <c:v>2540325</c:v>
                </c:pt>
                <c:pt idx="8">
                  <c:v>2834254</c:v>
                </c:pt>
                <c:pt idx="9">
                  <c:v>3156960</c:v>
                </c:pt>
                <c:pt idx="10">
                  <c:v>3500590</c:v>
                </c:pt>
                <c:pt idx="11">
                  <c:v>3772579</c:v>
                </c:pt>
                <c:pt idx="12">
                  <c:v>4075956</c:v>
                </c:pt>
                <c:pt idx="13">
                  <c:v>4378475</c:v>
                </c:pt>
                <c:pt idx="14">
                  <c:v>4685830</c:v>
                </c:pt>
                <c:pt idx="15">
                  <c:v>4993615</c:v>
                </c:pt>
                <c:pt idx="16">
                  <c:v>5311926</c:v>
                </c:pt>
                <c:pt idx="17">
                  <c:v>5671726</c:v>
                </c:pt>
                <c:pt idx="18">
                  <c:v>5990811</c:v>
                </c:pt>
                <c:pt idx="19">
                  <c:v>6355756</c:v>
                </c:pt>
                <c:pt idx="20">
                  <c:v>6694297</c:v>
                </c:pt>
                <c:pt idx="21">
                  <c:v>7021873</c:v>
                </c:pt>
                <c:pt idx="22">
                  <c:v>7347818</c:v>
                </c:pt>
                <c:pt idx="23">
                  <c:v>7690528</c:v>
                </c:pt>
                <c:pt idx="24">
                  <c:v>8055894</c:v>
                </c:pt>
                <c:pt idx="25">
                  <c:v>8379685</c:v>
                </c:pt>
                <c:pt idx="26">
                  <c:v>8693665</c:v>
                </c:pt>
                <c:pt idx="27">
                  <c:v>9000467</c:v>
                </c:pt>
                <c:pt idx="28">
                  <c:v>9318208</c:v>
                </c:pt>
                <c:pt idx="29">
                  <c:v>9669287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75-42B4-AC6B-8860F697B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278944"/>
        <c:axId val="307279336"/>
      </c:lineChart>
      <c:catAx>
        <c:axId val="30727894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07279336"/>
        <c:crosses val="autoZero"/>
        <c:auto val="1"/>
        <c:lblAlgn val="ctr"/>
        <c:lblOffset val="100"/>
        <c:noMultiLvlLbl val="0"/>
      </c:catAx>
      <c:valAx>
        <c:axId val="307279336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30727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userShapes r:id="rId1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356532861946232E-2"/>
          <c:y val="3.0777095158972097E-2"/>
          <c:w val="0.92231014737129979"/>
          <c:h val="0.78630909175310815"/>
        </c:manualLayout>
      </c:layout>
      <c:lineChart>
        <c:grouping val="standard"/>
        <c:varyColors val="0"/>
        <c:ser>
          <c:idx val="1"/>
          <c:order val="0"/>
          <c:tx>
            <c:strRef>
              <c:f>'Resumen Digital'!$C$77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'Resumen Digital'!$B$78:$B$108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'Resumen Digital'!$C$81:$C$108</c:f>
              <c:numCache>
                <c:formatCode>0.0</c:formatCode>
                <c:ptCount val="28"/>
                <c:pt idx="0">
                  <c:v>11.90563849554</c:v>
                </c:pt>
                <c:pt idx="1">
                  <c:v>8.8621749162600008</c:v>
                </c:pt>
                <c:pt idx="2">
                  <c:v>7.6497786364399998</c:v>
                </c:pt>
                <c:pt idx="3">
                  <c:v>12.019161228250001</c:v>
                </c:pt>
                <c:pt idx="4">
                  <c:v>12.930119898639999</c:v>
                </c:pt>
                <c:pt idx="5">
                  <c:v>12.159205085250001</c:v>
                </c:pt>
                <c:pt idx="6">
                  <c:v>12.049912619160001</c:v>
                </c:pt>
                <c:pt idx="7">
                  <c:v>11.4287023074</c:v>
                </c:pt>
                <c:pt idx="8">
                  <c:v>9.6783959512000006</c:v>
                </c:pt>
                <c:pt idx="9">
                  <c:v>8.0424083959800008</c:v>
                </c:pt>
                <c:pt idx="10">
                  <c:v>15.36639581132</c:v>
                </c:pt>
                <c:pt idx="11">
                  <c:v>23.211304340000002</c:v>
                </c:pt>
                <c:pt idx="12">
                  <c:v>15.594569720399999</c:v>
                </c:pt>
                <c:pt idx="13">
                  <c:v>18.399065692560001</c:v>
                </c:pt>
                <c:pt idx="14">
                  <c:v>14.192494674160001</c:v>
                </c:pt>
                <c:pt idx="15">
                  <c:v>9.47564600834</c:v>
                </c:pt>
                <c:pt idx="16">
                  <c:v>7.3827680961600004</c:v>
                </c:pt>
                <c:pt idx="17">
                  <c:v>13.817009649599999</c:v>
                </c:pt>
                <c:pt idx="18">
                  <c:v>14.553349521399999</c:v>
                </c:pt>
                <c:pt idx="19">
                  <c:v>13.2830890785</c:v>
                </c:pt>
                <c:pt idx="20">
                  <c:v>13.5387846272</c:v>
                </c:pt>
                <c:pt idx="21">
                  <c:v>21.43454311392</c:v>
                </c:pt>
                <c:pt idx="22">
                  <c:v>12.996165581370001</c:v>
                </c:pt>
                <c:pt idx="23">
                  <c:v>12.324123617350001</c:v>
                </c:pt>
                <c:pt idx="24">
                  <c:v>16.174601577840001</c:v>
                </c:pt>
                <c:pt idx="25">
                  <c:v>14.871251837280001</c:v>
                </c:pt>
                <c:pt idx="26">
                  <c:v>17.591369666799999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D0-4438-8A4A-980212F11F60}"/>
            </c:ext>
          </c:extLst>
        </c:ser>
        <c:ser>
          <c:idx val="2"/>
          <c:order val="1"/>
          <c:tx>
            <c:strRef>
              <c:f>'Resumen Digital'!$D$77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'Resumen Digital'!$B$78:$B$108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'Resumen Digital'!$D$80:$D$108</c:f>
              <c:numCache>
                <c:formatCode>0.0</c:formatCode>
                <c:ptCount val="29"/>
                <c:pt idx="0">
                  <c:v>12.11595747022</c:v>
                </c:pt>
                <c:pt idx="1">
                  <c:v>9.6850854874800003</c:v>
                </c:pt>
                <c:pt idx="2">
                  <c:v>7.9297344964800001</c:v>
                </c:pt>
                <c:pt idx="3">
                  <c:v>12.9886757464</c:v>
                </c:pt>
                <c:pt idx="4">
                  <c:v>12.73794212656</c:v>
                </c:pt>
                <c:pt idx="5">
                  <c:v>11.95505052745</c:v>
                </c:pt>
                <c:pt idx="6">
                  <c:v>10.9083626803</c:v>
                </c:pt>
                <c:pt idx="7">
                  <c:v>11.696391010359999</c:v>
                </c:pt>
                <c:pt idx="8">
                  <c:v>10.197549083049999</c:v>
                </c:pt>
                <c:pt idx="9">
                  <c:v>8.4700960111299999</c:v>
                </c:pt>
                <c:pt idx="10">
                  <c:v>14.683370299850001</c:v>
                </c:pt>
                <c:pt idx="11">
                  <c:v>14.608350128630001</c:v>
                </c:pt>
                <c:pt idx="12">
                  <c:v>16.772875191120001</c:v>
                </c:pt>
                <c:pt idx="13">
                  <c:v>14.685143741399999</c:v>
                </c:pt>
                <c:pt idx="14">
                  <c:v>15.403688786769999</c:v>
                </c:pt>
                <c:pt idx="15">
                  <c:v>10.345561260389999</c:v>
                </c:pt>
                <c:pt idx="16">
                  <c:v>8.61200584917</c:v>
                </c:pt>
                <c:pt idx="17">
                  <c:v>14.970699571100001</c:v>
                </c:pt>
                <c:pt idx="18">
                  <c:v>14.592774116259999</c:v>
                </c:pt>
                <c:pt idx="19">
                  <c:v>14.867118281390001</c:v>
                </c:pt>
                <c:pt idx="20">
                  <c:v>15.15477683776</c:v>
                </c:pt>
                <c:pt idx="21">
                  <c:v>19.904996029660001</c:v>
                </c:pt>
                <c:pt idx="22">
                  <c:v>13.514485679290001</c:v>
                </c:pt>
                <c:pt idx="23">
                  <c:v>12.76837008265</c:v>
                </c:pt>
                <c:pt idx="24">
                  <c:v>16.476385968780001</c:v>
                </c:pt>
                <c:pt idx="25">
                  <c:v>17.376273659839999</c:v>
                </c:pt>
                <c:pt idx="26">
                  <c:v>15.270000024770001</c:v>
                </c:pt>
                <c:pt idx="27">
                  <c:v>16.920987917680002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D0-4438-8A4A-980212F11F60}"/>
            </c:ext>
          </c:extLst>
        </c:ser>
        <c:ser>
          <c:idx val="3"/>
          <c:order val="2"/>
          <c:tx>
            <c:strRef>
              <c:f>'Resumen Digital'!$E$77</c:f>
              <c:strCache>
                <c:ptCount val="1"/>
                <c:pt idx="0">
                  <c:v>2024P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'Resumen Digital'!$B$78:$B$108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'Resumen Digital'!$E$78:$E$108</c:f>
              <c:numCache>
                <c:formatCode>#,##0.0</c:formatCode>
                <c:ptCount val="31"/>
                <c:pt idx="0">
                  <c:v>13.175507865224514</c:v>
                </c:pt>
                <c:pt idx="1">
                  <c:v>10.779960980638238</c:v>
                </c:pt>
                <c:pt idx="2">
                  <c:v>8.7747307192343911</c:v>
                </c:pt>
                <c:pt idx="3">
                  <c:v>14.083935834311671</c:v>
                </c:pt>
                <c:pt idx="4">
                  <c:v>14.298660188172979</c:v>
                </c:pt>
                <c:pt idx="5">
                  <c:v>14.073837946944366</c:v>
                </c:pt>
                <c:pt idx="6">
                  <c:v>13.9467801144984</c:v>
                </c:pt>
                <c:pt idx="7">
                  <c:v>13.024865549689961</c:v>
                </c:pt>
                <c:pt idx="8">
                  <c:v>11.194254102897306</c:v>
                </c:pt>
                <c:pt idx="9">
                  <c:v>9.2999509319473859</c:v>
                </c:pt>
                <c:pt idx="10">
                  <c:v>16.469384831530643</c:v>
                </c:pt>
                <c:pt idx="11">
                  <c:v>16.469384831530643</c:v>
                </c:pt>
                <c:pt idx="12">
                  <c:v>16.768828192103928</c:v>
                </c:pt>
                <c:pt idx="13">
                  <c:v>14.523002987804292</c:v>
                </c:pt>
                <c:pt idx="14">
                  <c:v>16.667877564570947</c:v>
                </c:pt>
                <c:pt idx="15">
                  <c:v>11.1627225916589</c:v>
                </c:pt>
                <c:pt idx="16">
                  <c:v>9.0067353276635398</c:v>
                </c:pt>
                <c:pt idx="17">
                  <c:v>16.212612533137968</c:v>
                </c:pt>
                <c:pt idx="18">
                  <c:v>15.870498110384073</c:v>
                </c:pt>
                <c:pt idx="19">
                  <c:v>16.169941470957358</c:v>
                </c:pt>
                <c:pt idx="20">
                  <c:v>16.319663151244001</c:v>
                </c:pt>
                <c:pt idx="21">
                  <c:v>23.287889299559247</c:v>
                </c:pt>
                <c:pt idx="22">
                  <c:v>14.931308835476155</c:v>
                </c:pt>
                <c:pt idx="23">
                  <c:v>14.132667706653027</c:v>
                </c:pt>
                <c:pt idx="24">
                  <c:v>18.390336092565317</c:v>
                </c:pt>
                <c:pt idx="25">
                  <c:v>17.978990241055417</c:v>
                </c:pt>
                <c:pt idx="26">
                  <c:v>15.852675521456325</c:v>
                </c:pt>
                <c:pt idx="27">
                  <c:v>16.158660419760601</c:v>
                </c:pt>
                <c:pt idx="28">
                  <c:v>14.972168028664219</c:v>
                </c:pt>
                <c:pt idx="29">
                  <c:v>14.972168028664219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D0-4438-8A4A-980212F11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286784"/>
        <c:axId val="307279728"/>
        <c:extLst>
          <c:ext xmlns:c15="http://schemas.microsoft.com/office/drawing/2012/chart" uri="{02D57815-91ED-43cb-92C2-25804820EDAC}">
            <c15:filteredLineSeries>
              <c15:ser>
                <c:idx val="5"/>
                <c:order val="3"/>
                <c:tx>
                  <c:strRef>
                    <c:extLst>
                      <c:ext uri="{02D57815-91ED-43cb-92C2-25804820EDAC}">
                        <c15:formulaRef>
                          <c15:sqref>'Resumen Digital'!$G$77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>
                    <a:solidFill>
                      <a:schemeClr val="tx2"/>
                    </a:solidFill>
                  </a:ln>
                </c:spPr>
                <c:marker>
                  <c:spPr>
                    <a:solidFill>
                      <a:schemeClr val="tx2"/>
                    </a:solidFill>
                    <a:ln>
                      <a:solidFill>
                        <a:schemeClr val="tx2"/>
                      </a:solidFill>
                    </a:ln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'Resumen Digital'!$B$78:$B$108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'Resumen Digital'!$G$78:$G$108</c15:sqref>
                        </c15:formulaRef>
                      </c:ext>
                    </c:extLst>
                    <c:numCache>
                      <c:formatCode>0.0</c:formatCode>
                      <c:ptCount val="31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D88-45AC-B9BA-8C1A07EEAE0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'Resumen Digital'!$F$77</c15:sqref>
                        </c15:formulaRef>
                      </c:ext>
                    </c:extLst>
                    <c:strCache>
                      <c:ptCount val="1"/>
                      <c:pt idx="0">
                        <c:v>2024R</c:v>
                      </c:pt>
                    </c:strCache>
                  </c:strRef>
                </c:tx>
                <c:spPr>
                  <a:ln w="28575" cap="rnd">
                    <a:solidFill>
                      <a:srgbClr val="00B05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B050"/>
                    </a:solidFill>
                    <a:ln w="9525">
                      <a:solidFill>
                        <a:srgbClr val="00B050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'Resumen Digital'!$B$78:$B$108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'Resumen Digital'!$F$78:$F$108</c15:sqref>
                        </c15:formulaRef>
                      </c:ext>
                    </c:extLst>
                    <c:numCache>
                      <c:formatCode>0.0</c:formatCode>
                      <c:ptCount val="31"/>
                      <c:pt idx="0">
                        <c:v>16.109130840439999</c:v>
                      </c:pt>
                      <c:pt idx="1">
                        <c:v>19.530028947449999</c:v>
                      </c:pt>
                      <c:pt idx="2">
                        <c:v>16.445878244149998</c:v>
                      </c:pt>
                      <c:pt idx="3">
                        <c:v>15.551409060259999</c:v>
                      </c:pt>
                      <c:pt idx="4">
                        <c:v>14.63088575686</c:v>
                      </c:pt>
                      <c:pt idx="5">
                        <c:v>15.008025788199999</c:v>
                      </c:pt>
                      <c:pt idx="6">
                        <c:v>11.66428260448</c:v>
                      </c:pt>
                      <c:pt idx="7">
                        <c:v>9.1356698834800003</c:v>
                      </c:pt>
                      <c:pt idx="8">
                        <c:v>11.025164977619999</c:v>
                      </c:pt>
                      <c:pt idx="9">
                        <c:v>14.806531678480001</c:v>
                      </c:pt>
                      <c:pt idx="10">
                        <c:v>13.88146141022</c:v>
                      </c:pt>
                      <c:pt idx="11">
                        <c:v>14.82068851535</c:v>
                      </c:pt>
                      <c:pt idx="12">
                        <c:v>13.671898802979999</c:v>
                      </c:pt>
                      <c:pt idx="13">
                        <c:v>11.716022280320001</c:v>
                      </c:pt>
                      <c:pt idx="14">
                        <c:v>10.567305450799999</c:v>
                      </c:pt>
                      <c:pt idx="15">
                        <c:v>16.97333131832</c:v>
                      </c:pt>
                      <c:pt idx="16">
                        <c:v>17.451134267800001</c:v>
                      </c:pt>
                      <c:pt idx="17">
                        <c:v>16.132418595650002</c:v>
                      </c:pt>
                      <c:pt idx="18">
                        <c:v>20.038403432959999</c:v>
                      </c:pt>
                      <c:pt idx="19">
                        <c:v>14.95067207044</c:v>
                      </c:pt>
                      <c:pt idx="20">
                        <c:v>11.745413020239999</c:v>
                      </c:pt>
                      <c:pt idx="21">
                        <c:v>10.558323705039999</c:v>
                      </c:pt>
                      <c:pt idx="22">
                        <c:v>14.834114158069999</c:v>
                      </c:pt>
                      <c:pt idx="23">
                        <c:v>10.05584393592</c:v>
                      </c:pt>
                      <c:pt idx="24">
                        <c:v>6.6863286675399998</c:v>
                      </c:pt>
                      <c:pt idx="25">
                        <c:v>14.25884061895</c:v>
                      </c:pt>
                      <c:pt idx="26">
                        <c:v>14.28831411434</c:v>
                      </c:pt>
                      <c:pt idx="27">
                        <c:v>11.45163528982</c:v>
                      </c:pt>
                      <c:pt idx="28">
                        <c:v>9.2402367117999997</c:v>
                      </c:pt>
                      <c:pt idx="29">
                        <c:v>15.1399045588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5D0-4438-8A4A-980212F11F60}"/>
                  </c:ext>
                </c:extLst>
              </c15:ser>
            </c15:filteredLineSeries>
          </c:ext>
        </c:extLst>
      </c:lineChart>
      <c:catAx>
        <c:axId val="30728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mnes Medium" pitchFamily="50" charset="0"/>
                <a:ea typeface="+mn-ea"/>
                <a:cs typeface="+mn-cs"/>
              </a:defRPr>
            </a:pPr>
            <a:endParaRPr lang="es-419"/>
          </a:p>
        </c:txPr>
        <c:crossAx val="307279728"/>
        <c:crosses val="autoZero"/>
        <c:auto val="1"/>
        <c:lblAlgn val="ctr"/>
        <c:lblOffset val="100"/>
        <c:noMultiLvlLbl val="0"/>
      </c:catAx>
      <c:valAx>
        <c:axId val="307279728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mnes Medium" pitchFamily="50" charset="0"/>
                <a:ea typeface="+mn-ea"/>
                <a:cs typeface="+mn-cs"/>
              </a:defRPr>
            </a:pPr>
            <a:endParaRPr lang="es-419"/>
          </a:p>
        </c:txPr>
        <c:crossAx val="307286784"/>
        <c:crosses val="autoZero"/>
        <c:crossBetween val="between"/>
        <c:majorUnit val="0.5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mnes Medium" pitchFamily="50" charset="0"/>
                <a:ea typeface="+mn-ea"/>
                <a:cs typeface="+mn-cs"/>
              </a:defRPr>
            </a:pPr>
            <a:endParaRPr lang="es-419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Omnes Medium" pitchFamily="50" charset="0"/>
        </a:defRPr>
      </a:pPr>
      <a:endParaRPr lang="es-419"/>
    </a:p>
  </c:txPr>
  <c:printSettings>
    <c:headerFooter/>
    <c:pageMargins b="0.75" l="0.7" r="0.7" t="0.75" header="0.3" footer="0.3"/>
    <c:pageSetup/>
  </c:printSettings>
  <c:userShapes r:id="rId1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s-PE" sz="1600"/>
              <a:t>Facturación (S/MM)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3"/>
          <c:order val="0"/>
          <c:tx>
            <c:v>2023</c:v>
          </c:tx>
          <c:spPr>
            <a:ln>
              <a:solidFill>
                <a:srgbClr val="00B050"/>
              </a:solidFill>
            </a:ln>
          </c:spPr>
          <c:marker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dLbls>
            <c:dLbl>
              <c:idx val="0"/>
              <c:layout>
                <c:manualLayout>
                  <c:x val="-4.5138574156077645E-2"/>
                  <c:y val="1.888196303618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D3A-4BF2-B30E-1B27AC84E4DB}"/>
                </c:ext>
              </c:extLst>
            </c:dLbl>
            <c:dLbl>
              <c:idx val="1"/>
              <c:layout>
                <c:manualLayout>
                  <c:x val="-3.168587446860701E-2"/>
                  <c:y val="-4.7532622606235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D3A-4BF2-B30E-1B27AC84E4DB}"/>
                </c:ext>
              </c:extLst>
            </c:dLbl>
            <c:dLbl>
              <c:idx val="8"/>
              <c:layout>
                <c:manualLayout>
                  <c:x val="-2.8447221192544146E-2"/>
                  <c:y val="-3.00831050736015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339-4DA7-9FF9-B655E9494BD6}"/>
                </c:ext>
              </c:extLst>
            </c:dLbl>
            <c:dLbl>
              <c:idx val="9"/>
              <c:layout>
                <c:manualLayout>
                  <c:x val="-2.8447239162518893E-2"/>
                  <c:y val="3.28952662902398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339-4DA7-9FF9-B655E9494BD6}"/>
                </c:ext>
              </c:extLst>
            </c:dLbl>
            <c:dLbl>
              <c:idx val="10"/>
              <c:layout>
                <c:manualLayout>
                  <c:x val="-2.1100068366124825E-2"/>
                  <c:y val="-2.24502398793165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339-4DA7-9FF9-B655E9494B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00B050"/>
                    </a:solidFill>
                  </a:defRPr>
                </a:pPr>
                <a:endParaRPr lang="es-419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Graf_PowerBI!$B$129:$B$140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Graf_PowerBI!$C$153:$C$164</c:f>
              <c:numCache>
                <c:formatCode>_ * #,##0_ ;_ * \-#,##0_ ;_ * "-"??_ ;_ @_ </c:formatCode>
                <c:ptCount val="12"/>
                <c:pt idx="0">
                  <c:v>357.19165400125007</c:v>
                </c:pt>
                <c:pt idx="1">
                  <c:v>353.02166545845006</c:v>
                </c:pt>
                <c:pt idx="2">
                  <c:v>439.65774105443012</c:v>
                </c:pt>
                <c:pt idx="3">
                  <c:v>390.92104534181993</c:v>
                </c:pt>
                <c:pt idx="4">
                  <c:v>406.60098753187003</c:v>
                </c:pt>
                <c:pt idx="5">
                  <c:v>384.57796667858003</c:v>
                </c:pt>
                <c:pt idx="6">
                  <c:v>444.32199754244004</c:v>
                </c:pt>
                <c:pt idx="7">
                  <c:v>426.85591586766998</c:v>
                </c:pt>
                <c:pt idx="8">
                  <c:v>377.36738178059989</c:v>
                </c:pt>
                <c:pt idx="9">
                  <c:v>406.34533858011451</c:v>
                </c:pt>
                <c:pt idx="10">
                  <c:v>400.13807031236007</c:v>
                </c:pt>
                <c:pt idx="11">
                  <c:v>374.90635180821999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65-4509-BACC-5067FA3C4075}"/>
            </c:ext>
          </c:extLst>
        </c:ser>
        <c:ser>
          <c:idx val="1"/>
          <c:order val="1"/>
          <c:tx>
            <c:v>2022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solidFill>
                      <a:schemeClr val="accent2"/>
                    </a:solidFill>
                  </a:defRPr>
                </a:pPr>
                <a:endParaRPr lang="es-419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Graf_PowerBI!$B$129:$B$140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Graf_PowerBI!$C$141:$C$152</c:f>
              <c:numCache>
                <c:formatCode>_ * #,##0_ ;_ * \-#,##0_ ;_ * "-"??_ ;_ @_ </c:formatCode>
                <c:ptCount val="12"/>
                <c:pt idx="0">
                  <c:v>269.14001554831003</c:v>
                </c:pt>
                <c:pt idx="1">
                  <c:v>263.12938462738998</c:v>
                </c:pt>
                <c:pt idx="2">
                  <c:v>343.74671055641994</c:v>
                </c:pt>
                <c:pt idx="3">
                  <c:v>332.95731822995998</c:v>
                </c:pt>
                <c:pt idx="4">
                  <c:v>331.88091125122997</c:v>
                </c:pt>
                <c:pt idx="5">
                  <c:v>320.74322243896</c:v>
                </c:pt>
                <c:pt idx="6">
                  <c:v>373.69714802454007</c:v>
                </c:pt>
                <c:pt idx="7">
                  <c:v>360.03650028597997</c:v>
                </c:pt>
                <c:pt idx="8">
                  <c:v>343.96643645952997</c:v>
                </c:pt>
                <c:pt idx="9">
                  <c:v>382.53203821217988</c:v>
                </c:pt>
                <c:pt idx="10">
                  <c:v>395.76359144334992</c:v>
                </c:pt>
                <c:pt idx="11">
                  <c:v>360.37822873153999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8-42CA-9A15-0E4F250B337E}"/>
            </c:ext>
          </c:extLst>
        </c:ser>
        <c:ser>
          <c:idx val="2"/>
          <c:order val="2"/>
          <c:tx>
            <c:strRef>
              <c:f>Graf_PowerBI!$T$3</c:f>
              <c:strCache>
                <c:ptCount val="1"/>
                <c:pt idx="0">
                  <c:v>PPTO</c:v>
                </c:pt>
              </c:strCache>
            </c:strRef>
          </c:tx>
          <c:dLbls>
            <c:dLbl>
              <c:idx val="2"/>
              <c:layout>
                <c:manualLayout>
                  <c:x val="-2.8024894001351962E-2"/>
                  <c:y val="-3.73304590479704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D3A-4BF2-B30E-1B27AC84E4DB}"/>
                </c:ext>
              </c:extLst>
            </c:dLbl>
            <c:dLbl>
              <c:idx val="8"/>
              <c:layout>
                <c:manualLayout>
                  <c:x val="-2.994670824241916E-2"/>
                  <c:y val="-2.99510606432569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D3A-4BF2-B30E-1B27AC84E4DB}"/>
                </c:ext>
              </c:extLst>
            </c:dLbl>
            <c:dLbl>
              <c:idx val="9"/>
              <c:layout>
                <c:manualLayout>
                  <c:x val="-2.8621788386668061E-2"/>
                  <c:y val="-2.71633838835356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39-4DA7-9FF9-B655E9494BD6}"/>
                </c:ext>
              </c:extLst>
            </c:dLbl>
            <c:dLbl>
              <c:idx val="10"/>
              <c:layout>
                <c:manualLayout>
                  <c:x val="-3.0458576593272755E-2"/>
                  <c:y val="-2.33469512863932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39-4DA7-9FF9-B655E9494BD6}"/>
                </c:ext>
              </c:extLst>
            </c:dLbl>
            <c:dLbl>
              <c:idx val="11"/>
              <c:layout>
                <c:manualLayout>
                  <c:x val="-3.2295364799877588E-2"/>
                  <c:y val="-3.47962490778206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39-4DA7-9FF9-B655E9494B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solidFill>
                      <a:schemeClr val="bg2">
                        <a:lumMod val="50000"/>
                      </a:schemeClr>
                    </a:solidFill>
                  </a:defRPr>
                </a:pPr>
                <a:endParaRPr lang="es-419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Graf_PowerBI!$B$129:$B$140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Graf_PowerBI!$T$105:$T$116</c:f>
              <c:numCache>
                <c:formatCode>0</c:formatCode>
                <c:ptCount val="12"/>
                <c:pt idx="0">
                  <c:v>412.16340000000002</c:v>
                </c:pt>
                <c:pt idx="1">
                  <c:v>439.8442</c:v>
                </c:pt>
                <c:pt idx="2">
                  <c:v>468.70639999999997</c:v>
                </c:pt>
                <c:pt idx="3">
                  <c:v>450.57170000000002</c:v>
                </c:pt>
                <c:pt idx="4">
                  <c:v>487.03219999999999</c:v>
                </c:pt>
                <c:pt idx="5">
                  <c:v>508.22829999999999</c:v>
                </c:pt>
                <c:pt idx="6">
                  <c:v>538.42700000000002</c:v>
                </c:pt>
                <c:pt idx="7">
                  <c:v>512.3886</c:v>
                </c:pt>
                <c:pt idx="8">
                  <c:v>509.5478</c:v>
                </c:pt>
                <c:pt idx="9">
                  <c:v>543.54319999999996</c:v>
                </c:pt>
                <c:pt idx="10">
                  <c:v>479.25819999999999</c:v>
                </c:pt>
                <c:pt idx="11">
                  <c:v>595.23990000000003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8-42CA-9A15-0E4F250B337E}"/>
            </c:ext>
          </c:extLst>
        </c:ser>
        <c:ser>
          <c:idx val="0"/>
          <c:order val="3"/>
          <c:tx>
            <c:v>2024</c:v>
          </c:tx>
          <c:dLbls>
            <c:dLbl>
              <c:idx val="0"/>
              <c:layout>
                <c:manualLayout>
                  <c:x val="-3.9373131432875935E-2"/>
                  <c:y val="-2.62613614409001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D3A-4BF2-B30E-1B27AC84E4DB}"/>
                </c:ext>
              </c:extLst>
            </c:dLbl>
            <c:dLbl>
              <c:idx val="2"/>
              <c:layout>
                <c:manualLayout>
                  <c:x val="-3.1436038617268271E-2"/>
                  <c:y val="3.8714241512602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3A-4BF2-B30E-1B27AC84E4DB}"/>
                </c:ext>
              </c:extLst>
            </c:dLbl>
            <c:dLbl>
              <c:idx val="5"/>
              <c:layout>
                <c:manualLayout>
                  <c:x val="-4.1045109822604439E-2"/>
                  <c:y val="2.39554447031752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3A-4BF2-B30E-1B27AC84E4DB}"/>
                </c:ext>
              </c:extLst>
            </c:dLbl>
            <c:dLbl>
              <c:idx val="6"/>
              <c:layout>
                <c:manualLayout>
                  <c:x val="-2.3998617504338151E-2"/>
                  <c:y val="2.53944273920944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F47-42E3-ACDD-E3CA954C98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es-419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Graf_PowerBI!$C$165:$C$176</c:f>
              <c:numCache>
                <c:formatCode>_ * #,##0_ ;_ * \-#,##0_ ;_ * "-"??_ ;_ @_ </c:formatCode>
                <c:ptCount val="12"/>
                <c:pt idx="0">
                  <c:v>376.38981804385992</c:v>
                </c:pt>
                <c:pt idx="1">
                  <c:v>360.13200057975996</c:v>
                </c:pt>
                <c:pt idx="2">
                  <c:v>378.02524724777004</c:v>
                </c:pt>
                <c:pt idx="3">
                  <c:v>384</c:v>
                </c:pt>
                <c:pt idx="4">
                  <c:v>404.67122813589003</c:v>
                </c:pt>
                <c:pt idx="5">
                  <c:v>378.44321124131005</c:v>
                </c:pt>
                <c:pt idx="6">
                  <c:v>449.81785993718995</c:v>
                </c:pt>
                <c:pt idx="7">
                  <c:v>395.89503222179007</c:v>
                </c:pt>
                <c:pt idx="8">
                  <c:v>388.62595958716003</c:v>
                </c:pt>
                <c:pt idx="9">
                  <c:v>429.89793873986997</c:v>
                </c:pt>
                <c:pt idx="10">
                  <c:v>451.79701896626005</c:v>
                </c:pt>
                <c:pt idx="11">
                  <c:v>412.36929870678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59-46F2-81A9-E0E90ACB1F7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07281688"/>
        <c:axId val="307282472"/>
      </c:lineChart>
      <c:catAx>
        <c:axId val="307281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7282472"/>
        <c:crosses val="autoZero"/>
        <c:auto val="1"/>
        <c:lblAlgn val="ctr"/>
        <c:lblOffset val="100"/>
        <c:noMultiLvlLbl val="0"/>
      </c:catAx>
      <c:valAx>
        <c:axId val="307282472"/>
        <c:scaling>
          <c:orientation val="minMax"/>
          <c:min val="210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crossAx val="307281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8306877650134685"/>
          <c:y val="0.23421554859178945"/>
          <c:w val="9.5169921759210394E-2"/>
          <c:h val="0.2784398358360057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s-PE" sz="1600"/>
              <a:t>Actividad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3"/>
          <c:order val="0"/>
          <c:tx>
            <c:v>2023</c:v>
          </c:tx>
          <c:spPr>
            <a:ln>
              <a:solidFill>
                <a:srgbClr val="00B050"/>
              </a:solidFill>
            </a:ln>
          </c:spPr>
          <c:marker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00B050"/>
                    </a:solidFill>
                  </a:defRPr>
                </a:pPr>
                <a:endParaRPr lang="es-419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Graf_PowerBI!$B$129:$B$140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Graf_PowerBI!$F$153:$F$164</c:f>
              <c:numCache>
                <c:formatCode>0.0%</c:formatCode>
                <c:ptCount val="12"/>
                <c:pt idx="0">
                  <c:v>0.37598729375068768</c:v>
                </c:pt>
                <c:pt idx="1">
                  <c:v>0.38187165422613245</c:v>
                </c:pt>
                <c:pt idx="2">
                  <c:v>0.41345819047665228</c:v>
                </c:pt>
                <c:pt idx="3">
                  <c:v>0.41213840944170244</c:v>
                </c:pt>
                <c:pt idx="4">
                  <c:v>0.41913072501982351</c:v>
                </c:pt>
                <c:pt idx="5">
                  <c:v>0.42761178243606102</c:v>
                </c:pt>
                <c:pt idx="6">
                  <c:v>0.44646415140771162</c:v>
                </c:pt>
                <c:pt idx="7">
                  <c:v>0.45827403467530547</c:v>
                </c:pt>
                <c:pt idx="8">
                  <c:v>0.43900140386770997</c:v>
                </c:pt>
                <c:pt idx="9">
                  <c:v>0.47190231116086973</c:v>
                </c:pt>
                <c:pt idx="10">
                  <c:v>0.49572855128373727</c:v>
                </c:pt>
                <c:pt idx="11">
                  <c:v>0.48370197531212605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DC-471B-8877-0D9980A4A0C8}"/>
            </c:ext>
          </c:extLst>
        </c:ser>
        <c:ser>
          <c:idx val="1"/>
          <c:order val="1"/>
          <c:tx>
            <c:v>2022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solidFill>
                      <a:schemeClr val="accent2"/>
                    </a:solidFill>
                  </a:defRPr>
                </a:pPr>
                <a:endParaRPr lang="es-419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Graf_PowerBI!$B$129:$B$140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Graf_PowerBI!$F$141:$F$152</c:f>
              <c:numCache>
                <c:formatCode>0.0%</c:formatCode>
                <c:ptCount val="12"/>
                <c:pt idx="0">
                  <c:v>0.31992327457525488</c:v>
                </c:pt>
                <c:pt idx="1">
                  <c:v>0.3200781374501912</c:v>
                </c:pt>
                <c:pt idx="2">
                  <c:v>0.3511445769560827</c:v>
                </c:pt>
                <c:pt idx="3">
                  <c:v>0.35117862438345387</c:v>
                </c:pt>
                <c:pt idx="4">
                  <c:v>0.35736237067820337</c:v>
                </c:pt>
                <c:pt idx="5">
                  <c:v>0.35694882800059552</c:v>
                </c:pt>
                <c:pt idx="6">
                  <c:v>0.37002350858129301</c:v>
                </c:pt>
                <c:pt idx="7">
                  <c:v>0.36958430870358239</c:v>
                </c:pt>
                <c:pt idx="8">
                  <c:v>0.35789184732490348</c:v>
                </c:pt>
                <c:pt idx="9">
                  <c:v>0.37110393125903929</c:v>
                </c:pt>
                <c:pt idx="10">
                  <c:v>0.37400433004570605</c:v>
                </c:pt>
                <c:pt idx="11">
                  <c:v>0.36710021238215762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AD-4D4C-8F49-9851A37B071A}"/>
            </c:ext>
          </c:extLst>
        </c:ser>
        <c:ser>
          <c:idx val="2"/>
          <c:order val="2"/>
          <c:tx>
            <c:strRef>
              <c:f>Graf_PowerBI!$U$3</c:f>
              <c:strCache>
                <c:ptCount val="1"/>
                <c:pt idx="0">
                  <c:v>PPTO_ACT</c:v>
                </c:pt>
              </c:strCache>
            </c:strRef>
          </c:tx>
          <c:dLbls>
            <c:dLbl>
              <c:idx val="0"/>
              <c:layout>
                <c:manualLayout>
                  <c:x val="-2.9081478995392335E-2"/>
                  <c:y val="3.71192941059557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CF8-4D7B-ABDD-95546B57BDB2}"/>
                </c:ext>
              </c:extLst>
            </c:dLbl>
            <c:dLbl>
              <c:idx val="1"/>
              <c:layout>
                <c:manualLayout>
                  <c:x val="-3.4105296192280261E-2"/>
                  <c:y val="4.07881220107719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CF8-4D7B-ABDD-95546B57BDB2}"/>
                </c:ext>
              </c:extLst>
            </c:dLbl>
            <c:dLbl>
              <c:idx val="2"/>
              <c:layout>
                <c:manualLayout>
                  <c:x val="-1.7426569798566618E-2"/>
                  <c:y val="2.24439824866911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5FE-43CB-ABAC-30A5EE038BAF}"/>
                </c:ext>
              </c:extLst>
            </c:dLbl>
            <c:dLbl>
              <c:idx val="3"/>
              <c:layout>
                <c:manualLayout>
                  <c:x val="-2.9120172623934518E-2"/>
                  <c:y val="2.24439824866910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28-4E45-A2A8-9A69169164E6}"/>
                </c:ext>
              </c:extLst>
            </c:dLbl>
            <c:dLbl>
              <c:idx val="4"/>
              <c:layout>
                <c:manualLayout>
                  <c:x val="-3.0788709497088597E-2"/>
                  <c:y val="2.61128103915072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28-4E45-A2A8-9A69169164E6}"/>
                </c:ext>
              </c:extLst>
            </c:dLbl>
            <c:dLbl>
              <c:idx val="5"/>
              <c:layout>
                <c:manualLayout>
                  <c:x val="-2.7443188075077365E-2"/>
                  <c:y val="2.24439824866911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F6-4CEC-BDFC-38C5090132CB}"/>
                </c:ext>
              </c:extLst>
            </c:dLbl>
            <c:dLbl>
              <c:idx val="6"/>
              <c:layout>
                <c:manualLayout>
                  <c:x val="-3.1774534922579985E-2"/>
                  <c:y val="2.61128103915072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B2C-4C24-A170-434A5BFA8D86}"/>
                </c:ext>
              </c:extLst>
            </c:dLbl>
            <c:dLbl>
              <c:idx val="7"/>
              <c:layout>
                <c:manualLayout>
                  <c:x val="-4.8049650179637485E-2"/>
                  <c:y val="3.48813090840178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A2E-4B0B-885F-A51520EA9177}"/>
                </c:ext>
              </c:extLst>
            </c:dLbl>
            <c:dLbl>
              <c:idx val="8"/>
              <c:layout>
                <c:manualLayout>
                  <c:x val="-3.1867241044501879E-2"/>
                  <c:y val="3.48813090840178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77-42EE-899E-A0CA9F58E678}"/>
                </c:ext>
              </c:extLst>
            </c:dLbl>
            <c:dLbl>
              <c:idx val="9"/>
              <c:layout>
                <c:manualLayout>
                  <c:x val="-4.6431409266123921E-2"/>
                  <c:y val="2.38748253695694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55-4C9B-9BAA-E09B09E5B2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>
                    <a:solidFill>
                      <a:schemeClr val="bg2">
                        <a:lumMod val="50000"/>
                      </a:schemeClr>
                    </a:solidFill>
                  </a:defRPr>
                </a:pPr>
                <a:endParaRPr lang="es-419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Graf_PowerBI!$B$129:$B$140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Graf_PowerBI!$U$105:$U$116</c:f>
              <c:numCache>
                <c:formatCode>0.0%</c:formatCode>
                <c:ptCount val="12"/>
                <c:pt idx="0">
                  <c:v>0.44458839556279672</c:v>
                </c:pt>
                <c:pt idx="1">
                  <c:v>0.45120014031095029</c:v>
                </c:pt>
                <c:pt idx="2">
                  <c:v>0.47202343626669951</c:v>
                </c:pt>
                <c:pt idx="3">
                  <c:v>0.47138763664790362</c:v>
                </c:pt>
                <c:pt idx="4">
                  <c:v>0.48419052365570925</c:v>
                </c:pt>
                <c:pt idx="5">
                  <c:v>0.48349295868195363</c:v>
                </c:pt>
                <c:pt idx="6">
                  <c:v>0.49395426844644519</c:v>
                </c:pt>
                <c:pt idx="7">
                  <c:v>0.50102781836850674</c:v>
                </c:pt>
                <c:pt idx="8">
                  <c:v>0.48928500325723701</c:v>
                </c:pt>
                <c:pt idx="9">
                  <c:v>0.49355543817699915</c:v>
                </c:pt>
                <c:pt idx="10">
                  <c:v>0.49716881241461558</c:v>
                </c:pt>
                <c:pt idx="11">
                  <c:v>0.48953676548115088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AD-4D4C-8F49-9851A37B071A}"/>
            </c:ext>
          </c:extLst>
        </c:ser>
        <c:ser>
          <c:idx val="0"/>
          <c:order val="3"/>
          <c:tx>
            <c:v>2024</c:v>
          </c:tx>
          <c:dLbls>
            <c:dLbl>
              <c:idx val="7"/>
              <c:layout>
                <c:manualLayout>
                  <c:x val="-3.3485481958015442E-2"/>
                  <c:y val="-4.95017327267537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A2E-4B0B-885F-A51520EA9177}"/>
                </c:ext>
              </c:extLst>
            </c:dLbl>
            <c:dLbl>
              <c:idx val="8"/>
              <c:layout>
                <c:manualLayout>
                  <c:x val="-3.1867241044501879E-2"/>
                  <c:y val="-3.48264211074891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B77-42EE-899E-A0CA9F58E678}"/>
                </c:ext>
              </c:extLst>
            </c:dLbl>
            <c:dLbl>
              <c:idx val="11"/>
              <c:layout>
                <c:manualLayout>
                  <c:x val="-3.1867241044501879E-2"/>
                  <c:y val="-6.41770443460184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EC1-4053-9471-BA0CBCD761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chemeClr val="accent1"/>
                    </a:solidFill>
                  </a:defRPr>
                </a:pPr>
                <a:endParaRPr lang="es-419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Graf_PowerBI!$F$165:$F$176</c:f>
              <c:numCache>
                <c:formatCode>0.0%</c:formatCode>
                <c:ptCount val="12"/>
                <c:pt idx="0">
                  <c:v>0.48286974373587382</c:v>
                </c:pt>
                <c:pt idx="1">
                  <c:v>0.477291310465775</c:v>
                </c:pt>
                <c:pt idx="2">
                  <c:v>0.4896116362060024</c:v>
                </c:pt>
                <c:pt idx="3">
                  <c:v>0.49</c:v>
                </c:pt>
                <c:pt idx="4">
                  <c:v>0.49996870893047124</c:v>
                </c:pt>
                <c:pt idx="5">
                  <c:v>0.49030270787756591</c:v>
                </c:pt>
                <c:pt idx="6">
                  <c:v>0.50581608493087904</c:v>
                </c:pt>
                <c:pt idx="7">
                  <c:v>0.50252787942761812</c:v>
                </c:pt>
                <c:pt idx="8">
                  <c:v>0.49083620210149681</c:v>
                </c:pt>
                <c:pt idx="9">
                  <c:v>0.50508273606778997</c:v>
                </c:pt>
                <c:pt idx="10">
                  <c:v>0.50466260053403578</c:v>
                </c:pt>
                <c:pt idx="11">
                  <c:v>0.45460327284683977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AD-4184-84D6-DDAA9DBD273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07283256"/>
        <c:axId val="307287176"/>
      </c:lineChart>
      <c:catAx>
        <c:axId val="307283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7287176"/>
        <c:crosses val="autoZero"/>
        <c:auto val="1"/>
        <c:lblAlgn val="ctr"/>
        <c:lblOffset val="100"/>
        <c:noMultiLvlLbl val="0"/>
      </c:catAx>
      <c:valAx>
        <c:axId val="307287176"/>
        <c:scaling>
          <c:orientation val="minMax"/>
          <c:min val="0.2"/>
        </c:scaling>
        <c:delete val="0"/>
        <c:axPos val="l"/>
        <c:numFmt formatCode="0.0%" sourceLinked="1"/>
        <c:majorTickMark val="out"/>
        <c:minorTickMark val="none"/>
        <c:tickLblPos val="nextTo"/>
        <c:crossAx val="307283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s-PE" sz="1600"/>
              <a:t>Consumo Promedio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3"/>
          <c:order val="0"/>
          <c:tx>
            <c:v>2023</c:v>
          </c:tx>
          <c:spPr>
            <a:ln>
              <a:solidFill>
                <a:srgbClr val="00B050"/>
              </a:solidFill>
            </a:ln>
          </c:spPr>
          <c:marker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dLbls>
            <c:dLbl>
              <c:idx val="0"/>
              <c:layout>
                <c:manualLayout>
                  <c:x val="-2.9564137962210121E-2"/>
                  <c:y val="-4.94747065804216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DA4-44E0-8227-86E3A95AC750}"/>
                </c:ext>
              </c:extLst>
            </c:dLbl>
            <c:dLbl>
              <c:idx val="1"/>
              <c:layout>
                <c:manualLayout>
                  <c:x val="1.8686471854455305E-2"/>
                  <c:y val="-2.84254014837273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A4-44E0-8227-86E3A95AC750}"/>
                </c:ext>
              </c:extLst>
            </c:dLbl>
            <c:dLbl>
              <c:idx val="2"/>
              <c:layout>
                <c:manualLayout>
                  <c:x val="-1.2510000597847718E-2"/>
                  <c:y val="-2.84254014837274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26D-467A-A866-EB562A0E6083}"/>
                </c:ext>
              </c:extLst>
            </c:dLbl>
            <c:dLbl>
              <c:idx val="4"/>
              <c:layout>
                <c:manualLayout>
                  <c:x val="-4.5142189103231707E-2"/>
                  <c:y val="-4.061240560777210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3B0-431C-AEE0-080641AE01C1}"/>
                </c:ext>
              </c:extLst>
            </c:dLbl>
            <c:dLbl>
              <c:idx val="5"/>
              <c:layout>
                <c:manualLayout>
                  <c:x val="-1.9038684344622445E-2"/>
                  <c:y val="-1.80565969054866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7AF-40A0-B963-D4E08F135D3F}"/>
                </c:ext>
              </c:extLst>
            </c:dLbl>
            <c:dLbl>
              <c:idx val="9"/>
              <c:layout>
                <c:manualLayout>
                  <c:x val="-1.2390033965215482E-2"/>
                  <c:y val="-3.81782461785290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D6-4DDE-999A-C3780927B6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t" anchorCtr="0">
                <a:spAutoFit/>
              </a:bodyPr>
              <a:lstStyle/>
              <a:p>
                <a:pPr>
                  <a:defRPr sz="900" b="1">
                    <a:solidFill>
                      <a:srgbClr val="00B050"/>
                    </a:solidFill>
                  </a:defRPr>
                </a:pPr>
                <a:endParaRPr lang="es-419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Graf_PowerBI!$B$129:$B$140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Graf_PowerBI!$G$153:$G$164</c:f>
              <c:numCache>
                <c:formatCode>0</c:formatCode>
                <c:ptCount val="12"/>
                <c:pt idx="0">
                  <c:v>908.96556691117553</c:v>
                </c:pt>
                <c:pt idx="1">
                  <c:v>883.87334461295995</c:v>
                </c:pt>
                <c:pt idx="2">
                  <c:v>1031.3486491820906</c:v>
                </c:pt>
                <c:pt idx="3">
                  <c:v>927.77563074623868</c:v>
                </c:pt>
                <c:pt idx="4">
                  <c:v>958.853275621477</c:v>
                </c:pt>
                <c:pt idx="5">
                  <c:v>910.27387103615274</c:v>
                </c:pt>
                <c:pt idx="6">
                  <c:v>1029.0185958573575</c:v>
                </c:pt>
                <c:pt idx="7">
                  <c:v>1003.4814360685747</c:v>
                </c:pt>
                <c:pt idx="8">
                  <c:v>935.48089902328718</c:v>
                </c:pt>
                <c:pt idx="9">
                  <c:v>1004.3112084425981</c:v>
                </c:pt>
                <c:pt idx="10">
                  <c:v>1028.1852962434359</c:v>
                </c:pt>
                <c:pt idx="11">
                  <c:v>994.2329414853042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EB2-4F25-8D67-C9F9765C3D3C}"/>
            </c:ext>
          </c:extLst>
        </c:ser>
        <c:ser>
          <c:idx val="1"/>
          <c:order val="1"/>
          <c:tx>
            <c:v>2022</c:v>
          </c:tx>
          <c:dLbls>
            <c:dLbl>
              <c:idx val="4"/>
              <c:layout>
                <c:manualLayout>
                  <c:x val="-2.8455801972084205E-3"/>
                  <c:y val="-7.799948661649885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B0-431C-AEE0-080641AE01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solidFill>
                      <a:schemeClr val="accent2"/>
                    </a:solidFill>
                  </a:defRPr>
                </a:pPr>
                <a:endParaRPr lang="es-419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Graf_PowerBI!$B$129:$B$140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Graf_PowerBI!$G$141:$G$152</c:f>
              <c:numCache>
                <c:formatCode>0</c:formatCode>
                <c:ptCount val="12"/>
                <c:pt idx="0">
                  <c:v>888.08967200115501</c:v>
                </c:pt>
                <c:pt idx="1">
                  <c:v>859.09259672469318</c:v>
                </c:pt>
                <c:pt idx="2">
                  <c:v>1002.472187310024</c:v>
                </c:pt>
                <c:pt idx="3">
                  <c:v>956.32871545418504</c:v>
                </c:pt>
                <c:pt idx="4">
                  <c:v>920.66386831788157</c:v>
                </c:pt>
                <c:pt idx="5">
                  <c:v>885.9820519279599</c:v>
                </c:pt>
                <c:pt idx="6">
                  <c:v>988.18992253575118</c:v>
                </c:pt>
                <c:pt idx="7">
                  <c:v>953.74917955681644</c:v>
                </c:pt>
                <c:pt idx="8">
                  <c:v>938.87295989346569</c:v>
                </c:pt>
                <c:pt idx="9">
                  <c:v>996.53790880599979</c:v>
                </c:pt>
                <c:pt idx="10">
                  <c:v>1018.214260024467</c:v>
                </c:pt>
                <c:pt idx="11">
                  <c:v>940.4295045785816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2C-4D5B-8D99-355DE88BA069}"/>
            </c:ext>
          </c:extLst>
        </c:ser>
        <c:ser>
          <c:idx val="2"/>
          <c:order val="2"/>
          <c:tx>
            <c:strRef>
              <c:f>Graf_PowerBI!$V$3</c:f>
              <c:strCache>
                <c:ptCount val="1"/>
                <c:pt idx="0">
                  <c:v>PPTO_CM</c:v>
                </c:pt>
              </c:strCache>
            </c:strRef>
          </c:tx>
          <c:dLbls>
            <c:dLbl>
              <c:idx val="2"/>
              <c:layout>
                <c:manualLayout>
                  <c:x val="-3.9313605545415915E-2"/>
                  <c:y val="-5.29829240965373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6D-467A-A866-EB562A0E60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chemeClr val="bg1">
                        <a:lumMod val="50000"/>
                      </a:schemeClr>
                    </a:solidFill>
                  </a:defRPr>
                </a:pPr>
                <a:endParaRPr lang="es-419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Graf_PowerBI!$B$129:$B$140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Graf_PowerBI!$V$105:$V$116</c:f>
              <c:numCache>
                <c:formatCode>#,##0</c:formatCode>
                <c:ptCount val="12"/>
                <c:pt idx="0">
                  <c:v>985.0669964853447</c:v>
                </c:pt>
                <c:pt idx="1">
                  <c:v>956.31433757211346</c:v>
                </c:pt>
                <c:pt idx="2">
                  <c:v>1068.7409144192975</c:v>
                </c:pt>
                <c:pt idx="3">
                  <c:v>981.97359830492337</c:v>
                </c:pt>
                <c:pt idx="4">
                  <c:v>987.42664413178147</c:v>
                </c:pt>
                <c:pt idx="5">
                  <c:v>971.54017644396231</c:v>
                </c:pt>
                <c:pt idx="6">
                  <c:v>1085.6897033646283</c:v>
                </c:pt>
                <c:pt idx="7">
                  <c:v>1031.3030503678858</c:v>
                </c:pt>
                <c:pt idx="8">
                  <c:v>1048.7445914786313</c:v>
                </c:pt>
                <c:pt idx="9">
                  <c:v>1054.3045154922856</c:v>
                </c:pt>
                <c:pt idx="10">
                  <c:v>1089.2865543061569</c:v>
                </c:pt>
                <c:pt idx="11">
                  <c:v>1016.9190396727284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2C-4D5B-8D99-355DE88BA069}"/>
            </c:ext>
          </c:extLst>
        </c:ser>
        <c:ser>
          <c:idx val="4"/>
          <c:order val="3"/>
          <c:tx>
            <c:v>2024</c:v>
          </c:tx>
          <c:dLbls>
            <c:dLbl>
              <c:idx val="7"/>
              <c:layout>
                <c:manualLayout>
                  <c:x val="-6.9031087636316324E-2"/>
                  <c:y val="-1.08843139031488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956-42B5-9F58-109C6D9FA2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es-419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Graf_PowerBI!$G$165:$G$176</c:f>
              <c:numCache>
                <c:formatCode>0</c:formatCode>
                <c:ptCount val="12"/>
                <c:pt idx="0">
                  <c:v>1009.6239238090459</c:v>
                </c:pt>
                <c:pt idx="1">
                  <c:v>975.84978424149676</c:v>
                </c:pt>
                <c:pt idx="2">
                  <c:v>996.12183297304068</c:v>
                </c:pt>
                <c:pt idx="3">
                  <c:v>1001</c:v>
                </c:pt>
                <c:pt idx="4" formatCode="_ * #,##0_ ;_ * \-#,##0_ ;_ * &quot;-&quot;??_ ;_ @_ ">
                  <c:v>1033.7459622692681</c:v>
                </c:pt>
                <c:pt idx="5" formatCode="_ * #,##0_ ;_ * \-#,##0_ ;_ * &quot;-&quot;??_ ;_ @_ ">
                  <c:v>980.02167828016002</c:v>
                </c:pt>
                <c:pt idx="6" formatCode="_ * #,##0_ ;_ * \-#,##0_ ;_ * &quot;-&quot;??_ ;_ @_ ">
                  <c:v>1132.0188039963609</c:v>
                </c:pt>
                <c:pt idx="7">
                  <c:v>1005.5447439290397</c:v>
                </c:pt>
                <c:pt idx="8" formatCode="_ * #,##0_ ;_ * \-#,##0_ ;_ * &quot;-&quot;??_ ;_ @_ ">
                  <c:v>1003.1878892053765</c:v>
                </c:pt>
                <c:pt idx="9" formatCode="_ * #,##0_ ;_ * \-#,##0_ ;_ * &quot;-&quot;??_ ;_ @_ ">
                  <c:v>1071.3566813449215</c:v>
                </c:pt>
                <c:pt idx="10" formatCode="_ * #,##0_ ;_ * \-#,##0_ ;_ * &quot;-&quot;??_ ;_ @_ ">
                  <c:v>1108.2365700029925</c:v>
                </c:pt>
                <c:pt idx="11">
                  <c:v>1032.0481792823678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3E-450A-9A8A-4EB2EEDA4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291488"/>
        <c:axId val="307291880"/>
      </c:lineChart>
      <c:catAx>
        <c:axId val="307291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7291880"/>
        <c:crosses val="autoZero"/>
        <c:auto val="1"/>
        <c:lblAlgn val="ctr"/>
        <c:lblOffset val="100"/>
        <c:noMultiLvlLbl val="0"/>
      </c:catAx>
      <c:valAx>
        <c:axId val="307291880"/>
        <c:scaling>
          <c:orientation val="minMax"/>
          <c:max val="1150"/>
          <c:min val="800"/>
        </c:scaling>
        <c:delete val="0"/>
        <c:axPos val="l"/>
        <c:numFmt formatCode="0" sourceLinked="1"/>
        <c:majorTickMark val="out"/>
        <c:minorTickMark val="none"/>
        <c:tickLblPos val="nextTo"/>
        <c:crossAx val="3072914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s-PE" sz="1600"/>
              <a:t>Trx Promedio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3"/>
          <c:order val="0"/>
          <c:tx>
            <c:v>2023</c:v>
          </c:tx>
          <c:spPr>
            <a:ln>
              <a:solidFill>
                <a:srgbClr val="00B050"/>
              </a:solidFill>
            </a:ln>
          </c:spPr>
          <c:marker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00B050"/>
                    </a:solidFill>
                  </a:defRPr>
                </a:pPr>
                <a:endParaRPr lang="es-419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Graf_PowerBI!$B$129:$B$140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Graf_PowerBI!$H$153:$H$164</c:f>
              <c:numCache>
                <c:formatCode>0.0</c:formatCode>
                <c:ptCount val="12"/>
                <c:pt idx="0">
                  <c:v>5.0070744213861289</c:v>
                </c:pt>
                <c:pt idx="1">
                  <c:v>4.8343127117222453</c:v>
                </c:pt>
                <c:pt idx="2">
                  <c:v>5.2299610128221365</c:v>
                </c:pt>
                <c:pt idx="3">
                  <c:v>5.1789212370625108</c:v>
                </c:pt>
                <c:pt idx="4">
                  <c:v>5.3449176703886021</c:v>
                </c:pt>
                <c:pt idx="5">
                  <c:v>5.2946588898284368</c:v>
                </c:pt>
                <c:pt idx="6">
                  <c:v>5.5086268388483344</c:v>
                </c:pt>
                <c:pt idx="7">
                  <c:v>5.4044713488098735</c:v>
                </c:pt>
                <c:pt idx="8">
                  <c:v>5.4217266493800107</c:v>
                </c:pt>
                <c:pt idx="9">
                  <c:v>5.4962765444172321</c:v>
                </c:pt>
                <c:pt idx="10">
                  <c:v>5.6962213310544678</c:v>
                </c:pt>
                <c:pt idx="11">
                  <c:v>5.6815246591581117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69-445E-894F-75D91FB613AA}"/>
            </c:ext>
          </c:extLst>
        </c:ser>
        <c:ser>
          <c:idx val="1"/>
          <c:order val="1"/>
          <c:tx>
            <c:v>2022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solidFill>
                      <a:schemeClr val="accent2"/>
                    </a:solidFill>
                  </a:defRPr>
                </a:pPr>
                <a:endParaRPr lang="es-419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Graf_PowerBI!$B$129:$B$140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Graf_PowerBI!$H$141:$H$152</c:f>
              <c:numCache>
                <c:formatCode>0.0</c:formatCode>
                <c:ptCount val="12"/>
                <c:pt idx="0">
                  <c:v>4.6851165630001157</c:v>
                </c:pt>
                <c:pt idx="1">
                  <c:v>4.5769659179726929</c:v>
                </c:pt>
                <c:pt idx="2">
                  <c:v>5.0285186016873773</c:v>
                </c:pt>
                <c:pt idx="3">
                  <c:v>4.8501473452013721</c:v>
                </c:pt>
                <c:pt idx="4">
                  <c:v>5.0539142254771416</c:v>
                </c:pt>
                <c:pt idx="5">
                  <c:v>5.0081873929617151</c:v>
                </c:pt>
                <c:pt idx="6">
                  <c:v>4.9523518989243227</c:v>
                </c:pt>
                <c:pt idx="7">
                  <c:v>5.0663212325428617</c:v>
                </c:pt>
                <c:pt idx="8">
                  <c:v>4.9729993094243108</c:v>
                </c:pt>
                <c:pt idx="9">
                  <c:v>5.12822349756813</c:v>
                </c:pt>
                <c:pt idx="10">
                  <c:v>5.058692922785605</c:v>
                </c:pt>
                <c:pt idx="11">
                  <c:v>5.1249536802659668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AD-42CA-BC08-EFCA927A0747}"/>
            </c:ext>
          </c:extLst>
        </c:ser>
        <c:ser>
          <c:idx val="2"/>
          <c:order val="2"/>
          <c:tx>
            <c:v>PROY_TRX</c:v>
          </c:tx>
          <c:dLbls>
            <c:dLbl>
              <c:idx val="10"/>
              <c:layout>
                <c:manualLayout>
                  <c:x val="-2.157301592330407E-2"/>
                  <c:y val="-2.47695073897907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8E1-41A4-BF18-E172E11208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solidFill>
                      <a:schemeClr val="bg2">
                        <a:lumMod val="50000"/>
                      </a:schemeClr>
                    </a:solidFill>
                  </a:defRPr>
                </a:pPr>
                <a:endParaRPr lang="es-419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Graf_PowerBI!$B$129:$B$140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Graf_PowerBI!$W$105:$W$116</c:f>
              <c:numCache>
                <c:formatCode>0.0</c:formatCode>
                <c:ptCount val="12"/>
                <c:pt idx="0">
                  <c:v>5.6806630724129752</c:v>
                </c:pt>
                <c:pt idx="1">
                  <c:v>5.495912309418773</c:v>
                </c:pt>
                <c:pt idx="2">
                  <c:v>5.8394920688894221</c:v>
                </c:pt>
                <c:pt idx="3">
                  <c:v>5.7980104691272416</c:v>
                </c:pt>
                <c:pt idx="4">
                  <c:v>5.923083122937344</c:v>
                </c:pt>
                <c:pt idx="5">
                  <c:v>5.935299149524309</c:v>
                </c:pt>
                <c:pt idx="6">
                  <c:v>6.203061768470846</c:v>
                </c:pt>
                <c:pt idx="7">
                  <c:v>5.8006976706950564</c:v>
                </c:pt>
                <c:pt idx="8">
                  <c:v>5.9193981267840865</c:v>
                </c:pt>
                <c:pt idx="9">
                  <c:v>6.1880976480013725</c:v>
                </c:pt>
                <c:pt idx="10">
                  <c:v>6.1429477870080289</c:v>
                </c:pt>
                <c:pt idx="11">
                  <c:v>6.087102066175162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AD-42CA-BC08-EFCA927A0747}"/>
            </c:ext>
          </c:extLst>
        </c:ser>
        <c:ser>
          <c:idx val="0"/>
          <c:order val="3"/>
          <c:tx>
            <c:v>2024</c:v>
          </c:tx>
          <c:dLbls>
            <c:dLbl>
              <c:idx val="6"/>
              <c:layout>
                <c:manualLayout>
                  <c:x val="-4.5566012641392916E-3"/>
                  <c:y val="2.8196152628918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4C3-42DE-B69F-813FCBC227C1}"/>
                </c:ext>
              </c:extLst>
            </c:dLbl>
            <c:dLbl>
              <c:idx val="8"/>
              <c:layout>
                <c:manualLayout>
                  <c:x val="-2.3881403469359786E-2"/>
                  <c:y val="-2.40027072164581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F41-4E7E-B2B2-FC2D16D9B462}"/>
                </c:ext>
              </c:extLst>
            </c:dLbl>
            <c:dLbl>
              <c:idx val="11"/>
              <c:layout>
                <c:manualLayout>
                  <c:x val="-3.1931756334708572E-2"/>
                  <c:y val="-3.79224031752251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EC7-427F-AC81-E9E5B1D41F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1"/>
                    </a:solidFill>
                  </a:defRPr>
                </a:pPr>
                <a:endParaRPr lang="es-419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Graf_PowerBI!$H$165:$H$176</c:f>
              <c:numCache>
                <c:formatCode>0.0</c:formatCode>
                <c:ptCount val="12"/>
                <c:pt idx="0">
                  <c:v>5.4977816642614581</c:v>
                </c:pt>
                <c:pt idx="1">
                  <c:v>5.4745510978411671</c:v>
                </c:pt>
                <c:pt idx="2">
                  <c:v>5.6685797252679206</c:v>
                </c:pt>
                <c:pt idx="3">
                  <c:v>5.7</c:v>
                </c:pt>
                <c:pt idx="4" formatCode="_ * #,##0.0_ ;_ * \-#,##0.0_ ;_ * &quot;-&quot;??_ ;_ @_ ">
                  <c:v>5.859582436053655</c:v>
                </c:pt>
                <c:pt idx="5" formatCode="_ * #,##0.0_ ;_ * \-#,##0.0_ ;_ * &quot;-&quot;??_ ;_ @_ ">
                  <c:v>5.667765526028206</c:v>
                </c:pt>
                <c:pt idx="6" formatCode="_ * #,##0_ ;_ * \-#,##0_ ;_ * &quot;-&quot;??_ ;_ @_ ">
                  <c:v>5.8668081004834418</c:v>
                </c:pt>
                <c:pt idx="7">
                  <c:v>5.7356544885601659</c:v>
                </c:pt>
                <c:pt idx="8" formatCode="_ * #,##0.0_ ;_ * \-#,##0.0_ ;_ * &quot;-&quot;??_ ;_ @_ ">
                  <c:v>5.5741899011592935</c:v>
                </c:pt>
                <c:pt idx="9" formatCode="_ * #,##0.0_ ;_ * \-#,##0.0_ ;_ * &quot;-&quot;??_ ;_ @_ ">
                  <c:v>5.7518248538995431</c:v>
                </c:pt>
                <c:pt idx="10" formatCode="_ * #,##0.0_ ;_ * \-#,##0.0_ ;_ * &quot;-&quot;??_ ;_ @_ ">
                  <c:v>5.6749372044192388</c:v>
                </c:pt>
                <c:pt idx="11">
                  <c:v>5.8028701284399995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E4-4A7D-869C-2E4891BBD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291096"/>
        <c:axId val="307292272"/>
      </c:lineChart>
      <c:catAx>
        <c:axId val="307291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7292272"/>
        <c:crosses val="autoZero"/>
        <c:auto val="1"/>
        <c:lblAlgn val="ctr"/>
        <c:lblOffset val="100"/>
        <c:noMultiLvlLbl val="0"/>
      </c:catAx>
      <c:valAx>
        <c:axId val="307292272"/>
        <c:scaling>
          <c:orientation val="minMax"/>
          <c:max val="7"/>
          <c:min val="4"/>
        </c:scaling>
        <c:delete val="0"/>
        <c:axPos val="l"/>
        <c:numFmt formatCode="0.0" sourceLinked="1"/>
        <c:majorTickMark val="out"/>
        <c:minorTickMark val="none"/>
        <c:tickLblPos val="nextTo"/>
        <c:crossAx val="307291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s-PE" sz="1600"/>
              <a:t>Ticket Promedio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3"/>
          <c:order val="0"/>
          <c:tx>
            <c:v>2023</c:v>
          </c:tx>
          <c:spPr>
            <a:ln>
              <a:solidFill>
                <a:srgbClr val="00B050"/>
              </a:solidFill>
            </a:ln>
          </c:spPr>
          <c:marker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dLbls>
            <c:dLbl>
              <c:idx val="0"/>
              <c:layout>
                <c:manualLayout>
                  <c:x val="-2.8585320471952412E-2"/>
                  <c:y val="-4.45632570643011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84F-4932-9CA2-D974E9D8D31D}"/>
                </c:ext>
              </c:extLst>
            </c:dLbl>
            <c:dLbl>
              <c:idx val="4"/>
              <c:layout>
                <c:manualLayout>
                  <c:x val="-3.0241171547831E-2"/>
                  <c:y val="-3.76528751949666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4F-4932-9CA2-D974E9D8D31D}"/>
                </c:ext>
              </c:extLst>
            </c:dLbl>
            <c:dLbl>
              <c:idx val="5"/>
              <c:layout>
                <c:manualLayout>
                  <c:x val="-3.35818073707842E-2"/>
                  <c:y val="-5.4928829868302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84F-4932-9CA2-D974E9D8D31D}"/>
                </c:ext>
              </c:extLst>
            </c:dLbl>
            <c:dLbl>
              <c:idx val="7"/>
              <c:layout>
                <c:manualLayout>
                  <c:x val="-2.6900535724877921E-2"/>
                  <c:y val="-3.07424933256321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84F-4932-9CA2-D974E9D8D31D}"/>
                </c:ext>
              </c:extLst>
            </c:dLbl>
            <c:dLbl>
              <c:idx val="8"/>
              <c:layout>
                <c:manualLayout>
                  <c:x val="-2.6900535724877859E-2"/>
                  <c:y val="-4.11080661296338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84F-4932-9CA2-D974E9D8D31D}"/>
                </c:ext>
              </c:extLst>
            </c:dLbl>
            <c:dLbl>
              <c:idx val="9"/>
              <c:layout>
                <c:manualLayout>
                  <c:x val="-3.191148945930769E-2"/>
                  <c:y val="-4.11080661296338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84F-4932-9CA2-D974E9D8D31D}"/>
                </c:ext>
              </c:extLst>
            </c:dLbl>
            <c:dLbl>
              <c:idx val="10"/>
              <c:layout>
                <c:manualLayout>
                  <c:x val="-6.8567207871591393E-3"/>
                  <c:y val="-3.76528751949666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84F-4932-9CA2-D974E9D8D3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00B050"/>
                    </a:solidFill>
                  </a:defRPr>
                </a:pPr>
                <a:endParaRPr lang="es-419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Graf_PowerBI!$B$129:$B$140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Graf_PowerBI!$J$153:$J$164</c:f>
              <c:numCache>
                <c:formatCode>0</c:formatCode>
                <c:ptCount val="12"/>
                <c:pt idx="0">
                  <c:v>181.53626058139213</c:v>
                </c:pt>
                <c:pt idx="1">
                  <c:v>182.83329964769203</c:v>
                </c:pt>
                <c:pt idx="2">
                  <c:v>197.20006452315121</c:v>
                </c:pt>
                <c:pt idx="3">
                  <c:v>179.14457244622508</c:v>
                </c:pt>
                <c:pt idx="4">
                  <c:v>179.39533118229744</c:v>
                </c:pt>
                <c:pt idx="5">
                  <c:v>171.92304357602316</c:v>
                </c:pt>
                <c:pt idx="6">
                  <c:v>186.80128931595775</c:v>
                </c:pt>
                <c:pt idx="7">
                  <c:v>185.67615059880978</c:v>
                </c:pt>
                <c:pt idx="8">
                  <c:v>172.54298483127363</c:v>
                </c:pt>
                <c:pt idx="9">
                  <c:v>182.72574175015146</c:v>
                </c:pt>
                <c:pt idx="10">
                  <c:v>180.50304517452824</c:v>
                </c:pt>
                <c:pt idx="11">
                  <c:v>174.99403789134124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257-4F17-9DF8-AC7CCB41E6F6}"/>
            </c:ext>
          </c:extLst>
        </c:ser>
        <c:ser>
          <c:idx val="1"/>
          <c:order val="1"/>
          <c:tx>
            <c:v>2022</c:v>
          </c:tx>
          <c:dLbls>
            <c:dLbl>
              <c:idx val="4"/>
              <c:layout>
                <c:manualLayout>
                  <c:x val="-3.0241171547831E-2"/>
                  <c:y val="4.80184479989683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84F-4932-9CA2-D974E9D8D31D}"/>
                </c:ext>
              </c:extLst>
            </c:dLbl>
            <c:dLbl>
              <c:idx val="5"/>
              <c:layout>
                <c:manualLayout>
                  <c:x val="-2.523021781340129E-2"/>
                  <c:y val="3.41976842602993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84F-4932-9CA2-D974E9D8D31D}"/>
                </c:ext>
              </c:extLst>
            </c:dLbl>
            <c:dLbl>
              <c:idx val="7"/>
              <c:layout>
                <c:manualLayout>
                  <c:x val="-2.1889581990448149E-2"/>
                  <c:y val="4.80184479989683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84F-4932-9CA2-D974E9D8D31D}"/>
                </c:ext>
              </c:extLst>
            </c:dLbl>
            <c:dLbl>
              <c:idx val="8"/>
              <c:layout>
                <c:manualLayout>
                  <c:x val="-2.3559899901924718E-2"/>
                  <c:y val="4.11080661296338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84F-4932-9CA2-D974E9D8D31D}"/>
                </c:ext>
              </c:extLst>
            </c:dLbl>
            <c:dLbl>
              <c:idx val="9"/>
              <c:layout>
                <c:manualLayout>
                  <c:x val="-2.3559899901924843E-2"/>
                  <c:y val="4.11080661296338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84F-4932-9CA2-D974E9D8D31D}"/>
                </c:ext>
              </c:extLst>
            </c:dLbl>
            <c:dLbl>
              <c:idx val="10"/>
              <c:layout>
                <c:manualLayout>
                  <c:x val="-2.6900535724877859E-2"/>
                  <c:y val="4.45632570643010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84F-4932-9CA2-D974E9D8D3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2">
                        <a:lumMod val="75000"/>
                      </a:schemeClr>
                    </a:solidFill>
                  </a:defRPr>
                </a:pPr>
                <a:endParaRPr lang="es-419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Graf_PowerBI!$B$129:$B$140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Graf_PowerBI!$J$141:$J$152</c:f>
              <c:numCache>
                <c:formatCode>0</c:formatCode>
                <c:ptCount val="12"/>
                <c:pt idx="0">
                  <c:v>189.55551266636289</c:v>
                </c:pt>
                <c:pt idx="1">
                  <c:v>187.6991465790108</c:v>
                </c:pt>
                <c:pt idx="2">
                  <c:v>199.35735883996389</c:v>
                </c:pt>
                <c:pt idx="3">
                  <c:v>197.17518817244911</c:v>
                </c:pt>
                <c:pt idx="4">
                  <c:v>182.16847917140134</c:v>
                </c:pt>
                <c:pt idx="5">
                  <c:v>176.90672940335256</c:v>
                </c:pt>
                <c:pt idx="6">
                  <c:v>199.53952035403447</c:v>
                </c:pt>
                <c:pt idx="7">
                  <c:v>188.25280430907765</c:v>
                </c:pt>
                <c:pt idx="8">
                  <c:v>188.79410622764644</c:v>
                </c:pt>
                <c:pt idx="9">
                  <c:v>194.32419614288867</c:v>
                </c:pt>
                <c:pt idx="10">
                  <c:v>201.28010843239326</c:v>
                </c:pt>
                <c:pt idx="11">
                  <c:v>183.50009839108958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AD-42CA-BC08-EFCA927A0747}"/>
            </c:ext>
          </c:extLst>
        </c:ser>
        <c:ser>
          <c:idx val="2"/>
          <c:order val="2"/>
          <c:tx>
            <c:v>PROY_TICK</c:v>
          </c:tx>
          <c:dLbls>
            <c:dLbl>
              <c:idx val="1"/>
              <c:layout>
                <c:manualLayout>
                  <c:x val="-2.5251848468374308E-2"/>
                  <c:y val="-7.29132347143849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84F-4932-9CA2-D974E9D8D31D}"/>
                </c:ext>
              </c:extLst>
            </c:dLbl>
            <c:dLbl>
              <c:idx val="2"/>
              <c:layout>
                <c:manualLayout>
                  <c:x val="-1.1877849050195968E-2"/>
                  <c:y val="-7.98236165837194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84F-4932-9CA2-D974E9D8D31D}"/>
                </c:ext>
              </c:extLst>
            </c:dLbl>
            <c:dLbl>
              <c:idx val="3"/>
              <c:layout>
                <c:manualLayout>
                  <c:x val="-2.3580098541102011E-2"/>
                  <c:y val="-7.63684256490521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84F-4932-9CA2-D974E9D8D3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>
                        <a:lumMod val="50000"/>
                      </a:schemeClr>
                    </a:solidFill>
                  </a:defRPr>
                </a:pPr>
                <a:endParaRPr lang="es-419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Graf_PowerBI!$B$129:$B$140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Graf_PowerBI!$X$105:$X$116</c:f>
              <c:numCache>
                <c:formatCode>0</c:formatCode>
                <c:ptCount val="12"/>
                <c:pt idx="0">
                  <c:v>173.40704490451637</c:v>
                </c:pt>
                <c:pt idx="1">
                  <c:v>174.00465723101206</c:v>
                </c:pt>
                <c:pt idx="2">
                  <c:v>183.01949926657832</c:v>
                </c:pt>
                <c:pt idx="3">
                  <c:v>169.36388844650313</c:v>
                </c:pt>
                <c:pt idx="4">
                  <c:v>166.70821996536529</c:v>
                </c:pt>
                <c:pt idx="5">
                  <c:v>163.68849353142164</c:v>
                </c:pt>
                <c:pt idx="6">
                  <c:v>175.02480934222069</c:v>
                </c:pt>
                <c:pt idx="7">
                  <c:v>177.78948480249139</c:v>
                </c:pt>
                <c:pt idx="8">
                  <c:v>177.17081517684591</c:v>
                </c:pt>
                <c:pt idx="9">
                  <c:v>170.37619240426889</c:v>
                </c:pt>
                <c:pt idx="10">
                  <c:v>177.32310155882058</c:v>
                </c:pt>
                <c:pt idx="11">
                  <c:v>167.06127622264609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AD-42CA-BC08-EFCA927A0747}"/>
            </c:ext>
          </c:extLst>
        </c:ser>
        <c:ser>
          <c:idx val="0"/>
          <c:order val="3"/>
          <c:tx>
            <c:v>2024</c:v>
          </c:tx>
          <c:val>
            <c:numRef>
              <c:f>Graf_PowerBI!$J$165:$J$176</c:f>
              <c:numCache>
                <c:formatCode>0</c:formatCode>
                <c:ptCount val="12"/>
                <c:pt idx="0">
                  <c:v>183.6420551896677</c:v>
                </c:pt>
                <c:pt idx="1">
                  <c:v>178.25201862236943</c:v>
                </c:pt>
                <c:pt idx="2">
                  <c:v>175.72688067396984</c:v>
                </c:pt>
                <c:pt idx="3">
                  <c:v>175</c:v>
                </c:pt>
                <c:pt idx="4" formatCode="_ * #,##0_ ;_ * \-#,##0_ ;_ * &quot;-&quot;??_ ;_ @_ ">
                  <c:v>176.41973187520873</c:v>
                </c:pt>
                <c:pt idx="5" formatCode="_ * #,##0_ ;_ * \-#,##0_ ;_ * &quot;-&quot;??_ ;_ @_ ">
                  <c:v>172.91147168660817</c:v>
                </c:pt>
                <c:pt idx="6" formatCode="_ * #,##0_ ;_ * \-#,##0_ ;_ * &quot;-&quot;??_ ;_ @_ ">
                  <c:v>192.95309896075847</c:v>
                </c:pt>
                <c:pt idx="7">
                  <c:v>175.31473451453729</c:v>
                </c:pt>
                <c:pt idx="8" formatCode="_ * #,##0_ ;_ * \-#,##0_ ;_ * &quot;-&quot;??_ ;_ @_ ">
                  <c:v>179.97016732363895</c:v>
                </c:pt>
                <c:pt idx="9" formatCode="_ * #,##0_ ;_ * \-#,##0_ ;_ * &quot;-&quot;??_ ;_ @_ ">
                  <c:v>186.26378732978594</c:v>
                </c:pt>
                <c:pt idx="10" formatCode="_ * #,##0_ ;_ * \-#,##0_ ;_ * &quot;-&quot;??_ ;_ @_ ">
                  <c:v>195.28613799285327</c:v>
                </c:pt>
                <c:pt idx="11">
                  <c:v>177.85133157198814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3F-42A1-8581-7C451448E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295800"/>
        <c:axId val="307296192"/>
      </c:lineChart>
      <c:catAx>
        <c:axId val="307295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7296192"/>
        <c:crosses val="autoZero"/>
        <c:auto val="1"/>
        <c:lblAlgn val="ctr"/>
        <c:lblOffset val="100"/>
        <c:noMultiLvlLbl val="0"/>
      </c:catAx>
      <c:valAx>
        <c:axId val="307296192"/>
        <c:scaling>
          <c:orientation val="minMax"/>
          <c:max val="220"/>
          <c:min val="150"/>
        </c:scaling>
        <c:delete val="0"/>
        <c:axPos val="l"/>
        <c:numFmt formatCode="0" sourceLinked="0"/>
        <c:majorTickMark val="out"/>
        <c:minorTickMark val="none"/>
        <c:tickLblPos val="nextTo"/>
        <c:crossAx val="3072958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Cuentas</a:t>
            </a:r>
            <a:r>
              <a:rPr lang="es-PE" baseline="0"/>
              <a:t> con Consumo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Proyección_indicadores_digital!$D$8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Proyección_indicadores_digital!$C$9:$C$40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Proyección_indicadores_digital!$D$9:$D$40</c:f>
              <c:numCache>
                <c:formatCode>#,##0_ ;\-#,##0\ </c:formatCode>
                <c:ptCount val="32"/>
                <c:pt idx="0">
                  <c:v>46497</c:v>
                </c:pt>
                <c:pt idx="1">
                  <c:v>80509</c:v>
                </c:pt>
                <c:pt idx="2">
                  <c:v>106040</c:v>
                </c:pt>
                <c:pt idx="3">
                  <c:v>127880</c:v>
                </c:pt>
                <c:pt idx="4">
                  <c:v>146044</c:v>
                </c:pt>
                <c:pt idx="5">
                  <c:v>161216</c:v>
                </c:pt>
                <c:pt idx="6">
                  <c:v>177238</c:v>
                </c:pt>
                <c:pt idx="7">
                  <c:v>192649</c:v>
                </c:pt>
                <c:pt idx="8">
                  <c:v>206133</c:v>
                </c:pt>
                <c:pt idx="9">
                  <c:v>219096</c:v>
                </c:pt>
                <c:pt idx="10">
                  <c:v>231312</c:v>
                </c:pt>
                <c:pt idx="11">
                  <c:v>242299</c:v>
                </c:pt>
                <c:pt idx="12">
                  <c:v>251767</c:v>
                </c:pt>
                <c:pt idx="13">
                  <c:v>263187</c:v>
                </c:pt>
                <c:pt idx="14">
                  <c:v>275787</c:v>
                </c:pt>
                <c:pt idx="15">
                  <c:v>285826</c:v>
                </c:pt>
                <c:pt idx="16">
                  <c:v>295950</c:v>
                </c:pt>
                <c:pt idx="17">
                  <c:v>304717</c:v>
                </c:pt>
                <c:pt idx="18">
                  <c:v>311950</c:v>
                </c:pt>
                <c:pt idx="19">
                  <c:v>318353</c:v>
                </c:pt>
                <c:pt idx="20">
                  <c:v>326290</c:v>
                </c:pt>
                <c:pt idx="21">
                  <c:v>334830</c:v>
                </c:pt>
                <c:pt idx="22">
                  <c:v>341702</c:v>
                </c:pt>
                <c:pt idx="23">
                  <c:v>348578</c:v>
                </c:pt>
                <c:pt idx="24">
                  <c:v>348578</c:v>
                </c:pt>
                <c:pt idx="25">
                  <c:v>348578</c:v>
                </c:pt>
                <c:pt idx="26">
                  <c:v>348578</c:v>
                </c:pt>
                <c:pt idx="27">
                  <c:v>348578</c:v>
                </c:pt>
                <c:pt idx="28">
                  <c:v>348578</c:v>
                </c:pt>
                <c:pt idx="29">
                  <c:v>348578</c:v>
                </c:pt>
                <c:pt idx="30">
                  <c:v>348578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22-46B1-916D-B0C121FA66EB}"/>
            </c:ext>
          </c:extLst>
        </c:ser>
        <c:ser>
          <c:idx val="1"/>
          <c:order val="1"/>
          <c:tx>
            <c:strRef>
              <c:f>Proyección_indicadores_digital!$E$8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Proyección_indicadores_digital!$C$9:$C$40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Proyección_indicadores_digital!$E$9:$E$40</c:f>
              <c:numCache>
                <c:formatCode>#,##0_ ;\-#,##0\ </c:formatCode>
                <c:ptCount val="32"/>
                <c:pt idx="0">
                  <c:v>51262</c:v>
                </c:pt>
                <c:pt idx="1">
                  <c:v>88287</c:v>
                </c:pt>
                <c:pt idx="2">
                  <c:v>114127</c:v>
                </c:pt>
                <c:pt idx="3">
                  <c:v>136922</c:v>
                </c:pt>
                <c:pt idx="4">
                  <c:v>154832</c:v>
                </c:pt>
                <c:pt idx="5">
                  <c:v>173289</c:v>
                </c:pt>
                <c:pt idx="6">
                  <c:v>188571</c:v>
                </c:pt>
                <c:pt idx="7">
                  <c:v>201964</c:v>
                </c:pt>
                <c:pt idx="8">
                  <c:v>214075</c:v>
                </c:pt>
                <c:pt idx="9">
                  <c:v>227389</c:v>
                </c:pt>
                <c:pt idx="10">
                  <c:v>238901</c:v>
                </c:pt>
                <c:pt idx="11">
                  <c:v>248902</c:v>
                </c:pt>
                <c:pt idx="12">
                  <c:v>259690</c:v>
                </c:pt>
                <c:pt idx="13">
                  <c:v>269736</c:v>
                </c:pt>
                <c:pt idx="14">
                  <c:v>279743</c:v>
                </c:pt>
                <c:pt idx="15">
                  <c:v>289120</c:v>
                </c:pt>
                <c:pt idx="16">
                  <c:v>298469</c:v>
                </c:pt>
                <c:pt idx="17">
                  <c:v>306992</c:v>
                </c:pt>
                <c:pt idx="18">
                  <c:v>313586</c:v>
                </c:pt>
                <c:pt idx="19">
                  <c:v>321164</c:v>
                </c:pt>
                <c:pt idx="20">
                  <c:v>328046</c:v>
                </c:pt>
                <c:pt idx="21">
                  <c:v>335255</c:v>
                </c:pt>
                <c:pt idx="22">
                  <c:v>342137</c:v>
                </c:pt>
                <c:pt idx="23">
                  <c:v>349864</c:v>
                </c:pt>
                <c:pt idx="24">
                  <c:v>356594</c:v>
                </c:pt>
                <c:pt idx="25">
                  <c:v>362858</c:v>
                </c:pt>
                <c:pt idx="26">
                  <c:v>369004</c:v>
                </c:pt>
                <c:pt idx="27">
                  <c:v>374645</c:v>
                </c:pt>
                <c:pt idx="28">
                  <c:v>379524</c:v>
                </c:pt>
                <c:pt idx="29">
                  <c:v>384911</c:v>
                </c:pt>
                <c:pt idx="30">
                  <c:v>385077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22-46B1-916D-B0C121FA66EB}"/>
            </c:ext>
          </c:extLst>
        </c:ser>
        <c:ser>
          <c:idx val="2"/>
          <c:order val="2"/>
          <c:tx>
            <c:strRef>
              <c:f>Proyección_indicadores_digital!$F$8</c:f>
              <c:strCache>
                <c:ptCount val="1"/>
                <c:pt idx="0">
                  <c:v>2023P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Proyección_indicadores_digital!$C$9:$C$40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Proyección_indicadores_digital!$F$9:$F$42</c:f>
              <c:numCache>
                <c:formatCode>#,##0_ ;\-#,##0\ </c:formatCode>
                <c:ptCount val="34"/>
                <c:pt idx="0" formatCode="#,##0">
                  <c:v>76893</c:v>
                </c:pt>
                <c:pt idx="1">
                  <c:v>111430.41293819774</c:v>
                </c:pt>
                <c:pt idx="2">
                  <c:v>136459.18565234952</c:v>
                </c:pt>
                <c:pt idx="3">
                  <c:v>158186.70302011012</c:v>
                </c:pt>
                <c:pt idx="4">
                  <c:v>175775.82047834012</c:v>
                </c:pt>
                <c:pt idx="5">
                  <c:v>192073.43561843014</c:v>
                </c:pt>
                <c:pt idx="6">
                  <c:v>207351.43463545514</c:v>
                </c:pt>
                <c:pt idx="7">
                  <c:v>221447.02509166158</c:v>
                </c:pt>
                <c:pt idx="8">
                  <c:v>233960.39775082527</c:v>
                </c:pt>
                <c:pt idx="9">
                  <c:v>246757.52897405223</c:v>
                </c:pt>
                <c:pt idx="10">
                  <c:v>258342.07833346879</c:v>
                </c:pt>
                <c:pt idx="11">
                  <c:v>268599.14684191078</c:v>
                </c:pt>
                <c:pt idx="12">
                  <c:v>278434.39082724898</c:v>
                </c:pt>
                <c:pt idx="13">
                  <c:v>288935.37617544277</c:v>
                </c:pt>
                <c:pt idx="14">
                  <c:v>300026.85972663172</c:v>
                </c:pt>
                <c:pt idx="15">
                  <c:v>309508.61705269094</c:v>
                </c:pt>
                <c:pt idx="16">
                  <c:v>319021.34338410757</c:v>
                </c:pt>
                <c:pt idx="17">
                  <c:v>327455.12587226066</c:v>
                </c:pt>
                <c:pt idx="18">
                  <c:v>334212.23567479552</c:v>
                </c:pt>
                <c:pt idx="19">
                  <c:v>340993.22526416753</c:v>
                </c:pt>
                <c:pt idx="20">
                  <c:v>348245.55810438137</c:v>
                </c:pt>
                <c:pt idx="21">
                  <c:v>355958.94630894921</c:v>
                </c:pt>
                <c:pt idx="22">
                  <c:v>362662.16699522542</c:v>
                </c:pt>
                <c:pt idx="23">
                  <c:v>369755.45135928656</c:v>
                </c:pt>
                <c:pt idx="24">
                  <c:v>372845.68644349423</c:v>
                </c:pt>
                <c:pt idx="25">
                  <c:v>375721.94685470924</c:v>
                </c:pt>
                <c:pt idx="26">
                  <c:v>378544.02483799902</c:v>
                </c:pt>
                <c:pt idx="27">
                  <c:v>381134.22039669374</c:v>
                </c:pt>
                <c:pt idx="28">
                  <c:v>383374.52603946481</c:v>
                </c:pt>
                <c:pt idx="29">
                  <c:v>385848.09162618499</c:v>
                </c:pt>
                <c:pt idx="30" formatCode="#,##0">
                  <c:v>388397.87995049485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22-46B1-916D-B0C121FA66EB}"/>
            </c:ext>
          </c:extLst>
        </c:ser>
        <c:ser>
          <c:idx val="3"/>
          <c:order val="3"/>
          <c:tx>
            <c:strRef>
              <c:f>Proyección_indicadores_digital!$G$8</c:f>
              <c:strCache>
                <c:ptCount val="1"/>
                <c:pt idx="0">
                  <c:v>2024R</c:v>
                </c:pt>
              </c:strCache>
            </c:strRef>
          </c:tx>
          <c:cat>
            <c:numRef>
              <c:f>Proyección_indicadores_digital!$C$9:$C$40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Proyección_indicadores_digital!$G$9:$G$42</c:f>
              <c:numCache>
                <c:formatCode>#,##0_ ;\-#,##0\ </c:formatCode>
                <c:ptCount val="34"/>
                <c:pt idx="0">
                  <c:v>62823</c:v>
                </c:pt>
                <c:pt idx="1">
                  <c:v>105597</c:v>
                </c:pt>
                <c:pt idx="2">
                  <c:v>133247</c:v>
                </c:pt>
                <c:pt idx="3">
                  <c:v>156693</c:v>
                </c:pt>
                <c:pt idx="4">
                  <c:v>176382</c:v>
                </c:pt>
                <c:pt idx="5">
                  <c:v>194633</c:v>
                </c:pt>
                <c:pt idx="6">
                  <c:v>210621</c:v>
                </c:pt>
                <c:pt idx="7">
                  <c:v>223886</c:v>
                </c:pt>
                <c:pt idx="8">
                  <c:v>236490</c:v>
                </c:pt>
                <c:pt idx="9">
                  <c:v>249650</c:v>
                </c:pt>
                <c:pt idx="10">
                  <c:v>260231</c:v>
                </c:pt>
                <c:pt idx="11">
                  <c:v>270885</c:v>
                </c:pt>
                <c:pt idx="12">
                  <c:v>280545</c:v>
                </c:pt>
                <c:pt idx="13">
                  <c:v>290123</c:v>
                </c:pt>
                <c:pt idx="14">
                  <c:v>298602</c:v>
                </c:pt>
                <c:pt idx="15">
                  <c:v>308306</c:v>
                </c:pt>
                <c:pt idx="16">
                  <c:v>317466</c:v>
                </c:pt>
                <c:pt idx="17">
                  <c:v>325501</c:v>
                </c:pt>
                <c:pt idx="18">
                  <c:v>334328</c:v>
                </c:pt>
                <c:pt idx="19">
                  <c:v>341750</c:v>
                </c:pt>
                <c:pt idx="20">
                  <c:v>348575</c:v>
                </c:pt>
                <c:pt idx="21">
                  <c:v>355242</c:v>
                </c:pt>
                <c:pt idx="22">
                  <c:v>361453</c:v>
                </c:pt>
                <c:pt idx="23">
                  <c:v>366424</c:v>
                </c:pt>
                <c:pt idx="24">
                  <c:v>370535</c:v>
                </c:pt>
                <c:pt idx="25">
                  <c:v>376176</c:v>
                </c:pt>
                <c:pt idx="26">
                  <c:v>381542</c:v>
                </c:pt>
                <c:pt idx="27">
                  <c:v>386670</c:v>
                </c:pt>
                <c:pt idx="28">
                  <c:v>391115</c:v>
                </c:pt>
                <c:pt idx="29">
                  <c:v>395849</c:v>
                </c:pt>
                <c:pt idx="30" formatCode="#,##0">
                  <c:v>399564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22-46B1-916D-B0C121FA6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304376"/>
        <c:axId val="470308296"/>
      </c:lineChart>
      <c:catAx>
        <c:axId val="47030437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70308296"/>
        <c:crosses val="autoZero"/>
        <c:auto val="1"/>
        <c:lblAlgn val="ctr"/>
        <c:lblOffset val="100"/>
        <c:noMultiLvlLbl val="0"/>
      </c:catAx>
      <c:valAx>
        <c:axId val="470308296"/>
        <c:scaling>
          <c:orientation val="minMax"/>
        </c:scaling>
        <c:delete val="1"/>
        <c:axPos val="l"/>
        <c:numFmt formatCode="#,##0_ ;\-#,##0\ " sourceLinked="1"/>
        <c:majorTickMark val="none"/>
        <c:minorTickMark val="none"/>
        <c:tickLblPos val="nextTo"/>
        <c:crossAx val="470304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userShapes r:id="rId1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Transacciones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Proyección_indicadores_digital!$D$49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Proyección_indicadores_digital!$C$50:$C$82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Proyección_indicadores_digital!$D$50:$D$82</c:f>
              <c:numCache>
                <c:formatCode>#,##0_ ;\-#,##0\ </c:formatCode>
                <c:ptCount val="33"/>
                <c:pt idx="0">
                  <c:v>65802</c:v>
                </c:pt>
                <c:pt idx="1">
                  <c:v>130818</c:v>
                </c:pt>
                <c:pt idx="2">
                  <c:v>193278</c:v>
                </c:pt>
                <c:pt idx="3">
                  <c:v>257194</c:v>
                </c:pt>
                <c:pt idx="4">
                  <c:v>318826</c:v>
                </c:pt>
                <c:pt idx="5">
                  <c:v>375141</c:v>
                </c:pt>
                <c:pt idx="6">
                  <c:v>436178</c:v>
                </c:pt>
                <c:pt idx="7">
                  <c:v>498206</c:v>
                </c:pt>
                <c:pt idx="8">
                  <c:v>559680</c:v>
                </c:pt>
                <c:pt idx="9">
                  <c:v>623575</c:v>
                </c:pt>
                <c:pt idx="10">
                  <c:v>689530</c:v>
                </c:pt>
                <c:pt idx="11">
                  <c:v>755791</c:v>
                </c:pt>
                <c:pt idx="12">
                  <c:v>815372</c:v>
                </c:pt>
                <c:pt idx="13">
                  <c:v>881476</c:v>
                </c:pt>
                <c:pt idx="14">
                  <c:v>953076</c:v>
                </c:pt>
                <c:pt idx="15">
                  <c:v>1019231</c:v>
                </c:pt>
                <c:pt idx="16">
                  <c:v>1088008</c:v>
                </c:pt>
                <c:pt idx="17">
                  <c:v>1155715</c:v>
                </c:pt>
                <c:pt idx="18">
                  <c:v>1219726</c:v>
                </c:pt>
                <c:pt idx="19">
                  <c:v>1274968</c:v>
                </c:pt>
                <c:pt idx="20">
                  <c:v>1340640</c:v>
                </c:pt>
                <c:pt idx="21">
                  <c:v>1409500</c:v>
                </c:pt>
                <c:pt idx="22">
                  <c:v>1473845</c:v>
                </c:pt>
                <c:pt idx="23">
                  <c:v>1541766</c:v>
                </c:pt>
                <c:pt idx="24">
                  <c:v>1623513</c:v>
                </c:pt>
                <c:pt idx="25">
                  <c:v>1696554</c:v>
                </c:pt>
                <c:pt idx="26">
                  <c:v>1766117</c:v>
                </c:pt>
                <c:pt idx="27">
                  <c:v>1837668</c:v>
                </c:pt>
                <c:pt idx="28">
                  <c:v>1904186</c:v>
                </c:pt>
                <c:pt idx="29">
                  <c:v>1980713.4666666701</c:v>
                </c:pt>
                <c:pt idx="30">
                  <c:v>1978086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B8-4004-82A1-1DA990C8B483}"/>
            </c:ext>
          </c:extLst>
        </c:ser>
        <c:ser>
          <c:idx val="1"/>
          <c:order val="1"/>
          <c:tx>
            <c:strRef>
              <c:f>Proyección_indicadores_digital!$E$49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Proyección_indicadores_digital!$C$50:$C$82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Proyección_indicadores_digital!$E$50:$E$82</c:f>
              <c:numCache>
                <c:formatCode>#,##0_ ;\-#,##0\ </c:formatCode>
                <c:ptCount val="33"/>
                <c:pt idx="0">
                  <c:v>72643</c:v>
                </c:pt>
                <c:pt idx="1">
                  <c:v>146408</c:v>
                </c:pt>
                <c:pt idx="2">
                  <c:v>214290</c:v>
                </c:pt>
                <c:pt idx="3">
                  <c:v>284926</c:v>
                </c:pt>
                <c:pt idx="4">
                  <c:v>348498</c:v>
                </c:pt>
                <c:pt idx="5">
                  <c:v>415741</c:v>
                </c:pt>
                <c:pt idx="6">
                  <c:v>480773</c:v>
                </c:pt>
                <c:pt idx="7">
                  <c:v>547257</c:v>
                </c:pt>
                <c:pt idx="8">
                  <c:v>612586</c:v>
                </c:pt>
                <c:pt idx="9">
                  <c:v>685833</c:v>
                </c:pt>
                <c:pt idx="10">
                  <c:v>759842</c:v>
                </c:pt>
                <c:pt idx="11">
                  <c:v>825789</c:v>
                </c:pt>
                <c:pt idx="12">
                  <c:v>895492</c:v>
                </c:pt>
                <c:pt idx="13">
                  <c:v>964404</c:v>
                </c:pt>
                <c:pt idx="14">
                  <c:v>1036311</c:v>
                </c:pt>
                <c:pt idx="15">
                  <c:v>1110143</c:v>
                </c:pt>
                <c:pt idx="16">
                  <c:v>1188888</c:v>
                </c:pt>
                <c:pt idx="17">
                  <c:v>1263792</c:v>
                </c:pt>
                <c:pt idx="18">
                  <c:v>1328532</c:v>
                </c:pt>
                <c:pt idx="19">
                  <c:v>1399550</c:v>
                </c:pt>
                <c:pt idx="20">
                  <c:v>1469140</c:v>
                </c:pt>
                <c:pt idx="21">
                  <c:v>1539743</c:v>
                </c:pt>
                <c:pt idx="22">
                  <c:v>1614463</c:v>
                </c:pt>
                <c:pt idx="23">
                  <c:v>1700935</c:v>
                </c:pt>
                <c:pt idx="24">
                  <c:v>1782397</c:v>
                </c:pt>
                <c:pt idx="25">
                  <c:v>1857782</c:v>
                </c:pt>
                <c:pt idx="26">
                  <c:v>1932206</c:v>
                </c:pt>
                <c:pt idx="27">
                  <c:v>2005722</c:v>
                </c:pt>
                <c:pt idx="28">
                  <c:v>2077199</c:v>
                </c:pt>
                <c:pt idx="29">
                  <c:v>2155278.7333333301</c:v>
                </c:pt>
                <c:pt idx="30">
                  <c:v>2153625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B8-4004-82A1-1DA990C8B483}"/>
            </c:ext>
          </c:extLst>
        </c:ser>
        <c:ser>
          <c:idx val="2"/>
          <c:order val="2"/>
          <c:tx>
            <c:strRef>
              <c:f>Proyección_indicadores_digital!$F$49</c:f>
              <c:strCache>
                <c:ptCount val="1"/>
                <c:pt idx="0">
                  <c:v>2023P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Proyección_indicadores_digital!$C$50:$C$82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Proyección_indicadores_digital!$F$50:$F$83</c:f>
              <c:numCache>
                <c:formatCode>#,##0_ ;\-#,##0\ </c:formatCode>
                <c:ptCount val="34"/>
                <c:pt idx="0">
                  <c:v>108964.5</c:v>
                </c:pt>
                <c:pt idx="1">
                  <c:v>177530.12584534154</c:v>
                </c:pt>
                <c:pt idx="2">
                  <c:v>243400.20383076099</c:v>
                </c:pt>
                <c:pt idx="3">
                  <c:v>310805.77386784181</c:v>
                </c:pt>
                <c:pt idx="4">
                  <c:v>375802.64620849775</c:v>
                </c:pt>
                <c:pt idx="5">
                  <c:v>435192.23061049735</c:v>
                </c:pt>
                <c:pt idx="6">
                  <c:v>499561.61821850325</c:v>
                </c:pt>
                <c:pt idx="7">
                  <c:v>564976.11065013311</c:v>
                </c:pt>
                <c:pt idx="8">
                  <c:v>629806.35679287522</c:v>
                </c:pt>
                <c:pt idx="9">
                  <c:v>697189.78030998015</c:v>
                </c:pt>
                <c:pt idx="10">
                  <c:v>766745.67197710054</c:v>
                </c:pt>
                <c:pt idx="11">
                  <c:v>836624.27007815521</c:v>
                </c:pt>
                <c:pt idx="12">
                  <c:v>899458.16563449963</c:v>
                </c:pt>
                <c:pt idx="13">
                  <c:v>969171.19213382993</c:v>
                </c:pt>
                <c:pt idx="14">
                  <c:v>1044680.2792897063</c:v>
                </c:pt>
                <c:pt idx="15">
                  <c:v>1114447.0901946921</c:v>
                </c:pt>
                <c:pt idx="16">
                  <c:v>1186979.0523080959</c:v>
                </c:pt>
                <c:pt idx="17">
                  <c:v>1258382.5964989187</c:v>
                </c:pt>
                <c:pt idx="18">
                  <c:v>1325888.3531739856</c:v>
                </c:pt>
                <c:pt idx="19">
                  <c:v>1384146.3558648364</c:v>
                </c:pt>
                <c:pt idx="20">
                  <c:v>1453403.7968103769</c:v>
                </c:pt>
                <c:pt idx="21">
                  <c:v>1526023.2904074949</c:v>
                </c:pt>
                <c:pt idx="22">
                  <c:v>1593881.2822097973</c:v>
                </c:pt>
                <c:pt idx="23">
                  <c:v>1665510.5099851363</c:v>
                </c:pt>
                <c:pt idx="24">
                  <c:v>1751720.5846741227</c:v>
                </c:pt>
                <c:pt idx="25">
                  <c:v>1828749.3449388205</c:v>
                </c:pt>
                <c:pt idx="26">
                  <c:v>1902110.2196570358</c:v>
                </c:pt>
                <c:pt idx="27">
                  <c:v>1977567.6315996349</c:v>
                </c:pt>
                <c:pt idx="28">
                  <c:v>2047717.260921347</c:v>
                </c:pt>
                <c:pt idx="29">
                  <c:v>2128422.8356469334</c:v>
                </c:pt>
                <c:pt idx="30">
                  <c:v>2206357.4940382643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B8-4004-82A1-1DA990C8B483}"/>
            </c:ext>
          </c:extLst>
        </c:ser>
        <c:ser>
          <c:idx val="3"/>
          <c:order val="3"/>
          <c:tx>
            <c:strRef>
              <c:f>Proyección_indicadores_digital!$G$49</c:f>
              <c:strCache>
                <c:ptCount val="1"/>
                <c:pt idx="0">
                  <c:v>2024R</c:v>
                </c:pt>
              </c:strCache>
            </c:strRef>
          </c:tx>
          <c:cat>
            <c:numRef>
              <c:f>Proyección_indicadores_digital!$C$50:$C$82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Proyección_indicadores_digital!$G$50:$G$83</c:f>
              <c:numCache>
                <c:formatCode>#,##0_ ;\-#,##0\ </c:formatCode>
                <c:ptCount val="34"/>
                <c:pt idx="0">
                  <c:v>91107</c:v>
                </c:pt>
                <c:pt idx="1">
                  <c:v>178603</c:v>
                </c:pt>
                <c:pt idx="2">
                  <c:v>254643</c:v>
                </c:pt>
                <c:pt idx="3">
                  <c:v>331530</c:v>
                </c:pt>
                <c:pt idx="4">
                  <c:v>407145</c:v>
                </c:pt>
                <c:pt idx="5">
                  <c:v>487238</c:v>
                </c:pt>
                <c:pt idx="6">
                  <c:v>566707</c:v>
                </c:pt>
                <c:pt idx="7">
                  <c:v>637867</c:v>
                </c:pt>
                <c:pt idx="8">
                  <c:v>707698</c:v>
                </c:pt>
                <c:pt idx="9">
                  <c:v>786122</c:v>
                </c:pt>
                <c:pt idx="10">
                  <c:v>859047</c:v>
                </c:pt>
                <c:pt idx="11">
                  <c:v>935366</c:v>
                </c:pt>
                <c:pt idx="12">
                  <c:v>1013285</c:v>
                </c:pt>
                <c:pt idx="13">
                  <c:v>1093740</c:v>
                </c:pt>
                <c:pt idx="14">
                  <c:v>1167844</c:v>
                </c:pt>
                <c:pt idx="15">
                  <c:v>1247157</c:v>
                </c:pt>
                <c:pt idx="16">
                  <c:v>1326348</c:v>
                </c:pt>
                <c:pt idx="17">
                  <c:v>1404739</c:v>
                </c:pt>
                <c:pt idx="18">
                  <c:v>1488171</c:v>
                </c:pt>
                <c:pt idx="19">
                  <c:v>1569164</c:v>
                </c:pt>
                <c:pt idx="20">
                  <c:v>1647637</c:v>
                </c:pt>
                <c:pt idx="21">
                  <c:v>1722404</c:v>
                </c:pt>
                <c:pt idx="22">
                  <c:v>1796813</c:v>
                </c:pt>
                <c:pt idx="23">
                  <c:v>1857175</c:v>
                </c:pt>
                <c:pt idx="24">
                  <c:v>1907397</c:v>
                </c:pt>
                <c:pt idx="25">
                  <c:v>1978029</c:v>
                </c:pt>
                <c:pt idx="26">
                  <c:v>2051941</c:v>
                </c:pt>
                <c:pt idx="27">
                  <c:v>2125347</c:v>
                </c:pt>
                <c:pt idx="28">
                  <c:v>2189160</c:v>
                </c:pt>
                <c:pt idx="29">
                  <c:v>2259844</c:v>
                </c:pt>
                <c:pt idx="30">
                  <c:v>2318618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B8-4004-82A1-1DA990C8B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313392"/>
        <c:axId val="470311432"/>
      </c:lineChart>
      <c:catAx>
        <c:axId val="47031339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70311432"/>
        <c:crosses val="autoZero"/>
        <c:auto val="1"/>
        <c:lblAlgn val="ctr"/>
        <c:lblOffset val="100"/>
        <c:noMultiLvlLbl val="0"/>
      </c:catAx>
      <c:valAx>
        <c:axId val="470311432"/>
        <c:scaling>
          <c:orientation val="minMax"/>
        </c:scaling>
        <c:delete val="1"/>
        <c:axPos val="l"/>
        <c:numFmt formatCode="#,##0_ ;\-#,##0\ " sourceLinked="1"/>
        <c:majorTickMark val="none"/>
        <c:minorTickMark val="none"/>
        <c:tickLblPos val="nextTo"/>
        <c:crossAx val="47031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userShapes r:id="rId1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Parque Verde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2021</c:v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FactuScore!$B$124:$M$124</c:f>
            </c:numRef>
          </c:val>
          <c:smooth val="0"/>
          <c:extLst>
            <c:ext xmlns:c16="http://schemas.microsoft.com/office/drawing/2014/chart" uri="{C3380CC4-5D6E-409C-BE32-E72D297353CC}">
              <c16:uniqueId val="{00000000-A9C9-4046-B790-5F528059EA05}"/>
            </c:ext>
          </c:extLst>
        </c:ser>
        <c:ser>
          <c:idx val="1"/>
          <c:order val="1"/>
          <c:tx>
            <c:v>2022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FactuScore!$N$124:$U$124</c:f>
              <c:numCache>
                <c:formatCode>_(* #,##0_);_(* \(#,##0\);_(* "-"??_);_(@_)</c:formatCode>
                <c:ptCount val="1"/>
                <c:pt idx="0">
                  <c:v>566.00199999999995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C9-4046-B790-5F528059E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304768"/>
        <c:axId val="470305160"/>
      </c:lineChart>
      <c:catAx>
        <c:axId val="470304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70305160"/>
        <c:crosses val="autoZero"/>
        <c:auto val="1"/>
        <c:lblAlgn val="ctr"/>
        <c:lblOffset val="100"/>
        <c:noMultiLvlLbl val="0"/>
      </c:catAx>
      <c:valAx>
        <c:axId val="470305160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7030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Parque Amarillo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2021</c:v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FactuScore!$B$125:$M$125</c:f>
            </c:numRef>
          </c:val>
          <c:smooth val="0"/>
          <c:extLst>
            <c:ext xmlns:c16="http://schemas.microsoft.com/office/drawing/2014/chart" uri="{C3380CC4-5D6E-409C-BE32-E72D297353CC}">
              <c16:uniqueId val="{00000000-DF1B-4F04-89ED-6FAD457A9F59}"/>
            </c:ext>
          </c:extLst>
        </c:ser>
        <c:ser>
          <c:idx val="1"/>
          <c:order val="1"/>
          <c:tx>
            <c:v>2022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FactuScore!$N$125:$U$125</c:f>
              <c:numCache>
                <c:formatCode>_(* #,##0_);_(* \(#,##0\);_(* "-"??_);_(@_)</c:formatCode>
                <c:ptCount val="1"/>
                <c:pt idx="0">
                  <c:v>293.255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1B-4F04-89ED-6FAD457A9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313000"/>
        <c:axId val="470313784"/>
      </c:lineChart>
      <c:catAx>
        <c:axId val="470313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70313784"/>
        <c:crosses val="autoZero"/>
        <c:auto val="1"/>
        <c:lblAlgn val="ctr"/>
        <c:lblOffset val="100"/>
        <c:noMultiLvlLbl val="0"/>
      </c:catAx>
      <c:valAx>
        <c:axId val="470313784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70313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Parque Rojo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2021</c:v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FactuScore!$B$126:$M$126</c:f>
            </c:numRef>
          </c:val>
          <c:smooth val="0"/>
          <c:extLst>
            <c:ext xmlns:c16="http://schemas.microsoft.com/office/drawing/2014/chart" uri="{C3380CC4-5D6E-409C-BE32-E72D297353CC}">
              <c16:uniqueId val="{00000000-71D6-4213-A23E-A290CDAE2E99}"/>
            </c:ext>
          </c:extLst>
        </c:ser>
        <c:ser>
          <c:idx val="1"/>
          <c:order val="1"/>
          <c:tx>
            <c:v>2022</c:v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FactuScore!$N$126:$U$126</c:f>
              <c:numCache>
                <c:formatCode>_(* #,##0_);_(* \(#,##0\);_(* "-"??_);_(@_)</c:formatCode>
                <c:ptCount val="1"/>
                <c:pt idx="0">
                  <c:v>138.71799999999999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D6-4213-A23E-A290CDAE2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305944"/>
        <c:axId val="470306336"/>
      </c:lineChart>
      <c:catAx>
        <c:axId val="470305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70306336"/>
        <c:crosses val="autoZero"/>
        <c:auto val="1"/>
        <c:lblAlgn val="ctr"/>
        <c:lblOffset val="100"/>
        <c:noMultiLvlLbl val="0"/>
      </c:catAx>
      <c:valAx>
        <c:axId val="47030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70305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Factu Verde (S/MM)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2021</c:v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FactuScore!$B$143:$M$143</c:f>
            </c:numRef>
          </c:val>
          <c:smooth val="0"/>
          <c:extLst>
            <c:ext xmlns:c16="http://schemas.microsoft.com/office/drawing/2014/chart" uri="{C3380CC4-5D6E-409C-BE32-E72D297353CC}">
              <c16:uniqueId val="{00000000-A64C-414D-B82B-89B6B721E451}"/>
            </c:ext>
          </c:extLst>
        </c:ser>
        <c:ser>
          <c:idx val="1"/>
          <c:order val="1"/>
          <c:tx>
            <c:v>2022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FactuScore!$N$143:$U$143</c:f>
              <c:numCache>
                <c:formatCode>_(* #,##0_);_(* \(#,##0\);_(* "-"??_);_(@_)</c:formatCode>
                <c:ptCount val="1"/>
                <c:pt idx="0">
                  <c:v>921.87679979350992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4C-414D-B82B-89B6B721E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307120"/>
        <c:axId val="470307512"/>
      </c:lineChart>
      <c:catAx>
        <c:axId val="4703071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70307512"/>
        <c:crosses val="autoZero"/>
        <c:auto val="1"/>
        <c:lblAlgn val="ctr"/>
        <c:lblOffset val="100"/>
        <c:noMultiLvlLbl val="0"/>
      </c:catAx>
      <c:valAx>
        <c:axId val="470307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7030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Factu Amarillo (S/MM)</a:t>
            </a:r>
          </a:p>
        </c:rich>
      </c:tx>
      <c:layout>
        <c:manualLayout>
          <c:xMode val="edge"/>
          <c:yMode val="edge"/>
          <c:x val="0.35219013448535647"/>
          <c:y val="3.52552209651047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2021</c:v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FactuScore!$B$144:$M$144</c:f>
            </c:numRef>
          </c:val>
          <c:smooth val="0"/>
          <c:extLst>
            <c:ext xmlns:c16="http://schemas.microsoft.com/office/drawing/2014/chart" uri="{C3380CC4-5D6E-409C-BE32-E72D297353CC}">
              <c16:uniqueId val="{00000000-BBCC-493D-9371-E9F29AE4FEC2}"/>
            </c:ext>
          </c:extLst>
        </c:ser>
        <c:ser>
          <c:idx val="1"/>
          <c:order val="1"/>
          <c:tx>
            <c:v>2022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FactuScore!$N$144:$U$144</c:f>
              <c:numCache>
                <c:formatCode>_(* #,##0_);_(* \(#,##0\);_(* "-"??_);_(@_)</c:formatCode>
                <c:ptCount val="1"/>
                <c:pt idx="0">
                  <c:v>366.93004402290001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CC-493D-9371-E9F29AE4F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314568"/>
        <c:axId val="470303984"/>
      </c:lineChart>
      <c:catAx>
        <c:axId val="4703145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70303984"/>
        <c:crosses val="autoZero"/>
        <c:auto val="1"/>
        <c:lblAlgn val="ctr"/>
        <c:lblOffset val="100"/>
        <c:noMultiLvlLbl val="0"/>
      </c:catAx>
      <c:valAx>
        <c:axId val="47030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70314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Factu Rojo (S/MM)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2021</c:v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FactuScore!$B$145:$M$145</c:f>
            </c:numRef>
          </c:val>
          <c:smooth val="0"/>
          <c:extLst>
            <c:ext xmlns:c16="http://schemas.microsoft.com/office/drawing/2014/chart" uri="{C3380CC4-5D6E-409C-BE32-E72D297353CC}">
              <c16:uniqueId val="{00000000-718C-4F5E-86E7-947CAED4A091}"/>
            </c:ext>
          </c:extLst>
        </c:ser>
        <c:ser>
          <c:idx val="1"/>
          <c:order val="1"/>
          <c:tx>
            <c:v>2022</c:v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FactuScore!$N$145:$U$145</c:f>
              <c:numCache>
                <c:formatCode>_(* #,##0_);_(* \(#,##0\);_(* "-"??_);_(@_)</c:formatCode>
                <c:ptCount val="1"/>
                <c:pt idx="0">
                  <c:v>79.073128796120002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8C-4F5E-86E7-947CAED4A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308688"/>
        <c:axId val="470309080"/>
      </c:lineChart>
      <c:catAx>
        <c:axId val="470308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70309080"/>
        <c:crosses val="autoZero"/>
        <c:auto val="1"/>
        <c:lblAlgn val="ctr"/>
        <c:lblOffset val="100"/>
        <c:noMultiLvlLbl val="0"/>
      </c:catAx>
      <c:valAx>
        <c:axId val="470309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7030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Actividad Verde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2021</c:v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FactuScore!$B$167:$M$167</c:f>
            </c:numRef>
          </c:val>
          <c:smooth val="0"/>
          <c:extLst>
            <c:ext xmlns:c16="http://schemas.microsoft.com/office/drawing/2014/chart" uri="{C3380CC4-5D6E-409C-BE32-E72D297353CC}">
              <c16:uniqueId val="{00000000-0A0B-43E3-83E7-A0C969079403}"/>
            </c:ext>
          </c:extLst>
        </c:ser>
        <c:ser>
          <c:idx val="1"/>
          <c:order val="1"/>
          <c:tx>
            <c:v>2022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FactuScore!$N$167:$U$167</c:f>
              <c:numCache>
                <c:formatCode>0%</c:formatCode>
                <c:ptCount val="1"/>
                <c:pt idx="0">
                  <c:v>0.76906795382348481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0B-43E3-83E7-A0C969079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309472"/>
        <c:axId val="470303200"/>
      </c:lineChart>
      <c:catAx>
        <c:axId val="470309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70303200"/>
        <c:crosses val="autoZero"/>
        <c:auto val="1"/>
        <c:lblAlgn val="ctr"/>
        <c:lblOffset val="100"/>
        <c:noMultiLvlLbl val="0"/>
      </c:catAx>
      <c:valAx>
        <c:axId val="470303200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7030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Actividad Amarillo</a:t>
            </a:r>
          </a:p>
        </c:rich>
      </c:tx>
      <c:layout>
        <c:manualLayout>
          <c:xMode val="edge"/>
          <c:yMode val="edge"/>
          <c:x val="0.35219013448535647"/>
          <c:y val="3.52552209651047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2021</c:v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FactuScore!$B$168:$M$168</c:f>
            </c:numRef>
          </c:val>
          <c:smooth val="0"/>
          <c:extLst>
            <c:ext xmlns:c16="http://schemas.microsoft.com/office/drawing/2014/chart" uri="{C3380CC4-5D6E-409C-BE32-E72D297353CC}">
              <c16:uniqueId val="{00000000-0F8D-44D0-9705-ECE2B5A40958}"/>
            </c:ext>
          </c:extLst>
        </c:ser>
        <c:ser>
          <c:idx val="1"/>
          <c:order val="1"/>
          <c:tx>
            <c:v>2022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FactuScore!$N$168:$U$168</c:f>
              <c:numCache>
                <c:formatCode>0%</c:formatCode>
                <c:ptCount val="1"/>
                <c:pt idx="0">
                  <c:v>0.79014850556682747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8D-44D0-9705-ECE2B5A40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322408"/>
        <c:axId val="470325152"/>
      </c:lineChart>
      <c:catAx>
        <c:axId val="470322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70325152"/>
        <c:crosses val="autoZero"/>
        <c:auto val="1"/>
        <c:lblAlgn val="ctr"/>
        <c:lblOffset val="100"/>
        <c:noMultiLvlLbl val="0"/>
      </c:catAx>
      <c:valAx>
        <c:axId val="470325152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70322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Actividad Rojo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2021</c:v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FactuScore!$B$169:$M$169</c:f>
            </c:numRef>
          </c:val>
          <c:smooth val="0"/>
          <c:extLst>
            <c:ext xmlns:c16="http://schemas.microsoft.com/office/drawing/2014/chart" uri="{C3380CC4-5D6E-409C-BE32-E72D297353CC}">
              <c16:uniqueId val="{00000000-FCCA-40DF-988D-21EA0FC83711}"/>
            </c:ext>
          </c:extLst>
        </c:ser>
        <c:ser>
          <c:idx val="1"/>
          <c:order val="1"/>
          <c:tx>
            <c:v>2022</c:v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FactuScore!$N$169:$U$169</c:f>
              <c:numCache>
                <c:formatCode>0%</c:formatCode>
                <c:ptCount val="1"/>
                <c:pt idx="0">
                  <c:v>0.64438645309188436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CA-40DF-988D-21EA0FC83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320840"/>
        <c:axId val="470316136"/>
      </c:lineChart>
      <c:catAx>
        <c:axId val="470320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70316136"/>
        <c:crosses val="autoZero"/>
        <c:auto val="1"/>
        <c:lblAlgn val="ctr"/>
        <c:lblOffset val="100"/>
        <c:noMultiLvlLbl val="0"/>
      </c:catAx>
      <c:valAx>
        <c:axId val="470316136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70320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CM Verde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2021</c:v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FactuScore!$B$186:$M$186</c:f>
            </c:numRef>
          </c:val>
          <c:smooth val="0"/>
          <c:extLst>
            <c:ext xmlns:c16="http://schemas.microsoft.com/office/drawing/2014/chart" uri="{C3380CC4-5D6E-409C-BE32-E72D297353CC}">
              <c16:uniqueId val="{00000000-EE5E-4435-9153-D3903FDB87F0}"/>
            </c:ext>
          </c:extLst>
        </c:ser>
        <c:ser>
          <c:idx val="1"/>
          <c:order val="1"/>
          <c:tx>
            <c:v>2022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FactuScore!$N$186:$U$186</c:f>
              <c:numCache>
                <c:formatCode>_-* #,##0_-;\-* #,##0_-;_-* "-"??_-;_-@_-</c:formatCode>
                <c:ptCount val="1"/>
                <c:pt idx="0">
                  <c:v>2117.8256529920236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5E-4435-9153-D3903FDB8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326328"/>
        <c:axId val="470319272"/>
      </c:lineChart>
      <c:catAx>
        <c:axId val="470326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70319272"/>
        <c:crosses val="autoZero"/>
        <c:auto val="1"/>
        <c:lblAlgn val="ctr"/>
        <c:lblOffset val="100"/>
        <c:noMultiLvlLbl val="0"/>
      </c:catAx>
      <c:valAx>
        <c:axId val="470319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70326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CM Amarillo</a:t>
            </a:r>
          </a:p>
        </c:rich>
      </c:tx>
      <c:layout>
        <c:manualLayout>
          <c:xMode val="edge"/>
          <c:yMode val="edge"/>
          <c:x val="0.35219013448535647"/>
          <c:y val="3.52552209651047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2021</c:v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FactuScore!$B$187:$M$187</c:f>
            </c:numRef>
          </c:val>
          <c:smooth val="0"/>
          <c:extLst>
            <c:ext xmlns:c16="http://schemas.microsoft.com/office/drawing/2014/chart" uri="{C3380CC4-5D6E-409C-BE32-E72D297353CC}">
              <c16:uniqueId val="{00000000-4F4B-4F47-97F2-D2796D5D1B12}"/>
            </c:ext>
          </c:extLst>
        </c:ser>
        <c:ser>
          <c:idx val="1"/>
          <c:order val="1"/>
          <c:tx>
            <c:v>2022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FactuScore!$N$187:$U$187</c:f>
              <c:numCache>
                <c:formatCode>_-* #,##0_-;\-* #,##0_-;_-* "-"??_-;_-@_-</c:formatCode>
                <c:ptCount val="1"/>
                <c:pt idx="0">
                  <c:v>1583.5403147094491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4B-4F47-97F2-D2796D5D1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322800"/>
        <c:axId val="470318488"/>
      </c:lineChart>
      <c:catAx>
        <c:axId val="470322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70318488"/>
        <c:crosses val="autoZero"/>
        <c:auto val="1"/>
        <c:lblAlgn val="ctr"/>
        <c:lblOffset val="100"/>
        <c:noMultiLvlLbl val="0"/>
      </c:catAx>
      <c:valAx>
        <c:axId val="470318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7032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CM Rojo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2021</c:v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FactuScore!$B$188:$M$188</c:f>
            </c:numRef>
          </c:val>
          <c:smooth val="0"/>
          <c:extLst>
            <c:ext xmlns:c16="http://schemas.microsoft.com/office/drawing/2014/chart" uri="{C3380CC4-5D6E-409C-BE32-E72D297353CC}">
              <c16:uniqueId val="{00000000-F14C-4CBF-B37D-C4E627D74DDF}"/>
            </c:ext>
          </c:extLst>
        </c:ser>
        <c:ser>
          <c:idx val="1"/>
          <c:order val="1"/>
          <c:tx>
            <c:v>2022</c:v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FactuScore!$N$188:$U$188</c:f>
              <c:numCache>
                <c:formatCode>_-* #,##0_-;\-* #,##0_-;_-* "-"??_-;_-@_-</c:formatCode>
                <c:ptCount val="1"/>
                <c:pt idx="0">
                  <c:v>884.60563829731052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4C-4CBF-B37D-C4E627D74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326720"/>
        <c:axId val="470316528"/>
      </c:lineChart>
      <c:catAx>
        <c:axId val="470326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70316528"/>
        <c:crosses val="autoZero"/>
        <c:auto val="1"/>
        <c:lblAlgn val="ctr"/>
        <c:lblOffset val="100"/>
        <c:noMultiLvlLbl val="0"/>
      </c:catAx>
      <c:valAx>
        <c:axId val="47031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7032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 sz="1800" b="1" i="0" baseline="0">
                <a:effectLst/>
              </a:rPr>
              <a:t>Facturación semanal de marzo (S/MM)</a:t>
            </a:r>
            <a:endParaRPr lang="es-PE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2023 R</c:v>
          </c:tx>
          <c:spPr>
            <a:solidFill>
              <a:srgbClr val="D9D9D9"/>
            </a:solidFill>
          </c:spPr>
          <c:invertIfNegative val="0"/>
          <c:dLbls>
            <c:dLbl>
              <c:idx val="0"/>
              <c:layout>
                <c:manualLayout>
                  <c:x val="-1.5099812523434571E-2"/>
                  <c:y val="-2.3791019683103617E-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73E-4A74-8DE6-8EAFCC3848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>
                    <a:solidFill>
                      <a:schemeClr val="bg1">
                        <a:lumMod val="65000"/>
                      </a:schemeClr>
                    </a:solidFill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FactuSemanal!$G$5:$G$8</c:f>
              <c:strCache>
                <c:ptCount val="4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</c:strCache>
            </c:strRef>
          </c:cat>
          <c:val>
            <c:numRef>
              <c:f>FactuSemanal!$I$5:$I$8</c:f>
              <c:numCache>
                <c:formatCode>0</c:formatCode>
                <c:ptCount val="4"/>
                <c:pt idx="0">
                  <c:v>371.59207673947003</c:v>
                </c:pt>
                <c:pt idx="1">
                  <c:v>318.68104693014999</c:v>
                </c:pt>
                <c:pt idx="2">
                  <c:v>407.29257947797566</c:v>
                </c:pt>
                <c:pt idx="3">
                  <c:v>346.14111056038996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3E-4A74-8DE6-8EAFCC384830}"/>
            </c:ext>
          </c:extLst>
        </c:ser>
        <c:ser>
          <c:idx val="3"/>
          <c:order val="1"/>
          <c:tx>
            <c:v>2023 P</c:v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</c:spPr>
          <c:invertIfNegative val="0"/>
          <c:dLbls>
            <c:dLbl>
              <c:idx val="0"/>
              <c:layout>
                <c:manualLayout>
                  <c:x val="-3.1427071616047992E-3"/>
                  <c:y val="-2.792921522798306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73E-4A74-8DE6-8EAFCC384830}"/>
                </c:ext>
              </c:extLst>
            </c:dLbl>
            <c:dLbl>
              <c:idx val="2"/>
              <c:layout>
                <c:manualLayout>
                  <c:x val="-2.5533781467033858E-3"/>
                  <c:y val="8.368671408529296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73E-4A74-8DE6-8EAFCC384830}"/>
                </c:ext>
              </c:extLst>
            </c:dLbl>
            <c:dLbl>
              <c:idx val="3"/>
              <c:layout>
                <c:manualLayout>
                  <c:x val="5.3335488681422053E-3"/>
                  <c:y val="-6.0227803222539275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73E-4A74-8DE6-8EAFCC384830}"/>
                </c:ext>
              </c:extLst>
            </c:dLbl>
            <c:dLbl>
              <c:idx val="4"/>
              <c:layout>
                <c:manualLayout>
                  <c:x val="2.9582902638776161E-3"/>
                  <c:y val="-1.1961129144663172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73E-4A74-8DE6-8EAFCC384830}"/>
                </c:ext>
              </c:extLst>
            </c:dLbl>
            <c:dLbl>
              <c:idx val="5"/>
              <c:layout>
                <c:manualLayout>
                  <c:x val="-2.3987705691294169E-3"/>
                  <c:y val="5.229338220345215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73E-4A74-8DE6-8EAFCC384830}"/>
                </c:ext>
              </c:extLst>
            </c:dLbl>
            <c:dLbl>
              <c:idx val="6"/>
              <c:layout>
                <c:manualLayout>
                  <c:x val="-1.2117636158832119E-3"/>
                  <c:y val="1.60859735357348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73E-4A74-8DE6-8EAFCC384830}"/>
                </c:ext>
              </c:extLst>
            </c:dLbl>
            <c:dLbl>
              <c:idx val="7"/>
              <c:layout>
                <c:manualLayout>
                  <c:x val="-1.8027880497429932E-3"/>
                  <c:y val="2.188764092482649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73E-4A74-8DE6-8EAFCC384830}"/>
                </c:ext>
              </c:extLst>
            </c:dLbl>
            <c:dLbl>
              <c:idx val="8"/>
              <c:layout>
                <c:manualLayout>
                  <c:x val="-2.1749765503350951E-3"/>
                  <c:y val="-5.74843341306670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73E-4A74-8DE6-8EAFCC384830}"/>
                </c:ext>
              </c:extLst>
            </c:dLbl>
            <c:dLbl>
              <c:idx val="9"/>
              <c:layout>
                <c:manualLayout>
                  <c:x val="-6.1845304857049603E-3"/>
                  <c:y val="7.0370605517069658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73E-4A74-8DE6-8EAFCC384830}"/>
                </c:ext>
              </c:extLst>
            </c:dLbl>
            <c:dLbl>
              <c:idx val="10"/>
              <c:layout>
                <c:manualLayout>
                  <c:x val="-2.0852767508451202E-2"/>
                  <c:y val="-3.45339120791812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73E-4A74-8DE6-8EAFCC384830}"/>
                </c:ext>
              </c:extLst>
            </c:dLbl>
            <c:dLbl>
              <c:idx val="11"/>
              <c:layout>
                <c:manualLayout>
                  <c:x val="2.7741653557644187E-3"/>
                  <c:y val="-3.45339120791812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73E-4A74-8DE6-8EAFCC3848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>
                    <a:solidFill>
                      <a:srgbClr val="00B050"/>
                    </a:solidFill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FactuSemanal!$G$5:$G$8</c:f>
              <c:strCache>
                <c:ptCount val="4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</c:strCache>
            </c:strRef>
          </c:cat>
          <c:val>
            <c:numRef>
              <c:f>FactuSemanal!$H$5:$H$8</c:f>
              <c:numCache>
                <c:formatCode>0</c:formatCode>
                <c:ptCount val="4"/>
                <c:pt idx="0">
                  <c:v>455.99150694862266</c:v>
                </c:pt>
                <c:pt idx="1">
                  <c:v>428.79480301301197</c:v>
                </c:pt>
                <c:pt idx="2">
                  <c:v>529.09257947797562</c:v>
                </c:pt>
                <c:pt idx="3">
                  <c:v>452.84111056038995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73E-4A74-8DE6-8EAFCC384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0318096"/>
        <c:axId val="470318880"/>
      </c:barChart>
      <c:catAx>
        <c:axId val="470318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70318880"/>
        <c:crosses val="autoZero"/>
        <c:auto val="1"/>
        <c:lblAlgn val="ctr"/>
        <c:lblOffset val="100"/>
        <c:noMultiLvlLbl val="0"/>
      </c:catAx>
      <c:valAx>
        <c:axId val="470318880"/>
        <c:scaling>
          <c:orientation val="minMax"/>
          <c:min val="100"/>
        </c:scaling>
        <c:delete val="1"/>
        <c:axPos val="l"/>
        <c:numFmt formatCode="0" sourceLinked="1"/>
        <c:majorTickMark val="out"/>
        <c:minorTickMark val="none"/>
        <c:tickLblPos val="nextTo"/>
        <c:crossAx val="47031809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5625546806649"/>
          <c:y val="5.0925925925925923E-2"/>
          <c:w val="0.77946259842519683"/>
          <c:h val="0.754289880431612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Graf_PowerBI!$H$182</c:f>
              <c:strCache>
                <c:ptCount val="1"/>
                <c:pt idx="0">
                  <c:v>Facturación E-commerce TC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Graf_PowerBI!$G$183:$G$186</c:f>
              <c:numCache>
                <c:formatCode>mmm\-yy</c:formatCode>
                <c:ptCount val="4"/>
                <c:pt idx="0">
                  <c:v>43709</c:v>
                </c:pt>
                <c:pt idx="1">
                  <c:v>44075</c:v>
                </c:pt>
                <c:pt idx="2">
                  <c:v>44440</c:v>
                </c:pt>
                <c:pt idx="3">
                  <c:v>44805</c:v>
                </c:pt>
              </c:numCache>
            </c:numRef>
          </c:cat>
          <c:val>
            <c:numRef>
              <c:f>Graf_PowerBI!$H$183:$H$186</c:f>
              <c:numCache>
                <c:formatCode>_ * #,##0_ ;_ * \-#,##0_ ;_ * "-"??_ ;_ @_ </c:formatCode>
                <c:ptCount val="4"/>
                <c:pt idx="0">
                  <c:v>114.69930890801001</c:v>
                </c:pt>
                <c:pt idx="1">
                  <c:v>124.75610417233001</c:v>
                </c:pt>
                <c:pt idx="2">
                  <c:v>251.09152950660999</c:v>
                </c:pt>
                <c:pt idx="3">
                  <c:v>343.96643645952997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B5-4DAE-9BC1-40B97C4C9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70323584"/>
        <c:axId val="470323976"/>
      </c:barChart>
      <c:lineChart>
        <c:grouping val="standard"/>
        <c:varyColors val="0"/>
        <c:ser>
          <c:idx val="1"/>
          <c:order val="1"/>
          <c:tx>
            <c:strRef>
              <c:f>Graf_PowerBI!$I$182</c:f>
              <c:strCache>
                <c:ptCount val="1"/>
                <c:pt idx="0">
                  <c:v>Actividad TC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Graf_PowerBI!$G$183:$G$186</c:f>
              <c:numCache>
                <c:formatCode>mmm\-yy</c:formatCode>
                <c:ptCount val="4"/>
                <c:pt idx="0">
                  <c:v>43709</c:v>
                </c:pt>
                <c:pt idx="1">
                  <c:v>44075</c:v>
                </c:pt>
                <c:pt idx="2">
                  <c:v>44440</c:v>
                </c:pt>
                <c:pt idx="3">
                  <c:v>44805</c:v>
                </c:pt>
              </c:numCache>
            </c:numRef>
          </c:cat>
          <c:val>
            <c:numRef>
              <c:f>Graf_PowerBI!$I$183:$I$186</c:f>
              <c:numCache>
                <c:formatCode>0.0%</c:formatCode>
                <c:ptCount val="4"/>
                <c:pt idx="0">
                  <c:v>0.30433009932089156</c:v>
                </c:pt>
                <c:pt idx="1">
                  <c:v>0.23099973704381296</c:v>
                </c:pt>
                <c:pt idx="2">
                  <c:v>0.30433009932089156</c:v>
                </c:pt>
                <c:pt idx="3">
                  <c:v>0.35789184732490348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2B5-4DAE-9BC1-40B97C4C9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319664"/>
        <c:axId val="470316920"/>
      </c:lineChart>
      <c:dateAx>
        <c:axId val="47032358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70323976"/>
        <c:crosses val="autoZero"/>
        <c:auto val="1"/>
        <c:lblOffset val="100"/>
        <c:baseTimeUnit val="years"/>
      </c:dateAx>
      <c:valAx>
        <c:axId val="470323976"/>
        <c:scaling>
          <c:orientation val="minMax"/>
          <c:max val="500"/>
          <c:min val="0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70323584"/>
        <c:crosses val="autoZero"/>
        <c:crossBetween val="between"/>
      </c:valAx>
      <c:valAx>
        <c:axId val="470316920"/>
        <c:scaling>
          <c:orientation val="minMax"/>
          <c:max val="0.4"/>
          <c:min val="-0.4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70319664"/>
        <c:crosses val="max"/>
        <c:crossBetween val="between"/>
      </c:valAx>
      <c:dateAx>
        <c:axId val="470319664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470316920"/>
        <c:crosses val="autoZero"/>
        <c:auto val="1"/>
        <c:lblOffset val="100"/>
        <c:baseTimeUnit val="year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Hoja2!$B$4</c:f>
              <c:strCache>
                <c:ptCount val="1"/>
                <c:pt idx="0">
                  <c:v>TC 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Hoja2!$C$3:$G$3</c:f>
              <c:numCache>
                <c:formatCode>d\-mmm</c:formatCode>
                <c:ptCount val="3"/>
                <c:pt idx="0">
                  <c:v>45006</c:v>
                </c:pt>
                <c:pt idx="1">
                  <c:v>45010</c:v>
                </c:pt>
                <c:pt idx="2">
                  <c:v>45014</c:v>
                </c:pt>
              </c:numCache>
            </c:numRef>
          </c:cat>
          <c:val>
            <c:numRef>
              <c:f>Hoja2!$C$4:$G$4</c:f>
              <c:numCache>
                <c:formatCode>#,##0.0</c:formatCode>
                <c:ptCount val="3"/>
                <c:pt idx="0" formatCode="#,##0">
                  <c:v>1574</c:v>
                </c:pt>
                <c:pt idx="1">
                  <c:v>1588.0870905019067</c:v>
                </c:pt>
                <c:pt idx="2">
                  <c:v>1587.8091079686362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5A-4887-AE88-D2E5BC23712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70320448"/>
        <c:axId val="470324368"/>
      </c:lineChart>
      <c:catAx>
        <c:axId val="47032044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70324368"/>
        <c:crosses val="autoZero"/>
        <c:auto val="0"/>
        <c:lblAlgn val="ctr"/>
        <c:lblOffset val="100"/>
        <c:noMultiLvlLbl val="0"/>
      </c:catAx>
      <c:valAx>
        <c:axId val="4703243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470320448"/>
        <c:crossesAt val="44988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Hoja2!$B$6</c:f>
              <c:strCache>
                <c:ptCount val="1"/>
                <c:pt idx="0">
                  <c:v>TD 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Hoja2!$C$3:$G$3</c:f>
              <c:numCache>
                <c:formatCode>d\-mmm</c:formatCode>
                <c:ptCount val="3"/>
                <c:pt idx="0">
                  <c:v>45006</c:v>
                </c:pt>
                <c:pt idx="1">
                  <c:v>45010</c:v>
                </c:pt>
                <c:pt idx="2">
                  <c:v>45014</c:v>
                </c:pt>
              </c:numCache>
            </c:numRef>
          </c:cat>
          <c:val>
            <c:numRef>
              <c:f>Hoja2!$C$6:$G$6</c:f>
              <c:numCache>
                <c:formatCode>#,##0.0</c:formatCode>
                <c:ptCount val="3"/>
                <c:pt idx="0" formatCode="#,##0">
                  <c:v>895</c:v>
                </c:pt>
                <c:pt idx="1">
                  <c:v>892</c:v>
                </c:pt>
                <c:pt idx="2">
                  <c:v>890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44-4773-8106-626B83525AF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70325544"/>
        <c:axId val="470325936"/>
      </c:lineChart>
      <c:catAx>
        <c:axId val="4703255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70325936"/>
        <c:crosses val="autoZero"/>
        <c:auto val="0"/>
        <c:lblAlgn val="ctr"/>
        <c:lblOffset val="100"/>
        <c:noMultiLvlLbl val="0"/>
      </c:catAx>
      <c:valAx>
        <c:axId val="4703259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470325544"/>
        <c:crossesAt val="44988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9715183513893705E-2"/>
          <c:y val="3.7382231072465091E-2"/>
          <c:w val="0.75942586063053019"/>
          <c:h val="0.75680419862779991"/>
        </c:manualLayout>
      </c:layout>
      <c:lineChart>
        <c:grouping val="standard"/>
        <c:varyColors val="0"/>
        <c:ser>
          <c:idx val="0"/>
          <c:order val="0"/>
          <c:tx>
            <c:strRef>
              <c:f>Facturación_Procesada!$E$1</c:f>
              <c:strCache>
                <c:ptCount val="1"/>
                <c:pt idx="0">
                  <c:v>Factu proces. Real</c:v>
                </c:pt>
              </c:strCache>
            </c:strRef>
          </c:tx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D2D-4E0B-9987-FE1E7EFCBD42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2D-4E0B-9987-FE1E7EFCBD42}"/>
                </c:ext>
              </c:extLst>
            </c:dLbl>
            <c:dLbl>
              <c:idx val="3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D2D-4E0B-9987-FE1E7EFCBD42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Facturación_Procesada!$A$2:$A$30</c:f>
              <c:numCache>
                <c:formatCode>m/d/yyyy</c:formatCode>
                <c:ptCount val="29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</c:numCache>
            </c:numRef>
          </c:cat>
          <c:val>
            <c:numRef>
              <c:f>Facturación_Procesada!$E$2:$E$30</c:f>
              <c:numCache>
                <c:formatCode>0.0</c:formatCode>
                <c:ptCount val="29"/>
                <c:pt idx="0">
                  <c:v>9.5553197067000006</c:v>
                </c:pt>
                <c:pt idx="1">
                  <c:v>184.86573361773998</c:v>
                </c:pt>
                <c:pt idx="2">
                  <c:v>65.058314707660003</c:v>
                </c:pt>
                <c:pt idx="3">
                  <c:v>60.84205663945</c:v>
                </c:pt>
                <c:pt idx="4">
                  <c:v>62.363382268220001</c:v>
                </c:pt>
                <c:pt idx="5">
                  <c:v>57.680370511909999</c:v>
                </c:pt>
                <c:pt idx="6">
                  <c:v>10.336995813330001</c:v>
                </c:pt>
                <c:pt idx="7">
                  <c:v>5.69359800328</c:v>
                </c:pt>
                <c:pt idx="8">
                  <c:v>137.82663516790001</c:v>
                </c:pt>
                <c:pt idx="9">
                  <c:v>55.900101279799998</c:v>
                </c:pt>
                <c:pt idx="10">
                  <c:v>57.186874075522837</c:v>
                </c:pt>
                <c:pt idx="11">
                  <c:v>46.851122856765841</c:v>
                </c:pt>
                <c:pt idx="12">
                  <c:v>39.030052194794642</c:v>
                </c:pt>
                <c:pt idx="13">
                  <c:v>9.6610037848985701</c:v>
                </c:pt>
                <c:pt idx="14">
                  <c:v>8.8123220149347574</c:v>
                </c:pt>
                <c:pt idx="15">
                  <c:v>155.84982092233327</c:v>
                </c:pt>
                <c:pt idx="16">
                  <c:v>59.305331517239857</c:v>
                </c:pt>
                <c:pt idx="17">
                  <c:v>56.504674904609338</c:v>
                </c:pt>
                <c:pt idx="18">
                  <c:v>49.846143914875825</c:v>
                </c:pt>
                <c:pt idx="19">
                  <c:v>49.685305436432849</c:v>
                </c:pt>
                <c:pt idx="20">
                  <c:v>12.18920985393277</c:v>
                </c:pt>
                <c:pt idx="21">
                  <c:v>9.4937474372336972</c:v>
                </c:pt>
                <c:pt idx="22">
                  <c:v>196.04573200948334</c:v>
                </c:pt>
                <c:pt idx="23">
                  <c:v>69.141168261912938</c:v>
                </c:pt>
                <c:pt idx="24">
                  <c:v>61.439205936378897</c:v>
                </c:pt>
                <c:pt idx="25">
                  <c:v>51.075863943842201</c:v>
                </c:pt>
                <c:pt idx="26">
                  <c:v>45.192678890905967</c:v>
                </c:pt>
                <c:pt idx="27">
                  <c:v>10.202886389248219</c:v>
                </c:pt>
                <c:pt idx="28">
                  <c:v>8.5321870966873021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2D-4E0B-9987-FE1E7EFCBD42}"/>
            </c:ext>
          </c:extLst>
        </c:ser>
        <c:ser>
          <c:idx val="2"/>
          <c:order val="1"/>
          <c:tx>
            <c:strRef>
              <c:f>Facturación_Procesada!$F$1</c:f>
              <c:strCache>
                <c:ptCount val="1"/>
              </c:strCache>
            </c:strRef>
          </c:tx>
          <c:dLbls>
            <c:dLbl>
              <c:idx val="29"/>
              <c:layout>
                <c:manualLayout>
                  <c:x val="1.0760550635168925E-2"/>
                  <c:y val="-4.69375988646275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D2D-4E0B-9987-FE1E7EFCBD4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Facturación_Procesada!$A$2:$A$30</c:f>
              <c:numCache>
                <c:formatCode>m/d/yyyy</c:formatCode>
                <c:ptCount val="29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</c:numCache>
            </c:numRef>
          </c:cat>
          <c:val>
            <c:numRef>
              <c:f>Facturación_Procesada!$F$2:$F$30</c:f>
              <c:numCache>
                <c:formatCode>0.0</c:formatCode>
                <c:ptCount val="29"/>
                <c:pt idx="0">
                  <c:v>1.0803995977495262E-2</c:v>
                </c:pt>
                <c:pt idx="1">
                  <c:v>0.40914539820127516</c:v>
                </c:pt>
                <c:pt idx="2">
                  <c:v>11.682800523813782</c:v>
                </c:pt>
                <c:pt idx="3">
                  <c:v>17.637763308128285</c:v>
                </c:pt>
                <c:pt idx="4">
                  <c:v>18.18909118826776</c:v>
                </c:pt>
                <c:pt idx="5">
                  <c:v>14.194164340428536</c:v>
                </c:pt>
                <c:pt idx="6">
                  <c:v>-0.35176620188756758</c:v>
                </c:pt>
                <c:pt idx="7">
                  <c:v>-1.998251771188972</c:v>
                </c:pt>
                <c:pt idx="8">
                  <c:v>-20.953262782056015</c:v>
                </c:pt>
                <c:pt idx="9">
                  <c:v>-0.29000391038329809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2D-4E0B-9987-FE1E7EFCB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327504"/>
        <c:axId val="470315352"/>
      </c:lineChart>
      <c:dateAx>
        <c:axId val="47032750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70315352"/>
        <c:crosses val="autoZero"/>
        <c:auto val="1"/>
        <c:lblOffset val="100"/>
        <c:baseTimeUnit val="days"/>
      </c:dateAx>
      <c:valAx>
        <c:axId val="470315352"/>
        <c:scaling>
          <c:orientation val="minMax"/>
          <c:max val="1940"/>
          <c:min val="1720"/>
        </c:scaling>
        <c:delete val="0"/>
        <c:axPos val="l"/>
        <c:numFmt formatCode="0.0" sourceLinked="1"/>
        <c:majorTickMark val="out"/>
        <c:minorTickMark val="none"/>
        <c:tickLblPos val="nextTo"/>
        <c:crossAx val="4703275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Facturación_Procesada!$J$1</c:f>
              <c:strCache>
                <c:ptCount val="1"/>
                <c:pt idx="0">
                  <c:v> Saldo 2018 </c:v>
                </c:pt>
              </c:strCache>
            </c:strRef>
          </c:tx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58-43D9-A5FD-E7BE6F5E56F4}"/>
                </c:ext>
              </c:extLst>
            </c:dLbl>
            <c:dLbl>
              <c:idx val="2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58-43D9-A5FD-E7BE6F5E56F4}"/>
                </c:ext>
              </c:extLst>
            </c:dLbl>
            <c:dLbl>
              <c:idx val="2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58-43D9-A5FD-E7BE6F5E56F4}"/>
                </c:ext>
              </c:extLst>
            </c:dLbl>
            <c:dLbl>
              <c:idx val="3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58-43D9-A5FD-E7BE6F5E56F4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Facturación_Procesada!$A$2:$A$30</c:f>
              <c:numCache>
                <c:formatCode>m/d/yyyy</c:formatCode>
                <c:ptCount val="29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</c:numCache>
            </c:numRef>
          </c:cat>
          <c:val>
            <c:numRef>
              <c:f>Facturación_Procesada!$J$2:$J$30</c:f>
              <c:numCache>
                <c:formatCode>_ * #,##0_ ;_ * \-#,##0_ ;_ * "-"??_ ;_ @_ </c:formatCode>
                <c:ptCount val="29"/>
                <c:pt idx="0">
                  <c:v>1415.11066591688</c:v>
                </c:pt>
                <c:pt idx="1">
                  <c:v>1435.55061529469</c:v>
                </c:pt>
                <c:pt idx="2">
                  <c:v>1422.2479142994</c:v>
                </c:pt>
                <c:pt idx="3">
                  <c:v>1423.8091352741101</c:v>
                </c:pt>
                <c:pt idx="4">
                  <c:v>1418.8044290646901</c:v>
                </c:pt>
                <c:pt idx="5">
                  <c:v>1417.89708424575</c:v>
                </c:pt>
                <c:pt idx="6">
                  <c:v>1417.89708424575</c:v>
                </c:pt>
                <c:pt idx="7">
                  <c:v>1417.89708424575</c:v>
                </c:pt>
                <c:pt idx="9">
                  <c:v>1407.9362353373599</c:v>
                </c:pt>
                <c:pt idx="10">
                  <c:v>1407.5301580160201</c:v>
                </c:pt>
                <c:pt idx="11">
                  <c:v>1397.01925690595</c:v>
                </c:pt>
                <c:pt idx="12">
                  <c:v>1390.8853272612</c:v>
                </c:pt>
                <c:pt idx="13">
                  <c:v>1390.8853272612</c:v>
                </c:pt>
                <c:pt idx="15">
                  <c:v>1351.9260227744801</c:v>
                </c:pt>
                <c:pt idx="16">
                  <c:v>1347.22175053772</c:v>
                </c:pt>
                <c:pt idx="17">
                  <c:v>1346.0933529992001</c:v>
                </c:pt>
                <c:pt idx="18">
                  <c:v>1346.8980683247501</c:v>
                </c:pt>
                <c:pt idx="19">
                  <c:v>1339.17876247908</c:v>
                </c:pt>
                <c:pt idx="21">
                  <c:v>1339.17876247908</c:v>
                </c:pt>
                <c:pt idx="22">
                  <c:v>1358.6235400005801</c:v>
                </c:pt>
                <c:pt idx="23">
                  <c:v>1365.3310018591401</c:v>
                </c:pt>
                <c:pt idx="24">
                  <c:v>1372.7869909769199</c:v>
                </c:pt>
                <c:pt idx="25">
                  <c:v>1377.9366708550999</c:v>
                </c:pt>
                <c:pt idx="26">
                  <c:v>1377.9366708550999</c:v>
                </c:pt>
                <c:pt idx="27">
                  <c:v>1377.9366708550999</c:v>
                </c:pt>
                <c:pt idx="28">
                  <c:v>1377.9366708550999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58-43D9-A5FD-E7BE6F5E5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327896"/>
        <c:axId val="470333776"/>
      </c:lineChart>
      <c:dateAx>
        <c:axId val="470327896"/>
        <c:scaling>
          <c:orientation val="minMax"/>
        </c:scaling>
        <c:delete val="0"/>
        <c:axPos val="b"/>
        <c:numFmt formatCode="dd/mm" sourceLinked="0"/>
        <c:majorTickMark val="out"/>
        <c:minorTickMark val="none"/>
        <c:tickLblPos val="nextTo"/>
        <c:crossAx val="470333776"/>
        <c:crosses val="autoZero"/>
        <c:auto val="1"/>
        <c:lblOffset val="100"/>
        <c:baseTimeUnit val="days"/>
      </c:dateAx>
      <c:valAx>
        <c:axId val="470333776"/>
        <c:scaling>
          <c:orientation val="minMax"/>
          <c:max val="1450"/>
          <c:min val="1300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crossAx val="4703278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Facturación_Procesada!$E$34</c:f>
              <c:strCache>
                <c:ptCount val="1"/>
                <c:pt idx="0">
                  <c:v>Ppto 2019 Amortizacion</c:v>
                </c:pt>
              </c:strCache>
            </c:strRef>
          </c:tx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1B2-4817-B19E-8EA214B676F7}"/>
                </c:ext>
              </c:extLst>
            </c:dLbl>
            <c:dLbl>
              <c:idx val="30"/>
              <c:layout>
                <c:manualLayout>
                  <c:x val="-3.4884021167887545E-2"/>
                  <c:y val="-3.37594731604531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1B2-4817-B19E-8EA214B676F7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Facturación_Procesada!$A$2:$A$30</c:f>
              <c:numCache>
                <c:formatCode>m/d/yyyy</c:formatCode>
                <c:ptCount val="29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</c:numCache>
            </c:numRef>
          </c:cat>
          <c:val>
            <c:numRef>
              <c:f>Facturación_Procesada!$E$35:$E$65</c:f>
              <c:numCache>
                <c:formatCode>_ * #,##0.00_ ;_ * \-#,##0.00_ ;_ * "-"??_ ;_ @_ </c:formatCode>
                <c:ptCount val="31"/>
                <c:pt idx="0">
                  <c:v>48.941756009722234</c:v>
                </c:pt>
                <c:pt idx="1">
                  <c:v>28.596808049299003</c:v>
                </c:pt>
                <c:pt idx="2">
                  <c:v>36.159413204508546</c:v>
                </c:pt>
                <c:pt idx="3">
                  <c:v>26.663052363803388</c:v>
                </c:pt>
                <c:pt idx="4">
                  <c:v>44.105812554981235</c:v>
                </c:pt>
                <c:pt idx="5">
                  <c:v>2.5791304890360833</c:v>
                </c:pt>
                <c:pt idx="6">
                  <c:v>1.2797583823375702</c:v>
                </c:pt>
                <c:pt idx="7">
                  <c:v>63.222815775629044</c:v>
                </c:pt>
                <c:pt idx="8">
                  <c:v>23.573058848380089</c:v>
                </c:pt>
                <c:pt idx="9">
                  <c:v>25.080776576474666</c:v>
                </c:pt>
                <c:pt idx="10">
                  <c:v>35.680592645289167</c:v>
                </c:pt>
                <c:pt idx="11">
                  <c:v>31.9486039634393</c:v>
                </c:pt>
                <c:pt idx="12">
                  <c:v>3.1132167701957125</c:v>
                </c:pt>
                <c:pt idx="13">
                  <c:v>1.6160063044565767</c:v>
                </c:pt>
                <c:pt idx="14">
                  <c:v>98.773490014680192</c:v>
                </c:pt>
                <c:pt idx="15">
                  <c:v>26.601775068581386</c:v>
                </c:pt>
                <c:pt idx="16">
                  <c:v>23.505708950788147</c:v>
                </c:pt>
                <c:pt idx="17">
                  <c:v>20.381977856216498</c:v>
                </c:pt>
                <c:pt idx="18">
                  <c:v>30.437064618895914</c:v>
                </c:pt>
                <c:pt idx="19">
                  <c:v>2.349369374534684</c:v>
                </c:pt>
                <c:pt idx="20">
                  <c:v>1.3600936284376581</c:v>
                </c:pt>
                <c:pt idx="21">
                  <c:v>34.90712256104198</c:v>
                </c:pt>
                <c:pt idx="22">
                  <c:v>14.804491390184225</c:v>
                </c:pt>
                <c:pt idx="23">
                  <c:v>14.210844521127708</c:v>
                </c:pt>
                <c:pt idx="24">
                  <c:v>16.076569431039328</c:v>
                </c:pt>
                <c:pt idx="25">
                  <c:v>3.5657894247723587</c:v>
                </c:pt>
                <c:pt idx="26">
                  <c:v>1.7565734072078847</c:v>
                </c:pt>
                <c:pt idx="27">
                  <c:v>1.6365519810121147</c:v>
                </c:pt>
                <c:pt idx="28">
                  <c:v>37.020519128319386</c:v>
                </c:pt>
                <c:pt idx="29">
                  <c:v>23.145219451092636</c:v>
                </c:pt>
                <c:pt idx="30">
                  <c:v>23.721149103129815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B2-4817-B19E-8EA214B676F7}"/>
            </c:ext>
          </c:extLst>
        </c:ser>
        <c:ser>
          <c:idx val="1"/>
          <c:order val="1"/>
          <c:tx>
            <c:strRef>
              <c:f>Facturación_Procesada!$J$34</c:f>
              <c:strCache>
                <c:ptCount val="1"/>
                <c:pt idx="0">
                  <c:v>Amort 2018</c:v>
                </c:pt>
              </c:strCache>
            </c:strRef>
          </c:tx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1B2-4817-B19E-8EA214B676F7}"/>
                </c:ext>
              </c:extLst>
            </c:dLbl>
            <c:dLbl>
              <c:idx val="30"/>
              <c:layout>
                <c:manualLayout>
                  <c:x val="-2.2509697888691876E-2"/>
                  <c:y val="2.63909186064685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1B2-4817-B19E-8EA214B676F7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Facturación_Procesada!$A$2:$A$30</c:f>
              <c:numCache>
                <c:formatCode>m/d/yyyy</c:formatCode>
                <c:ptCount val="29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</c:numCache>
            </c:numRef>
          </c:cat>
          <c:val>
            <c:numRef>
              <c:f>Facturación_Procesada!$J$35:$J$64</c:f>
              <c:numCache>
                <c:formatCode>_ * #,##0.00_ ;_ * \-#,##0.00_ ;_ * "-"??_ ;_ @_ </c:formatCode>
                <c:ptCount val="30"/>
                <c:pt idx="0">
                  <c:v>2.0520940947198869</c:v>
                </c:pt>
                <c:pt idx="1">
                  <c:v>47.637237047459841</c:v>
                </c:pt>
                <c:pt idx="2">
                  <c:v>31.614143431010007</c:v>
                </c:pt>
                <c:pt idx="3">
                  <c:v>19.731163813240052</c:v>
                </c:pt>
                <c:pt idx="4">
                  <c:v>22.942272122499944</c:v>
                </c:pt>
                <c:pt idx="5">
                  <c:v>21.648344894920111</c:v>
                </c:pt>
                <c:pt idx="6">
                  <c:v>2.0571268366498949</c:v>
                </c:pt>
                <c:pt idx="7">
                  <c:v>0.89012761490011216</c:v>
                </c:pt>
                <c:pt idx="8">
                  <c:v>53.372259376590016</c:v>
                </c:pt>
                <c:pt idx="9">
                  <c:v>20.551783118119957</c:v>
                </c:pt>
                <c:pt idx="10">
                  <c:v>20.057193441959857</c:v>
                </c:pt>
                <c:pt idx="11">
                  <c:v>29.408827352230073</c:v>
                </c:pt>
                <c:pt idx="12">
                  <c:v>26.332829934920074</c:v>
                </c:pt>
                <c:pt idx="13">
                  <c:v>2.5659902966001034</c:v>
                </c:pt>
                <c:pt idx="14">
                  <c:v>1.3319523831999303</c:v>
                </c:pt>
                <c:pt idx="15">
                  <c:v>90.520638669849873</c:v>
                </c:pt>
                <c:pt idx="16">
                  <c:v>24.379108894520044</c:v>
                </c:pt>
                <c:pt idx="17">
                  <c:v>21.541729327339887</c:v>
                </c:pt>
                <c:pt idx="18">
                  <c:v>18.678996283570051</c:v>
                </c:pt>
                <c:pt idx="19">
                  <c:v>27.893947334739924</c:v>
                </c:pt>
                <c:pt idx="20">
                  <c:v>2.1530718032000067</c:v>
                </c:pt>
                <c:pt idx="21">
                  <c:v>1.2464533133199216</c:v>
                </c:pt>
                <c:pt idx="22">
                  <c:v>31.990517170979977</c:v>
                </c:pt>
                <c:pt idx="23">
                  <c:v>13.567527234509946</c:v>
                </c:pt>
                <c:pt idx="24">
                  <c:v>13.023481522210359</c:v>
                </c:pt>
                <c:pt idx="25">
                  <c:v>14.733318953310013</c:v>
                </c:pt>
                <c:pt idx="26">
                  <c:v>3.2678559403400422</c:v>
                </c:pt>
                <c:pt idx="27">
                  <c:v>1.6098058969800473</c:v>
                </c:pt>
                <c:pt idx="28">
                  <c:v>1.4998126573801041</c:v>
                </c:pt>
                <c:pt idx="29">
                  <c:v>33.927332474399805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1B2-4817-B19E-8EA214B676F7}"/>
            </c:ext>
          </c:extLst>
        </c:ser>
        <c:ser>
          <c:idx val="2"/>
          <c:order val="2"/>
          <c:tx>
            <c:v>2019</c:v>
          </c:tx>
          <c:cat>
            <c:numRef>
              <c:f>Facturación_Procesada!$A$2:$A$30</c:f>
              <c:numCache>
                <c:formatCode>m/d/yyyy</c:formatCode>
                <c:ptCount val="29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</c:numCache>
            </c:numRef>
          </c:cat>
          <c:val>
            <c:numRef>
              <c:f>Facturación_Procesada!$H$35:$H$65</c:f>
              <c:numCache>
                <c:formatCode>_ * #,##0.00_ ;_ * \-#,##0.00_ ;_ * "-"??_ ;_ @_ </c:formatCode>
                <c:ptCount val="31"/>
                <c:pt idx="0">
                  <c:v>34.748121126381875</c:v>
                </c:pt>
                <c:pt idx="1">
                  <c:v>25.29250348749423</c:v>
                </c:pt>
                <c:pt idx="2">
                  <c:v>2.7468945050489904</c:v>
                </c:pt>
                <c:pt idx="3">
                  <c:v>1.5480194191188812</c:v>
                </c:pt>
                <c:pt idx="4">
                  <c:v>78.827554634369605</c:v>
                </c:pt>
                <c:pt idx="5">
                  <c:v>31.115982112729551</c:v>
                </c:pt>
                <c:pt idx="6">
                  <c:v>38.20182934409857</c:v>
                </c:pt>
                <c:pt idx="7">
                  <c:v>20.450106331822873</c:v>
                </c:pt>
                <c:pt idx="8">
                  <c:v>16.509722839534284</c:v>
                </c:pt>
                <c:pt idx="9">
                  <c:v>2.6166704168620107</c:v>
                </c:pt>
                <c:pt idx="10">
                  <c:v>1.4462830279431342</c:v>
                </c:pt>
                <c:pt idx="11">
                  <c:v>66.824070179426911</c:v>
                </c:pt>
                <c:pt idx="12">
                  <c:v>34.966667244908571</c:v>
                </c:pt>
                <c:pt idx="13">
                  <c:v>23.924165529320717</c:v>
                </c:pt>
                <c:pt idx="14">
                  <c:v>36.958995580402373</c:v>
                </c:pt>
                <c:pt idx="15">
                  <c:v>42.404747124199865</c:v>
                </c:pt>
                <c:pt idx="16">
                  <c:v>2.6745517348515988</c:v>
                </c:pt>
                <c:pt idx="17">
                  <c:v>1.5791774349815846</c:v>
                </c:pt>
                <c:pt idx="18">
                  <c:v>40.495095467179539</c:v>
                </c:pt>
                <c:pt idx="19">
                  <c:v>31.777858851044179</c:v>
                </c:pt>
                <c:pt idx="20">
                  <c:v>24.114074402338026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1B2-4817-B19E-8EA214B67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332208"/>
        <c:axId val="470334168"/>
      </c:lineChart>
      <c:dateAx>
        <c:axId val="4703322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70334168"/>
        <c:crosses val="autoZero"/>
        <c:auto val="1"/>
        <c:lblOffset val="100"/>
        <c:baseTimeUnit val="days"/>
      </c:dateAx>
      <c:valAx>
        <c:axId val="470334168"/>
        <c:scaling>
          <c:orientation val="minMax"/>
        </c:scaling>
        <c:delete val="0"/>
        <c:axPos val="l"/>
        <c:numFmt formatCode="_ * #,##0.00_ ;_ * \-#,##0.00_ ;_ * &quot;-&quot;??_ ;_ @_ " sourceLinked="1"/>
        <c:majorTickMark val="out"/>
        <c:minorTickMark val="none"/>
        <c:tickLblPos val="nextTo"/>
        <c:crossAx val="470332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Facturación_Procesada!$D$1</c:f>
              <c:strCache>
                <c:ptCount val="1"/>
                <c:pt idx="0">
                  <c:v>F.Procesada proy 2026</c:v>
                </c:pt>
              </c:strCache>
            </c:strRef>
          </c:tx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40A-49E7-B9CC-5F1C65413FF4}"/>
                </c:ext>
              </c:extLst>
            </c:dLbl>
            <c:dLbl>
              <c:idx val="30"/>
              <c:layout>
                <c:manualLayout>
                  <c:x val="-3.4884021167887545E-2"/>
                  <c:y val="-3.37594731604531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40A-49E7-B9CC-5F1C65413FF4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Facturación_Procesada!$A$2:$A$30</c:f>
              <c:numCache>
                <c:formatCode>m/d/yyyy</c:formatCode>
                <c:ptCount val="29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</c:numCache>
            </c:numRef>
          </c:cat>
          <c:val>
            <c:numRef>
              <c:f>Facturación_Procesada!$D$2:$D$30</c:f>
              <c:numCache>
                <c:formatCode>0.0</c:formatCode>
                <c:ptCount val="29"/>
                <c:pt idx="0">
                  <c:v>9.5445157107225054</c:v>
                </c:pt>
                <c:pt idx="1">
                  <c:v>184.4565882195387</c:v>
                </c:pt>
                <c:pt idx="2">
                  <c:v>53.375514183846221</c:v>
                </c:pt>
                <c:pt idx="3">
                  <c:v>43.204293331321715</c:v>
                </c:pt>
                <c:pt idx="4">
                  <c:v>44.174291079952241</c:v>
                </c:pt>
                <c:pt idx="5">
                  <c:v>43.486206171481463</c:v>
                </c:pt>
                <c:pt idx="6">
                  <c:v>10.688762015217568</c:v>
                </c:pt>
                <c:pt idx="7">
                  <c:v>7.691849774468972</c:v>
                </c:pt>
                <c:pt idx="8">
                  <c:v>158.77989794995602</c:v>
                </c:pt>
                <c:pt idx="9">
                  <c:v>56.190105190183296</c:v>
                </c:pt>
                <c:pt idx="10">
                  <c:v>57.186874075522837</c:v>
                </c:pt>
                <c:pt idx="11">
                  <c:v>46.851122856765841</c:v>
                </c:pt>
                <c:pt idx="12">
                  <c:v>39.030052194794642</c:v>
                </c:pt>
                <c:pt idx="13">
                  <c:v>9.6610037848985701</c:v>
                </c:pt>
                <c:pt idx="14">
                  <c:v>8.8123220149347574</c:v>
                </c:pt>
                <c:pt idx="15">
                  <c:v>155.84982092233327</c:v>
                </c:pt>
                <c:pt idx="16">
                  <c:v>59.305331517239857</c:v>
                </c:pt>
                <c:pt idx="17">
                  <c:v>56.504674904609338</c:v>
                </c:pt>
                <c:pt idx="18">
                  <c:v>49.846143914875825</c:v>
                </c:pt>
                <c:pt idx="19">
                  <c:v>49.685305436432849</c:v>
                </c:pt>
                <c:pt idx="20">
                  <c:v>12.18920985393277</c:v>
                </c:pt>
                <c:pt idx="21">
                  <c:v>9.4937474372336972</c:v>
                </c:pt>
                <c:pt idx="22">
                  <c:v>196.04573200948334</c:v>
                </c:pt>
                <c:pt idx="23">
                  <c:v>69.141168261912938</c:v>
                </c:pt>
                <c:pt idx="24">
                  <c:v>61.439205936378897</c:v>
                </c:pt>
                <c:pt idx="25">
                  <c:v>51.075863943842201</c:v>
                </c:pt>
                <c:pt idx="26">
                  <c:v>45.192678890905967</c:v>
                </c:pt>
                <c:pt idx="27">
                  <c:v>10.202886389248219</c:v>
                </c:pt>
                <c:pt idx="28">
                  <c:v>8.5321870966873021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0A-49E7-B9CC-5F1C65413FF4}"/>
            </c:ext>
          </c:extLst>
        </c:ser>
        <c:ser>
          <c:idx val="1"/>
          <c:order val="1"/>
          <c:tx>
            <c:strRef>
              <c:f>Facturación_Procesada!$C$34</c:f>
              <c:strCache>
                <c:ptCount val="1"/>
                <c:pt idx="0">
                  <c:v>F.Procesada 18</c:v>
                </c:pt>
              </c:strCache>
            </c:strRef>
          </c:tx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40A-49E7-B9CC-5F1C65413FF4}"/>
                </c:ext>
              </c:extLst>
            </c:dLbl>
            <c:dLbl>
              <c:idx val="30"/>
              <c:layout>
                <c:manualLayout>
                  <c:x val="-2.2509697888691876E-2"/>
                  <c:y val="2.63909186064685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40A-49E7-B9CC-5F1C65413FF4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Facturación_Procesada!$A$2:$A$30</c:f>
              <c:numCache>
                <c:formatCode>m/d/yyyy</c:formatCode>
                <c:ptCount val="29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</c:numCache>
            </c:numRef>
          </c:cat>
          <c:val>
            <c:numRef>
              <c:f>Facturación_Procesada!$D$35:$D$65</c:f>
              <c:numCache>
                <c:formatCode>0.0</c:formatCode>
                <c:ptCount val="31"/>
                <c:pt idx="0">
                  <c:v>2.0520940947200002</c:v>
                </c:pt>
                <c:pt idx="1">
                  <c:v>68.07718642527</c:v>
                </c:pt>
                <c:pt idx="2">
                  <c:v>18.31144243572</c:v>
                </c:pt>
                <c:pt idx="3">
                  <c:v>21.292384787949999</c:v>
                </c:pt>
                <c:pt idx="4">
                  <c:v>17.93756591308</c:v>
                </c:pt>
                <c:pt idx="5">
                  <c:v>20.741000075980001</c:v>
                </c:pt>
                <c:pt idx="6">
                  <c:v>2.0571268366500002</c:v>
                </c:pt>
                <c:pt idx="7">
                  <c:v>0.89012761490000003</c:v>
                </c:pt>
                <c:pt idx="8">
                  <c:v>45.049482190980001</c:v>
                </c:pt>
                <c:pt idx="9">
                  <c:v>18.913711395339998</c:v>
                </c:pt>
                <c:pt idx="10">
                  <c:v>19.651116120619999</c:v>
                </c:pt>
                <c:pt idx="11">
                  <c:v>18.89792624216</c:v>
                </c:pt>
                <c:pt idx="12">
                  <c:v>20.198900290169998</c:v>
                </c:pt>
                <c:pt idx="13">
                  <c:v>2.5659902965999999</c:v>
                </c:pt>
                <c:pt idx="14">
                  <c:v>1.3319523832</c:v>
                </c:pt>
                <c:pt idx="15">
                  <c:v>51.56133418313</c:v>
                </c:pt>
                <c:pt idx="16">
                  <c:v>19.67483665776</c:v>
                </c:pt>
                <c:pt idx="17">
                  <c:v>20.413331788819999</c:v>
                </c:pt>
                <c:pt idx="18">
                  <c:v>19.48371160912</c:v>
                </c:pt>
                <c:pt idx="19">
                  <c:v>20.174641489070002</c:v>
                </c:pt>
                <c:pt idx="20">
                  <c:v>2.1530718032</c:v>
                </c:pt>
                <c:pt idx="21">
                  <c:v>1.24645331332</c:v>
                </c:pt>
                <c:pt idx="22">
                  <c:v>51.435294692479999</c:v>
                </c:pt>
                <c:pt idx="23">
                  <c:v>20.274989093070001</c:v>
                </c:pt>
                <c:pt idx="24">
                  <c:v>20.479470639990002</c:v>
                </c:pt>
                <c:pt idx="25">
                  <c:v>19.882998831489999</c:v>
                </c:pt>
                <c:pt idx="26">
                  <c:v>3.26785594034</c:v>
                </c:pt>
                <c:pt idx="27">
                  <c:v>1.60980589698</c:v>
                </c:pt>
                <c:pt idx="28">
                  <c:v>1.4998126573799999</c:v>
                </c:pt>
                <c:pt idx="29">
                  <c:v>69.718423097799999</c:v>
                </c:pt>
                <c:pt idx="30">
                  <c:v>22.381777134130001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0A-49E7-B9CC-5F1C65413FF4}"/>
            </c:ext>
          </c:extLst>
        </c:ser>
        <c:ser>
          <c:idx val="2"/>
          <c:order val="2"/>
          <c:tx>
            <c:v>2019</c:v>
          </c:tx>
          <c:val>
            <c:numRef>
              <c:f>Facturación_Procesada!$D$2:$D$29</c:f>
              <c:numCache>
                <c:formatCode>0.0</c:formatCode>
                <c:ptCount val="28"/>
                <c:pt idx="0">
                  <c:v>9.5445157107225054</c:v>
                </c:pt>
                <c:pt idx="1">
                  <c:v>184.4565882195387</c:v>
                </c:pt>
                <c:pt idx="2">
                  <c:v>53.375514183846221</c:v>
                </c:pt>
                <c:pt idx="3">
                  <c:v>43.204293331321715</c:v>
                </c:pt>
                <c:pt idx="4">
                  <c:v>44.174291079952241</c:v>
                </c:pt>
                <c:pt idx="5">
                  <c:v>43.486206171481463</c:v>
                </c:pt>
                <c:pt idx="6">
                  <c:v>10.688762015217568</c:v>
                </c:pt>
                <c:pt idx="7">
                  <c:v>7.691849774468972</c:v>
                </c:pt>
                <c:pt idx="8">
                  <c:v>158.77989794995602</c:v>
                </c:pt>
                <c:pt idx="9">
                  <c:v>56.190105190183296</c:v>
                </c:pt>
                <c:pt idx="10">
                  <c:v>57.186874075522837</c:v>
                </c:pt>
                <c:pt idx="11">
                  <c:v>46.851122856765841</c:v>
                </c:pt>
                <c:pt idx="12">
                  <c:v>39.030052194794642</c:v>
                </c:pt>
                <c:pt idx="13">
                  <c:v>9.6610037848985701</c:v>
                </c:pt>
                <c:pt idx="14">
                  <c:v>8.8123220149347574</c:v>
                </c:pt>
                <c:pt idx="15">
                  <c:v>155.84982092233327</c:v>
                </c:pt>
                <c:pt idx="16">
                  <c:v>59.305331517239857</c:v>
                </c:pt>
                <c:pt idx="17">
                  <c:v>56.504674904609338</c:v>
                </c:pt>
                <c:pt idx="18">
                  <c:v>49.846143914875825</c:v>
                </c:pt>
                <c:pt idx="19">
                  <c:v>49.685305436432849</c:v>
                </c:pt>
                <c:pt idx="20">
                  <c:v>12.18920985393277</c:v>
                </c:pt>
                <c:pt idx="21">
                  <c:v>9.4937474372336972</c:v>
                </c:pt>
                <c:pt idx="22">
                  <c:v>196.04573200948334</c:v>
                </c:pt>
                <c:pt idx="23">
                  <c:v>69.141168261912938</c:v>
                </c:pt>
                <c:pt idx="24">
                  <c:v>61.439205936378897</c:v>
                </c:pt>
                <c:pt idx="25">
                  <c:v>51.075863943842201</c:v>
                </c:pt>
                <c:pt idx="26">
                  <c:v>45.192678890905967</c:v>
                </c:pt>
                <c:pt idx="27">
                  <c:v>10.202886389248219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40A-49E7-B9CC-5F1C65413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334560"/>
        <c:axId val="470328680"/>
      </c:lineChart>
      <c:dateAx>
        <c:axId val="4703345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70328680"/>
        <c:crosses val="autoZero"/>
        <c:auto val="1"/>
        <c:lblOffset val="100"/>
        <c:baseTimeUnit val="days"/>
      </c:dateAx>
      <c:valAx>
        <c:axId val="470328680"/>
        <c:scaling>
          <c:orientation val="minMax"/>
        </c:scaling>
        <c:delete val="0"/>
        <c:axPos val="l"/>
        <c:numFmt formatCode="0.0" sourceLinked="1"/>
        <c:majorTickMark val="out"/>
        <c:minorTickMark val="none"/>
        <c:tickLblPos val="nextTo"/>
        <c:crossAx val="4703345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9715183513893705E-2"/>
          <c:y val="3.7382231072465091E-2"/>
          <c:w val="0.75942586063053019"/>
          <c:h val="0.75680419862779991"/>
        </c:manualLayout>
      </c:layout>
      <c:lineChart>
        <c:grouping val="standard"/>
        <c:varyColors val="0"/>
        <c:ser>
          <c:idx val="0"/>
          <c:order val="0"/>
          <c:tx>
            <c:strRef>
              <c:f>'Facturación_Procesada - Prop'!$E$1</c:f>
              <c:strCache>
                <c:ptCount val="1"/>
                <c:pt idx="0">
                  <c:v>Factu proces. Real</c:v>
                </c:pt>
              </c:strCache>
            </c:strRef>
          </c:tx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424-41B9-9947-516F75AE1A2D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24-41B9-9947-516F75AE1A2D}"/>
                </c:ext>
              </c:extLst>
            </c:dLbl>
            <c:dLbl>
              <c:idx val="3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424-41B9-9947-516F75AE1A2D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'Facturación_Procesada - Prop'!$A$2:$A$30</c:f>
              <c:numCache>
                <c:formatCode>m/d/yyyy</c:formatCode>
                <c:ptCount val="29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</c:numCache>
            </c:numRef>
          </c:cat>
          <c:val>
            <c:numRef>
              <c:f>'Facturación_Procesada - Prop'!$E$2:$E$30</c:f>
              <c:numCache>
                <c:formatCode>0.0</c:formatCode>
                <c:ptCount val="29"/>
                <c:pt idx="0">
                  <c:v>70.428004133599998</c:v>
                </c:pt>
                <c:pt idx="1">
                  <c:v>10.787250748120002</c:v>
                </c:pt>
                <c:pt idx="2">
                  <c:v>8.0502084999600001</c:v>
                </c:pt>
                <c:pt idx="3">
                  <c:v>12.69941252393</c:v>
                </c:pt>
                <c:pt idx="4">
                  <c:v>8.6619602775000004</c:v>
                </c:pt>
                <c:pt idx="5">
                  <c:v>162.12057974266</c:v>
                </c:pt>
                <c:pt idx="6">
                  <c:v>104.1800365022</c:v>
                </c:pt>
                <c:pt idx="7">
                  <c:v>61.406520915430001</c:v>
                </c:pt>
                <c:pt idx="8">
                  <c:v>54.547639863139999</c:v>
                </c:pt>
                <c:pt idx="9">
                  <c:v>53.459968541789998</c:v>
                </c:pt>
                <c:pt idx="10">
                  <c:v>12.02524675492</c:v>
                </c:pt>
                <c:pt idx="11">
                  <c:v>5.9461887467999999</c:v>
                </c:pt>
                <c:pt idx="12">
                  <c:v>130.15225536398998</c:v>
                </c:pt>
                <c:pt idx="13">
                  <c:v>56.64403934952</c:v>
                </c:pt>
                <c:pt idx="14">
                  <c:v>57.989002539040001</c:v>
                </c:pt>
                <c:pt idx="15">
                  <c:v>60.57184565811</c:v>
                </c:pt>
                <c:pt idx="16">
                  <c:v>54.556368077979997</c:v>
                </c:pt>
                <c:pt idx="17">
                  <c:v>12.8373055307</c:v>
                </c:pt>
                <c:pt idx="18">
                  <c:v>7.9153569450600001</c:v>
                </c:pt>
                <c:pt idx="19">
                  <c:v>112.33511530218</c:v>
                </c:pt>
                <c:pt idx="20">
                  <c:v>75.209032820320004</c:v>
                </c:pt>
                <c:pt idx="21">
                  <c:v>68.642003218949995</c:v>
                </c:pt>
                <c:pt idx="22">
                  <c:v>63.285337468290003</c:v>
                </c:pt>
                <c:pt idx="23">
                  <c:v>99.149147997550003</c:v>
                </c:pt>
                <c:pt idx="24">
                  <c:v>11.140821115350001</c:v>
                </c:pt>
                <c:pt idx="25">
                  <c:v>6.6966506369900003</c:v>
                </c:pt>
                <c:pt idx="26">
                  <c:v>124.18216422364</c:v>
                </c:pt>
                <c:pt idx="27">
                  <c:v>81.345791830910002</c:v>
                </c:pt>
                <c:pt idx="28">
                  <c:v>61.350800531270004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24-41B9-9947-516F75AE1A2D}"/>
            </c:ext>
          </c:extLst>
        </c:ser>
        <c:ser>
          <c:idx val="2"/>
          <c:order val="1"/>
          <c:tx>
            <c:strRef>
              <c:f>'Facturación_Procesada - Prop'!$F$1</c:f>
              <c:strCache>
                <c:ptCount val="1"/>
                <c:pt idx="0">
                  <c:v>Proy Segmento</c:v>
                </c:pt>
              </c:strCache>
            </c:strRef>
          </c:tx>
          <c:dLbls>
            <c:dLbl>
              <c:idx val="29"/>
              <c:layout>
                <c:manualLayout>
                  <c:x val="1.0760550635168925E-2"/>
                  <c:y val="-4.69375988646275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424-41B9-9947-516F75AE1A2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'Facturación_Procesada - Prop'!$A$2:$A$30</c:f>
              <c:numCache>
                <c:formatCode>m/d/yyyy</c:formatCode>
                <c:ptCount val="29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</c:numCache>
            </c:numRef>
          </c:cat>
          <c:val>
            <c:numRef>
              <c:f>'Facturación_Procesada - Prop'!$F$2:$F$30</c:f>
              <c:numCache>
                <c:formatCode>0.0</c:formatCode>
                <c:ptCount val="29"/>
                <c:pt idx="0">
                  <c:v>19.6147332</c:v>
                </c:pt>
                <c:pt idx="1">
                  <c:v>148.86146094</c:v>
                </c:pt>
                <c:pt idx="2">
                  <c:v>56.032304229999994</c:v>
                </c:pt>
                <c:pt idx="3">
                  <c:v>55.461259210000001</c:v>
                </c:pt>
                <c:pt idx="4">
                  <c:v>59.080512520000006</c:v>
                </c:pt>
                <c:pt idx="5">
                  <c:v>52.412228799999994</c:v>
                </c:pt>
                <c:pt idx="6">
                  <c:v>8.7938319499999995</c:v>
                </c:pt>
                <c:pt idx="7">
                  <c:v>5.2622407400000002</c:v>
                </c:pt>
                <c:pt idx="8">
                  <c:v>126.42285951000001</c:v>
                </c:pt>
                <c:pt idx="9">
                  <c:v>51.073291689999998</c:v>
                </c:pt>
                <c:pt idx="10">
                  <c:v>55.608723850000004</c:v>
                </c:pt>
                <c:pt idx="11">
                  <c:v>54.402307520000001</c:v>
                </c:pt>
                <c:pt idx="12">
                  <c:v>57.149883299999999</c:v>
                </c:pt>
                <c:pt idx="13">
                  <c:v>9.8934055000000001</c:v>
                </c:pt>
                <c:pt idx="14">
                  <c:v>7.0113320899999998</c:v>
                </c:pt>
                <c:pt idx="15">
                  <c:v>136.04305733000001</c:v>
                </c:pt>
                <c:pt idx="16">
                  <c:v>56.353396368938284</c:v>
                </c:pt>
                <c:pt idx="17">
                  <c:v>58.445056475180351</c:v>
                </c:pt>
                <c:pt idx="18">
                  <c:v>64.54103058695307</c:v>
                </c:pt>
                <c:pt idx="19">
                  <c:v>61.014435882284182</c:v>
                </c:pt>
                <c:pt idx="20">
                  <c:v>10.242055093211764</c:v>
                </c:pt>
                <c:pt idx="21">
                  <c:v>5.3943857310432195</c:v>
                </c:pt>
                <c:pt idx="22">
                  <c:v>134.8967011160955</c:v>
                </c:pt>
                <c:pt idx="23">
                  <c:v>57.392355787046057</c:v>
                </c:pt>
                <c:pt idx="24">
                  <c:v>60.911542538917431</c:v>
                </c:pt>
                <c:pt idx="25">
                  <c:v>64.705309910038963</c:v>
                </c:pt>
                <c:pt idx="26">
                  <c:v>62.045187889231187</c:v>
                </c:pt>
                <c:pt idx="27">
                  <c:v>13.882653760370486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24-41B9-9947-516F75AE1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327504"/>
        <c:axId val="470315352"/>
      </c:lineChart>
      <c:dateAx>
        <c:axId val="47032750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70315352"/>
        <c:crosses val="autoZero"/>
        <c:auto val="1"/>
        <c:lblOffset val="100"/>
        <c:baseTimeUnit val="days"/>
      </c:dateAx>
      <c:valAx>
        <c:axId val="470315352"/>
        <c:scaling>
          <c:orientation val="minMax"/>
          <c:max val="1940"/>
          <c:min val="1720"/>
        </c:scaling>
        <c:delete val="0"/>
        <c:axPos val="l"/>
        <c:numFmt formatCode="0.0" sourceLinked="1"/>
        <c:majorTickMark val="out"/>
        <c:minorTickMark val="none"/>
        <c:tickLblPos val="nextTo"/>
        <c:crossAx val="4703275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'Facturación_Procesada - Prop'!$J$1</c:f>
              <c:strCache>
                <c:ptCount val="1"/>
                <c:pt idx="0">
                  <c:v> Saldo 2018 </c:v>
                </c:pt>
              </c:strCache>
            </c:strRef>
          </c:tx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511-46FF-80F3-A54569E4DD0E}"/>
                </c:ext>
              </c:extLst>
            </c:dLbl>
            <c:dLbl>
              <c:idx val="2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511-46FF-80F3-A54569E4DD0E}"/>
                </c:ext>
              </c:extLst>
            </c:dLbl>
            <c:dLbl>
              <c:idx val="2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11-46FF-80F3-A54569E4DD0E}"/>
                </c:ext>
              </c:extLst>
            </c:dLbl>
            <c:dLbl>
              <c:idx val="3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11-46FF-80F3-A54569E4DD0E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'Facturación_Procesada - Prop'!$A$2:$A$30</c:f>
              <c:numCache>
                <c:formatCode>m/d/yyyy</c:formatCode>
                <c:ptCount val="29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</c:numCache>
            </c:numRef>
          </c:cat>
          <c:val>
            <c:numRef>
              <c:f>'Facturación_Procesada - Prop'!$J$2:$J$30</c:f>
              <c:numCache>
                <c:formatCode>_ * #,##0_ ;_ * \-#,##0_ ;_ * "-"??_ ;_ @_ </c:formatCode>
                <c:ptCount val="29"/>
                <c:pt idx="0">
                  <c:v>1415.11066591688</c:v>
                </c:pt>
                <c:pt idx="1">
                  <c:v>1435.55061529469</c:v>
                </c:pt>
                <c:pt idx="2">
                  <c:v>1422.2479142994</c:v>
                </c:pt>
                <c:pt idx="3">
                  <c:v>1423.8091352741101</c:v>
                </c:pt>
                <c:pt idx="4">
                  <c:v>1418.8044290646901</c:v>
                </c:pt>
                <c:pt idx="5">
                  <c:v>1417.89708424575</c:v>
                </c:pt>
                <c:pt idx="6">
                  <c:v>1417.89708424575</c:v>
                </c:pt>
                <c:pt idx="7">
                  <c:v>1417.89708424575</c:v>
                </c:pt>
                <c:pt idx="9">
                  <c:v>1407.9362353373599</c:v>
                </c:pt>
                <c:pt idx="10">
                  <c:v>1407.5301580160201</c:v>
                </c:pt>
                <c:pt idx="11">
                  <c:v>1397.01925690595</c:v>
                </c:pt>
                <c:pt idx="12">
                  <c:v>1390.8853272612</c:v>
                </c:pt>
                <c:pt idx="13">
                  <c:v>1390.8853272612</c:v>
                </c:pt>
                <c:pt idx="15">
                  <c:v>1351.9260227744801</c:v>
                </c:pt>
                <c:pt idx="16">
                  <c:v>1347.22175053772</c:v>
                </c:pt>
                <c:pt idx="17">
                  <c:v>1346.0933529992001</c:v>
                </c:pt>
                <c:pt idx="18">
                  <c:v>1346.8980683247501</c:v>
                </c:pt>
                <c:pt idx="19">
                  <c:v>1339.17876247908</c:v>
                </c:pt>
                <c:pt idx="21">
                  <c:v>1339.17876247908</c:v>
                </c:pt>
                <c:pt idx="22">
                  <c:v>1358.6235400005801</c:v>
                </c:pt>
                <c:pt idx="23">
                  <c:v>1365.3310018591401</c:v>
                </c:pt>
                <c:pt idx="24">
                  <c:v>1372.7869909769199</c:v>
                </c:pt>
                <c:pt idx="25">
                  <c:v>1377.9366708550999</c:v>
                </c:pt>
                <c:pt idx="26">
                  <c:v>1377.9366708550999</c:v>
                </c:pt>
                <c:pt idx="27">
                  <c:v>1377.9366708550999</c:v>
                </c:pt>
                <c:pt idx="28">
                  <c:v>1377.9366708550999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11-46FF-80F3-A54569E4D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327896"/>
        <c:axId val="470333776"/>
      </c:lineChart>
      <c:dateAx>
        <c:axId val="470327896"/>
        <c:scaling>
          <c:orientation val="minMax"/>
        </c:scaling>
        <c:delete val="0"/>
        <c:axPos val="b"/>
        <c:numFmt formatCode="dd/mm" sourceLinked="0"/>
        <c:majorTickMark val="out"/>
        <c:minorTickMark val="none"/>
        <c:tickLblPos val="nextTo"/>
        <c:crossAx val="470333776"/>
        <c:crosses val="autoZero"/>
        <c:auto val="1"/>
        <c:lblOffset val="100"/>
        <c:baseTimeUnit val="days"/>
      </c:dateAx>
      <c:valAx>
        <c:axId val="470333776"/>
        <c:scaling>
          <c:orientation val="minMax"/>
          <c:max val="1450"/>
          <c:min val="1300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crossAx val="4703278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'Facturación_Procesada - Prop'!$E$33</c:f>
              <c:strCache>
                <c:ptCount val="1"/>
                <c:pt idx="0">
                  <c:v>Ppto 2019 Amortizacion</c:v>
                </c:pt>
              </c:strCache>
            </c:strRef>
          </c:tx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CA5-474C-B4EA-42F88CD6959B}"/>
                </c:ext>
              </c:extLst>
            </c:dLbl>
            <c:dLbl>
              <c:idx val="30"/>
              <c:layout>
                <c:manualLayout>
                  <c:x val="-3.4884021167887545E-2"/>
                  <c:y val="-3.37594731604531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A5-474C-B4EA-42F88CD6959B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'Facturación_Procesada - Prop'!$A$2:$A$30</c:f>
              <c:numCache>
                <c:formatCode>m/d/yyyy</c:formatCode>
                <c:ptCount val="29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</c:numCache>
            </c:numRef>
          </c:cat>
          <c:val>
            <c:numRef>
              <c:f>'Facturación_Procesada - Prop'!$E$34:$E$64</c:f>
              <c:numCache>
                <c:formatCode>_ * #,##0.00_ ;_ * \-#,##0.00_ ;_ * "-"??_ ;_ @_ </c:formatCode>
                <c:ptCount val="31"/>
                <c:pt idx="0">
                  <c:v>48.941756009722234</c:v>
                </c:pt>
                <c:pt idx="1">
                  <c:v>28.596808049299003</c:v>
                </c:pt>
                <c:pt idx="2">
                  <c:v>36.159413204508546</c:v>
                </c:pt>
                <c:pt idx="3">
                  <c:v>26.663052363803388</c:v>
                </c:pt>
                <c:pt idx="4">
                  <c:v>44.105812554981235</c:v>
                </c:pt>
                <c:pt idx="5">
                  <c:v>2.5791304890360833</c:v>
                </c:pt>
                <c:pt idx="6">
                  <c:v>1.2797583823375702</c:v>
                </c:pt>
                <c:pt idx="7">
                  <c:v>63.222815775629044</c:v>
                </c:pt>
                <c:pt idx="8">
                  <c:v>23.573058848380089</c:v>
                </c:pt>
                <c:pt idx="9">
                  <c:v>25.080776576474666</c:v>
                </c:pt>
                <c:pt idx="10">
                  <c:v>35.680592645289167</c:v>
                </c:pt>
                <c:pt idx="11">
                  <c:v>31.9486039634393</c:v>
                </c:pt>
                <c:pt idx="12">
                  <c:v>3.1132167701957125</c:v>
                </c:pt>
                <c:pt idx="13">
                  <c:v>1.6160063044565767</c:v>
                </c:pt>
                <c:pt idx="14">
                  <c:v>98.773490014680192</c:v>
                </c:pt>
                <c:pt idx="15">
                  <c:v>26.601775068581386</c:v>
                </c:pt>
                <c:pt idx="16">
                  <c:v>23.505708950788147</c:v>
                </c:pt>
                <c:pt idx="17">
                  <c:v>20.381977856216498</c:v>
                </c:pt>
                <c:pt idx="18">
                  <c:v>30.437064618895914</c:v>
                </c:pt>
                <c:pt idx="19">
                  <c:v>2.349369374534684</c:v>
                </c:pt>
                <c:pt idx="20">
                  <c:v>1.3600936284376581</c:v>
                </c:pt>
                <c:pt idx="21">
                  <c:v>34.90712256104198</c:v>
                </c:pt>
                <c:pt idx="22">
                  <c:v>14.804491390184225</c:v>
                </c:pt>
                <c:pt idx="23">
                  <c:v>14.210844521127708</c:v>
                </c:pt>
                <c:pt idx="24">
                  <c:v>16.076569431039328</c:v>
                </c:pt>
                <c:pt idx="25">
                  <c:v>3.5657894247723587</c:v>
                </c:pt>
                <c:pt idx="26">
                  <c:v>1.7565734072078847</c:v>
                </c:pt>
                <c:pt idx="27">
                  <c:v>1.6365519810121147</c:v>
                </c:pt>
                <c:pt idx="28">
                  <c:v>37.020519128319386</c:v>
                </c:pt>
                <c:pt idx="29">
                  <c:v>23.145219451092636</c:v>
                </c:pt>
                <c:pt idx="30">
                  <c:v>23.721149103129815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A5-474C-B4EA-42F88CD6959B}"/>
            </c:ext>
          </c:extLst>
        </c:ser>
        <c:ser>
          <c:idx val="1"/>
          <c:order val="1"/>
          <c:tx>
            <c:strRef>
              <c:f>'Facturación_Procesada - Prop'!$J$33</c:f>
              <c:strCache>
                <c:ptCount val="1"/>
                <c:pt idx="0">
                  <c:v>Amort 2018</c:v>
                </c:pt>
              </c:strCache>
            </c:strRef>
          </c:tx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A5-474C-B4EA-42F88CD6959B}"/>
                </c:ext>
              </c:extLst>
            </c:dLbl>
            <c:dLbl>
              <c:idx val="30"/>
              <c:layout>
                <c:manualLayout>
                  <c:x val="-2.2509697888691876E-2"/>
                  <c:y val="2.63909186064685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CA5-474C-B4EA-42F88CD6959B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'Facturación_Procesada - Prop'!$A$2:$A$30</c:f>
              <c:numCache>
                <c:formatCode>m/d/yyyy</c:formatCode>
                <c:ptCount val="29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</c:numCache>
            </c:numRef>
          </c:cat>
          <c:val>
            <c:numRef>
              <c:f>'Facturación_Procesada - Prop'!$J$34:$J$63</c:f>
              <c:numCache>
                <c:formatCode>_ * #,##0.00_ ;_ * \-#,##0.00_ ;_ * "-"??_ ;_ @_ </c:formatCode>
                <c:ptCount val="30"/>
                <c:pt idx="0">
                  <c:v>2.0520940947198869</c:v>
                </c:pt>
                <c:pt idx="1">
                  <c:v>47.637237047459841</c:v>
                </c:pt>
                <c:pt idx="2">
                  <c:v>31.614143431010007</c:v>
                </c:pt>
                <c:pt idx="3">
                  <c:v>19.731163813240052</c:v>
                </c:pt>
                <c:pt idx="4">
                  <c:v>22.942272122499944</c:v>
                </c:pt>
                <c:pt idx="5">
                  <c:v>21.648344894920111</c:v>
                </c:pt>
                <c:pt idx="6">
                  <c:v>2.0571268366498949</c:v>
                </c:pt>
                <c:pt idx="7">
                  <c:v>0.89012761490011216</c:v>
                </c:pt>
                <c:pt idx="8">
                  <c:v>53.372259376590016</c:v>
                </c:pt>
                <c:pt idx="9">
                  <c:v>20.551783118119957</c:v>
                </c:pt>
                <c:pt idx="10">
                  <c:v>20.057193441959857</c:v>
                </c:pt>
                <c:pt idx="11">
                  <c:v>29.408827352230073</c:v>
                </c:pt>
                <c:pt idx="12">
                  <c:v>26.332829934920074</c:v>
                </c:pt>
                <c:pt idx="13">
                  <c:v>2.5659902966001034</c:v>
                </c:pt>
                <c:pt idx="14">
                  <c:v>1.3319523831999303</c:v>
                </c:pt>
                <c:pt idx="15">
                  <c:v>90.520638669849873</c:v>
                </c:pt>
                <c:pt idx="16">
                  <c:v>24.379108894520044</c:v>
                </c:pt>
                <c:pt idx="17">
                  <c:v>21.541729327339887</c:v>
                </c:pt>
                <c:pt idx="18">
                  <c:v>18.678996283570051</c:v>
                </c:pt>
                <c:pt idx="19">
                  <c:v>27.893947334739924</c:v>
                </c:pt>
                <c:pt idx="20">
                  <c:v>2.1530718032000067</c:v>
                </c:pt>
                <c:pt idx="21">
                  <c:v>1.2464533133199216</c:v>
                </c:pt>
                <c:pt idx="22">
                  <c:v>31.990517170979977</c:v>
                </c:pt>
                <c:pt idx="23">
                  <c:v>13.567527234509946</c:v>
                </c:pt>
                <c:pt idx="24">
                  <c:v>13.023481522210359</c:v>
                </c:pt>
                <c:pt idx="25">
                  <c:v>14.733318953310013</c:v>
                </c:pt>
                <c:pt idx="26">
                  <c:v>3.2678559403400422</c:v>
                </c:pt>
                <c:pt idx="27">
                  <c:v>1.6098058969800473</c:v>
                </c:pt>
                <c:pt idx="28">
                  <c:v>1.4998126573801041</c:v>
                </c:pt>
                <c:pt idx="29">
                  <c:v>33.927332474399805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CA5-474C-B4EA-42F88CD6959B}"/>
            </c:ext>
          </c:extLst>
        </c:ser>
        <c:ser>
          <c:idx val="2"/>
          <c:order val="2"/>
          <c:tx>
            <c:v>2019</c:v>
          </c:tx>
          <c:cat>
            <c:numRef>
              <c:f>'Facturación_Procesada - Prop'!$A$2:$A$30</c:f>
              <c:numCache>
                <c:formatCode>m/d/yyyy</c:formatCode>
                <c:ptCount val="29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</c:numCache>
            </c:numRef>
          </c:cat>
          <c:val>
            <c:numRef>
              <c:f>'Facturación_Procesada - Prop'!$H$34:$H$64</c:f>
              <c:numCache>
                <c:formatCode>_ * #,##0.00_ ;_ * \-#,##0.00_ ;_ * "-"??_ ;_ @_ </c:formatCode>
                <c:ptCount val="31"/>
                <c:pt idx="0">
                  <c:v>34.748121126381875</c:v>
                </c:pt>
                <c:pt idx="1">
                  <c:v>25.29250348749423</c:v>
                </c:pt>
                <c:pt idx="2">
                  <c:v>2.7468945050489904</c:v>
                </c:pt>
                <c:pt idx="3">
                  <c:v>1.5480194191188812</c:v>
                </c:pt>
                <c:pt idx="4">
                  <c:v>78.827554634369605</c:v>
                </c:pt>
                <c:pt idx="5">
                  <c:v>31.115982112729551</c:v>
                </c:pt>
                <c:pt idx="6">
                  <c:v>38.20182934409857</c:v>
                </c:pt>
                <c:pt idx="7">
                  <c:v>20.450106331822873</c:v>
                </c:pt>
                <c:pt idx="8">
                  <c:v>16.509722839534284</c:v>
                </c:pt>
                <c:pt idx="9">
                  <c:v>2.6166704168620107</c:v>
                </c:pt>
                <c:pt idx="10">
                  <c:v>1.4462830279431342</c:v>
                </c:pt>
                <c:pt idx="11">
                  <c:v>66.824070179426911</c:v>
                </c:pt>
                <c:pt idx="12">
                  <c:v>34.966667244908571</c:v>
                </c:pt>
                <c:pt idx="13">
                  <c:v>23.924165529320717</c:v>
                </c:pt>
                <c:pt idx="14">
                  <c:v>36.958995580402373</c:v>
                </c:pt>
                <c:pt idx="15">
                  <c:v>42.404747124199865</c:v>
                </c:pt>
                <c:pt idx="16">
                  <c:v>2.6745517348515988</c:v>
                </c:pt>
                <c:pt idx="17">
                  <c:v>1.5791774349815846</c:v>
                </c:pt>
                <c:pt idx="18">
                  <c:v>40.495095467179539</c:v>
                </c:pt>
                <c:pt idx="19">
                  <c:v>31.777858851044179</c:v>
                </c:pt>
                <c:pt idx="20">
                  <c:v>24.114074402338026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CA5-474C-B4EA-42F88CD69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332208"/>
        <c:axId val="470334168"/>
      </c:lineChart>
      <c:dateAx>
        <c:axId val="4703322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70334168"/>
        <c:crosses val="autoZero"/>
        <c:auto val="1"/>
        <c:lblOffset val="100"/>
        <c:baseTimeUnit val="days"/>
      </c:dateAx>
      <c:valAx>
        <c:axId val="470334168"/>
        <c:scaling>
          <c:orientation val="minMax"/>
        </c:scaling>
        <c:delete val="0"/>
        <c:axPos val="l"/>
        <c:numFmt formatCode="_ * #,##0.00_ ;_ * \-#,##0.00_ ;_ * &quot;-&quot;??_ ;_ @_ " sourceLinked="1"/>
        <c:majorTickMark val="out"/>
        <c:minorTickMark val="none"/>
        <c:tickLblPos val="nextTo"/>
        <c:crossAx val="470332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'Facturación_Procesada - Prop'!$D$1</c:f>
              <c:strCache>
                <c:ptCount val="1"/>
                <c:pt idx="0">
                  <c:v>F.Procesada proy 2026</c:v>
                </c:pt>
              </c:strCache>
            </c:strRef>
          </c:tx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6CF-4DF1-ACD3-15B2F0914464}"/>
                </c:ext>
              </c:extLst>
            </c:dLbl>
            <c:dLbl>
              <c:idx val="30"/>
              <c:layout>
                <c:manualLayout>
                  <c:x val="-3.4884021167887545E-2"/>
                  <c:y val="-3.37594731604531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6CF-4DF1-ACD3-15B2F0914464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'Facturación_Procesada - Prop'!$A$2:$A$30</c:f>
              <c:numCache>
                <c:formatCode>m/d/yyyy</c:formatCode>
                <c:ptCount val="29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</c:numCache>
            </c:numRef>
          </c:cat>
          <c:val>
            <c:numRef>
              <c:f>'Facturación_Procesada - Prop'!$D$2:$D$30</c:f>
              <c:numCache>
                <c:formatCode>0.0</c:formatCode>
                <c:ptCount val="29"/>
                <c:pt idx="0">
                  <c:v>66.463990854269809</c:v>
                </c:pt>
                <c:pt idx="1">
                  <c:v>54.691049827463189</c:v>
                </c:pt>
                <c:pt idx="2">
                  <c:v>49.505622672881849</c:v>
                </c:pt>
                <c:pt idx="3">
                  <c:v>10.000961066721317</c:v>
                </c:pt>
                <c:pt idx="4">
                  <c:v>6.4622255701534925</c:v>
                </c:pt>
                <c:pt idx="5">
                  <c:v>120.40300852926845</c:v>
                </c:pt>
                <c:pt idx="6">
                  <c:v>58.986822615230381</c:v>
                </c:pt>
                <c:pt idx="7">
                  <c:v>61.05977196651353</c:v>
                </c:pt>
                <c:pt idx="8">
                  <c:v>61.232814515738262</c:v>
                </c:pt>
                <c:pt idx="9">
                  <c:v>54.07691448213339</c:v>
                </c:pt>
                <c:pt idx="10">
                  <c:v>10.652614034811185</c:v>
                </c:pt>
                <c:pt idx="11">
                  <c:v>5.4014903852224467</c:v>
                </c:pt>
                <c:pt idx="12">
                  <c:v>123.31029180826519</c:v>
                </c:pt>
                <c:pt idx="13">
                  <c:v>53.579883194209884</c:v>
                </c:pt>
                <c:pt idx="14">
                  <c:v>60.571801729117212</c:v>
                </c:pt>
                <c:pt idx="15">
                  <c:v>65.915400802507406</c:v>
                </c:pt>
                <c:pt idx="16">
                  <c:v>56.906782282990193</c:v>
                </c:pt>
                <c:pt idx="17">
                  <c:v>11.051215962002889</c:v>
                </c:pt>
                <c:pt idx="18">
                  <c:v>6.6989555530962086</c:v>
                </c:pt>
                <c:pt idx="19">
                  <c:v>137.09497734064016</c:v>
                </c:pt>
                <c:pt idx="20">
                  <c:v>72.937023950873126</c:v>
                </c:pt>
                <c:pt idx="21">
                  <c:v>72.419611764206053</c:v>
                </c:pt>
                <c:pt idx="22">
                  <c:v>76.382174300463745</c:v>
                </c:pt>
                <c:pt idx="23">
                  <c:v>66.429986482628706</c:v>
                </c:pt>
                <c:pt idx="24">
                  <c:v>11.024943661550619</c:v>
                </c:pt>
                <c:pt idx="25">
                  <c:v>6.9631894172871949</c:v>
                </c:pt>
                <c:pt idx="26">
                  <c:v>135.24551947741068</c:v>
                </c:pt>
                <c:pt idx="27">
                  <c:v>56.582630930064063</c:v>
                </c:pt>
                <c:pt idx="28">
                  <c:v>62.59945030512165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CF-4DF1-ACD3-15B2F0914464}"/>
            </c:ext>
          </c:extLst>
        </c:ser>
        <c:ser>
          <c:idx val="1"/>
          <c:order val="1"/>
          <c:tx>
            <c:strRef>
              <c:f>'Facturación_Procesada - Prop'!$C$33</c:f>
              <c:strCache>
                <c:ptCount val="1"/>
                <c:pt idx="0">
                  <c:v>F.Procesada 18</c:v>
                </c:pt>
              </c:strCache>
            </c:strRef>
          </c:tx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6CF-4DF1-ACD3-15B2F0914464}"/>
                </c:ext>
              </c:extLst>
            </c:dLbl>
            <c:dLbl>
              <c:idx val="30"/>
              <c:layout>
                <c:manualLayout>
                  <c:x val="-2.2509697888691876E-2"/>
                  <c:y val="2.63909186064685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6CF-4DF1-ACD3-15B2F0914464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'Facturación_Procesada - Prop'!$A$2:$A$30</c:f>
              <c:numCache>
                <c:formatCode>m/d/yyyy</c:formatCode>
                <c:ptCount val="29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</c:numCache>
            </c:numRef>
          </c:cat>
          <c:val>
            <c:numRef>
              <c:f>'Facturación_Procesada - Prop'!$D$34:$D$64</c:f>
              <c:numCache>
                <c:formatCode>0.0</c:formatCode>
                <c:ptCount val="31"/>
                <c:pt idx="0">
                  <c:v>2.0520940947200002</c:v>
                </c:pt>
                <c:pt idx="1">
                  <c:v>68.07718642527</c:v>
                </c:pt>
                <c:pt idx="2">
                  <c:v>18.31144243572</c:v>
                </c:pt>
                <c:pt idx="3">
                  <c:v>21.292384787949999</c:v>
                </c:pt>
                <c:pt idx="4">
                  <c:v>17.93756591308</c:v>
                </c:pt>
                <c:pt idx="5">
                  <c:v>20.741000075980001</c:v>
                </c:pt>
                <c:pt idx="6">
                  <c:v>2.0571268366500002</c:v>
                </c:pt>
                <c:pt idx="7">
                  <c:v>0.89012761490000003</c:v>
                </c:pt>
                <c:pt idx="8">
                  <c:v>45.049482190980001</c:v>
                </c:pt>
                <c:pt idx="9">
                  <c:v>18.913711395339998</c:v>
                </c:pt>
                <c:pt idx="10">
                  <c:v>19.651116120619999</c:v>
                </c:pt>
                <c:pt idx="11">
                  <c:v>18.89792624216</c:v>
                </c:pt>
                <c:pt idx="12">
                  <c:v>20.198900290169998</c:v>
                </c:pt>
                <c:pt idx="13">
                  <c:v>2.5659902965999999</c:v>
                </c:pt>
                <c:pt idx="14">
                  <c:v>1.3319523832</c:v>
                </c:pt>
                <c:pt idx="15">
                  <c:v>51.56133418313</c:v>
                </c:pt>
                <c:pt idx="16">
                  <c:v>19.67483665776</c:v>
                </c:pt>
                <c:pt idx="17">
                  <c:v>20.413331788819999</c:v>
                </c:pt>
                <c:pt idx="18">
                  <c:v>19.48371160912</c:v>
                </c:pt>
                <c:pt idx="19">
                  <c:v>20.174641489070002</c:v>
                </c:pt>
                <c:pt idx="20">
                  <c:v>2.1530718032</c:v>
                </c:pt>
                <c:pt idx="21">
                  <c:v>1.24645331332</c:v>
                </c:pt>
                <c:pt idx="22">
                  <c:v>51.435294692479999</c:v>
                </c:pt>
                <c:pt idx="23">
                  <c:v>20.274989093070001</c:v>
                </c:pt>
                <c:pt idx="24">
                  <c:v>20.479470639990002</c:v>
                </c:pt>
                <c:pt idx="25">
                  <c:v>19.882998831489999</c:v>
                </c:pt>
                <c:pt idx="26">
                  <c:v>3.26785594034</c:v>
                </c:pt>
                <c:pt idx="27">
                  <c:v>1.60980589698</c:v>
                </c:pt>
                <c:pt idx="28">
                  <c:v>1.4998126573799999</c:v>
                </c:pt>
                <c:pt idx="29">
                  <c:v>69.718423097799999</c:v>
                </c:pt>
                <c:pt idx="30">
                  <c:v>22.381777134130001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6CF-4DF1-ACD3-15B2F0914464}"/>
            </c:ext>
          </c:extLst>
        </c:ser>
        <c:ser>
          <c:idx val="2"/>
          <c:order val="2"/>
          <c:tx>
            <c:v>2019</c:v>
          </c:tx>
          <c:val>
            <c:numRef>
              <c:f>'Facturación_Procesada - Prop'!$D$2:$D$29</c:f>
              <c:numCache>
                <c:formatCode>0.0</c:formatCode>
                <c:ptCount val="28"/>
                <c:pt idx="0">
                  <c:v>66.463990854269809</c:v>
                </c:pt>
                <c:pt idx="1">
                  <c:v>54.691049827463189</c:v>
                </c:pt>
                <c:pt idx="2">
                  <c:v>49.505622672881849</c:v>
                </c:pt>
                <c:pt idx="3">
                  <c:v>10.000961066721317</c:v>
                </c:pt>
                <c:pt idx="4">
                  <c:v>6.4622255701534925</c:v>
                </c:pt>
                <c:pt idx="5">
                  <c:v>120.40300852926845</c:v>
                </c:pt>
                <c:pt idx="6">
                  <c:v>58.986822615230381</c:v>
                </c:pt>
                <c:pt idx="7">
                  <c:v>61.05977196651353</c:v>
                </c:pt>
                <c:pt idx="8">
                  <c:v>61.232814515738262</c:v>
                </c:pt>
                <c:pt idx="9">
                  <c:v>54.07691448213339</c:v>
                </c:pt>
                <c:pt idx="10">
                  <c:v>10.652614034811185</c:v>
                </c:pt>
                <c:pt idx="11">
                  <c:v>5.4014903852224467</c:v>
                </c:pt>
                <c:pt idx="12">
                  <c:v>123.31029180826519</c:v>
                </c:pt>
                <c:pt idx="13">
                  <c:v>53.579883194209884</c:v>
                </c:pt>
                <c:pt idx="14">
                  <c:v>60.571801729117212</c:v>
                </c:pt>
                <c:pt idx="15">
                  <c:v>65.915400802507406</c:v>
                </c:pt>
                <c:pt idx="16">
                  <c:v>56.906782282990193</c:v>
                </c:pt>
                <c:pt idx="17">
                  <c:v>11.051215962002889</c:v>
                </c:pt>
                <c:pt idx="18">
                  <c:v>6.6989555530962086</c:v>
                </c:pt>
                <c:pt idx="19">
                  <c:v>137.09497734064016</c:v>
                </c:pt>
                <c:pt idx="20">
                  <c:v>72.937023950873126</c:v>
                </c:pt>
                <c:pt idx="21">
                  <c:v>72.419611764206053</c:v>
                </c:pt>
                <c:pt idx="22">
                  <c:v>76.382174300463745</c:v>
                </c:pt>
                <c:pt idx="23">
                  <c:v>66.429986482628706</c:v>
                </c:pt>
                <c:pt idx="24">
                  <c:v>11.024943661550619</c:v>
                </c:pt>
                <c:pt idx="25">
                  <c:v>6.9631894172871949</c:v>
                </c:pt>
                <c:pt idx="26">
                  <c:v>135.24551947741068</c:v>
                </c:pt>
                <c:pt idx="27">
                  <c:v>56.582630930064063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6CF-4DF1-ACD3-15B2F0914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334560"/>
        <c:axId val="470328680"/>
      </c:lineChart>
      <c:dateAx>
        <c:axId val="4703345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70328680"/>
        <c:crosses val="autoZero"/>
        <c:auto val="1"/>
        <c:lblOffset val="100"/>
        <c:baseTimeUnit val="days"/>
      </c:dateAx>
      <c:valAx>
        <c:axId val="470328680"/>
        <c:scaling>
          <c:orientation val="minMax"/>
        </c:scaling>
        <c:delete val="0"/>
        <c:axPos val="l"/>
        <c:numFmt formatCode="0.0" sourceLinked="1"/>
        <c:majorTickMark val="out"/>
        <c:minorTickMark val="none"/>
        <c:tickLblPos val="nextTo"/>
        <c:crossAx val="4703345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4" Type="http://schemas.openxmlformats.org/officeDocument/2006/relationships/chart" Target="../charts/chart2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6" Type="http://schemas.openxmlformats.org/officeDocument/2006/relationships/chart" Target="../charts/chart31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1.xml"/><Relationship Id="rId3" Type="http://schemas.openxmlformats.org/officeDocument/2006/relationships/chart" Target="../charts/chart36.xml"/><Relationship Id="rId7" Type="http://schemas.openxmlformats.org/officeDocument/2006/relationships/chart" Target="../charts/chart40.xml"/><Relationship Id="rId12" Type="http://schemas.openxmlformats.org/officeDocument/2006/relationships/chart" Target="../charts/chart45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6" Type="http://schemas.openxmlformats.org/officeDocument/2006/relationships/chart" Target="../charts/chart39.xml"/><Relationship Id="rId11" Type="http://schemas.openxmlformats.org/officeDocument/2006/relationships/chart" Target="../charts/chart44.xml"/><Relationship Id="rId5" Type="http://schemas.openxmlformats.org/officeDocument/2006/relationships/chart" Target="../charts/chart38.xml"/><Relationship Id="rId10" Type="http://schemas.openxmlformats.org/officeDocument/2006/relationships/chart" Target="../charts/chart43.xml"/><Relationship Id="rId4" Type="http://schemas.openxmlformats.org/officeDocument/2006/relationships/chart" Target="../charts/chart37.xml"/><Relationship Id="rId9" Type="http://schemas.openxmlformats.org/officeDocument/2006/relationships/chart" Target="../charts/chart42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9.xml"/><Relationship Id="rId1" Type="http://schemas.openxmlformats.org/officeDocument/2006/relationships/chart" Target="../charts/chart48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2.xml"/><Relationship Id="rId2" Type="http://schemas.openxmlformats.org/officeDocument/2006/relationships/chart" Target="../charts/chart51.xml"/><Relationship Id="rId1" Type="http://schemas.openxmlformats.org/officeDocument/2006/relationships/chart" Target="../charts/chart50.xml"/><Relationship Id="rId4" Type="http://schemas.openxmlformats.org/officeDocument/2006/relationships/chart" Target="../charts/chart53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6.xml"/><Relationship Id="rId2" Type="http://schemas.openxmlformats.org/officeDocument/2006/relationships/chart" Target="../charts/chart55.xml"/><Relationship Id="rId1" Type="http://schemas.openxmlformats.org/officeDocument/2006/relationships/chart" Target="../charts/chart54.xml"/><Relationship Id="rId4" Type="http://schemas.openxmlformats.org/officeDocument/2006/relationships/chart" Target="../charts/chart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333374</xdr:colOff>
      <xdr:row>127</xdr:row>
      <xdr:rowOff>66220</xdr:rowOff>
    </xdr:from>
    <xdr:to>
      <xdr:col>17</xdr:col>
      <xdr:colOff>869155</xdr:colOff>
      <xdr:row>139</xdr:row>
      <xdr:rowOff>36852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292554</xdr:colOff>
      <xdr:row>126</xdr:row>
      <xdr:rowOff>104321</xdr:rowOff>
    </xdr:from>
    <xdr:to>
      <xdr:col>23</xdr:col>
      <xdr:colOff>787512</xdr:colOff>
      <xdr:row>138</xdr:row>
      <xdr:rowOff>74953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612889</xdr:colOff>
      <xdr:row>126</xdr:row>
      <xdr:rowOff>68602</xdr:rowOff>
    </xdr:from>
    <xdr:to>
      <xdr:col>38</xdr:col>
      <xdr:colOff>1157173</xdr:colOff>
      <xdr:row>138</xdr:row>
      <xdr:rowOff>39234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682625</xdr:colOff>
      <xdr:row>145</xdr:row>
      <xdr:rowOff>63501</xdr:rowOff>
    </xdr:from>
    <xdr:to>
      <xdr:col>14</xdr:col>
      <xdr:colOff>268740</xdr:colOff>
      <xdr:row>157</xdr:row>
      <xdr:rowOff>35266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379866</xdr:colOff>
      <xdr:row>145</xdr:row>
      <xdr:rowOff>65882</xdr:rowOff>
    </xdr:from>
    <xdr:to>
      <xdr:col>18</xdr:col>
      <xdr:colOff>767668</xdr:colOff>
      <xdr:row>157</xdr:row>
      <xdr:rowOff>37647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854982</xdr:colOff>
      <xdr:row>145</xdr:row>
      <xdr:rowOff>89695</xdr:rowOff>
    </xdr:from>
    <xdr:to>
      <xdr:col>28</xdr:col>
      <xdr:colOff>494391</xdr:colOff>
      <xdr:row>157</xdr:row>
      <xdr:rowOff>61460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708707</xdr:colOff>
      <xdr:row>169</xdr:row>
      <xdr:rowOff>134939</xdr:rowOff>
    </xdr:from>
    <xdr:to>
      <xdr:col>14</xdr:col>
      <xdr:colOff>294822</xdr:colOff>
      <xdr:row>181</xdr:row>
      <xdr:rowOff>105570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387804</xdr:colOff>
      <xdr:row>169</xdr:row>
      <xdr:rowOff>137320</xdr:rowOff>
    </xdr:from>
    <xdr:to>
      <xdr:col>18</xdr:col>
      <xdr:colOff>775606</xdr:colOff>
      <xdr:row>181</xdr:row>
      <xdr:rowOff>107951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862920</xdr:colOff>
      <xdr:row>169</xdr:row>
      <xdr:rowOff>161133</xdr:rowOff>
    </xdr:from>
    <xdr:to>
      <xdr:col>28</xdr:col>
      <xdr:colOff>502329</xdr:colOff>
      <xdr:row>181</xdr:row>
      <xdr:rowOff>131764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680357</xdr:colOff>
      <xdr:row>188</xdr:row>
      <xdr:rowOff>72572</xdr:rowOff>
    </xdr:from>
    <xdr:to>
      <xdr:col>14</xdr:col>
      <xdr:colOff>266472</xdr:colOff>
      <xdr:row>200</xdr:row>
      <xdr:rowOff>43203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359454</xdr:colOff>
      <xdr:row>188</xdr:row>
      <xdr:rowOff>74953</xdr:rowOff>
    </xdr:from>
    <xdr:to>
      <xdr:col>18</xdr:col>
      <xdr:colOff>747256</xdr:colOff>
      <xdr:row>200</xdr:row>
      <xdr:rowOff>45584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834570</xdr:colOff>
      <xdr:row>188</xdr:row>
      <xdr:rowOff>98766</xdr:rowOff>
    </xdr:from>
    <xdr:to>
      <xdr:col>28</xdr:col>
      <xdr:colOff>473979</xdr:colOff>
      <xdr:row>200</xdr:row>
      <xdr:rowOff>69397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367394</xdr:colOff>
      <xdr:row>131</xdr:row>
      <xdr:rowOff>22431</xdr:rowOff>
    </xdr:from>
    <xdr:to>
      <xdr:col>22</xdr:col>
      <xdr:colOff>933157</xdr:colOff>
      <xdr:row>164</xdr:row>
      <xdr:rowOff>23804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16233</xdr:colOff>
      <xdr:row>216</xdr:row>
      <xdr:rowOff>89519</xdr:rowOff>
    </xdr:from>
    <xdr:to>
      <xdr:col>6</xdr:col>
      <xdr:colOff>167624</xdr:colOff>
      <xdr:row>239</xdr:row>
      <xdr:rowOff>27215</xdr:rowOff>
    </xdr:to>
    <xdr:graphicFrame macro="">
      <xdr:nvGraphicFramePr>
        <xdr:cNvPr id="5" name="4 Gráfico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248780</xdr:colOff>
      <xdr:row>216</xdr:row>
      <xdr:rowOff>150812</xdr:rowOff>
    </xdr:from>
    <xdr:to>
      <xdr:col>12</xdr:col>
      <xdr:colOff>380212</xdr:colOff>
      <xdr:row>239</xdr:row>
      <xdr:rowOff>45358</xdr:rowOff>
    </xdr:to>
    <xdr:graphicFrame macro="">
      <xdr:nvGraphicFramePr>
        <xdr:cNvPr id="6" name="5 Gráfico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526846</xdr:colOff>
      <xdr:row>194</xdr:row>
      <xdr:rowOff>57264</xdr:rowOff>
    </xdr:from>
    <xdr:to>
      <xdr:col>18</xdr:col>
      <xdr:colOff>522175</xdr:colOff>
      <xdr:row>215</xdr:row>
      <xdr:rowOff>75973</xdr:rowOff>
    </xdr:to>
    <xdr:graphicFrame macro="">
      <xdr:nvGraphicFramePr>
        <xdr:cNvPr id="11" name="3 Gráfico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593909</xdr:colOff>
      <xdr:row>111</xdr:row>
      <xdr:rowOff>24812</xdr:rowOff>
    </xdr:from>
    <xdr:to>
      <xdr:col>8</xdr:col>
      <xdr:colOff>112217</xdr:colOff>
      <xdr:row>128</xdr:row>
      <xdr:rowOff>49621</xdr:rowOff>
    </xdr:to>
    <xdr:graphicFrame macro="">
      <xdr:nvGraphicFramePr>
        <xdr:cNvPr id="12" name="Gráfico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522634</xdr:colOff>
      <xdr:row>216</xdr:row>
      <xdr:rowOff>169524</xdr:rowOff>
    </xdr:from>
    <xdr:to>
      <xdr:col>18</xdr:col>
      <xdr:colOff>491450</xdr:colOff>
      <xdr:row>239</xdr:row>
      <xdr:rowOff>2271</xdr:rowOff>
    </xdr:to>
    <xdr:graphicFrame macro="">
      <xdr:nvGraphicFramePr>
        <xdr:cNvPr id="21" name="5 Gráfico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18</xdr:col>
      <xdr:colOff>0</xdr:colOff>
      <xdr:row>54</xdr:row>
      <xdr:rowOff>0</xdr:rowOff>
    </xdr:from>
    <xdr:to>
      <xdr:col>18</xdr:col>
      <xdr:colOff>304800</xdr:colOff>
      <xdr:row>55</xdr:row>
      <xdr:rowOff>94003</xdr:rowOff>
    </xdr:to>
    <xdr:sp macro="" textlink="">
      <xdr:nvSpPr>
        <xdr:cNvPr id="1025" name="avatar" descr="data:image/pjpeg;base64,/9j/4AAQSkZJRgABAQEAYABgAAD/2wBDAAEBAQEBAQEBAQEBAQEBAQEBAQEBAQEBAQEBAQEBAQEBAQEBAQEBAQEBAQEBAQEBAQEBAQEBAQEBAQEBAQEBAQH/2wBDAQEBAQEBAQEBAQEBAQEBAQEBAQEBAQEBAQEBAQEBAQEBAQEBAQEBAQEBAQEBAQEBAQEBAQEBAQEBAQEBAQEBAQH/wAARCABA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+zCiiivz8/eAooooAKKKKACiiigAooooA5vxb4z8IeAdCvPFHjrxV4c8F+GtPCm/8Q+K9b03w7odkHJCfa9V1e5s7C33kEJ506bzwuTxXlvw6/ah/Zv8Ai7rp8L/C747/AAk+IHibybi5Xw74S+IHhjXNdltrVDLdXVvpFhqU2oXNrbRAyXFzb28kEMfzySKvNfi5/wAFcoLDTP2tP2QPF/7SOi+LvEf7Dmm2lxZeM9P0FdWm0a0+IE2o+IWv7jW4dIlhuPMn0uTwZc/Z0kTVdY8O6N4o0/w8s1yt/E36Wfs3fAz9gLxBqHhL9oX9lfwZ8ImvvD8Gqado3jP4WP8A2c9oNZ0efS9V0jxJpem3NsP7SbTb5hcad4r0z+17GV4rgxW84WQ+dHF1quLq4enHDwjQqRjONWpNYipTcYTlVpU4xa5Fz8sW21KSs3A+hq5VhMLlOFx9eePq1MdRq1KNTC4elLAUK0KlSlDC4mvOqp+3bp89WMYxcITi4Rq2Z9S/Ej4x/CX4O6fbar8WPib4C+GunXryR2N3458W6F4Wi1CWIKZYdP8A7avrNr+eMOheGzWaVdy5T5hmr8Mfjh8GvjTa6jefCH4q/D34m2+jtbJrDeBfF+heJ30d73z/ALEurQ6PfXc+mNeC1uTaC+jgNyLecwbxFIV/nd+Kx+CPhX/gq98Xb/8A4KQ6Hd6p8NfFHhzT4f2ddb8aWms6n8KdP0tU0NNKE9lYB7VtMtYTremXzz291omleK5tX1DxBaRXF5FrNv8AvD+z98Av2Yvhd/bfxF/Zs8G+BPDelfFXSfDralrHw2vUn8I+KdM0CTWJtAvdNt9Nv7rw2FgbXNVH27RYIGvVnCXctwLa2EJhsXWxNerGMcPClRq1KVSnKpJ4qPI3GNRwUeWMajs4xb+B352/dDMcqwmXYLC1Jzx9XE4zCYbFUMRChRWWTddQqVMPCs6rqTnh4OcKkkk1XhyOjGHvn0nRRRXonzwUUUUAfJPxz/ab/ZG8GeLp/wBnn9o7xx8PvD954u8D2HiuTw18VrK3j8EeJfCer6xruiIl1quvWcnhGWSPUvDd8s+mapeQXIUWtzBDMjF4vxM+ED/Bf4df8FY/hb4c/wCCdfiiTXvhP488JalP+0H4Z8F6vqPiP4VaZBBa+Jbi9ktNUlkuLNrDSgnh7V9OeK+vdP0bxLfW+h6PqESatN4eg/oI+KP7PfwK+N32Vvi98IPhx8Sbiwt/smn33jLwfoevapp1qZJJjbadqt/ZTalp9uZpZZWhs7qCNpJJHZSzsTd+GHwN+DPwUs7uw+EXws8AfDW21ExnUh4K8KaL4em1RoSxhbVbrTbO3utTeHe3lPfzXDRBiEKg4rzsRhK+IrUpSlh4wo16danVjTmsTGMJRk6SnzcqVS0ozfwuL1pt6n0eAzXA5fgsVSpwzGrWxmCr4Wvhqlej/Zs6taPJHFOmqXtJSoK1SjFr2kKsU1XUbo+RfjR+0V/wTn+MEvxA+BH7Rnjz4N3F54B1/UtB8T+Dvi9NB4XvtG1uyQxSX/hfVtdGmS/bJLWRXstb8F6u1/HFN5H2i3uvOtk/Pr/gkPqdro/7Uv7Yfwz/AGffEfifxh+xToH2fVfAeq6zJqN5pOneNLnVtMgsrbQ7rUIIGxqWlt4shkuViiu9e0jw54e1XU/PlEFw/wCxfxC/ZH/Zd+K+uy+KPiP+z98IvGPia5kSW88R634C8O3Wvag6KET+0tY+wLqOpKiAKqX9zcIqgKFxxXrfgnwD4G+Gnh+28J/Drwb4W8B+GLJnktPD3g/QNL8N6LbyyhRLNFpmj2tnZrNNsUzTCHzZioaR2IzSeEr1MXRxFWWHiqE5tTownGvVg4yjGlUk5cvs/eUpJc3NKCso30I5rgcPlOLwGGhmNWWOo0YVKOMrUZ4HDV4VKVWeKw1OnBTdZypyhSbVNwp1JKpKq1r1tFFFekfOBRRRQAUUUUAFFFFABRRRQB//2Q==">
          <a:extLst>
            <a:ext uri="{FF2B5EF4-FFF2-40B4-BE49-F238E27FC236}">
              <a16:creationId xmlns:a16="http://schemas.microsoft.com/office/drawing/2014/main" id="{00000000-0008-0000-07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3282315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243795</xdr:colOff>
      <xdr:row>194</xdr:row>
      <xdr:rowOff>31750</xdr:rowOff>
    </xdr:from>
    <xdr:to>
      <xdr:col>12</xdr:col>
      <xdr:colOff>323170</xdr:colOff>
      <xdr:row>215</xdr:row>
      <xdr:rowOff>54137</xdr:rowOff>
    </xdr:to>
    <xdr:graphicFrame macro="">
      <xdr:nvGraphicFramePr>
        <xdr:cNvPr id="23" name="3 Gráfico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194</xdr:row>
      <xdr:rowOff>0</xdr:rowOff>
    </xdr:from>
    <xdr:to>
      <xdr:col>6</xdr:col>
      <xdr:colOff>166688</xdr:colOff>
      <xdr:row>215</xdr:row>
      <xdr:rowOff>63319</xdr:rowOff>
    </xdr:to>
    <xdr:graphicFrame macro="">
      <xdr:nvGraphicFramePr>
        <xdr:cNvPr id="4" name="2 Gráfico">
          <a:extLst>
            <a:ext uri="{FF2B5EF4-FFF2-40B4-BE49-F238E27FC236}">
              <a16:creationId xmlns:a16="http://schemas.microsoft.com/office/drawing/2014/main" id="{CBD1A0D8-D742-43E6-B8B7-EC6AAB6D98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1215835</xdr:colOff>
      <xdr:row>171</xdr:row>
      <xdr:rowOff>56831</xdr:rowOff>
    </xdr:from>
    <xdr:to>
      <xdr:col>7</xdr:col>
      <xdr:colOff>790015</xdr:colOff>
      <xdr:row>192</xdr:row>
      <xdr:rowOff>236124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0.98902</cdr:x>
      <cdr:y>0.01109</cdr:y>
    </cdr:from>
    <cdr:to>
      <cdr:x>0.99219</cdr:x>
      <cdr:y>1</cdr:y>
    </cdr:to>
    <cdr:sp macro="" textlink="">
      <cdr:nvSpPr>
        <cdr:cNvPr id="2" name="1 Rectángulo"/>
        <cdr:cNvSpPr/>
      </cdr:nvSpPr>
      <cdr:spPr>
        <a:xfrm xmlns:a="http://schemas.openxmlformats.org/drawingml/2006/main">
          <a:off x="22764749" y="69733"/>
          <a:ext cx="73032" cy="6218140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2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PE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652801</xdr:colOff>
      <xdr:row>9</xdr:row>
      <xdr:rowOff>96271</xdr:rowOff>
    </xdr:from>
    <xdr:to>
      <xdr:col>34</xdr:col>
      <xdr:colOff>219415</xdr:colOff>
      <xdr:row>31</xdr:row>
      <xdr:rowOff>98653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712333</xdr:colOff>
      <xdr:row>48</xdr:row>
      <xdr:rowOff>99671</xdr:rowOff>
    </xdr:from>
    <xdr:to>
      <xdr:col>32</xdr:col>
      <xdr:colOff>278944</xdr:colOff>
      <xdr:row>74</xdr:row>
      <xdr:rowOff>102053</xdr:rowOff>
    </xdr:to>
    <xdr:graphicFrame macro="">
      <xdr:nvGraphicFramePr>
        <xdr:cNvPr id="5" name="Gráfico 2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462300</xdr:colOff>
      <xdr:row>8</xdr:row>
      <xdr:rowOff>137093</xdr:rowOff>
    </xdr:from>
    <xdr:to>
      <xdr:col>35</xdr:col>
      <xdr:colOff>28914</xdr:colOff>
      <xdr:row>30</xdr:row>
      <xdr:rowOff>139475</xdr:rowOff>
    </xdr:to>
    <xdr:graphicFrame macro="">
      <xdr:nvGraphicFramePr>
        <xdr:cNvPr id="4" name="Gráfico 2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467405</xdr:colOff>
      <xdr:row>48</xdr:row>
      <xdr:rowOff>181314</xdr:rowOff>
    </xdr:from>
    <xdr:to>
      <xdr:col>32</xdr:col>
      <xdr:colOff>34016</xdr:colOff>
      <xdr:row>74</xdr:row>
      <xdr:rowOff>183696</xdr:rowOff>
    </xdr:to>
    <xdr:graphicFrame macro="">
      <xdr:nvGraphicFramePr>
        <xdr:cNvPr id="6" name="Gráfico 2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0.35673</cdr:x>
      <cdr:y>0</cdr:y>
    </cdr:from>
    <cdr:to>
      <cdr:x>1</cdr:x>
      <cdr:y>1</cdr:y>
    </cdr:to>
    <cdr:sp macro="" textlink="">
      <cdr:nvSpPr>
        <cdr:cNvPr id="2" name="1 Rectángulo"/>
        <cdr:cNvSpPr/>
      </cdr:nvSpPr>
      <cdr:spPr>
        <a:xfrm xmlns:a="http://schemas.openxmlformats.org/drawingml/2006/main">
          <a:off x="2674144" y="0"/>
          <a:ext cx="4822031" cy="419338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2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PE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0.3604</cdr:x>
      <cdr:y>0</cdr:y>
    </cdr:from>
    <cdr:to>
      <cdr:x>0.98254</cdr:x>
      <cdr:y>1</cdr:y>
    </cdr:to>
    <cdr:sp macro="" textlink="">
      <cdr:nvSpPr>
        <cdr:cNvPr id="2" name="1 Rectángulo"/>
        <cdr:cNvSpPr/>
      </cdr:nvSpPr>
      <cdr:spPr>
        <a:xfrm xmlns:a="http://schemas.openxmlformats.org/drawingml/2006/main">
          <a:off x="2697957" y="0"/>
          <a:ext cx="4657307" cy="419338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2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PE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0.24255</cdr:x>
      <cdr:y>0</cdr:y>
    </cdr:from>
    <cdr:to>
      <cdr:x>1</cdr:x>
      <cdr:y>1</cdr:y>
    </cdr:to>
    <cdr:sp macro="" textlink="">
      <cdr:nvSpPr>
        <cdr:cNvPr id="2" name="1 Rectángulo"/>
        <cdr:cNvSpPr/>
      </cdr:nvSpPr>
      <cdr:spPr>
        <a:xfrm xmlns:a="http://schemas.openxmlformats.org/drawingml/2006/main">
          <a:off x="1802888" y="0"/>
          <a:ext cx="5630255" cy="419338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2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PE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0.08005</cdr:x>
      <cdr:y>0</cdr:y>
    </cdr:from>
    <cdr:to>
      <cdr:x>1</cdr:x>
      <cdr:y>1</cdr:y>
    </cdr:to>
    <cdr:sp macro="" textlink="">
      <cdr:nvSpPr>
        <cdr:cNvPr id="2" name="1 Rectángulo"/>
        <cdr:cNvSpPr/>
      </cdr:nvSpPr>
      <cdr:spPr>
        <a:xfrm xmlns:a="http://schemas.openxmlformats.org/drawingml/2006/main">
          <a:off x="594752" y="0"/>
          <a:ext cx="6835187" cy="419338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2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PE"/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11204</xdr:colOff>
      <xdr:row>75</xdr:row>
      <xdr:rowOff>91503</xdr:rowOff>
    </xdr:from>
    <xdr:to>
      <xdr:col>17</xdr:col>
      <xdr:colOff>1775802</xdr:colOff>
      <xdr:row>108</xdr:row>
      <xdr:rowOff>163540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41412</xdr:rowOff>
    </xdr:from>
    <xdr:to>
      <xdr:col>6</xdr:col>
      <xdr:colOff>81643</xdr:colOff>
      <xdr:row>129</xdr:row>
      <xdr:rowOff>54427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288244</xdr:colOff>
      <xdr:row>111</xdr:row>
      <xdr:rowOff>49046</xdr:rowOff>
    </xdr:from>
    <xdr:to>
      <xdr:col>12</xdr:col>
      <xdr:colOff>1020536</xdr:colOff>
      <xdr:row>129</xdr:row>
      <xdr:rowOff>81642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201819</xdr:colOff>
      <xdr:row>129</xdr:row>
      <xdr:rowOff>182368</xdr:rowOff>
    </xdr:from>
    <xdr:to>
      <xdr:col>6</xdr:col>
      <xdr:colOff>116416</xdr:colOff>
      <xdr:row>148</xdr:row>
      <xdr:rowOff>182940</xdr:rowOff>
    </xdr:to>
    <xdr:graphicFrame macro="">
      <xdr:nvGraphicFramePr>
        <xdr:cNvPr id="5" name="4 Gráfico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275633</xdr:colOff>
      <xdr:row>129</xdr:row>
      <xdr:rowOff>187709</xdr:rowOff>
    </xdr:from>
    <xdr:to>
      <xdr:col>12</xdr:col>
      <xdr:colOff>1047750</xdr:colOff>
      <xdr:row>149</xdr:row>
      <xdr:rowOff>27214</xdr:rowOff>
    </xdr:to>
    <xdr:graphicFrame macro="">
      <xdr:nvGraphicFramePr>
        <xdr:cNvPr id="6" name="5 Gráfico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5103</xdr:colOff>
      <xdr:row>130</xdr:row>
      <xdr:rowOff>11906</xdr:rowOff>
    </xdr:from>
    <xdr:to>
      <xdr:col>19</xdr:col>
      <xdr:colOff>348280</xdr:colOff>
      <xdr:row>149</xdr:row>
      <xdr:rowOff>68035</xdr:rowOff>
    </xdr:to>
    <xdr:graphicFrame macro="">
      <xdr:nvGraphicFramePr>
        <xdr:cNvPr id="10" name="5 Gráfico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0.12632</cdr:x>
      <cdr:y>0.00116</cdr:y>
    </cdr:from>
    <cdr:to>
      <cdr:x>0.99046</cdr:x>
      <cdr:y>0.99349</cdr:y>
    </cdr:to>
    <cdr:sp macro="" textlink="">
      <cdr:nvSpPr>
        <cdr:cNvPr id="2" name="1 Rectángulo"/>
        <cdr:cNvSpPr/>
      </cdr:nvSpPr>
      <cdr:spPr>
        <a:xfrm xmlns:a="http://schemas.openxmlformats.org/drawingml/2006/main">
          <a:off x="2745441" y="7272"/>
          <a:ext cx="18780702" cy="6220808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2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PE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421480</xdr:colOff>
      <xdr:row>8</xdr:row>
      <xdr:rowOff>150700</xdr:rowOff>
    </xdr:from>
    <xdr:to>
      <xdr:col>30</xdr:col>
      <xdr:colOff>858951</xdr:colOff>
      <xdr:row>31</xdr:row>
      <xdr:rowOff>153082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739547</xdr:colOff>
      <xdr:row>50</xdr:row>
      <xdr:rowOff>86064</xdr:rowOff>
    </xdr:from>
    <xdr:to>
      <xdr:col>32</xdr:col>
      <xdr:colOff>306159</xdr:colOff>
      <xdr:row>73</xdr:row>
      <xdr:rowOff>88446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0.8908</cdr:x>
      <cdr:y>0.11333</cdr:y>
    </cdr:from>
    <cdr:to>
      <cdr:x>0.98323</cdr:x>
      <cdr:y>0.86615</cdr:y>
    </cdr:to>
    <cdr:sp macro="" textlink="">
      <cdr:nvSpPr>
        <cdr:cNvPr id="2" name="1 Rectángulo"/>
        <cdr:cNvSpPr/>
      </cdr:nvSpPr>
      <cdr:spPr>
        <a:xfrm xmlns:a="http://schemas.openxmlformats.org/drawingml/2006/main">
          <a:off x="6621417" y="475236"/>
          <a:ext cx="687072" cy="315686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2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PE"/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0.89129</cdr:x>
      <cdr:y>0.10927</cdr:y>
    </cdr:from>
    <cdr:to>
      <cdr:x>0.97902</cdr:x>
      <cdr:y>0.85885</cdr:y>
    </cdr:to>
    <cdr:sp macro="" textlink="">
      <cdr:nvSpPr>
        <cdr:cNvPr id="2" name="1 Rectángulo"/>
        <cdr:cNvSpPr/>
      </cdr:nvSpPr>
      <cdr:spPr>
        <a:xfrm xmlns:a="http://schemas.openxmlformats.org/drawingml/2006/main">
          <a:off x="6625118" y="458211"/>
          <a:ext cx="652076" cy="3143275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2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PE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666751</xdr:colOff>
      <xdr:row>127</xdr:row>
      <xdr:rowOff>30502</xdr:rowOff>
    </xdr:from>
    <xdr:to>
      <xdr:col>14</xdr:col>
      <xdr:colOff>252866</xdr:colOff>
      <xdr:row>139</xdr:row>
      <xdr:rowOff>1134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363992</xdr:colOff>
      <xdr:row>127</xdr:row>
      <xdr:rowOff>32883</xdr:rowOff>
    </xdr:from>
    <xdr:to>
      <xdr:col>18</xdr:col>
      <xdr:colOff>751794</xdr:colOff>
      <xdr:row>139</xdr:row>
      <xdr:rowOff>3515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839108</xdr:colOff>
      <xdr:row>127</xdr:row>
      <xdr:rowOff>56696</xdr:rowOff>
    </xdr:from>
    <xdr:to>
      <xdr:col>26</xdr:col>
      <xdr:colOff>478517</xdr:colOff>
      <xdr:row>139</xdr:row>
      <xdr:rowOff>27328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682625</xdr:colOff>
      <xdr:row>145</xdr:row>
      <xdr:rowOff>63501</xdr:rowOff>
    </xdr:from>
    <xdr:to>
      <xdr:col>14</xdr:col>
      <xdr:colOff>268740</xdr:colOff>
      <xdr:row>157</xdr:row>
      <xdr:rowOff>35266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379866</xdr:colOff>
      <xdr:row>145</xdr:row>
      <xdr:rowOff>65882</xdr:rowOff>
    </xdr:from>
    <xdr:to>
      <xdr:col>18</xdr:col>
      <xdr:colOff>767668</xdr:colOff>
      <xdr:row>157</xdr:row>
      <xdr:rowOff>37647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854982</xdr:colOff>
      <xdr:row>145</xdr:row>
      <xdr:rowOff>89695</xdr:rowOff>
    </xdr:from>
    <xdr:to>
      <xdr:col>26</xdr:col>
      <xdr:colOff>494391</xdr:colOff>
      <xdr:row>157</xdr:row>
      <xdr:rowOff>61460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708707</xdr:colOff>
      <xdr:row>169</xdr:row>
      <xdr:rowOff>134939</xdr:rowOff>
    </xdr:from>
    <xdr:to>
      <xdr:col>14</xdr:col>
      <xdr:colOff>294822</xdr:colOff>
      <xdr:row>181</xdr:row>
      <xdr:rowOff>105570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387804</xdr:colOff>
      <xdr:row>169</xdr:row>
      <xdr:rowOff>137320</xdr:rowOff>
    </xdr:from>
    <xdr:to>
      <xdr:col>18</xdr:col>
      <xdr:colOff>775606</xdr:colOff>
      <xdr:row>181</xdr:row>
      <xdr:rowOff>107951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862920</xdr:colOff>
      <xdr:row>169</xdr:row>
      <xdr:rowOff>161133</xdr:rowOff>
    </xdr:from>
    <xdr:to>
      <xdr:col>26</xdr:col>
      <xdr:colOff>502329</xdr:colOff>
      <xdr:row>181</xdr:row>
      <xdr:rowOff>131764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680357</xdr:colOff>
      <xdr:row>188</xdr:row>
      <xdr:rowOff>72572</xdr:rowOff>
    </xdr:from>
    <xdr:to>
      <xdr:col>14</xdr:col>
      <xdr:colOff>266472</xdr:colOff>
      <xdr:row>200</xdr:row>
      <xdr:rowOff>43203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359454</xdr:colOff>
      <xdr:row>188</xdr:row>
      <xdr:rowOff>74953</xdr:rowOff>
    </xdr:from>
    <xdr:to>
      <xdr:col>18</xdr:col>
      <xdr:colOff>747256</xdr:colOff>
      <xdr:row>200</xdr:row>
      <xdr:rowOff>45584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834570</xdr:colOff>
      <xdr:row>188</xdr:row>
      <xdr:rowOff>98766</xdr:rowOff>
    </xdr:from>
    <xdr:to>
      <xdr:col>26</xdr:col>
      <xdr:colOff>473979</xdr:colOff>
      <xdr:row>200</xdr:row>
      <xdr:rowOff>69397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10</xdr:row>
      <xdr:rowOff>57150</xdr:rowOff>
    </xdr:from>
    <xdr:to>
      <xdr:col>12</xdr:col>
      <xdr:colOff>345280</xdr:colOff>
      <xdr:row>24</xdr:row>
      <xdr:rowOff>164306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182230</xdr:colOff>
      <xdr:row>169</xdr:row>
      <xdr:rowOff>154001</xdr:rowOff>
    </xdr:from>
    <xdr:to>
      <xdr:col>18</xdr:col>
      <xdr:colOff>851914</xdr:colOff>
      <xdr:row>189</xdr:row>
      <xdr:rowOff>175772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9</xdr:row>
      <xdr:rowOff>4762</xdr:rowOff>
    </xdr:from>
    <xdr:to>
      <xdr:col>8</xdr:col>
      <xdr:colOff>447675</xdr:colOff>
      <xdr:row>23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581025</xdr:colOff>
      <xdr:row>9</xdr:row>
      <xdr:rowOff>19050</xdr:rowOff>
    </xdr:from>
    <xdr:to>
      <xdr:col>14</xdr:col>
      <xdr:colOff>581025</xdr:colOff>
      <xdr:row>23</xdr:row>
      <xdr:rowOff>95250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752475</xdr:colOff>
      <xdr:row>0</xdr:row>
      <xdr:rowOff>133351</xdr:rowOff>
    </xdr:from>
    <xdr:to>
      <xdr:col>23</xdr:col>
      <xdr:colOff>581025</xdr:colOff>
      <xdr:row>13</xdr:row>
      <xdr:rowOff>152401</xdr:rowOff>
    </xdr:to>
    <xdr:graphicFrame macro="">
      <xdr:nvGraphicFramePr>
        <xdr:cNvPr id="2" name="4 Gráfico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752476</xdr:colOff>
      <xdr:row>10</xdr:row>
      <xdr:rowOff>157655</xdr:rowOff>
    </xdr:from>
    <xdr:to>
      <xdr:col>23</xdr:col>
      <xdr:colOff>581026</xdr:colOff>
      <xdr:row>25</xdr:row>
      <xdr:rowOff>90980</xdr:rowOff>
    </xdr:to>
    <xdr:graphicFrame macro="">
      <xdr:nvGraphicFramePr>
        <xdr:cNvPr id="3" name="5 Gráfico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</xdr:colOff>
      <xdr:row>26</xdr:row>
      <xdr:rowOff>76200</xdr:rowOff>
    </xdr:from>
    <xdr:to>
      <xdr:col>23</xdr:col>
      <xdr:colOff>600075</xdr:colOff>
      <xdr:row>43</xdr:row>
      <xdr:rowOff>161924</xdr:rowOff>
    </xdr:to>
    <xdr:graphicFrame macro="">
      <xdr:nvGraphicFramePr>
        <xdr:cNvPr id="4" name="6 Gráfico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9525</xdr:colOff>
      <xdr:row>44</xdr:row>
      <xdr:rowOff>57150</xdr:rowOff>
    </xdr:from>
    <xdr:to>
      <xdr:col>23</xdr:col>
      <xdr:colOff>600075</xdr:colOff>
      <xdr:row>63</xdr:row>
      <xdr:rowOff>85724</xdr:rowOff>
    </xdr:to>
    <xdr:graphicFrame macro="">
      <xdr:nvGraphicFramePr>
        <xdr:cNvPr id="5" name="7 Gráfico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752475</xdr:colOff>
      <xdr:row>0</xdr:row>
      <xdr:rowOff>133351</xdr:rowOff>
    </xdr:from>
    <xdr:to>
      <xdr:col>23</xdr:col>
      <xdr:colOff>581025</xdr:colOff>
      <xdr:row>13</xdr:row>
      <xdr:rowOff>152401</xdr:rowOff>
    </xdr:to>
    <xdr:graphicFrame macro="">
      <xdr:nvGraphicFramePr>
        <xdr:cNvPr id="2" name="4 Gráfico">
          <a:extLst>
            <a:ext uri="{FF2B5EF4-FFF2-40B4-BE49-F238E27FC236}">
              <a16:creationId xmlns:a16="http://schemas.microsoft.com/office/drawing/2014/main" id="{8AEA9F51-82D0-4F3D-A748-6D87BB8D3C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752476</xdr:colOff>
      <xdr:row>10</xdr:row>
      <xdr:rowOff>157655</xdr:rowOff>
    </xdr:from>
    <xdr:to>
      <xdr:col>23</xdr:col>
      <xdr:colOff>581026</xdr:colOff>
      <xdr:row>25</xdr:row>
      <xdr:rowOff>90980</xdr:rowOff>
    </xdr:to>
    <xdr:graphicFrame macro="">
      <xdr:nvGraphicFramePr>
        <xdr:cNvPr id="3" name="5 Gráfico">
          <a:extLst>
            <a:ext uri="{FF2B5EF4-FFF2-40B4-BE49-F238E27FC236}">
              <a16:creationId xmlns:a16="http://schemas.microsoft.com/office/drawing/2014/main" id="{4ACCA578-2F3B-40B3-A2B6-A59EB6E6A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</xdr:colOff>
      <xdr:row>26</xdr:row>
      <xdr:rowOff>76200</xdr:rowOff>
    </xdr:from>
    <xdr:to>
      <xdr:col>23</xdr:col>
      <xdr:colOff>600075</xdr:colOff>
      <xdr:row>42</xdr:row>
      <xdr:rowOff>161924</xdr:rowOff>
    </xdr:to>
    <xdr:graphicFrame macro="">
      <xdr:nvGraphicFramePr>
        <xdr:cNvPr id="4" name="6 Gráfico">
          <a:extLst>
            <a:ext uri="{FF2B5EF4-FFF2-40B4-BE49-F238E27FC236}">
              <a16:creationId xmlns:a16="http://schemas.microsoft.com/office/drawing/2014/main" id="{6DC69054-9BEB-41BC-ABA9-2012AF0E0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9525</xdr:colOff>
      <xdr:row>43</xdr:row>
      <xdr:rowOff>57150</xdr:rowOff>
    </xdr:from>
    <xdr:to>
      <xdr:col>23</xdr:col>
      <xdr:colOff>600075</xdr:colOff>
      <xdr:row>62</xdr:row>
      <xdr:rowOff>85724</xdr:rowOff>
    </xdr:to>
    <xdr:graphicFrame macro="">
      <xdr:nvGraphicFramePr>
        <xdr:cNvPr id="5" name="7 Gráfico">
          <a:extLst>
            <a:ext uri="{FF2B5EF4-FFF2-40B4-BE49-F238E27FC236}">
              <a16:creationId xmlns:a16="http://schemas.microsoft.com/office/drawing/2014/main" id="{DB3E27FC-06A2-4200-BA60-0A22143344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01.%20Enero%2026/TD/02-Proy_Factu_TD_26.01.xlsx" TargetMode="External"/><Relationship Id="rId2" Type="http://schemas.openxmlformats.org/officeDocument/2006/relationships/externalLinkPath" Target="https://interbankpe-my.sharepoint.com/personal/payments_intercorp_com_pe/Documents/01.%20Estrategia/02.%20Proyecciones/Tarjetas/01.%20Enero%2026/TD/02-Proy_Factu_TD_26.01.xlsx" TargetMode="External"/><Relationship Id="rId1" Type="http://schemas.openxmlformats.org/officeDocument/2006/relationships/externalLinkPath" Target="/personal/payments_intercorp_com_pe/Documents/01.%20Estrategia/02.%20Proyecciones/Tarjetas/01.%20Enero%2026/TD/02-Proy_Factu_TD_26.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men"/>
      <sheetName val="Proyección_ind"/>
      <sheetName val="ResumenDigital"/>
      <sheetName val="Hoja3"/>
      <sheetName val="Proyección_indicadores_digital"/>
      <sheetName val="Graf_PowerBI"/>
      <sheetName val="MoM"/>
      <sheetName val="FactuSem"/>
      <sheetName val="Ejer td"/>
      <sheetName val="Proyección_indicadores CS"/>
      <sheetName val="Hoja1"/>
      <sheetName val="Querys"/>
      <sheetName val="Querys_digital"/>
      <sheetName val="Denegaciones Hist"/>
      <sheetName val="Fecha Proceso"/>
      <sheetName val="Tabla_Fec_Proceso"/>
      <sheetName val="Facturación_Procesada"/>
    </sheetNames>
    <sheetDataSet>
      <sheetData sheetId="0"/>
      <sheetData sheetId="1"/>
      <sheetData sheetId="2"/>
      <sheetData sheetId="3"/>
      <sheetData sheetId="4"/>
      <sheetData sheetId="5">
        <row r="61">
          <cell r="F61">
            <v>6386.2529999999997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04-Proy_Factu_TC_30.04%20-%20Cierre.xlsx#BgEIDA4ADAMGBAcBBAQECw=11.0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04-Proy_Factu_TC_30.04%20-%20Cierre.xlsx#BgEIDA4ADAMGBAcBBAQECw=11.0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04-Proy_Factu_TC_30.04%20-%20Cierre.xlsx#BgEIDA4ADAMGBAcBBAQECw=11.0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04-Proy_Factu_TC_30.04%20-%20Cierre.xlsx#BgEIDA4ADAMGBAcBBAQECw=11.0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04-Proy_Factu_TC_30.04%20-%20Cierre.xlsx#BgEIDA4ADAMGBAcBBAQECw=11.0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openxmlformats.org/officeDocument/2006/relationships/externalLinkPath" Target="04-Proy_Factu_TC_30.04%20-%20Cierre.xlsx#BgEIDA4ADAMGBAcBBAQECw=11.0" TargetMode="External"/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2" Type="http://schemas.openxmlformats.org/officeDocument/2006/relationships/externalLinkPath" Target="04-Proy_Factu_TC_30.04%20-%20Cierre.xlsx#BgEIDA4ADAMGBAcBBAQECw=11.0" TargetMode="External"/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2" Type="http://schemas.openxmlformats.org/officeDocument/2006/relationships/externalLinkPath" Target="04-Proy_Factu_TC_30.04%20-%20Cierre.xlsx#BgEIDA4ADAMGBAcBBAQECw=11.0" TargetMode="External"/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ynoso Armas, Jhonas Raul" refreshedDate="45281.059377546298" createdVersion="6" refreshedVersion="6" minRefreshableVersion="3" recordCount="430" xr:uid="{00000000-000A-0000-FFFF-FFFF00000000}">
  <cacheSource type="worksheet">
    <worksheetSource ref="V3:Z1048576" sheet="PyCCuotas" r:id="rId2"/>
  </cacheSource>
  <cacheFields count="6">
    <cacheField name="CODMES" numFmtId="0">
      <sharedItems containsString="0" containsBlank="1" containsNumber="1" containsInteger="1" minValue="201901" maxValue="202312" count="61">
        <n v="201901"/>
        <n v="201902"/>
        <n v="201903"/>
        <n v="201904"/>
        <n v="201905"/>
        <n v="201906"/>
        <n v="201907"/>
        <n v="201908"/>
        <n v="201909"/>
        <n v="201910"/>
        <n v="201911"/>
        <n v="201912"/>
        <n v="202001"/>
        <n v="202002"/>
        <n v="202003"/>
        <n v="202004"/>
        <n v="202005"/>
        <n v="202006"/>
        <n v="202007"/>
        <n v="202008"/>
        <n v="202009"/>
        <n v="202010"/>
        <n v="202011"/>
        <n v="202012"/>
        <n v="202101"/>
        <n v="202102"/>
        <n v="202103"/>
        <n v="202104"/>
        <n v="202105"/>
        <n v="202106"/>
        <n v="202107"/>
        <n v="202108"/>
        <n v="202109"/>
        <n v="202110"/>
        <n v="202111"/>
        <n v="202112"/>
        <n v="202201"/>
        <n v="202202"/>
        <n v="202203"/>
        <n v="202204"/>
        <n v="202205"/>
        <n v="202206"/>
        <n v="202207"/>
        <n v="202208"/>
        <n v="202209"/>
        <n v="202210"/>
        <n v="202211"/>
        <n v="202212"/>
        <n v="202301"/>
        <n v="202302"/>
        <n v="202303"/>
        <n v="202304"/>
        <n v="202305"/>
        <n v="202306"/>
        <n v="202307"/>
        <n v="202308"/>
        <n v="202309"/>
        <n v="202310"/>
        <n v="202311"/>
        <n v="202312"/>
        <m/>
      </sharedItems>
    </cacheField>
    <cacheField name="CA_NIVEL" numFmtId="0">
      <sharedItems containsDate="1" containsBlank="1" containsMixedTypes="1" minDate="2023-07-01T00:00:00" maxDate="2023-07-18T00:00:00" count="25">
        <s v="MUY BAJO"/>
        <s v="MUY ALTO"/>
        <s v="ALTO"/>
        <m/>
        <s v="BAJO"/>
        <s v="MEDIO"/>
        <s v="RECHAZO"/>
        <s v="DIVIDELO"/>
        <d v="2023-07-10T00:00:00" u="1"/>
        <d v="2023-07-03T00:00:00" u="1"/>
        <d v="2023-07-15T00:00:00" u="1"/>
        <d v="2023-07-08T00:00:00" u="1"/>
        <d v="2023-07-01T00:00:00" u="1"/>
        <d v="2023-07-13T00:00:00" u="1"/>
        <d v="2023-07-06T00:00:00" u="1"/>
        <d v="2023-07-11T00:00:00" u="1"/>
        <d v="2023-07-04T00:00:00" u="1"/>
        <d v="2023-07-16T00:00:00" u="1"/>
        <d v="2023-07-09T00:00:00" u="1"/>
        <d v="2023-07-02T00:00:00" u="1"/>
        <d v="2023-07-14T00:00:00" u="1"/>
        <d v="2023-07-07T00:00:00" u="1"/>
        <d v="2023-07-12T00:00:00" u="1"/>
        <d v="2023-07-05T00:00:00" u="1"/>
        <d v="2023-07-17T00:00:00" u="1"/>
      </sharedItems>
    </cacheField>
    <cacheField name="CLIENTES" numFmtId="0">
      <sharedItems containsString="0" containsBlank="1" containsNumber="1" minValue="1.4E-2" maxValue="43.790999999999997"/>
    </cacheField>
    <cacheField name="PONDCUOTAS" numFmtId="0">
      <sharedItems containsString="0" containsBlank="1" containsNumber="1" minValue="0.35596874000000001" maxValue="369.10642116475998"/>
    </cacheField>
    <cacheField name="FACTUTOTAL" numFmtId="0">
      <sharedItems containsString="0" containsBlank="1" containsNumber="1" minValue="2.6248259999999999E-2" maxValue="38.031829058850001"/>
    </cacheField>
    <cacheField name="Cuot" numFmtId="0" formula="PONDCUOTAS/FACTUTOTAL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ynoso Armas, Jhonas Raul" refreshedDate="45281.059377662037" createdVersion="5" refreshedVersion="6" minRefreshableVersion="3" recordCount="217" xr:uid="{00000000-000A-0000-FFFF-FFFF01000000}">
  <cacheSource type="worksheet">
    <worksheetSource ref="H3:L220" sheet="PyCCuotas" r:id="rId2"/>
  </cacheSource>
  <cacheFields count="6">
    <cacheField name="CODMES" numFmtId="0">
      <sharedItems containsSemiMixedTypes="0" containsString="0" containsNumber="1" containsInteger="1" minValue="201901" maxValue="202107" count="31">
        <n v="201901"/>
        <n v="201902"/>
        <n v="201903"/>
        <n v="201904"/>
        <n v="201905"/>
        <n v="201906"/>
        <n v="201907"/>
        <n v="201908"/>
        <n v="201909"/>
        <n v="201910"/>
        <n v="201911"/>
        <n v="201912"/>
        <n v="202001"/>
        <n v="202002"/>
        <n v="202003"/>
        <n v="202004"/>
        <n v="202005"/>
        <n v="202006"/>
        <n v="202007"/>
        <n v="202008"/>
        <n v="202009"/>
        <n v="202010"/>
        <n v="202011"/>
        <n v="202012"/>
        <n v="202101"/>
        <n v="202102"/>
        <n v="202103"/>
        <n v="202104"/>
        <n v="202105"/>
        <n v="202106"/>
        <n v="202107"/>
      </sharedItems>
    </cacheField>
    <cacheField name="CA_NIVEL" numFmtId="0">
      <sharedItems containsBlank="1" count="7">
        <s v="MUY BAJO"/>
        <s v="MUY ALTO"/>
        <s v="ALTO"/>
        <m/>
        <s v="BAJO"/>
        <s v="MEDIO"/>
        <s v="RECHAZO"/>
      </sharedItems>
    </cacheField>
    <cacheField name="CLIENTES" numFmtId="0">
      <sharedItems containsSemiMixedTypes="0" containsString="0" containsNumber="1" minValue="1.4E-2" maxValue="39.896999999999998"/>
    </cacheField>
    <cacheField name="PONDCUOTAS" numFmtId="0">
      <sharedItems containsSemiMixedTypes="0" containsString="0" containsNumber="1" minValue="0.35596874000000001" maxValue="226.46096020151001"/>
    </cacheField>
    <cacheField name="FACTUTOTAL" numFmtId="0">
      <sharedItems containsSemiMixedTypes="0" containsString="0" containsNumber="1" minValue="2.6248259999999999E-2" maxValue="30.350778553440001"/>
    </cacheField>
    <cacheField name="Cuot" numFmtId="0" formula="PONDCUOTAS/FACTUTOTAL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ynoso Armas, Jhonas Raul" refreshedDate="45281.059377662037" createdVersion="5" refreshedVersion="6" minRefreshableVersion="3" recordCount="217" xr:uid="{00000000-000A-0000-FFFF-FFFF02000000}">
  <cacheSource type="worksheet">
    <worksheetSource ref="A3:E220" sheet="PyCCuotas" r:id="rId2"/>
  </cacheSource>
  <cacheFields count="6">
    <cacheField name="CODMES" numFmtId="0">
      <sharedItems containsSemiMixedTypes="0" containsString="0" containsNumber="1" containsInteger="1" minValue="201901" maxValue="202107" count="31">
        <n v="201901"/>
        <n v="201902"/>
        <n v="201903"/>
        <n v="201904"/>
        <n v="201905"/>
        <n v="201906"/>
        <n v="201907"/>
        <n v="201908"/>
        <n v="201909"/>
        <n v="201910"/>
        <n v="201911"/>
        <n v="201912"/>
        <n v="202001"/>
        <n v="202002"/>
        <n v="202003"/>
        <n v="202004"/>
        <n v="202005"/>
        <n v="202006"/>
        <n v="202007"/>
        <n v="202008"/>
        <n v="202009"/>
        <n v="202010"/>
        <n v="202011"/>
        <n v="202012"/>
        <n v="202101"/>
        <n v="202102"/>
        <n v="202103"/>
        <n v="202104"/>
        <n v="202105"/>
        <n v="202106"/>
        <n v="202107"/>
      </sharedItems>
    </cacheField>
    <cacheField name="CA_NIVEL" numFmtId="0">
      <sharedItems containsBlank="1" count="7">
        <s v="MUY ALTO"/>
        <s v="MEDIO"/>
        <m/>
        <s v="MUY BAJO"/>
        <s v="RECHAZO"/>
        <s v="BAJO"/>
        <s v="ALTO"/>
      </sharedItems>
    </cacheField>
    <cacheField name="PONDERADO" numFmtId="0">
      <sharedItems containsSemiMixedTypes="0" containsString="0" containsNumber="1" minValue="4.9124769999999998E-2" maxValue="107.632309562"/>
    </cacheField>
    <cacheField name="FACTU" numFmtId="0">
      <sharedItems containsSemiMixedTypes="0" containsString="0" containsNumber="1" minValue="6.7896500000000004E-3" maxValue="13.992573106"/>
    </cacheField>
    <cacheField name="CLIENTES" numFmtId="178">
      <sharedItems containsSemiMixedTypes="0" containsString="0" containsNumber="1" minValue="6.0000000000000001E-3" maxValue="15.06"/>
    </cacheField>
    <cacheField name="Cuotas" numFmtId="0" formula="PONDERADO/FACTU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ynoso Armas, Jhonas Raul" refreshedDate="45281.059377662037" createdVersion="5" refreshedVersion="6" minRefreshableVersion="3" recordCount="31" xr:uid="{00000000-000A-0000-FFFF-FFFF03000000}">
  <cacheSource type="worksheet">
    <worksheetSource ref="A3:E34" sheet="FactuSemanal" r:id="rId2"/>
  </cacheSource>
  <cacheFields count="5">
    <cacheField name="Sems" numFmtId="0">
      <sharedItems containsBlank="1" count="6">
        <s v="Sem 1"/>
        <s v="Sem 2"/>
        <s v="Sem 3"/>
        <s v="Sem 4"/>
        <m u="1"/>
        <s v="Sem 5" u="1"/>
      </sharedItems>
    </cacheField>
    <cacheField name="Fecha" numFmtId="14">
      <sharedItems containsSemiMixedTypes="0" containsNonDate="0" containsDate="1" containsString="0" minDate="2023-12-01T00:00:00" maxDate="2024-01-01T00:00:00"/>
    </cacheField>
    <cacheField name="Día Sem" numFmtId="0">
      <sharedItems/>
    </cacheField>
    <cacheField name="2023 R" numFmtId="1">
      <sharedItems containsSemiMixedTypes="0" containsString="0" containsNumber="1" minValue="16.907233287722367" maxValue="59.913472032176529"/>
    </cacheField>
    <cacheField name="2023 P" numFmtId="1">
      <sharedItems containsSemiMixedTypes="0" containsString="0" containsNumber="1" minValue="17.907233287722367" maxValue="74.6134720321765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ynoso Armas, Jhonas Raul" refreshedDate="45281.059377893522" createdVersion="6" refreshedVersion="6" minRefreshableVersion="3" recordCount="444" xr:uid="{00000000-000A-0000-FFFF-FFFF04000000}">
  <cacheSource type="worksheet">
    <worksheetSource ref="O3:S1048576" sheet="PyCCuotas" r:id="rId2"/>
  </cacheSource>
  <cacheFields count="7">
    <cacheField name="CODMES" numFmtId="0">
      <sharedItems containsString="0" containsBlank="1" containsNumber="1" containsInteger="1" minValue="201901" maxValue="202312" count="61">
        <n v="201901"/>
        <n v="201902"/>
        <n v="201903"/>
        <n v="201904"/>
        <n v="201905"/>
        <n v="201906"/>
        <n v="201907"/>
        <n v="201908"/>
        <n v="201909"/>
        <n v="201910"/>
        <n v="201911"/>
        <n v="201912"/>
        <n v="202001"/>
        <n v="202002"/>
        <n v="202003"/>
        <n v="202004"/>
        <n v="202005"/>
        <n v="202006"/>
        <n v="202007"/>
        <n v="202008"/>
        <n v="202009"/>
        <n v="202010"/>
        <n v="202011"/>
        <n v="202012"/>
        <n v="202101"/>
        <n v="202102"/>
        <n v="202103"/>
        <n v="202104"/>
        <n v="202105"/>
        <n v="202106"/>
        <n v="202107"/>
        <n v="202108"/>
        <n v="202109"/>
        <n v="202110"/>
        <n v="202111"/>
        <n v="202112"/>
        <n v="202201"/>
        <n v="202202"/>
        <n v="202203"/>
        <n v="202204"/>
        <n v="202205"/>
        <n v="202206"/>
        <n v="202207"/>
        <n v="202208"/>
        <n v="202209"/>
        <n v="202210"/>
        <n v="202211"/>
        <n v="202212"/>
        <n v="202301"/>
        <n v="202302"/>
        <n v="202303"/>
        <n v="202304"/>
        <n v="202305"/>
        <n v="202306"/>
        <n v="202307"/>
        <n v="202308"/>
        <n v="202309"/>
        <n v="202310"/>
        <n v="202311"/>
        <n v="202312"/>
        <m/>
      </sharedItems>
    </cacheField>
    <cacheField name="CA_NIVEL" numFmtId="0">
      <sharedItems containsDate="1" containsBlank="1" containsMixedTypes="1" minDate="2023-04-01T00:00:00" maxDate="2023-08-30T00:00:00" count="83">
        <m/>
        <s v="RECHAZO"/>
        <s v="ALTO"/>
        <s v="BAJO"/>
        <s v="MEDIO"/>
        <s v="MUY ALTO"/>
        <s v="MUY BAJO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8-22T00:00:00" u="1"/>
        <d v="2023-07-10T00:00:00" u="1"/>
        <d v="2023-08-15T00:00:00" u="1"/>
        <d v="2023-07-03T00:00:00" u="1"/>
        <d v="2023-08-08T00:00:00" u="1"/>
        <d v="2023-08-27T00:00:00" u="1"/>
        <d v="2023-08-01T00:00:00" u="1"/>
        <d v="2023-07-15T00:00:00" u="1"/>
        <d v="2023-08-20T00:00:00" u="1"/>
        <d v="2023-07-08T00:00:00" u="1"/>
        <d v="2023-08-13T00:00:00" u="1"/>
        <d v="2023-07-01T00:00:00" u="1"/>
        <d v="2023-08-06T00:00:00" u="1"/>
        <d v="2023-08-25T00:00:00" u="1"/>
        <d v="2023-07-13T00:00:00" u="1"/>
        <d v="2023-08-18T00:00:00" u="1"/>
        <d v="2023-07-06T00:00:00" u="1"/>
        <d v="2023-08-11T00:00:00" u="1"/>
        <d v="2023-08-04T00:00:00" u="1"/>
        <d v="2023-08-23T00:00:00" u="1"/>
        <d v="2023-07-11T00:00:00" u="1"/>
        <d v="2023-08-16T00:00:00" u="1"/>
        <d v="2023-07-04T00:00:00" u="1"/>
        <d v="2023-08-09T00:00:00" u="1"/>
        <d v="2023-08-28T00:00:00" u="1"/>
        <d v="2023-08-02T00:00:00" u="1"/>
        <d v="2023-07-16T00:00:00" u="1"/>
        <d v="2023-08-21T00:00:00" u="1"/>
        <d v="2023-07-09T00:00:00" u="1"/>
        <d v="2023-08-14T00:00:00" u="1"/>
        <d v="2023-07-02T00:00:00" u="1"/>
        <d v="2023-08-07T00:00:00" u="1"/>
        <d v="2023-08-26T00:00:00" u="1"/>
        <d v="2023-07-14T00:00:00" u="1"/>
        <d v="2023-08-19T00:00:00" u="1"/>
        <d v="2023-07-07T00:00:00" u="1"/>
        <d v="2023-08-12T00:00:00" u="1"/>
        <d v="2023-08-05T00:00:00" u="1"/>
        <d v="2023-08-24T00:00:00" u="1"/>
        <d v="2023-07-12T00:00:00" u="1"/>
        <d v="2023-08-17T00:00:00" u="1"/>
        <d v="2023-07-05T00:00:00" u="1"/>
        <d v="2023-08-10T00:00:00" u="1"/>
        <d v="2023-08-29T00:00:00" u="1"/>
        <d v="2023-08-03T00:00:00" u="1"/>
        <d v="2023-07-17T00:00:00" u="1"/>
      </sharedItems>
    </cacheField>
    <cacheField name="PONDERADO" numFmtId="0">
      <sharedItems containsString="0" containsBlank="1" containsNumber="1" minValue="2.97168E-3" maxValue="140.59506264999999"/>
    </cacheField>
    <cacheField name="FACTU" numFmtId="0">
      <sharedItems containsString="0" containsBlank="1" containsNumber="1" minValue="5.6289999999999997E-4" maxValue="17.996106562000001"/>
    </cacheField>
    <cacheField name="CLIENTES" numFmtId="0">
      <sharedItems containsString="0" containsBlank="1" containsNumber="1" minValue="1E-3" maxValue="17.088999999999999"/>
    </cacheField>
    <cacheField name="Cuotas" numFmtId="0" formula="PONDERADO/FACTU" databaseField="0"/>
    <cacheField name="NumCuotas2" numFmtId="0" formula="PONDERADO/FACTU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lderon Sayan, Adrian Domingo" refreshedDate="46140.521948958332" createdVersion="8" refreshedVersion="8" minRefreshableVersion="3" recordCount="48" xr:uid="{769A9F50-E350-4CC3-B707-506D64C00F49}">
  <cacheSource type="worksheet">
    <worksheetSource ref="C4:F52" sheet="Hoja3" r:id="rId2"/>
  </cacheSource>
  <cacheFields count="4">
    <cacheField name="dia" numFmtId="14">
      <sharedItems containsSemiMixedTypes="0" containsNonDate="0" containsDate="1" containsString="0" minDate="2026-04-01T00:00:00" maxDate="2026-04-25T00:00:00" count="24"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</sharedItems>
    </cacheField>
    <cacheField name="Marca" numFmtId="0">
      <sharedItems count="2">
        <s v="Visa"/>
        <s v="Amex"/>
      </sharedItems>
    </cacheField>
    <cacheField name="trx" numFmtId="0">
      <sharedItems containsSemiMixedTypes="0" containsString="0" containsNumber="1" containsInteger="1" minValue="44177" maxValue="269617"/>
    </cacheField>
    <cacheField name="volumen" numFmtId="0">
      <sharedItems containsSemiMixedTypes="0" containsString="0" containsNumber="1" minValue="8.5553347288800001" maxValue="56.931188443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lderon Sayan, Adrian Domingo" refreshedDate="46140.534724999998" createdVersion="8" refreshedVersion="8" minRefreshableVersion="3" recordCount="62" xr:uid="{B6AB47B5-CE17-49BC-815B-3D8889DEFEF2}">
  <cacheSource type="worksheet">
    <worksheetSource ref="Z4:AC66" sheet="Hoja3" r:id="rId2"/>
  </cacheSource>
  <cacheFields count="4">
    <cacheField name="Dia" numFmtId="14">
      <sharedItems containsSemiMixedTypes="0" containsNonDate="0" containsDate="1" containsString="0" minDate="2026-03-01T00:00:00" maxDate="2026-04-01T00:00:00" count="31"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</sharedItems>
    </cacheField>
    <cacheField name="Cuotas" numFmtId="0">
      <sharedItems count="2">
        <s v="N"/>
        <s v="S"/>
      </sharedItems>
    </cacheField>
    <cacheField name="Trx" numFmtId="0">
      <sharedItems containsSemiMixedTypes="0" containsString="0" containsNumber="1" containsInteger="1" minValue="5397" maxValue="358355"/>
    </cacheField>
    <cacheField name="Volumen" numFmtId="0">
      <sharedItems containsSemiMixedTypes="0" containsString="0" containsNumber="1" minValue="3.3103856595500001" maxValue="64.44796544637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lderon Sayan, Adrian Domingo" refreshedDate="46140.556682291666" createdVersion="8" refreshedVersion="8" minRefreshableVersion="3" recordCount="48" xr:uid="{DF09D60A-25F8-4E80-848E-F8D5CA9AE03F}">
  <cacheSource type="worksheet">
    <worksheetSource ref="AS3:AV51" sheet="Hoja3" r:id="rId2"/>
  </cacheSource>
  <cacheFields count="4">
    <cacheField name="día" numFmtId="14">
      <sharedItems containsSemiMixedTypes="0" containsNonDate="0" containsDate="1" containsString="0" minDate="2026-04-01T00:00:00" maxDate="2026-04-25T00:00:00" count="24"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</sharedItems>
    </cacheField>
    <cacheField name="cuotas" numFmtId="0">
      <sharedItems count="2">
        <s v="N"/>
        <s v="S"/>
      </sharedItems>
    </cacheField>
    <cacheField name="trx" numFmtId="0">
      <sharedItems containsSemiMixedTypes="0" containsString="0" containsNumber="1" containsInteger="1" minValue="4373" maxValue="372731"/>
    </cacheField>
    <cacheField name="volumen" numFmtId="0">
      <sharedItems containsSemiMixedTypes="0" containsString="0" containsNumber="1" minValue="2.26063959205" maxValue="73.11118994996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0">
  <r>
    <x v="0"/>
    <x v="0"/>
    <n v="30.134"/>
    <n v="137.10912782587999"/>
    <n v="18.976679264880001"/>
  </r>
  <r>
    <x v="0"/>
    <x v="1"/>
    <n v="12.385"/>
    <n v="81.506033917159996"/>
    <n v="9.2961915672599993"/>
  </r>
  <r>
    <x v="0"/>
    <x v="2"/>
    <n v="23.507000000000001"/>
    <n v="160.91692248532999"/>
    <n v="17.55364591663"/>
  </r>
  <r>
    <x v="0"/>
    <x v="3"/>
    <n v="4.3849999999999998"/>
    <n v="41.78527974464"/>
    <n v="4.0141000403299998"/>
  </r>
  <r>
    <x v="0"/>
    <x v="4"/>
    <n v="35.209000000000003"/>
    <n v="167.32696439279999"/>
    <n v="22.685223747439998"/>
  </r>
  <r>
    <x v="0"/>
    <x v="5"/>
    <n v="22.623000000000001"/>
    <n v="131.86141429543"/>
    <n v="15.642625537440001"/>
  </r>
  <r>
    <x v="0"/>
    <x v="6"/>
    <n v="12.97"/>
    <n v="44.304893691590003"/>
    <n v="7.2845794454900004"/>
  </r>
  <r>
    <x v="1"/>
    <x v="3"/>
    <n v="5.1429999999999998"/>
    <n v="54.030456685659999"/>
    <n v="5.0313002090900003"/>
  </r>
  <r>
    <x v="1"/>
    <x v="5"/>
    <n v="22.975000000000001"/>
    <n v="133.82364302309"/>
    <n v="16.06218595416"/>
  </r>
  <r>
    <x v="1"/>
    <x v="2"/>
    <n v="23.555"/>
    <n v="154.90827790466"/>
    <n v="17.390728013890001"/>
  </r>
  <r>
    <x v="1"/>
    <x v="1"/>
    <n v="12.744"/>
    <n v="97.907502667649993"/>
    <n v="9.9222692988900008"/>
  </r>
  <r>
    <x v="1"/>
    <x v="0"/>
    <n v="30.692"/>
    <n v="134.66660395375999"/>
    <n v="19.502216972119999"/>
  </r>
  <r>
    <x v="1"/>
    <x v="4"/>
    <n v="35.009"/>
    <n v="168.29380643745"/>
    <n v="22.858628290359999"/>
  </r>
  <r>
    <x v="1"/>
    <x v="6"/>
    <n v="13.978"/>
    <n v="40.803203479319997"/>
    <n v="7.4170187138700001"/>
  </r>
  <r>
    <x v="2"/>
    <x v="1"/>
    <n v="13.49"/>
    <n v="108.06583963719"/>
    <n v="10.76903066028"/>
  </r>
  <r>
    <x v="2"/>
    <x v="0"/>
    <n v="35.628"/>
    <n v="165.55103046452001"/>
    <n v="24.34944394899"/>
  </r>
  <r>
    <x v="2"/>
    <x v="3"/>
    <n v="7.53"/>
    <n v="75.805435007849994"/>
    <n v="7.1142282594099999"/>
  </r>
  <r>
    <x v="2"/>
    <x v="5"/>
    <n v="25.358000000000001"/>
    <n v="160.80612986251001"/>
    <n v="19.48589416686"/>
  </r>
  <r>
    <x v="2"/>
    <x v="4"/>
    <n v="39.896999999999998"/>
    <n v="226.46096020151001"/>
    <n v="30.350778553440001"/>
  </r>
  <r>
    <x v="2"/>
    <x v="2"/>
    <n v="25.616"/>
    <n v="197.77605258537"/>
    <n v="20.661572001189999"/>
  </r>
  <r>
    <x v="2"/>
    <x v="6"/>
    <n v="15.779"/>
    <n v="50.635419542549997"/>
    <n v="8.8925175741199993"/>
  </r>
  <r>
    <x v="3"/>
    <x v="3"/>
    <n v="6.7249999999999996"/>
    <n v="65.141736935680001"/>
    <n v="6.3891291822499996"/>
  </r>
  <r>
    <x v="3"/>
    <x v="1"/>
    <n v="12.837"/>
    <n v="87.656201343730004"/>
    <n v="9.6211442439900008"/>
  </r>
  <r>
    <x v="3"/>
    <x v="4"/>
    <n v="35.524000000000001"/>
    <n v="189.33006128021"/>
    <n v="25.023597792179999"/>
  </r>
  <r>
    <x v="3"/>
    <x v="6"/>
    <n v="15.949"/>
    <n v="45.098273251720002"/>
    <n v="8.3641917572699995"/>
  </r>
  <r>
    <x v="3"/>
    <x v="2"/>
    <n v="25.103000000000002"/>
    <n v="182.54087491287001"/>
    <n v="19.254014524860001"/>
  </r>
  <r>
    <x v="3"/>
    <x v="0"/>
    <n v="32.697000000000003"/>
    <n v="131.91383621452999"/>
    <n v="20.02519093075"/>
  </r>
  <r>
    <x v="3"/>
    <x v="5"/>
    <n v="23.879000000000001"/>
    <n v="145.26954664883999"/>
    <n v="17.987597630989999"/>
  </r>
  <r>
    <x v="4"/>
    <x v="4"/>
    <n v="38.277000000000001"/>
    <n v="215.11019270397"/>
    <n v="28.37060048687"/>
  </r>
  <r>
    <x v="4"/>
    <x v="6"/>
    <n v="18.256"/>
    <n v="55.67746003557"/>
    <n v="9.7193850304900007"/>
  </r>
  <r>
    <x v="4"/>
    <x v="3"/>
    <n v="5.7960000000000003"/>
    <n v="50.011205726870003"/>
    <n v="5.4063601500300003"/>
  </r>
  <r>
    <x v="4"/>
    <x v="0"/>
    <n v="35.951000000000001"/>
    <n v="159.27446387346001"/>
    <n v="23.681004248800001"/>
  </r>
  <r>
    <x v="4"/>
    <x v="2"/>
    <n v="27.495000000000001"/>
    <n v="173.00962590899999"/>
    <n v="20.898348321930001"/>
  </r>
  <r>
    <x v="4"/>
    <x v="1"/>
    <n v="14.532"/>
    <n v="89.844016580320002"/>
    <n v="10.701178952739999"/>
  </r>
  <r>
    <x v="4"/>
    <x v="5"/>
    <n v="26.146999999999998"/>
    <n v="166.08538941869"/>
    <n v="19.804476514779999"/>
  </r>
  <r>
    <x v="5"/>
    <x v="0"/>
    <n v="34.761000000000003"/>
    <n v="149.24110014307999"/>
    <n v="21.740744763750001"/>
  </r>
  <r>
    <x v="5"/>
    <x v="2"/>
    <n v="25.625"/>
    <n v="159.90252780725001"/>
    <n v="19.106062996169999"/>
  </r>
  <r>
    <x v="5"/>
    <x v="4"/>
    <n v="36.637"/>
    <n v="181.69185006429001"/>
    <n v="25.804319039789998"/>
  </r>
  <r>
    <x v="5"/>
    <x v="3"/>
    <n v="5.2270000000000003"/>
    <n v="43.074161797110001"/>
    <n v="4.4432988338900001"/>
  </r>
  <r>
    <x v="5"/>
    <x v="1"/>
    <n v="13.465999999999999"/>
    <n v="67.236371236210005"/>
    <n v="8.9498094046700007"/>
  </r>
  <r>
    <x v="5"/>
    <x v="5"/>
    <n v="24.582999999999998"/>
    <n v="139.02479244061001"/>
    <n v="18.040903591639999"/>
  </r>
  <r>
    <x v="5"/>
    <x v="6"/>
    <n v="18.393000000000001"/>
    <n v="47.936155930159998"/>
    <n v="9.1914605041600002"/>
  </r>
  <r>
    <x v="6"/>
    <x v="2"/>
    <n v="24.67"/>
    <n v="141.2628595164"/>
    <n v="17.102707537280001"/>
  </r>
  <r>
    <x v="6"/>
    <x v="4"/>
    <n v="34.752000000000002"/>
    <n v="164.1503726352"/>
    <n v="22.783131167280001"/>
  </r>
  <r>
    <x v="6"/>
    <x v="5"/>
    <n v="23.567"/>
    <n v="129.93196818605"/>
    <n v="16.362845621990001"/>
  </r>
  <r>
    <x v="6"/>
    <x v="6"/>
    <n v="18.843"/>
    <n v="46.297651477990001"/>
    <n v="8.18184260618"/>
  </r>
  <r>
    <x v="6"/>
    <x v="3"/>
    <n v="5.7789999999999999"/>
    <n v="43.533129745010001"/>
    <n v="4.3610311749099999"/>
  </r>
  <r>
    <x v="6"/>
    <x v="0"/>
    <n v="33.122"/>
    <n v="128.32654673854"/>
    <n v="18.826101839949999"/>
  </r>
  <r>
    <x v="6"/>
    <x v="1"/>
    <n v="13.166"/>
    <n v="75.884793771990005"/>
    <n v="9.2895014555700008"/>
  </r>
  <r>
    <x v="7"/>
    <x v="5"/>
    <n v="23.76"/>
    <n v="125.29318553816"/>
    <n v="16.028760316989999"/>
  </r>
  <r>
    <x v="7"/>
    <x v="0"/>
    <n v="33.432000000000002"/>
    <n v="125.84124862416"/>
    <n v="18.35802635936"/>
  </r>
  <r>
    <x v="7"/>
    <x v="4"/>
    <n v="34.905999999999999"/>
    <n v="167.94200163107001"/>
    <n v="22.410450460050001"/>
  </r>
  <r>
    <x v="7"/>
    <x v="1"/>
    <n v="13.712999999999999"/>
    <n v="72.20023923091"/>
    <n v="9.3008302084899999"/>
  </r>
  <r>
    <x v="7"/>
    <x v="3"/>
    <n v="5.6150000000000002"/>
    <n v="49.752128552359999"/>
    <n v="4.6453625213800001"/>
  </r>
  <r>
    <x v="7"/>
    <x v="2"/>
    <n v="25.361999999999998"/>
    <n v="148.43605651304"/>
    <n v="17.711247584740001"/>
  </r>
  <r>
    <x v="7"/>
    <x v="6"/>
    <n v="18.972000000000001"/>
    <n v="46.407620494169997"/>
    <n v="8.1778422176899994"/>
  </r>
  <r>
    <x v="8"/>
    <x v="3"/>
    <n v="4.7759999999999998"/>
    <n v="43.774153183049997"/>
    <n v="4.0636374368799997"/>
  </r>
  <r>
    <x v="8"/>
    <x v="5"/>
    <n v="22.81"/>
    <n v="125.38907136038"/>
    <n v="14.83595348271"/>
  </r>
  <r>
    <x v="8"/>
    <x v="1"/>
    <n v="13.717000000000001"/>
    <n v="70.06921924577"/>
    <n v="8.7267623920900004"/>
  </r>
  <r>
    <x v="8"/>
    <x v="0"/>
    <n v="31.937999999999999"/>
    <n v="111.16192302319"/>
    <n v="16.919152599450001"/>
  </r>
  <r>
    <x v="8"/>
    <x v="6"/>
    <n v="18.46"/>
    <n v="40.470862830030001"/>
    <n v="7.5763573334999998"/>
  </r>
  <r>
    <x v="8"/>
    <x v="4"/>
    <n v="33.881"/>
    <n v="159.54410622941"/>
    <n v="20.738400555439998"/>
  </r>
  <r>
    <x v="8"/>
    <x v="2"/>
    <n v="24.981999999999999"/>
    <n v="151.16766221813"/>
    <n v="16.430499942619999"/>
  </r>
  <r>
    <x v="9"/>
    <x v="6"/>
    <n v="18.093"/>
    <n v="41.158710182989999"/>
    <n v="7.4672292568699996"/>
  </r>
  <r>
    <x v="9"/>
    <x v="0"/>
    <n v="31.827999999999999"/>
    <n v="112.10355971938"/>
    <n v="17.065034676549999"/>
  </r>
  <r>
    <x v="9"/>
    <x v="3"/>
    <n v="4.3890000000000002"/>
    <n v="34.31107806696"/>
    <n v="3.5206151706400002"/>
  </r>
  <r>
    <x v="9"/>
    <x v="5"/>
    <n v="23.048999999999999"/>
    <n v="125.79614533778"/>
    <n v="14.8080076266"/>
  </r>
  <r>
    <x v="9"/>
    <x v="1"/>
    <n v="14.095000000000001"/>
    <n v="76.587973750789999"/>
    <n v="9.0613538160200005"/>
  </r>
  <r>
    <x v="9"/>
    <x v="4"/>
    <n v="34.393000000000001"/>
    <n v="152.87207358114"/>
    <n v="20.825913915179999"/>
  </r>
  <r>
    <x v="9"/>
    <x v="2"/>
    <n v="25.187000000000001"/>
    <n v="149.35564583217001"/>
    <n v="16.688818809080001"/>
  </r>
  <r>
    <x v="10"/>
    <x v="4"/>
    <n v="33.652999999999999"/>
    <n v="167.78309378777001"/>
    <n v="21.173158595709999"/>
  </r>
  <r>
    <x v="10"/>
    <x v="6"/>
    <n v="16.988"/>
    <n v="37.295731806169997"/>
    <n v="6.8251778923300002"/>
  </r>
  <r>
    <x v="10"/>
    <x v="0"/>
    <n v="30.478999999999999"/>
    <n v="111.57048585944"/>
    <n v="16.410162459319999"/>
  </r>
  <r>
    <x v="10"/>
    <x v="1"/>
    <n v="13.888"/>
    <n v="113.80683923677"/>
    <n v="10.87974540692"/>
  </r>
  <r>
    <x v="10"/>
    <x v="5"/>
    <n v="22.347999999999999"/>
    <n v="141.28060695804001"/>
    <n v="15.79611030986"/>
  </r>
  <r>
    <x v="10"/>
    <x v="3"/>
    <n v="3.7919999999999998"/>
    <n v="45.133010010850001"/>
    <n v="3.6233953957299998"/>
  </r>
  <r>
    <x v="10"/>
    <x v="2"/>
    <n v="24.614999999999998"/>
    <n v="179.39594193999"/>
    <n v="18.394412743650001"/>
  </r>
  <r>
    <x v="11"/>
    <x v="5"/>
    <n v="25.882000000000001"/>
    <n v="156.10292683233001"/>
    <n v="19.166168719120002"/>
  </r>
  <r>
    <x v="11"/>
    <x v="2"/>
    <n v="28.259"/>
    <n v="204.62241362821999"/>
    <n v="22.218998701379999"/>
  </r>
  <r>
    <x v="11"/>
    <x v="4"/>
    <n v="38.787999999999997"/>
    <n v="195.08985488165001"/>
    <n v="26.79371635755"/>
  </r>
  <r>
    <x v="11"/>
    <x v="3"/>
    <n v="4.4240000000000004"/>
    <n v="54.183151208779996"/>
    <n v="4.5639897942000003"/>
  </r>
  <r>
    <x v="11"/>
    <x v="1"/>
    <n v="16.303999999999998"/>
    <n v="119.05856985114001"/>
    <n v="12.95973403182"/>
  </r>
  <r>
    <x v="11"/>
    <x v="0"/>
    <n v="35.112000000000002"/>
    <n v="127.57256972152"/>
    <n v="20.137982267959998"/>
  </r>
  <r>
    <x v="11"/>
    <x v="6"/>
    <n v="18.562000000000001"/>
    <n v="43.073114893250001"/>
    <n v="8.0718779024800007"/>
  </r>
  <r>
    <x v="12"/>
    <x v="3"/>
    <n v="3.359"/>
    <n v="40.274878585689997"/>
    <n v="3.48223749308"/>
  </r>
  <r>
    <x v="12"/>
    <x v="1"/>
    <n v="13.645"/>
    <n v="88.600941330089995"/>
    <n v="9.9605823284500001"/>
  </r>
  <r>
    <x v="12"/>
    <x v="0"/>
    <n v="30.1"/>
    <n v="116.10614925821"/>
    <n v="16.907259863090001"/>
  </r>
  <r>
    <x v="12"/>
    <x v="2"/>
    <n v="24.44"/>
    <n v="166.40246892644001"/>
    <n v="17.904245844710001"/>
  </r>
  <r>
    <x v="12"/>
    <x v="6"/>
    <n v="14.45"/>
    <n v="35.136737823959997"/>
    <n v="6.1646118527100002"/>
  </r>
  <r>
    <x v="12"/>
    <x v="4"/>
    <n v="34.137999999999998"/>
    <n v="172.15877215755"/>
    <n v="22.383313694630001"/>
  </r>
  <r>
    <x v="12"/>
    <x v="5"/>
    <n v="22.57"/>
    <n v="132.45926999474"/>
    <n v="15.65323923986"/>
  </r>
  <r>
    <x v="13"/>
    <x v="3"/>
    <n v="3.016"/>
    <n v="38.413373140490002"/>
    <n v="3.2386927824699998"/>
  </r>
  <r>
    <x v="13"/>
    <x v="1"/>
    <n v="14.39"/>
    <n v="83.93387620579"/>
    <n v="10.653998924690001"/>
  </r>
  <r>
    <x v="13"/>
    <x v="6"/>
    <n v="14.371"/>
    <n v="32.07976781464"/>
    <n v="5.8738912266299996"/>
  </r>
  <r>
    <x v="13"/>
    <x v="4"/>
    <n v="35.195999999999998"/>
    <n v="158.71696310587001"/>
    <n v="22.75195383682"/>
  </r>
  <r>
    <x v="13"/>
    <x v="5"/>
    <n v="23.47"/>
    <n v="127.91119522311"/>
    <n v="16.561022581100001"/>
  </r>
  <r>
    <x v="13"/>
    <x v="2"/>
    <n v="25.175000000000001"/>
    <n v="158.21625395332001"/>
    <n v="18.632465016379999"/>
  </r>
  <r>
    <x v="13"/>
    <x v="0"/>
    <n v="30.908999999999999"/>
    <n v="113.75974565483"/>
    <n v="17.302855524790001"/>
  </r>
  <r>
    <x v="14"/>
    <x v="5"/>
    <n v="18.792999999999999"/>
    <n v="87.298335565170007"/>
    <n v="11.174690758780001"/>
  </r>
  <r>
    <x v="14"/>
    <x v="1"/>
    <n v="10.835000000000001"/>
    <n v="48.894404514309997"/>
    <n v="6.3948469032100004"/>
  </r>
  <r>
    <x v="14"/>
    <x v="6"/>
    <n v="11.098000000000001"/>
    <n v="24.68783054247"/>
    <n v="4.3454350309000001"/>
  </r>
  <r>
    <x v="14"/>
    <x v="0"/>
    <n v="25.344000000000001"/>
    <n v="82.633320075010005"/>
    <n v="12.493671987780001"/>
  </r>
  <r>
    <x v="14"/>
    <x v="4"/>
    <n v="28.765000000000001"/>
    <n v="105.84106546864"/>
    <n v="15.71721512839"/>
  </r>
  <r>
    <x v="14"/>
    <x v="2"/>
    <n v="19.709"/>
    <n v="101.19447188981999"/>
    <n v="12.13786067999"/>
  </r>
  <r>
    <x v="14"/>
    <x v="3"/>
    <n v="2.206"/>
    <n v="21.650479622270002"/>
    <n v="2.0166758325299998"/>
  </r>
  <r>
    <x v="15"/>
    <x v="4"/>
    <n v="11.266999999999999"/>
    <n v="33.17442052901"/>
    <n v="5.0614962946900004"/>
  </r>
  <r>
    <x v="15"/>
    <x v="2"/>
    <n v="6.6710000000000003"/>
    <n v="26.16750435949"/>
    <n v="3.4021818794100001"/>
  </r>
  <r>
    <x v="15"/>
    <x v="6"/>
    <n v="5.399"/>
    <n v="11.139279718399999"/>
    <n v="1.9569568576"/>
  </r>
  <r>
    <x v="15"/>
    <x v="3"/>
    <n v="1.4E-2"/>
    <n v="0.35596874000000001"/>
    <n v="2.6248259999999999E-2"/>
  </r>
  <r>
    <x v="15"/>
    <x v="5"/>
    <n v="6.875"/>
    <n v="24.551304456890001"/>
    <n v="3.4220590035499998"/>
  </r>
  <r>
    <x v="15"/>
    <x v="1"/>
    <n v="3.7429999999999999"/>
    <n v="12.539228230799999"/>
    <n v="1.7854116685999999"/>
  </r>
  <r>
    <x v="15"/>
    <x v="0"/>
    <n v="10.733000000000001"/>
    <n v="28.287977643200001"/>
    <n v="4.5404230866899997"/>
  </r>
  <r>
    <x v="16"/>
    <x v="0"/>
    <n v="14.316000000000001"/>
    <n v="57.23666779186"/>
    <n v="8.1087597733300001"/>
  </r>
  <r>
    <x v="16"/>
    <x v="1"/>
    <n v="4.6340000000000003"/>
    <n v="27.282477044410001"/>
    <n v="3.5752830766399999"/>
  </r>
  <r>
    <x v="16"/>
    <x v="3"/>
    <n v="8.3000000000000004E-2"/>
    <n v="0.67944333999999995"/>
    <n v="8.3034659999999996E-2"/>
  </r>
  <r>
    <x v="16"/>
    <x v="4"/>
    <n v="12.304"/>
    <n v="55.655194372010001"/>
    <n v="7.6568736673300002"/>
  </r>
  <r>
    <x v="16"/>
    <x v="6"/>
    <n v="8.1929999999999996"/>
    <n v="24.596380299980002"/>
    <n v="3.7294580229399998"/>
  </r>
  <r>
    <x v="16"/>
    <x v="2"/>
    <n v="7.6929999999999996"/>
    <n v="48.624729369519997"/>
    <n v="6.0710339632199997"/>
  </r>
  <r>
    <x v="16"/>
    <x v="5"/>
    <n v="7.1470000000000002"/>
    <n v="41.50436816773"/>
    <n v="5.16140081088"/>
  </r>
  <r>
    <x v="17"/>
    <x v="4"/>
    <n v="13.506"/>
    <n v="60.303305903030001"/>
    <n v="8.7755196448900001"/>
  </r>
  <r>
    <x v="17"/>
    <x v="6"/>
    <n v="7.5720000000000001"/>
    <n v="23.032826310059999"/>
    <n v="3.5518579583399998"/>
  </r>
  <r>
    <x v="17"/>
    <x v="5"/>
    <n v="8.6150000000000002"/>
    <n v="46.888527710120002"/>
    <n v="6.3474187503400001"/>
  </r>
  <r>
    <x v="17"/>
    <x v="3"/>
    <n v="0.254"/>
    <n v="2.7542397900000002"/>
    <n v="0.28294435000000001"/>
  </r>
  <r>
    <x v="17"/>
    <x v="2"/>
    <n v="9.4860000000000007"/>
    <n v="58.884801307079996"/>
    <n v="7.4333495271999999"/>
  </r>
  <r>
    <x v="17"/>
    <x v="1"/>
    <n v="5.8760000000000003"/>
    <n v="37.259474917589998"/>
    <n v="4.7437145244299996"/>
  </r>
  <r>
    <x v="17"/>
    <x v="0"/>
    <n v="13.558"/>
    <n v="54.238887596200001"/>
    <n v="7.7426990135200002"/>
  </r>
  <r>
    <x v="18"/>
    <x v="0"/>
    <n v="13.532"/>
    <n v="44.280612301520001"/>
    <n v="7.4309216663199997"/>
  </r>
  <r>
    <x v="18"/>
    <x v="6"/>
    <n v="6.8630000000000004"/>
    <n v="19.476241703340001"/>
    <n v="3.1347790304699998"/>
  </r>
  <r>
    <x v="18"/>
    <x v="4"/>
    <n v="15.637"/>
    <n v="72.881986455260005"/>
    <n v="10.473162723890001"/>
  </r>
  <r>
    <x v="18"/>
    <x v="3"/>
    <n v="0.38400000000000001"/>
    <n v="4.2303992807200004"/>
    <n v="0.47044518256000001"/>
  </r>
  <r>
    <x v="18"/>
    <x v="1"/>
    <n v="8.5150000000000006"/>
    <n v="65.177049328620001"/>
    <n v="7.7720829804599996"/>
  </r>
  <r>
    <x v="18"/>
    <x v="2"/>
    <n v="13.353999999999999"/>
    <n v="100.05735072764"/>
    <n v="11.98511204936"/>
  </r>
  <r>
    <x v="18"/>
    <x v="5"/>
    <n v="11.442"/>
    <n v="65.901495173970005"/>
    <n v="9.0893769183199993"/>
  </r>
  <r>
    <x v="19"/>
    <x v="0"/>
    <n v="12.510999999999999"/>
    <n v="41.523031829499999"/>
    <n v="6.8715233943699996"/>
  </r>
  <r>
    <x v="19"/>
    <x v="1"/>
    <n v="9.3650000000000002"/>
    <n v="84.33479278451"/>
    <n v="8.8657529692299999"/>
  </r>
  <r>
    <x v="19"/>
    <x v="5"/>
    <n v="12.069000000000001"/>
    <n v="72.859298901949998"/>
    <n v="9.2822051113700006"/>
  </r>
  <r>
    <x v="19"/>
    <x v="2"/>
    <n v="14.49"/>
    <n v="109.71439528588"/>
    <n v="12.554827563830001"/>
  </r>
  <r>
    <x v="19"/>
    <x v="4"/>
    <n v="16.242999999999999"/>
    <n v="74.892745963099998"/>
    <n v="10.73079848121"/>
  </r>
  <r>
    <x v="19"/>
    <x v="3"/>
    <n v="0.65200000000000002"/>
    <n v="9.6903517650000008"/>
    <n v="0.84583536250000002"/>
  </r>
  <r>
    <x v="19"/>
    <x v="6"/>
    <n v="4.5149999999999997"/>
    <n v="11.82906304766"/>
    <n v="1.98747360338"/>
  </r>
  <r>
    <x v="20"/>
    <x v="4"/>
    <n v="19.491"/>
    <n v="90.266755997849998"/>
    <n v="12.77199278965"/>
  </r>
  <r>
    <x v="20"/>
    <x v="5"/>
    <n v="8.9009999999999998"/>
    <n v="56.774537118360001"/>
    <n v="6.8980172479600004"/>
  </r>
  <r>
    <x v="20"/>
    <x v="0"/>
    <n v="14.436999999999999"/>
    <n v="43.684816132160002"/>
    <n v="7.7252664023199999"/>
  </r>
  <r>
    <x v="20"/>
    <x v="6"/>
    <n v="7.133"/>
    <n v="17.183332864240001"/>
    <n v="3.1557728031700001"/>
  </r>
  <r>
    <x v="20"/>
    <x v="3"/>
    <n v="0.92400000000000004"/>
    <n v="14.36954013834"/>
    <n v="1.2248822827800001"/>
  </r>
  <r>
    <x v="20"/>
    <x v="1"/>
    <n v="10.039999999999999"/>
    <n v="86.727721056050001"/>
    <n v="9.7469460057100008"/>
  </r>
  <r>
    <x v="20"/>
    <x v="2"/>
    <n v="12.547000000000001"/>
    <n v="99.110315851289997"/>
    <n v="10.82662103074"/>
  </r>
  <r>
    <x v="21"/>
    <x v="4"/>
    <n v="20.9"/>
    <n v="106.77077544165"/>
    <n v="14.002920142160001"/>
  </r>
  <r>
    <x v="21"/>
    <x v="6"/>
    <n v="7.0140000000000002"/>
    <n v="15.770526022769999"/>
    <n v="2.9850731472000001"/>
  </r>
  <r>
    <x v="21"/>
    <x v="5"/>
    <n v="9.5419999999999998"/>
    <n v="63.287273197239998"/>
    <n v="7.3158658867600002"/>
  </r>
  <r>
    <x v="21"/>
    <x v="0"/>
    <n v="14.68"/>
    <n v="44.986762813719999"/>
    <n v="7.8456184817799999"/>
  </r>
  <r>
    <x v="21"/>
    <x v="3"/>
    <n v="1.1679999999999999"/>
    <n v="12.115863690159999"/>
    <n v="1.20147385027"/>
  </r>
  <r>
    <x v="21"/>
    <x v="2"/>
    <n v="13.824999999999999"/>
    <n v="105.75551681639"/>
    <n v="11.919393386179999"/>
  </r>
  <r>
    <x v="21"/>
    <x v="1"/>
    <n v="11.28"/>
    <n v="98.307373610529993"/>
    <n v="10.926071186070001"/>
  </r>
  <r>
    <x v="22"/>
    <x v="3"/>
    <n v="0.997"/>
    <n v="10.91138706552"/>
    <n v="1.0849680471900001"/>
  </r>
  <r>
    <x v="22"/>
    <x v="6"/>
    <n v="6.1230000000000002"/>
    <n v="12.215923296650001"/>
    <n v="2.4288260321599999"/>
  </r>
  <r>
    <x v="22"/>
    <x v="4"/>
    <n v="20.800999999999998"/>
    <n v="94.86866705525"/>
    <n v="13.45444189096"/>
  </r>
  <r>
    <x v="22"/>
    <x v="1"/>
    <n v="11.664"/>
    <n v="103.72623592316999"/>
    <n v="11.438769026139999"/>
  </r>
  <r>
    <x v="22"/>
    <x v="2"/>
    <n v="13.59"/>
    <n v="101.24062974301"/>
    <n v="11.403454612999999"/>
  </r>
  <r>
    <x v="22"/>
    <x v="0"/>
    <n v="13.602"/>
    <n v="38.821942417290003"/>
    <n v="6.9815614952100002"/>
  </r>
  <r>
    <x v="22"/>
    <x v="5"/>
    <n v="9.407"/>
    <n v="52.910114797890003"/>
    <n v="6.8085617266099998"/>
  </r>
  <r>
    <x v="23"/>
    <x v="0"/>
    <n v="14.930999999999999"/>
    <n v="45.823411279950001"/>
    <n v="8.0289959587300004"/>
  </r>
  <r>
    <x v="23"/>
    <x v="1"/>
    <n v="13.691000000000001"/>
    <n v="136.17967095443001"/>
    <n v="14.181166408919999"/>
  </r>
  <r>
    <x v="23"/>
    <x v="4"/>
    <n v="24.797999999999998"/>
    <n v="111.09596230005"/>
    <n v="16.350248615720002"/>
  </r>
  <r>
    <x v="23"/>
    <x v="2"/>
    <n v="16.672000000000001"/>
    <n v="135.76360112651"/>
    <n v="14.867634980029999"/>
  </r>
  <r>
    <x v="23"/>
    <x v="6"/>
    <n v="6.22"/>
    <n v="13.11566729211"/>
    <n v="2.6624314295899998"/>
  </r>
  <r>
    <x v="23"/>
    <x v="5"/>
    <n v="11.669"/>
    <n v="74.793585557079993"/>
    <n v="9.3886921354300004"/>
  </r>
  <r>
    <x v="23"/>
    <x v="3"/>
    <n v="1.923"/>
    <n v="14.058034181569999"/>
    <n v="1.65230716088"/>
  </r>
  <r>
    <x v="24"/>
    <x v="5"/>
    <n v="9.2970000000000006"/>
    <n v="51.12204566066"/>
    <n v="6.7983715635099999"/>
  </r>
  <r>
    <x v="24"/>
    <x v="0"/>
    <n v="12.132"/>
    <n v="35.086009354390001"/>
    <n v="6.2558371257500003"/>
  </r>
  <r>
    <x v="24"/>
    <x v="4"/>
    <n v="20.187999999999999"/>
    <n v="92.050195893129995"/>
    <n v="12.917838113149999"/>
  </r>
  <r>
    <x v="24"/>
    <x v="6"/>
    <n v="5.0949999999999998"/>
    <n v="10.891521547190001"/>
    <n v="2.0957155744999998"/>
  </r>
  <r>
    <x v="24"/>
    <x v="2"/>
    <n v="13.218"/>
    <n v="95.974908233950003"/>
    <n v="11.14932516443"/>
  </r>
  <r>
    <x v="24"/>
    <x v="3"/>
    <n v="3.82"/>
    <n v="23.871826568389999"/>
    <n v="2.9622721416500002"/>
  </r>
  <r>
    <x v="24"/>
    <x v="1"/>
    <n v="10.834"/>
    <n v="92.488346620369995"/>
    <n v="10.494277756320001"/>
  </r>
  <r>
    <x v="25"/>
    <x v="2"/>
    <n v="10.654"/>
    <n v="74.638199766140005"/>
    <n v="8.7866006506699996"/>
  </r>
  <r>
    <x v="25"/>
    <x v="3"/>
    <n v="1.216"/>
    <n v="6.3384398278500003"/>
    <n v="0.86947949315999995"/>
  </r>
  <r>
    <x v="25"/>
    <x v="0"/>
    <n v="10.818"/>
    <n v="31.09772046694"/>
    <n v="5.4436306492900002"/>
  </r>
  <r>
    <x v="25"/>
    <x v="5"/>
    <n v="8.1340000000000003"/>
    <n v="41.735266309799997"/>
    <n v="5.6133904213300001"/>
  </r>
  <r>
    <x v="25"/>
    <x v="4"/>
    <n v="18.312000000000001"/>
    <n v="79.303359431269996"/>
    <n v="11.45407052739"/>
  </r>
  <r>
    <x v="25"/>
    <x v="6"/>
    <n v="4.1120000000000001"/>
    <n v="9.6744833578199998"/>
    <n v="1.80031043881"/>
  </r>
  <r>
    <x v="25"/>
    <x v="1"/>
    <n v="8.1370000000000005"/>
    <n v="60.310667948460001"/>
    <n v="7.7604756804699999"/>
  </r>
  <r>
    <x v="26"/>
    <x v="2"/>
    <n v="16.007000000000001"/>
    <n v="122.90397934839"/>
    <n v="15.40840531497"/>
  </r>
  <r>
    <x v="26"/>
    <x v="0"/>
    <n v="12.981999999999999"/>
    <n v="46.208349205440001"/>
    <n v="7.4011007925000003"/>
  </r>
  <r>
    <x v="26"/>
    <x v="4"/>
    <n v="23.094000000000001"/>
    <n v="101.46491029342"/>
    <n v="15.84498856666"/>
  </r>
  <r>
    <x v="26"/>
    <x v="5"/>
    <n v="11.189"/>
    <n v="70.305131835810002"/>
    <n v="9.3930621559900001"/>
  </r>
  <r>
    <x v="26"/>
    <x v="3"/>
    <n v="2.8370000000000002"/>
    <n v="16.69691528585"/>
    <n v="2.1254187067300001"/>
  </r>
  <r>
    <x v="26"/>
    <x v="1"/>
    <n v="14.329000000000001"/>
    <n v="131.53331461581999"/>
    <n v="15.803741937250001"/>
  </r>
  <r>
    <x v="26"/>
    <x v="6"/>
    <n v="4.6790000000000003"/>
    <n v="11.81407586568"/>
    <n v="2.1603986979999998"/>
  </r>
  <r>
    <x v="27"/>
    <x v="3"/>
    <n v="2.2360000000000002"/>
    <n v="10.420686804700001"/>
    <n v="1.48875526777"/>
  </r>
  <r>
    <x v="27"/>
    <x v="6"/>
    <n v="3.4910000000000001"/>
    <n v="7.8575309563899998"/>
    <n v="1.4936398362200001"/>
  </r>
  <r>
    <x v="27"/>
    <x v="5"/>
    <n v="10.407999999999999"/>
    <n v="53.416675011599999"/>
    <n v="7.4601115066399997"/>
  </r>
  <r>
    <x v="27"/>
    <x v="1"/>
    <n v="11.917999999999999"/>
    <n v="92.447131445310006"/>
    <n v="11.414842643249999"/>
  </r>
  <r>
    <x v="27"/>
    <x v="2"/>
    <n v="14.741"/>
    <n v="92.880517440739993"/>
    <n v="12.22484631214"/>
  </r>
  <r>
    <x v="27"/>
    <x v="4"/>
    <n v="21.254000000000001"/>
    <n v="80.439231498669997"/>
    <n v="12.971465513169999"/>
  </r>
  <r>
    <x v="27"/>
    <x v="0"/>
    <n v="11.282999999999999"/>
    <n v="33.431525366350002"/>
    <n v="5.7579670386600004"/>
  </r>
  <r>
    <x v="28"/>
    <x v="2"/>
    <n v="16.372"/>
    <n v="109.0836844645"/>
    <n v="13.914736678280001"/>
  </r>
  <r>
    <x v="28"/>
    <x v="4"/>
    <n v="23.009"/>
    <n v="82.508309157989999"/>
    <n v="14.058529998699999"/>
  </r>
  <r>
    <x v="28"/>
    <x v="1"/>
    <n v="14.071"/>
    <n v="103.86273407026999"/>
    <n v="12.950489692750001"/>
  </r>
  <r>
    <x v="28"/>
    <x v="3"/>
    <n v="3.782"/>
    <n v="19.199509383790001"/>
    <n v="2.6149887681299999"/>
  </r>
  <r>
    <x v="28"/>
    <x v="6"/>
    <n v="3.8479999999999999"/>
    <n v="7.1060946747999996"/>
    <n v="1.5303060448000001"/>
  </r>
  <r>
    <x v="28"/>
    <x v="0"/>
    <n v="12.257"/>
    <n v="31.98681699039"/>
    <n v="6.12891638322"/>
  </r>
  <r>
    <x v="28"/>
    <x v="5"/>
    <n v="11.164"/>
    <n v="55.622877973489999"/>
    <n v="8.0305441454200004"/>
  </r>
  <r>
    <x v="29"/>
    <x v="2"/>
    <n v="16.998000000000001"/>
    <n v="94.147923189739998"/>
    <n v="13.416150427250001"/>
  </r>
  <r>
    <x v="29"/>
    <x v="4"/>
    <n v="25.35"/>
    <n v="89.232577228300002"/>
    <n v="15.36785258746"/>
  </r>
  <r>
    <x v="29"/>
    <x v="5"/>
    <n v="11.975"/>
    <n v="56.23614929443"/>
    <n v="8.6772436014699998"/>
  </r>
  <r>
    <x v="29"/>
    <x v="1"/>
    <n v="14.394"/>
    <n v="104.24886452728001"/>
    <n v="13.2851320928"/>
  </r>
  <r>
    <x v="29"/>
    <x v="6"/>
    <n v="3.86"/>
    <n v="6.9698921199999999"/>
    <n v="1.51679904"/>
  </r>
  <r>
    <x v="29"/>
    <x v="0"/>
    <n v="13.45"/>
    <n v="34.490155108110002"/>
    <n v="6.7278496968999999"/>
  </r>
  <r>
    <x v="29"/>
    <x v="3"/>
    <n v="3.4249999999999998"/>
    <n v="18.008356739949999"/>
    <n v="2.52218992853"/>
  </r>
  <r>
    <x v="30"/>
    <x v="1"/>
    <n v="14.427"/>
    <n v="115.73026704172"/>
    <n v="13.5701670012"/>
  </r>
  <r>
    <x v="30"/>
    <x v="5"/>
    <n v="13.387"/>
    <n v="81.809823196609997"/>
    <n v="11.07187999618"/>
  </r>
  <r>
    <x v="30"/>
    <x v="0"/>
    <n v="15.077"/>
    <n v="53.140215154259998"/>
    <n v="9.0488702673100008"/>
  </r>
  <r>
    <x v="30"/>
    <x v="6"/>
    <n v="4.4370000000000003"/>
    <n v="11.41586971538"/>
    <n v="2.2910623168600002"/>
  </r>
  <r>
    <x v="30"/>
    <x v="2"/>
    <n v="18.442"/>
    <n v="132.50922047636001"/>
    <n v="16.444325279520001"/>
  </r>
  <r>
    <x v="30"/>
    <x v="4"/>
    <n v="28.021000000000001"/>
    <n v="125.88713632954"/>
    <n v="19.748608746910001"/>
  </r>
  <r>
    <x v="30"/>
    <x v="3"/>
    <n v="4.2000000000000003E-2"/>
    <n v="0.46804655000000001"/>
    <n v="4.2369129999999998E-2"/>
  </r>
  <r>
    <x v="31"/>
    <x v="1"/>
    <n v="12.946"/>
    <n v="109.06769000731001"/>
    <n v="12.651955865330001"/>
  </r>
  <r>
    <x v="31"/>
    <x v="6"/>
    <n v="5.6269999999999998"/>
    <n v="17.182569305419999"/>
    <n v="3.1786318867399999"/>
  </r>
  <r>
    <x v="31"/>
    <x v="0"/>
    <n v="17.068999999999999"/>
    <n v="62.026775883589998"/>
    <n v="10.777352033570001"/>
  </r>
  <r>
    <x v="31"/>
    <x v="3"/>
    <n v="0.04"/>
    <n v="0.36099346999999998"/>
    <n v="3.2952389999999998E-2"/>
  </r>
  <r>
    <x v="31"/>
    <x v="4"/>
    <n v="29.617000000000001"/>
    <n v="142.33051425975"/>
    <n v="21.870974719220001"/>
  </r>
  <r>
    <x v="31"/>
    <x v="2"/>
    <n v="17.248000000000001"/>
    <n v="128.40854078733"/>
    <n v="15.92613484024"/>
  </r>
  <r>
    <x v="31"/>
    <x v="5"/>
    <n v="13.143000000000001"/>
    <n v="85.764023408460005"/>
    <n v="11.13544889684"/>
  </r>
  <r>
    <x v="32"/>
    <x v="0"/>
    <n v="15.218999999999999"/>
    <n v="46.632852507609996"/>
    <n v="8.5322126533899993"/>
  </r>
  <r>
    <x v="32"/>
    <x v="6"/>
    <n v="4.4720000000000004"/>
    <n v="9.6749411577900002"/>
    <n v="2.05979418077"/>
  </r>
  <r>
    <x v="32"/>
    <x v="1"/>
    <n v="14.081"/>
    <n v="119.27757275747"/>
    <n v="14.61218723158"/>
  </r>
  <r>
    <x v="32"/>
    <x v="5"/>
    <n v="13.031000000000001"/>
    <n v="75.167330327879995"/>
    <n v="10.54003043949"/>
  </r>
  <r>
    <x v="32"/>
    <x v="4"/>
    <n v="28.672999999999998"/>
    <n v="122.09153316850001"/>
    <n v="19.579766316610002"/>
  </r>
  <r>
    <x v="32"/>
    <x v="2"/>
    <n v="17.556000000000001"/>
    <n v="128.4744559719"/>
    <n v="16.187945683510002"/>
  </r>
  <r>
    <x v="32"/>
    <x v="3"/>
    <n v="4.04"/>
    <n v="21.57753727815"/>
    <n v="2.9515661655000001"/>
  </r>
  <r>
    <x v="33"/>
    <x v="0"/>
    <n v="15.134"/>
    <n v="45.377925086659999"/>
    <n v="8.3206962748300004"/>
  </r>
  <r>
    <x v="33"/>
    <x v="3"/>
    <n v="9.7550000000000008"/>
    <n v="45.402214044040001"/>
    <n v="6.4532349052800004"/>
  </r>
  <r>
    <x v="33"/>
    <x v="4"/>
    <n v="29.972000000000001"/>
    <n v="132.42167210463001"/>
    <n v="21.05323353775"/>
  </r>
  <r>
    <x v="33"/>
    <x v="2"/>
    <n v="18.765000000000001"/>
    <n v="130.99183051841001"/>
    <n v="17.229269731559999"/>
  </r>
  <r>
    <x v="33"/>
    <x v="6"/>
    <n v="4.2720000000000002"/>
    <n v="9.1273479535999993"/>
    <n v="1.8468791332600001"/>
  </r>
  <r>
    <x v="33"/>
    <x v="1"/>
    <n v="15.234999999999999"/>
    <n v="120.20428243242"/>
    <n v="15.72894404176"/>
  </r>
  <r>
    <x v="33"/>
    <x v="5"/>
    <n v="13.706"/>
    <n v="79.529683450429999"/>
    <n v="11.165962095719999"/>
  </r>
  <r>
    <x v="34"/>
    <x v="6"/>
    <n v="3.222"/>
    <n v="6.3274876230599997"/>
    <n v="1.3515569486500001"/>
  </r>
  <r>
    <x v="34"/>
    <x v="1"/>
    <n v="17.446000000000002"/>
    <n v="155.94487675434999"/>
    <n v="18.6455284814"/>
  </r>
  <r>
    <x v="34"/>
    <x v="2"/>
    <n v="19.78"/>
    <n v="157.24109766317"/>
    <n v="19.022541667670001"/>
  </r>
  <r>
    <x v="34"/>
    <x v="3"/>
    <n v="8.1210000000000004"/>
    <n v="42.736732458890003"/>
    <n v="5.6934944023299998"/>
  </r>
  <r>
    <x v="34"/>
    <x v="0"/>
    <n v="12.645"/>
    <n v="34.85977729276"/>
    <n v="6.6858191675"/>
  </r>
  <r>
    <x v="34"/>
    <x v="5"/>
    <n v="14.068"/>
    <n v="88.758624111580005"/>
    <n v="11.83997105592"/>
  </r>
  <r>
    <x v="34"/>
    <x v="4"/>
    <n v="28.074000000000002"/>
    <n v="117.51712888138999"/>
    <n v="18.73086446932"/>
  </r>
  <r>
    <x v="35"/>
    <x v="5"/>
    <n v="17.472999999999999"/>
    <n v="100.87263777754001"/>
    <n v="14.96342351725"/>
  </r>
  <r>
    <x v="35"/>
    <x v="6"/>
    <n v="4.0919999999999996"/>
    <n v="9.5184542948399997"/>
    <n v="1.9805086380800001"/>
  </r>
  <r>
    <x v="35"/>
    <x v="1"/>
    <n v="21.407"/>
    <n v="183.45846579498999"/>
    <n v="22.891809519319999"/>
  </r>
  <r>
    <x v="35"/>
    <x v="2"/>
    <n v="24.352"/>
    <n v="166.17333139946001"/>
    <n v="23.295502526250001"/>
  </r>
  <r>
    <x v="35"/>
    <x v="3"/>
    <n v="12.798"/>
    <n v="58.313148035280001"/>
    <n v="8.5290595618000005"/>
  </r>
  <r>
    <x v="35"/>
    <x v="0"/>
    <n v="15.513999999999999"/>
    <n v="49.253173052859999"/>
    <n v="9.0734221810799998"/>
  </r>
  <r>
    <x v="35"/>
    <x v="4"/>
    <n v="34.491999999999997"/>
    <n v="142.39266870628001"/>
    <n v="24.620107019710002"/>
  </r>
  <r>
    <x v="36"/>
    <x v="5"/>
    <n v="13.891999999999999"/>
    <n v="77.591168341379998"/>
    <n v="11.0221525542"/>
  </r>
  <r>
    <x v="36"/>
    <x v="0"/>
    <n v="12.353"/>
    <n v="36.658828589679999"/>
    <n v="6.5020292184899997"/>
  </r>
  <r>
    <x v="36"/>
    <x v="1"/>
    <n v="16.544"/>
    <n v="137.75945248786999"/>
    <n v="17.065807795720001"/>
  </r>
  <r>
    <x v="36"/>
    <x v="2"/>
    <n v="19.050999999999998"/>
    <n v="145.25519352290999"/>
    <n v="17.85888963919"/>
  </r>
  <r>
    <x v="36"/>
    <x v="3"/>
    <n v="9.0139999999999993"/>
    <n v="43.305849599109997"/>
    <n v="5.6922501153300002"/>
  </r>
  <r>
    <x v="36"/>
    <x v="4"/>
    <n v="27.783000000000001"/>
    <n v="106.8290824538"/>
    <n v="17.7916708618"/>
  </r>
  <r>
    <x v="36"/>
    <x v="6"/>
    <n v="3.0630000000000002"/>
    <n v="6.3144388921800001"/>
    <n v="1.29911526044"/>
  </r>
  <r>
    <x v="37"/>
    <x v="0"/>
    <n v="14.763"/>
    <n v="43.217543185309999"/>
    <n v="7.9306589470500004"/>
  </r>
  <r>
    <x v="37"/>
    <x v="2"/>
    <n v="21.683"/>
    <n v="153.94152015572999"/>
    <n v="20.073239321180001"/>
  </r>
  <r>
    <x v="37"/>
    <x v="5"/>
    <n v="15.972"/>
    <n v="93.679106610350004"/>
    <n v="13.19166168025"/>
  </r>
  <r>
    <x v="37"/>
    <x v="6"/>
    <n v="3.5609999999999999"/>
    <n v="7.8086369836299996"/>
    <n v="1.64566255556"/>
  </r>
  <r>
    <x v="37"/>
    <x v="1"/>
    <n v="19.530999999999999"/>
    <n v="157.1123802745"/>
    <n v="20.140655574549999"/>
  </r>
  <r>
    <x v="37"/>
    <x v="3"/>
    <n v="9.4320000000000004"/>
    <n v="42.187960944769998"/>
    <n v="6.0238720749399999"/>
  </r>
  <r>
    <x v="37"/>
    <x v="4"/>
    <n v="32.287999999999997"/>
    <n v="137.05478653746999"/>
    <n v="22.153410480960002"/>
  </r>
  <r>
    <x v="37"/>
    <x v="7"/>
    <n v="0.434"/>
    <n v="9.8903850000000002"/>
    <n v="0.65935900000000003"/>
  </r>
  <r>
    <x v="38"/>
    <x v="2"/>
    <n v="24.616"/>
    <n v="180.02087759995001"/>
    <n v="24.27360451741"/>
  </r>
  <r>
    <x v="38"/>
    <x v="0"/>
    <n v="17.158999999999999"/>
    <n v="52.54245285431"/>
    <n v="9.9191884908300008"/>
  </r>
  <r>
    <x v="38"/>
    <x v="1"/>
    <n v="22.658999999999999"/>
    <n v="197.35867144085"/>
    <n v="25.00512365733"/>
  </r>
  <r>
    <x v="38"/>
    <x v="3"/>
    <n v="11.071"/>
    <n v="53.795947022119996"/>
    <n v="7.7792641574800001"/>
  </r>
  <r>
    <x v="38"/>
    <x v="6"/>
    <n v="4.3819999999999997"/>
    <n v="11.57534583262"/>
    <n v="2.1728414089100001"/>
  </r>
  <r>
    <x v="38"/>
    <x v="5"/>
    <n v="17.957000000000001"/>
    <n v="110.78697633447"/>
    <n v="15.828624336720001"/>
  </r>
  <r>
    <x v="38"/>
    <x v="4"/>
    <n v="36.277999999999999"/>
    <n v="165.37332275596"/>
    <n v="26.742635573459999"/>
  </r>
  <r>
    <x v="39"/>
    <x v="2"/>
    <n v="24.155000000000001"/>
    <n v="164.39970205722"/>
    <n v="22.208798567830002"/>
  </r>
  <r>
    <x v="39"/>
    <x v="4"/>
    <n v="35.121000000000002"/>
    <n v="151.68079592632"/>
    <n v="24.466731685189998"/>
  </r>
  <r>
    <x v="39"/>
    <x v="6"/>
    <n v="4.5030000000000001"/>
    <n v="11.35032612016"/>
    <n v="2.20357652628"/>
  </r>
  <r>
    <x v="39"/>
    <x v="3"/>
    <n v="10.266"/>
    <n v="49.472559275889999"/>
    <n v="7.1056686509700002"/>
  </r>
  <r>
    <x v="39"/>
    <x v="5"/>
    <n v="17.41"/>
    <n v="97.252937781930001"/>
    <n v="14.02799084396"/>
  </r>
  <r>
    <x v="39"/>
    <x v="1"/>
    <n v="22.468"/>
    <n v="175.79056410388"/>
    <n v="23.0370162824"/>
  </r>
  <r>
    <x v="39"/>
    <x v="0"/>
    <n v="16.756"/>
    <n v="49.92317919501"/>
    <n v="9.3668159831299995"/>
  </r>
  <r>
    <x v="40"/>
    <x v="1"/>
    <n v="25.986999999999998"/>
    <n v="247.52219653201001"/>
    <n v="28.705395567330001"/>
  </r>
  <r>
    <x v="40"/>
    <x v="2"/>
    <n v="26.777999999999999"/>
    <n v="208.60225510625"/>
    <n v="25.723716451360001"/>
  </r>
  <r>
    <x v="40"/>
    <x v="0"/>
    <n v="17.719000000000001"/>
    <n v="58.24381385425"/>
    <n v="10.48003954931"/>
  </r>
  <r>
    <x v="40"/>
    <x v="5"/>
    <n v="19.140999999999998"/>
    <n v="118.24024927882"/>
    <n v="16.351009491069998"/>
  </r>
  <r>
    <x v="40"/>
    <x v="4"/>
    <n v="38.075000000000003"/>
    <n v="173.18512924677"/>
    <n v="27.193268583870001"/>
  </r>
  <r>
    <x v="40"/>
    <x v="6"/>
    <n v="4.6749999999999998"/>
    <n v="12.537643829829999"/>
    <n v="2.3094936011599998"/>
  </r>
  <r>
    <x v="40"/>
    <x v="3"/>
    <n v="9.9"/>
    <n v="49.960953994210001"/>
    <n v="6.9881492413900004"/>
  </r>
  <r>
    <x v="41"/>
    <x v="4"/>
    <n v="38.874000000000002"/>
    <n v="176.84595030983999"/>
    <n v="27.210825000940002"/>
  </r>
  <r>
    <x v="41"/>
    <x v="2"/>
    <n v="25.18"/>
    <n v="199.79101448378"/>
    <n v="24.640051879230001"/>
  </r>
  <r>
    <x v="41"/>
    <x v="5"/>
    <n v="18.613"/>
    <n v="111.02621629758001"/>
    <n v="15.7660258943"/>
  </r>
  <r>
    <x v="41"/>
    <x v="6"/>
    <n v="6.0359999999999996"/>
    <n v="15.71710676134"/>
    <n v="2.9974625230499998"/>
  </r>
  <r>
    <x v="41"/>
    <x v="1"/>
    <n v="23.361999999999998"/>
    <n v="227.50783455243001"/>
    <n v="25.749391657499999"/>
  </r>
  <r>
    <x v="41"/>
    <x v="0"/>
    <n v="20.03"/>
    <n v="62.223274167459998"/>
    <n v="11.498563535760001"/>
  </r>
  <r>
    <x v="41"/>
    <x v="3"/>
    <n v="4.0209999999999999"/>
    <n v="28.304574239400001"/>
    <n v="3.2589642035400002"/>
  </r>
  <r>
    <x v="42"/>
    <x v="6"/>
    <n v="6.0110000000000001"/>
    <n v="13.264919623540001"/>
    <n v="2.7576996878900002"/>
  </r>
  <r>
    <x v="42"/>
    <x v="3"/>
    <n v="4.0449999999999999"/>
    <n v="29.474624310740001"/>
    <n v="3.44727095492"/>
  </r>
  <r>
    <x v="42"/>
    <x v="2"/>
    <n v="25.024000000000001"/>
    <n v="209.99373406132"/>
    <n v="25.546678017440001"/>
  </r>
  <r>
    <x v="42"/>
    <x v="5"/>
    <n v="18.456"/>
    <n v="112.65145625368"/>
    <n v="15.77554769518"/>
  </r>
  <r>
    <x v="42"/>
    <x v="4"/>
    <n v="38.854999999999997"/>
    <n v="177.49737217278999"/>
    <n v="27.90387369159"/>
  </r>
  <r>
    <x v="42"/>
    <x v="1"/>
    <n v="23.25"/>
    <n v="229.34896614939001"/>
    <n v="27.34955250026"/>
  </r>
  <r>
    <x v="42"/>
    <x v="0"/>
    <n v="20.25"/>
    <n v="64.49506598955"/>
    <n v="11.569508078189999"/>
  </r>
  <r>
    <x v="43"/>
    <x v="2"/>
    <n v="24.683"/>
    <n v="217.38281273672001"/>
    <n v="25.963825477370001"/>
  </r>
  <r>
    <x v="43"/>
    <x v="3"/>
    <n v="7.87"/>
    <n v="62.398103843949997"/>
    <n v="6.9151217967300003"/>
  </r>
  <r>
    <x v="43"/>
    <x v="4"/>
    <n v="36.703000000000003"/>
    <n v="183.40491449938"/>
    <n v="27.398111012889999"/>
  </r>
  <r>
    <x v="43"/>
    <x v="0"/>
    <n v="18.152000000000001"/>
    <n v="58.582469927459996"/>
    <n v="10.59637158118"/>
  </r>
  <r>
    <x v="43"/>
    <x v="6"/>
    <n v="4.4809999999999999"/>
    <n v="10.42381757751"/>
    <n v="2.0593777415400001"/>
  </r>
  <r>
    <x v="43"/>
    <x v="5"/>
    <n v="17.888000000000002"/>
    <n v="114.23061155622"/>
    <n v="15.74082278483"/>
  </r>
  <r>
    <x v="43"/>
    <x v="1"/>
    <n v="22.821000000000002"/>
    <n v="233.37625685704"/>
    <n v="26.88493861117"/>
  </r>
  <r>
    <x v="44"/>
    <x v="6"/>
    <n v="3.9169999999999998"/>
    <n v="9.9794456521099999"/>
    <n v="1.9223485193500001"/>
  </r>
  <r>
    <x v="44"/>
    <x v="0"/>
    <n v="16.481000000000002"/>
    <n v="49.156458236550002"/>
    <n v="9.07712149336"/>
  </r>
  <r>
    <x v="44"/>
    <x v="5"/>
    <n v="17.137"/>
    <n v="108.71671999738"/>
    <n v="14.289695993820001"/>
  </r>
  <r>
    <x v="44"/>
    <x v="1"/>
    <n v="23.254999999999999"/>
    <n v="227.81145844727001"/>
    <n v="27.053900988580001"/>
  </r>
  <r>
    <x v="44"/>
    <x v="3"/>
    <n v="6.9290000000000003"/>
    <n v="54.56754761909"/>
    <n v="6.2489467775699996"/>
  </r>
  <r>
    <x v="44"/>
    <x v="4"/>
    <n v="33.753999999999998"/>
    <n v="160.85924274049"/>
    <n v="24.052951036290001"/>
  </r>
  <r>
    <x v="44"/>
    <x v="2"/>
    <n v="23.988"/>
    <n v="194.87423598334999"/>
    <n v="23.635427759839999"/>
  </r>
  <r>
    <x v="45"/>
    <x v="2"/>
    <n v="25.010999999999999"/>
    <n v="226.07059621944001"/>
    <n v="26.005396907030001"/>
  </r>
  <r>
    <x v="45"/>
    <x v="0"/>
    <n v="18.555"/>
    <n v="66.381560267479998"/>
    <n v="10.999869897849999"/>
  </r>
  <r>
    <x v="45"/>
    <x v="3"/>
    <n v="7.61"/>
    <n v="68.102411117179997"/>
    <n v="7.0262615081400002"/>
  </r>
  <r>
    <x v="45"/>
    <x v="6"/>
    <n v="3.056"/>
    <n v="8.3313512976700004"/>
    <n v="1.52074767267"/>
  </r>
  <r>
    <x v="45"/>
    <x v="5"/>
    <n v="18.184999999999999"/>
    <n v="129.87463067146999"/>
    <n v="16.25709134961"/>
  </r>
  <r>
    <x v="45"/>
    <x v="1"/>
    <n v="24.146000000000001"/>
    <n v="257.83524575087"/>
    <n v="28.532143984600001"/>
  </r>
  <r>
    <x v="45"/>
    <x v="4"/>
    <n v="36.655000000000001"/>
    <n v="169.09114637994"/>
    <n v="25.946247952530001"/>
  </r>
  <r>
    <x v="46"/>
    <x v="0"/>
    <n v="18.954999999999998"/>
    <n v="62.85729532733"/>
    <n v="11.42886409386"/>
  </r>
  <r>
    <x v="46"/>
    <x v="3"/>
    <n v="7.8479999999999999"/>
    <n v="65.197111578679994"/>
    <n v="7.2338720136300001"/>
  </r>
  <r>
    <x v="46"/>
    <x v="1"/>
    <n v="21.786000000000001"/>
    <n v="227.07202290394"/>
    <n v="25.936448112680001"/>
  </r>
  <r>
    <x v="46"/>
    <x v="5"/>
    <n v="15.891999999999999"/>
    <n v="113.87049504239"/>
    <n v="14.498307175120001"/>
  </r>
  <r>
    <x v="46"/>
    <x v="6"/>
    <n v="5.7169999999999996"/>
    <n v="17.408912187209999"/>
    <n v="3.1997855094999998"/>
  </r>
  <r>
    <x v="46"/>
    <x v="4"/>
    <n v="33.491999999999997"/>
    <n v="163.15202301791001"/>
    <n v="24.910788528929999"/>
  </r>
  <r>
    <x v="46"/>
    <x v="2"/>
    <n v="22.67"/>
    <n v="204.95574856195"/>
    <n v="23.993628636459999"/>
  </r>
  <r>
    <x v="47"/>
    <x v="5"/>
    <n v="21.515000000000001"/>
    <n v="132.16748092934"/>
    <n v="18.84230009018"/>
  </r>
  <r>
    <x v="47"/>
    <x v="3"/>
    <n v="8.4179999999999993"/>
    <n v="68.713587848939994"/>
    <n v="7.6587221591199999"/>
  </r>
  <r>
    <x v="47"/>
    <x v="4"/>
    <n v="43.790999999999997"/>
    <n v="215.12284922313"/>
    <n v="33.132713156309997"/>
  </r>
  <r>
    <x v="47"/>
    <x v="1"/>
    <n v="23.125"/>
    <n v="248.23035498620001"/>
    <n v="27.722281975510001"/>
  </r>
  <r>
    <x v="47"/>
    <x v="2"/>
    <n v="26.635999999999999"/>
    <n v="226.47822501279001"/>
    <n v="27.873394820190001"/>
  </r>
  <r>
    <x v="47"/>
    <x v="0"/>
    <n v="18.568000000000001"/>
    <n v="71.67283209192"/>
    <n v="12.233964262200001"/>
  </r>
  <r>
    <x v="47"/>
    <x v="6"/>
    <n v="4.3529999999999998"/>
    <n v="13.46947934262"/>
    <n v="2.5888429560300001"/>
  </r>
  <r>
    <x v="48"/>
    <x v="4"/>
    <n v="33.899000000000001"/>
    <n v="174.32165488963"/>
    <n v="24.987400037650001"/>
  </r>
  <r>
    <x v="48"/>
    <x v="2"/>
    <n v="22.349"/>
    <n v="197.34006035006999"/>
    <n v="23.149335536300001"/>
  </r>
  <r>
    <x v="48"/>
    <x v="3"/>
    <n v="6.992"/>
    <n v="70.437768977649995"/>
    <n v="6.8873238139800002"/>
  </r>
  <r>
    <x v="48"/>
    <x v="1"/>
    <n v="22.068000000000001"/>
    <n v="235.89210323317999"/>
    <n v="26.142787471969999"/>
  </r>
  <r>
    <x v="48"/>
    <x v="0"/>
    <n v="17.513999999999999"/>
    <n v="63.253906937460002"/>
    <n v="10.71081898341"/>
  </r>
  <r>
    <x v="48"/>
    <x v="5"/>
    <n v="16.161000000000001"/>
    <n v="105.89036253723999"/>
    <n v="13.908399045039999"/>
  </r>
  <r>
    <x v="48"/>
    <x v="6"/>
    <n v="4.6289999999999996"/>
    <n v="16.197449353370001"/>
    <n v="2.6108302873200002"/>
  </r>
  <r>
    <x v="49"/>
    <x v="3"/>
    <n v="7.3140000000000001"/>
    <n v="81.139434705650004"/>
    <n v="7.5307191358700001"/>
  </r>
  <r>
    <x v="49"/>
    <x v="1"/>
    <n v="26.105"/>
    <n v="284.84216158291002"/>
    <n v="30.022929919180001"/>
  </r>
  <r>
    <x v="49"/>
    <x v="0"/>
    <n v="11.618"/>
    <n v="65.658913386069997"/>
    <n v="7.9223463599999997"/>
  </r>
  <r>
    <x v="49"/>
    <x v="2"/>
    <n v="32.11"/>
    <n v="295.35891557526998"/>
    <n v="32.020342492860003"/>
  </r>
  <r>
    <x v="49"/>
    <x v="6"/>
    <n v="7.1920000000000002"/>
    <n v="28.822606274959998"/>
    <n v="4.0755855948199997"/>
  </r>
  <r>
    <x v="49"/>
    <x v="5"/>
    <n v="23.065999999999999"/>
    <n v="184.90983950822999"/>
    <n v="20.19011509221"/>
  </r>
  <r>
    <x v="49"/>
    <x v="4"/>
    <n v="19.004999999999999"/>
    <n v="117.82689900648001"/>
    <n v="14.39187337097"/>
  </r>
  <r>
    <x v="50"/>
    <x v="4"/>
    <n v="21.363"/>
    <n v="146.85713858380001"/>
    <n v="17.173308771510001"/>
  </r>
  <r>
    <x v="50"/>
    <x v="5"/>
    <n v="26.117999999999999"/>
    <n v="238.16256570064999"/>
    <n v="24.885419417489999"/>
  </r>
  <r>
    <x v="50"/>
    <x v="3"/>
    <n v="7.827"/>
    <n v="103.42224060705"/>
    <n v="8.7406449420999994"/>
  </r>
  <r>
    <x v="50"/>
    <x v="0"/>
    <n v="13.058"/>
    <n v="74.614814290729996"/>
    <n v="9.3497949540699992"/>
  </r>
  <r>
    <x v="50"/>
    <x v="1"/>
    <n v="28.497"/>
    <n v="369.10642116475998"/>
    <n v="36.370618225119998"/>
  </r>
  <r>
    <x v="50"/>
    <x v="2"/>
    <n v="35.427"/>
    <n v="359.37346455075999"/>
    <n v="38.031829058850001"/>
  </r>
  <r>
    <x v="50"/>
    <x v="6"/>
    <n v="7.7080000000000002"/>
    <n v="32.11067663427"/>
    <n v="4.5520190123199997"/>
  </r>
  <r>
    <x v="51"/>
    <x v="2"/>
    <n v="34.423000000000002"/>
    <n v="323.71916417451001"/>
    <n v="35.012291750540001"/>
  </r>
  <r>
    <x v="51"/>
    <x v="1"/>
    <n v="27.968"/>
    <n v="322.17479133363003"/>
    <n v="33.616372665349999"/>
  </r>
  <r>
    <x v="51"/>
    <x v="6"/>
    <n v="5.3849999999999998"/>
    <n v="21.088351452369999"/>
    <n v="2.6796746835900001"/>
  </r>
  <r>
    <x v="51"/>
    <x v="0"/>
    <n v="10.965999999999999"/>
    <n v="60.553047265979998"/>
    <n v="7.2696739262400003"/>
  </r>
  <r>
    <x v="51"/>
    <x v="4"/>
    <n v="20.324000000000002"/>
    <n v="129.45120286074001"/>
    <n v="15.26371934392"/>
  </r>
  <r>
    <x v="51"/>
    <x v="3"/>
    <n v="6.4059999999999997"/>
    <n v="77.353235775200005"/>
    <n v="6.9134773496399999"/>
  </r>
  <r>
    <x v="51"/>
    <x v="5"/>
    <n v="24.937999999999999"/>
    <n v="209.09843268098999"/>
    <n v="22.514481228379999"/>
  </r>
  <r>
    <x v="52"/>
    <x v="5"/>
    <n v="27.373000000000001"/>
    <n v="216.83331321895"/>
    <n v="24.5585532146"/>
  </r>
  <r>
    <x v="52"/>
    <x v="4"/>
    <n v="21.507000000000001"/>
    <n v="138.61860739586001"/>
    <n v="16.50247432119"/>
  </r>
  <r>
    <x v="52"/>
    <x v="6"/>
    <n v="6.2949999999999999"/>
    <n v="23.338133286200001"/>
    <n v="3.4065836145000001"/>
  </r>
  <r>
    <x v="52"/>
    <x v="3"/>
    <n v="6.4269999999999996"/>
    <n v="78.632677440769996"/>
    <n v="7.0037216835500002"/>
  </r>
  <r>
    <x v="52"/>
    <x v="2"/>
    <n v="36.613"/>
    <n v="340.15321661727"/>
    <n v="37.808184166540002"/>
  </r>
  <r>
    <x v="52"/>
    <x v="0"/>
    <n v="12.417999999999999"/>
    <n v="71.708248974360004"/>
    <n v="8.7115774397799992"/>
  </r>
  <r>
    <x v="52"/>
    <x v="1"/>
    <n v="26.664999999999999"/>
    <n v="294.54053360221002"/>
    <n v="31.51597328735"/>
  </r>
  <r>
    <x v="53"/>
    <x v="3"/>
    <n v="6.351"/>
    <n v="67.537367470809997"/>
    <n v="6.6777027361399997"/>
  </r>
  <r>
    <x v="53"/>
    <x v="2"/>
    <n v="34.545000000000002"/>
    <n v="282.18136444305998"/>
    <n v="33.312668158859999"/>
  </r>
  <r>
    <x v="53"/>
    <x v="4"/>
    <n v="19.094000000000001"/>
    <n v="103.70442705059"/>
    <n v="13.824174596800001"/>
  </r>
  <r>
    <x v="53"/>
    <x v="5"/>
    <n v="24.853999999999999"/>
    <n v="170.50882450943999"/>
    <n v="21.12867550672"/>
  </r>
  <r>
    <x v="53"/>
    <x v="1"/>
    <n v="26.494"/>
    <n v="251.83144771696999"/>
    <n v="29.601031187730001"/>
  </r>
  <r>
    <x v="53"/>
    <x v="0"/>
    <n v="10.17"/>
    <n v="51.877349581490002"/>
    <n v="6.90512969209"/>
  </r>
  <r>
    <x v="53"/>
    <x v="6"/>
    <n v="5.2750000000000004"/>
    <n v="20.680353428370001"/>
    <n v="3.0455579291600001"/>
  </r>
  <r>
    <x v="54"/>
    <x v="6"/>
    <n v="4.0229999999999997"/>
    <n v="18.231284714080001"/>
    <n v="2.4025417465099999"/>
  </r>
  <r>
    <x v="54"/>
    <x v="3"/>
    <n v="5.476"/>
    <n v="61.264312966589998"/>
    <n v="6.3544357330799999"/>
  </r>
  <r>
    <x v="54"/>
    <x v="2"/>
    <n v="35.652000000000001"/>
    <n v="305.10116763149"/>
    <n v="36.452516398740002"/>
  </r>
  <r>
    <x v="54"/>
    <x v="0"/>
    <n v="8.7949999999999999"/>
    <n v="55.266292196469998"/>
    <n v="6.5312420042400001"/>
  </r>
  <r>
    <x v="54"/>
    <x v="4"/>
    <n v="19.032"/>
    <n v="112.75305453430001"/>
    <n v="14.38658159789"/>
  </r>
  <r>
    <x v="54"/>
    <x v="5"/>
    <n v="25.212"/>
    <n v="182.88604320943"/>
    <n v="22.503942785869999"/>
  </r>
  <r>
    <x v="54"/>
    <x v="1"/>
    <n v="28.797999999999998"/>
    <n v="282.47554894348002"/>
    <n v="34.125966729589997"/>
  </r>
  <r>
    <x v="55"/>
    <x v="3"/>
    <n v="5.3940000000000001"/>
    <n v="60.981651765240002"/>
    <n v="6.2083620708199998"/>
  </r>
  <r>
    <x v="55"/>
    <x v="2"/>
    <n v="34.854999999999997"/>
    <n v="297.48098528384998"/>
    <n v="36.224817442259997"/>
  </r>
  <r>
    <x v="55"/>
    <x v="4"/>
    <n v="17.431000000000001"/>
    <n v="102.26922383366001"/>
    <n v="13.367791391780001"/>
  </r>
  <r>
    <x v="55"/>
    <x v="5"/>
    <n v="23.911999999999999"/>
    <n v="188.79607814015"/>
    <n v="21.812679371150001"/>
  </r>
  <r>
    <x v="55"/>
    <x v="1"/>
    <n v="28.23"/>
    <n v="281.04484240388001"/>
    <n v="33.510028394789998"/>
  </r>
  <r>
    <x v="55"/>
    <x v="0"/>
    <n v="8.641"/>
    <n v="50.32660775339"/>
    <n v="6.3656065435500002"/>
  </r>
  <r>
    <x v="55"/>
    <x v="6"/>
    <n v="3.9060000000000001"/>
    <n v="17.821736411690001"/>
    <n v="2.3892016713099999"/>
  </r>
  <r>
    <x v="56"/>
    <x v="3"/>
    <n v="2.3660000000000001"/>
    <n v="30.763949691699999"/>
    <n v="2.78948797942"/>
  </r>
  <r>
    <x v="56"/>
    <x v="2"/>
    <n v="32.317999999999998"/>
    <n v="257.08881491331999"/>
    <n v="31.207822372190002"/>
  </r>
  <r>
    <x v="56"/>
    <x v="1"/>
    <n v="25.817"/>
    <n v="245.01320590577001"/>
    <n v="29.393683006140002"/>
  </r>
  <r>
    <x v="56"/>
    <x v="4"/>
    <n v="16.809999999999999"/>
    <n v="99.398353479779999"/>
    <n v="12.64530006469"/>
  </r>
  <r>
    <x v="56"/>
    <x v="0"/>
    <n v="8.1120000000000001"/>
    <n v="54.863904378859999"/>
    <n v="6.46246320869"/>
  </r>
  <r>
    <x v="56"/>
    <x v="6"/>
    <n v="3.431"/>
    <n v="24.622810042299999"/>
    <n v="2.4660291238299998"/>
  </r>
  <r>
    <x v="56"/>
    <x v="5"/>
    <n v="23.760999999999999"/>
    <n v="170.28451341452001"/>
    <n v="20.710411697430001"/>
  </r>
  <r>
    <x v="57"/>
    <x v="4"/>
    <n v="15.715999999999999"/>
    <n v="96.767330797699998"/>
    <n v="11.95453328224"/>
  </r>
  <r>
    <x v="57"/>
    <x v="2"/>
    <n v="33.368000000000002"/>
    <n v="304.40296114609998"/>
    <n v="33.70103630437"/>
  </r>
  <r>
    <x v="57"/>
    <x v="5"/>
    <n v="23.125"/>
    <n v="175.5719272801"/>
    <n v="20.49723209275"/>
  </r>
  <r>
    <x v="57"/>
    <x v="0"/>
    <n v="6.5220000000000002"/>
    <n v="43.706670895210003"/>
    <n v="5.0116437312700004"/>
  </r>
  <r>
    <x v="57"/>
    <x v="1"/>
    <n v="26.806000000000001"/>
    <n v="304.69883960277002"/>
    <n v="31.713290006449999"/>
  </r>
  <r>
    <x v="57"/>
    <x v="3"/>
    <n v="3.6059999999999999"/>
    <n v="51.290843413479998"/>
    <n v="4.4374800817000004"/>
  </r>
  <r>
    <x v="57"/>
    <x v="6"/>
    <n v="2.2879999999999998"/>
    <n v="14.06032973183"/>
    <n v="1.5436347955800001"/>
  </r>
  <r>
    <x v="58"/>
    <x v="1"/>
    <n v="20.606999999999999"/>
    <n v="264.71908562439"/>
    <n v="26.864113566570001"/>
  </r>
  <r>
    <x v="58"/>
    <x v="0"/>
    <n v="5.7380000000000004"/>
    <n v="34.186663658779999"/>
    <n v="4.1589434441200002"/>
  </r>
  <r>
    <x v="58"/>
    <x v="2"/>
    <n v="21.867999999999999"/>
    <n v="234.96912956086999"/>
    <n v="24.699963915720001"/>
  </r>
  <r>
    <x v="58"/>
    <x v="6"/>
    <n v="1.7370000000000001"/>
    <n v="8.5031781374099999"/>
    <n v="1.22015616913"/>
  </r>
  <r>
    <x v="58"/>
    <x v="4"/>
    <n v="17.556999999999999"/>
    <n v="126.58732178183"/>
    <n v="14.721944508150001"/>
  </r>
  <r>
    <x v="58"/>
    <x v="5"/>
    <n v="29.663"/>
    <n v="248.23513903067001"/>
    <n v="27.622443470059999"/>
  </r>
  <r>
    <x v="58"/>
    <x v="3"/>
    <n v="3.5459999999999998"/>
    <n v="61.2638361144"/>
    <n v="4.8524179900100002"/>
  </r>
  <r>
    <x v="59"/>
    <x v="4"/>
    <n v="9.641"/>
    <n v="55.34312481696"/>
    <n v="6.7041064457999999"/>
  </r>
  <r>
    <x v="59"/>
    <x v="6"/>
    <n v="0.69199999999999995"/>
    <n v="3.4160760074100001"/>
    <n v="0.44976086285"/>
  </r>
  <r>
    <x v="59"/>
    <x v="1"/>
    <n v="13.183999999999999"/>
    <n v="129.48896849488"/>
    <n v="13.624297397319999"/>
  </r>
  <r>
    <x v="59"/>
    <x v="5"/>
    <n v="17.948"/>
    <n v="113.51487299185"/>
    <n v="13.377696816789999"/>
  </r>
  <r>
    <x v="59"/>
    <x v="2"/>
    <n v="13.776999999999999"/>
    <n v="112.00264191028"/>
    <n v="12.37689030624"/>
  </r>
  <r>
    <x v="59"/>
    <x v="0"/>
    <n v="2.4329999999999998"/>
    <n v="12.19223199506"/>
    <n v="1.55912327341"/>
  </r>
  <r>
    <x v="59"/>
    <x v="3"/>
    <n v="2.4140000000000001"/>
    <n v="31.44888465363"/>
    <n v="2.5815484978000001"/>
  </r>
  <r>
    <x v="60"/>
    <x v="3"/>
    <m/>
    <m/>
    <m/>
  </r>
  <r>
    <x v="60"/>
    <x v="3"/>
    <m/>
    <m/>
    <m/>
  </r>
  <r>
    <x v="60"/>
    <x v="3"/>
    <m/>
    <m/>
    <m/>
  </r>
  <r>
    <x v="60"/>
    <x v="3"/>
    <m/>
    <m/>
    <m/>
  </r>
  <r>
    <x v="60"/>
    <x v="3"/>
    <m/>
    <m/>
    <m/>
  </r>
  <r>
    <x v="60"/>
    <x v="3"/>
    <m/>
    <m/>
    <m/>
  </r>
  <r>
    <x v="60"/>
    <x v="3"/>
    <m/>
    <m/>
    <m/>
  </r>
  <r>
    <x v="60"/>
    <x v="3"/>
    <m/>
    <m/>
    <m/>
  </r>
  <r>
    <x v="60"/>
    <x v="3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">
  <r>
    <x v="0"/>
    <x v="0"/>
    <n v="30.134"/>
    <n v="137.10912782587999"/>
    <n v="18.976679264880001"/>
  </r>
  <r>
    <x v="0"/>
    <x v="1"/>
    <n v="12.385"/>
    <n v="81.506033917159996"/>
    <n v="9.2961915672599993"/>
  </r>
  <r>
    <x v="0"/>
    <x v="2"/>
    <n v="23.507000000000001"/>
    <n v="160.91692248532999"/>
    <n v="17.55364591663"/>
  </r>
  <r>
    <x v="0"/>
    <x v="3"/>
    <n v="4.3849999999999998"/>
    <n v="41.78527974464"/>
    <n v="4.0141000403299998"/>
  </r>
  <r>
    <x v="0"/>
    <x v="4"/>
    <n v="35.209000000000003"/>
    <n v="167.32696439279999"/>
    <n v="22.685223747439998"/>
  </r>
  <r>
    <x v="0"/>
    <x v="5"/>
    <n v="22.623000000000001"/>
    <n v="131.86141429543"/>
    <n v="15.642625537440001"/>
  </r>
  <r>
    <x v="0"/>
    <x v="6"/>
    <n v="12.97"/>
    <n v="44.304893691590003"/>
    <n v="7.2845794454900004"/>
  </r>
  <r>
    <x v="1"/>
    <x v="3"/>
    <n v="5.1429999999999998"/>
    <n v="54.030456685659999"/>
    <n v="5.0313002090900003"/>
  </r>
  <r>
    <x v="1"/>
    <x v="5"/>
    <n v="22.975000000000001"/>
    <n v="133.82364302309"/>
    <n v="16.06218595416"/>
  </r>
  <r>
    <x v="1"/>
    <x v="2"/>
    <n v="23.555"/>
    <n v="154.90827790466"/>
    <n v="17.390728013890001"/>
  </r>
  <r>
    <x v="1"/>
    <x v="1"/>
    <n v="12.744"/>
    <n v="97.907502667649993"/>
    <n v="9.9222692988900008"/>
  </r>
  <r>
    <x v="1"/>
    <x v="0"/>
    <n v="30.692"/>
    <n v="134.66660395375999"/>
    <n v="19.502216972119999"/>
  </r>
  <r>
    <x v="1"/>
    <x v="4"/>
    <n v="35.009"/>
    <n v="168.29380643745"/>
    <n v="22.858628290359999"/>
  </r>
  <r>
    <x v="1"/>
    <x v="6"/>
    <n v="13.978"/>
    <n v="40.803203479319997"/>
    <n v="7.4170187138700001"/>
  </r>
  <r>
    <x v="2"/>
    <x v="1"/>
    <n v="13.49"/>
    <n v="108.06583963719"/>
    <n v="10.76903066028"/>
  </r>
  <r>
    <x v="2"/>
    <x v="0"/>
    <n v="35.628"/>
    <n v="165.55103046452001"/>
    <n v="24.34944394899"/>
  </r>
  <r>
    <x v="2"/>
    <x v="3"/>
    <n v="7.53"/>
    <n v="75.805435007849994"/>
    <n v="7.1142282594099999"/>
  </r>
  <r>
    <x v="2"/>
    <x v="5"/>
    <n v="25.358000000000001"/>
    <n v="160.80612986251001"/>
    <n v="19.48589416686"/>
  </r>
  <r>
    <x v="2"/>
    <x v="4"/>
    <n v="39.896999999999998"/>
    <n v="226.46096020151001"/>
    <n v="30.350778553440001"/>
  </r>
  <r>
    <x v="2"/>
    <x v="2"/>
    <n v="25.616"/>
    <n v="197.77605258537"/>
    <n v="20.661572001189999"/>
  </r>
  <r>
    <x v="2"/>
    <x v="6"/>
    <n v="15.779"/>
    <n v="50.635419542549997"/>
    <n v="8.8925175741199993"/>
  </r>
  <r>
    <x v="3"/>
    <x v="3"/>
    <n v="6.7249999999999996"/>
    <n v="65.141736935680001"/>
    <n v="6.3891291822499996"/>
  </r>
  <r>
    <x v="3"/>
    <x v="1"/>
    <n v="12.837"/>
    <n v="87.656201343730004"/>
    <n v="9.6211442439900008"/>
  </r>
  <r>
    <x v="3"/>
    <x v="4"/>
    <n v="35.524000000000001"/>
    <n v="189.33006128021"/>
    <n v="25.023597792179999"/>
  </r>
  <r>
    <x v="3"/>
    <x v="6"/>
    <n v="15.949"/>
    <n v="45.098273251720002"/>
    <n v="8.3641917572699995"/>
  </r>
  <r>
    <x v="3"/>
    <x v="2"/>
    <n v="25.103000000000002"/>
    <n v="182.54087491287001"/>
    <n v="19.254014524860001"/>
  </r>
  <r>
    <x v="3"/>
    <x v="0"/>
    <n v="32.697000000000003"/>
    <n v="131.91383621452999"/>
    <n v="20.02519093075"/>
  </r>
  <r>
    <x v="3"/>
    <x v="5"/>
    <n v="23.879000000000001"/>
    <n v="145.26954664883999"/>
    <n v="17.987597630989999"/>
  </r>
  <r>
    <x v="4"/>
    <x v="4"/>
    <n v="38.277000000000001"/>
    <n v="215.11019270397"/>
    <n v="28.37060048687"/>
  </r>
  <r>
    <x v="4"/>
    <x v="6"/>
    <n v="18.256"/>
    <n v="55.67746003557"/>
    <n v="9.7193850304900007"/>
  </r>
  <r>
    <x v="4"/>
    <x v="3"/>
    <n v="5.7960000000000003"/>
    <n v="50.011205726870003"/>
    <n v="5.4063601500300003"/>
  </r>
  <r>
    <x v="4"/>
    <x v="0"/>
    <n v="35.951000000000001"/>
    <n v="159.27446387346001"/>
    <n v="23.681004248800001"/>
  </r>
  <r>
    <x v="4"/>
    <x v="2"/>
    <n v="27.495000000000001"/>
    <n v="173.00962590899999"/>
    <n v="20.898348321930001"/>
  </r>
  <r>
    <x v="4"/>
    <x v="1"/>
    <n v="14.532"/>
    <n v="89.844016580320002"/>
    <n v="10.701178952739999"/>
  </r>
  <r>
    <x v="4"/>
    <x v="5"/>
    <n v="26.146999999999998"/>
    <n v="166.08538941869"/>
    <n v="19.804476514779999"/>
  </r>
  <r>
    <x v="5"/>
    <x v="0"/>
    <n v="34.761000000000003"/>
    <n v="149.24110014307999"/>
    <n v="21.740744763750001"/>
  </r>
  <r>
    <x v="5"/>
    <x v="2"/>
    <n v="25.625"/>
    <n v="159.90252780725001"/>
    <n v="19.106062996169999"/>
  </r>
  <r>
    <x v="5"/>
    <x v="4"/>
    <n v="36.637"/>
    <n v="181.69185006429001"/>
    <n v="25.804319039789998"/>
  </r>
  <r>
    <x v="5"/>
    <x v="3"/>
    <n v="5.2270000000000003"/>
    <n v="43.074161797110001"/>
    <n v="4.4432988338900001"/>
  </r>
  <r>
    <x v="5"/>
    <x v="1"/>
    <n v="13.465999999999999"/>
    <n v="67.236371236210005"/>
    <n v="8.9498094046700007"/>
  </r>
  <r>
    <x v="5"/>
    <x v="5"/>
    <n v="24.582999999999998"/>
    <n v="139.02479244061001"/>
    <n v="18.040903591639999"/>
  </r>
  <r>
    <x v="5"/>
    <x v="6"/>
    <n v="18.393000000000001"/>
    <n v="47.936155930159998"/>
    <n v="9.1914605041600002"/>
  </r>
  <r>
    <x v="6"/>
    <x v="2"/>
    <n v="24.67"/>
    <n v="141.2628595164"/>
    <n v="17.102707537280001"/>
  </r>
  <r>
    <x v="6"/>
    <x v="4"/>
    <n v="34.752000000000002"/>
    <n v="164.1503726352"/>
    <n v="22.783131167280001"/>
  </r>
  <r>
    <x v="6"/>
    <x v="5"/>
    <n v="23.567"/>
    <n v="129.93196818605"/>
    <n v="16.362845621990001"/>
  </r>
  <r>
    <x v="6"/>
    <x v="6"/>
    <n v="18.843"/>
    <n v="46.297651477990001"/>
    <n v="8.18184260618"/>
  </r>
  <r>
    <x v="6"/>
    <x v="3"/>
    <n v="5.7789999999999999"/>
    <n v="43.533129745010001"/>
    <n v="4.3610311749099999"/>
  </r>
  <r>
    <x v="6"/>
    <x v="0"/>
    <n v="33.122"/>
    <n v="128.32654673854"/>
    <n v="18.826101839949999"/>
  </r>
  <r>
    <x v="6"/>
    <x v="1"/>
    <n v="13.166"/>
    <n v="75.884793771990005"/>
    <n v="9.2895014555700008"/>
  </r>
  <r>
    <x v="7"/>
    <x v="5"/>
    <n v="23.76"/>
    <n v="125.29318553816"/>
    <n v="16.028760316989999"/>
  </r>
  <r>
    <x v="7"/>
    <x v="0"/>
    <n v="33.432000000000002"/>
    <n v="125.84124862416"/>
    <n v="18.35802635936"/>
  </r>
  <r>
    <x v="7"/>
    <x v="4"/>
    <n v="34.905999999999999"/>
    <n v="167.94200163107001"/>
    <n v="22.410450460050001"/>
  </r>
  <r>
    <x v="7"/>
    <x v="1"/>
    <n v="13.712999999999999"/>
    <n v="72.20023923091"/>
    <n v="9.3008302084899999"/>
  </r>
  <r>
    <x v="7"/>
    <x v="3"/>
    <n v="5.6150000000000002"/>
    <n v="49.752128552359999"/>
    <n v="4.6453625213800001"/>
  </r>
  <r>
    <x v="7"/>
    <x v="2"/>
    <n v="25.361999999999998"/>
    <n v="148.43605651304"/>
    <n v="17.711247584740001"/>
  </r>
  <r>
    <x v="7"/>
    <x v="6"/>
    <n v="18.972000000000001"/>
    <n v="46.407620494169997"/>
    <n v="8.1778422176899994"/>
  </r>
  <r>
    <x v="8"/>
    <x v="3"/>
    <n v="4.7759999999999998"/>
    <n v="43.774153183049997"/>
    <n v="4.0636374368799997"/>
  </r>
  <r>
    <x v="8"/>
    <x v="5"/>
    <n v="22.81"/>
    <n v="125.38907136038"/>
    <n v="14.83595348271"/>
  </r>
  <r>
    <x v="8"/>
    <x v="1"/>
    <n v="13.717000000000001"/>
    <n v="70.06921924577"/>
    <n v="8.7267623920900004"/>
  </r>
  <r>
    <x v="8"/>
    <x v="0"/>
    <n v="31.937999999999999"/>
    <n v="111.16192302319"/>
    <n v="16.919152599450001"/>
  </r>
  <r>
    <x v="8"/>
    <x v="6"/>
    <n v="18.46"/>
    <n v="40.470862830030001"/>
    <n v="7.5763573334999998"/>
  </r>
  <r>
    <x v="8"/>
    <x v="4"/>
    <n v="33.881"/>
    <n v="159.54410622941"/>
    <n v="20.738400555439998"/>
  </r>
  <r>
    <x v="8"/>
    <x v="2"/>
    <n v="24.981999999999999"/>
    <n v="151.16766221813"/>
    <n v="16.430499942619999"/>
  </r>
  <r>
    <x v="9"/>
    <x v="6"/>
    <n v="18.093"/>
    <n v="41.158710182989999"/>
    <n v="7.4672292568699996"/>
  </r>
  <r>
    <x v="9"/>
    <x v="0"/>
    <n v="31.827999999999999"/>
    <n v="112.10355971938"/>
    <n v="17.065034676549999"/>
  </r>
  <r>
    <x v="9"/>
    <x v="3"/>
    <n v="4.3890000000000002"/>
    <n v="34.31107806696"/>
    <n v="3.5206151706400002"/>
  </r>
  <r>
    <x v="9"/>
    <x v="5"/>
    <n v="23.048999999999999"/>
    <n v="125.79614533778"/>
    <n v="14.8080076266"/>
  </r>
  <r>
    <x v="9"/>
    <x v="1"/>
    <n v="14.095000000000001"/>
    <n v="76.587973750789999"/>
    <n v="9.0613538160200005"/>
  </r>
  <r>
    <x v="9"/>
    <x v="4"/>
    <n v="34.393000000000001"/>
    <n v="152.87207358114"/>
    <n v="20.825913915179999"/>
  </r>
  <r>
    <x v="9"/>
    <x v="2"/>
    <n v="25.187000000000001"/>
    <n v="149.35564583217001"/>
    <n v="16.688818809080001"/>
  </r>
  <r>
    <x v="10"/>
    <x v="4"/>
    <n v="33.652999999999999"/>
    <n v="167.78309378777001"/>
    <n v="21.173158595709999"/>
  </r>
  <r>
    <x v="10"/>
    <x v="6"/>
    <n v="16.988"/>
    <n v="37.295731806169997"/>
    <n v="6.8251778923300002"/>
  </r>
  <r>
    <x v="10"/>
    <x v="0"/>
    <n v="30.478999999999999"/>
    <n v="111.57048585944"/>
    <n v="16.410162459319999"/>
  </r>
  <r>
    <x v="10"/>
    <x v="1"/>
    <n v="13.888"/>
    <n v="113.80683923677"/>
    <n v="10.87974540692"/>
  </r>
  <r>
    <x v="10"/>
    <x v="5"/>
    <n v="22.347999999999999"/>
    <n v="141.28060695804001"/>
    <n v="15.79611030986"/>
  </r>
  <r>
    <x v="10"/>
    <x v="3"/>
    <n v="3.7919999999999998"/>
    <n v="45.133010010850001"/>
    <n v="3.6233953957299998"/>
  </r>
  <r>
    <x v="10"/>
    <x v="2"/>
    <n v="24.614999999999998"/>
    <n v="179.39594193999"/>
    <n v="18.394412743650001"/>
  </r>
  <r>
    <x v="11"/>
    <x v="5"/>
    <n v="25.882000000000001"/>
    <n v="156.10292683233001"/>
    <n v="19.166168719120002"/>
  </r>
  <r>
    <x v="11"/>
    <x v="2"/>
    <n v="28.259"/>
    <n v="204.62241362821999"/>
    <n v="22.218998701379999"/>
  </r>
  <r>
    <x v="11"/>
    <x v="4"/>
    <n v="38.787999999999997"/>
    <n v="195.08985488165001"/>
    <n v="26.79371635755"/>
  </r>
  <r>
    <x v="11"/>
    <x v="3"/>
    <n v="4.4240000000000004"/>
    <n v="54.183151208779996"/>
    <n v="4.5639897942000003"/>
  </r>
  <r>
    <x v="11"/>
    <x v="1"/>
    <n v="16.303999999999998"/>
    <n v="119.05856985114001"/>
    <n v="12.95973403182"/>
  </r>
  <r>
    <x v="11"/>
    <x v="0"/>
    <n v="35.112000000000002"/>
    <n v="127.57256972152"/>
    <n v="20.137982267959998"/>
  </r>
  <r>
    <x v="11"/>
    <x v="6"/>
    <n v="18.562000000000001"/>
    <n v="43.073114893250001"/>
    <n v="8.0718779024800007"/>
  </r>
  <r>
    <x v="12"/>
    <x v="3"/>
    <n v="3.359"/>
    <n v="40.274878585689997"/>
    <n v="3.48223749308"/>
  </r>
  <r>
    <x v="12"/>
    <x v="1"/>
    <n v="13.645"/>
    <n v="88.600941330089995"/>
    <n v="9.9605823284500001"/>
  </r>
  <r>
    <x v="12"/>
    <x v="0"/>
    <n v="30.1"/>
    <n v="116.10614925821"/>
    <n v="16.907259863090001"/>
  </r>
  <r>
    <x v="12"/>
    <x v="2"/>
    <n v="24.44"/>
    <n v="166.40246892644001"/>
    <n v="17.904245844710001"/>
  </r>
  <r>
    <x v="12"/>
    <x v="6"/>
    <n v="14.45"/>
    <n v="35.136737823959997"/>
    <n v="6.1646118527100002"/>
  </r>
  <r>
    <x v="12"/>
    <x v="4"/>
    <n v="34.137999999999998"/>
    <n v="172.15877215755"/>
    <n v="22.383313694630001"/>
  </r>
  <r>
    <x v="12"/>
    <x v="5"/>
    <n v="22.57"/>
    <n v="132.45926999474"/>
    <n v="15.65323923986"/>
  </r>
  <r>
    <x v="13"/>
    <x v="3"/>
    <n v="3.016"/>
    <n v="38.413373140490002"/>
    <n v="3.2386927824699998"/>
  </r>
  <r>
    <x v="13"/>
    <x v="1"/>
    <n v="14.39"/>
    <n v="83.93387620579"/>
    <n v="10.653998924690001"/>
  </r>
  <r>
    <x v="13"/>
    <x v="6"/>
    <n v="14.371"/>
    <n v="32.07976781464"/>
    <n v="5.8738912266299996"/>
  </r>
  <r>
    <x v="13"/>
    <x v="4"/>
    <n v="35.195999999999998"/>
    <n v="158.71696310587001"/>
    <n v="22.75195383682"/>
  </r>
  <r>
    <x v="13"/>
    <x v="5"/>
    <n v="23.47"/>
    <n v="127.91119522311"/>
    <n v="16.561022581100001"/>
  </r>
  <r>
    <x v="13"/>
    <x v="2"/>
    <n v="25.175000000000001"/>
    <n v="158.21625395332001"/>
    <n v="18.632465016379999"/>
  </r>
  <r>
    <x v="13"/>
    <x v="0"/>
    <n v="30.908999999999999"/>
    <n v="113.75974565483"/>
    <n v="17.302855524790001"/>
  </r>
  <r>
    <x v="14"/>
    <x v="5"/>
    <n v="18.792999999999999"/>
    <n v="87.298335565170007"/>
    <n v="11.174690758780001"/>
  </r>
  <r>
    <x v="14"/>
    <x v="1"/>
    <n v="10.835000000000001"/>
    <n v="48.894404514309997"/>
    <n v="6.3948469032100004"/>
  </r>
  <r>
    <x v="14"/>
    <x v="6"/>
    <n v="11.098000000000001"/>
    <n v="24.68783054247"/>
    <n v="4.3454350309000001"/>
  </r>
  <r>
    <x v="14"/>
    <x v="0"/>
    <n v="25.344000000000001"/>
    <n v="82.633320075010005"/>
    <n v="12.493671987780001"/>
  </r>
  <r>
    <x v="14"/>
    <x v="4"/>
    <n v="28.765000000000001"/>
    <n v="105.84106546864"/>
    <n v="15.71721512839"/>
  </r>
  <r>
    <x v="14"/>
    <x v="2"/>
    <n v="19.709"/>
    <n v="101.19447188981999"/>
    <n v="12.13786067999"/>
  </r>
  <r>
    <x v="14"/>
    <x v="3"/>
    <n v="2.206"/>
    <n v="21.650479622270002"/>
    <n v="2.0166758325299998"/>
  </r>
  <r>
    <x v="15"/>
    <x v="4"/>
    <n v="11.266999999999999"/>
    <n v="33.17442052901"/>
    <n v="5.0614962946900004"/>
  </r>
  <r>
    <x v="15"/>
    <x v="2"/>
    <n v="6.6710000000000003"/>
    <n v="26.16750435949"/>
    <n v="3.4021818794100001"/>
  </r>
  <r>
    <x v="15"/>
    <x v="6"/>
    <n v="5.399"/>
    <n v="11.139279718399999"/>
    <n v="1.9569568576"/>
  </r>
  <r>
    <x v="15"/>
    <x v="3"/>
    <n v="1.4E-2"/>
    <n v="0.35596874000000001"/>
    <n v="2.6248259999999999E-2"/>
  </r>
  <r>
    <x v="15"/>
    <x v="5"/>
    <n v="6.875"/>
    <n v="24.551304456890001"/>
    <n v="3.4220590035499998"/>
  </r>
  <r>
    <x v="15"/>
    <x v="1"/>
    <n v="3.7429999999999999"/>
    <n v="12.539228230799999"/>
    <n v="1.7854116685999999"/>
  </r>
  <r>
    <x v="15"/>
    <x v="0"/>
    <n v="10.733000000000001"/>
    <n v="28.287977643200001"/>
    <n v="4.5404230866899997"/>
  </r>
  <r>
    <x v="16"/>
    <x v="0"/>
    <n v="14.316000000000001"/>
    <n v="57.23666779186"/>
    <n v="8.1087597733300001"/>
  </r>
  <r>
    <x v="16"/>
    <x v="1"/>
    <n v="4.6340000000000003"/>
    <n v="27.282477044410001"/>
    <n v="3.5752830766399999"/>
  </r>
  <r>
    <x v="16"/>
    <x v="3"/>
    <n v="8.3000000000000004E-2"/>
    <n v="0.67944333999999995"/>
    <n v="8.3034659999999996E-2"/>
  </r>
  <r>
    <x v="16"/>
    <x v="4"/>
    <n v="12.304"/>
    <n v="55.655194372010001"/>
    <n v="7.6568736673300002"/>
  </r>
  <r>
    <x v="16"/>
    <x v="6"/>
    <n v="8.1929999999999996"/>
    <n v="24.596380299980002"/>
    <n v="3.7294580229399998"/>
  </r>
  <r>
    <x v="16"/>
    <x v="2"/>
    <n v="7.6929999999999996"/>
    <n v="48.624729369519997"/>
    <n v="6.0710339632199997"/>
  </r>
  <r>
    <x v="16"/>
    <x v="5"/>
    <n v="7.1470000000000002"/>
    <n v="41.50436816773"/>
    <n v="5.16140081088"/>
  </r>
  <r>
    <x v="17"/>
    <x v="4"/>
    <n v="13.506"/>
    <n v="60.303305903030001"/>
    <n v="8.7755196448900001"/>
  </r>
  <r>
    <x v="17"/>
    <x v="6"/>
    <n v="7.5720000000000001"/>
    <n v="23.032826310059999"/>
    <n v="3.5518579583399998"/>
  </r>
  <r>
    <x v="17"/>
    <x v="5"/>
    <n v="8.6150000000000002"/>
    <n v="46.888527710120002"/>
    <n v="6.3474187503400001"/>
  </r>
  <r>
    <x v="17"/>
    <x v="3"/>
    <n v="0.254"/>
    <n v="2.7542397900000002"/>
    <n v="0.28294435000000001"/>
  </r>
  <r>
    <x v="17"/>
    <x v="2"/>
    <n v="9.4860000000000007"/>
    <n v="58.884801307079996"/>
    <n v="7.4333495271999999"/>
  </r>
  <r>
    <x v="17"/>
    <x v="1"/>
    <n v="5.8760000000000003"/>
    <n v="37.259474917589998"/>
    <n v="4.7437145244299996"/>
  </r>
  <r>
    <x v="17"/>
    <x v="0"/>
    <n v="13.558"/>
    <n v="54.238887596200001"/>
    <n v="7.7426990135200002"/>
  </r>
  <r>
    <x v="18"/>
    <x v="0"/>
    <n v="13.532"/>
    <n v="44.280612301520001"/>
    <n v="7.4309216663199997"/>
  </r>
  <r>
    <x v="18"/>
    <x v="6"/>
    <n v="6.8630000000000004"/>
    <n v="19.476241703340001"/>
    <n v="3.1347790304699998"/>
  </r>
  <r>
    <x v="18"/>
    <x v="4"/>
    <n v="15.637"/>
    <n v="72.881986455260005"/>
    <n v="10.473162723890001"/>
  </r>
  <r>
    <x v="18"/>
    <x v="3"/>
    <n v="0.38400000000000001"/>
    <n v="4.2303992807200004"/>
    <n v="0.47044518256000001"/>
  </r>
  <r>
    <x v="18"/>
    <x v="1"/>
    <n v="8.5150000000000006"/>
    <n v="65.177049328620001"/>
    <n v="7.7720829804599996"/>
  </r>
  <r>
    <x v="18"/>
    <x v="2"/>
    <n v="13.353999999999999"/>
    <n v="100.05735072764"/>
    <n v="11.98511204936"/>
  </r>
  <r>
    <x v="18"/>
    <x v="5"/>
    <n v="11.442"/>
    <n v="65.901495173970005"/>
    <n v="9.0893769183199993"/>
  </r>
  <r>
    <x v="19"/>
    <x v="0"/>
    <n v="12.510999999999999"/>
    <n v="41.523031829499999"/>
    <n v="6.8715233943699996"/>
  </r>
  <r>
    <x v="19"/>
    <x v="1"/>
    <n v="9.3650000000000002"/>
    <n v="84.33479278451"/>
    <n v="8.8657529692299999"/>
  </r>
  <r>
    <x v="19"/>
    <x v="5"/>
    <n v="12.069000000000001"/>
    <n v="72.859298901949998"/>
    <n v="9.2822051113700006"/>
  </r>
  <r>
    <x v="19"/>
    <x v="2"/>
    <n v="14.49"/>
    <n v="109.71439528588"/>
    <n v="12.554827563830001"/>
  </r>
  <r>
    <x v="19"/>
    <x v="4"/>
    <n v="16.242999999999999"/>
    <n v="74.892745963099998"/>
    <n v="10.73079848121"/>
  </r>
  <r>
    <x v="19"/>
    <x v="3"/>
    <n v="0.65200000000000002"/>
    <n v="9.6903517650000008"/>
    <n v="0.84583536250000002"/>
  </r>
  <r>
    <x v="19"/>
    <x v="6"/>
    <n v="4.5149999999999997"/>
    <n v="11.82906304766"/>
    <n v="1.98747360338"/>
  </r>
  <r>
    <x v="20"/>
    <x v="4"/>
    <n v="19.491"/>
    <n v="90.266755997849998"/>
    <n v="12.77199278965"/>
  </r>
  <r>
    <x v="20"/>
    <x v="5"/>
    <n v="8.9009999999999998"/>
    <n v="56.774537118360001"/>
    <n v="6.8980172479600004"/>
  </r>
  <r>
    <x v="20"/>
    <x v="0"/>
    <n v="14.436999999999999"/>
    <n v="43.684816132160002"/>
    <n v="7.7252664023199999"/>
  </r>
  <r>
    <x v="20"/>
    <x v="6"/>
    <n v="7.133"/>
    <n v="17.183332864240001"/>
    <n v="3.1557728031700001"/>
  </r>
  <r>
    <x v="20"/>
    <x v="3"/>
    <n v="0.92400000000000004"/>
    <n v="14.36954013834"/>
    <n v="1.2248822827800001"/>
  </r>
  <r>
    <x v="20"/>
    <x v="1"/>
    <n v="10.039999999999999"/>
    <n v="86.727721056050001"/>
    <n v="9.7469460057100008"/>
  </r>
  <r>
    <x v="20"/>
    <x v="2"/>
    <n v="12.547000000000001"/>
    <n v="99.110315851289997"/>
    <n v="10.82662103074"/>
  </r>
  <r>
    <x v="21"/>
    <x v="4"/>
    <n v="20.9"/>
    <n v="106.77077544165"/>
    <n v="14.002920142160001"/>
  </r>
  <r>
    <x v="21"/>
    <x v="6"/>
    <n v="7.0140000000000002"/>
    <n v="15.770526022769999"/>
    <n v="2.9850731472000001"/>
  </r>
  <r>
    <x v="21"/>
    <x v="5"/>
    <n v="9.5419999999999998"/>
    <n v="63.287273197239998"/>
    <n v="7.3158658867600002"/>
  </r>
  <r>
    <x v="21"/>
    <x v="0"/>
    <n v="14.68"/>
    <n v="44.986762813719999"/>
    <n v="7.8456184817799999"/>
  </r>
  <r>
    <x v="21"/>
    <x v="3"/>
    <n v="1.1679999999999999"/>
    <n v="12.115863690159999"/>
    <n v="1.20147385027"/>
  </r>
  <r>
    <x v="21"/>
    <x v="2"/>
    <n v="13.824999999999999"/>
    <n v="105.75551681639"/>
    <n v="11.919393386179999"/>
  </r>
  <r>
    <x v="21"/>
    <x v="1"/>
    <n v="11.28"/>
    <n v="98.307373610529993"/>
    <n v="10.926071186070001"/>
  </r>
  <r>
    <x v="22"/>
    <x v="3"/>
    <n v="0.997"/>
    <n v="10.91138706552"/>
    <n v="1.0849680471900001"/>
  </r>
  <r>
    <x v="22"/>
    <x v="6"/>
    <n v="6.1230000000000002"/>
    <n v="12.215923296650001"/>
    <n v="2.4288260321599999"/>
  </r>
  <r>
    <x v="22"/>
    <x v="4"/>
    <n v="20.800999999999998"/>
    <n v="94.86866705525"/>
    <n v="13.45444189096"/>
  </r>
  <r>
    <x v="22"/>
    <x v="1"/>
    <n v="11.664"/>
    <n v="103.72623592316999"/>
    <n v="11.438769026139999"/>
  </r>
  <r>
    <x v="22"/>
    <x v="2"/>
    <n v="13.59"/>
    <n v="101.24062974301"/>
    <n v="11.403454612999999"/>
  </r>
  <r>
    <x v="22"/>
    <x v="0"/>
    <n v="13.602"/>
    <n v="38.821942417290003"/>
    <n v="6.9815614952100002"/>
  </r>
  <r>
    <x v="22"/>
    <x v="5"/>
    <n v="9.407"/>
    <n v="52.910114797890003"/>
    <n v="6.8085617266099998"/>
  </r>
  <r>
    <x v="23"/>
    <x v="0"/>
    <n v="14.930999999999999"/>
    <n v="45.823411279950001"/>
    <n v="8.0289959587300004"/>
  </r>
  <r>
    <x v="23"/>
    <x v="1"/>
    <n v="13.691000000000001"/>
    <n v="136.17967095443001"/>
    <n v="14.181166408919999"/>
  </r>
  <r>
    <x v="23"/>
    <x v="4"/>
    <n v="24.797999999999998"/>
    <n v="111.09596230005"/>
    <n v="16.350248615720002"/>
  </r>
  <r>
    <x v="23"/>
    <x v="2"/>
    <n v="16.672000000000001"/>
    <n v="135.76360112651"/>
    <n v="14.867634980029999"/>
  </r>
  <r>
    <x v="23"/>
    <x v="6"/>
    <n v="6.22"/>
    <n v="13.11566729211"/>
    <n v="2.6624314295899998"/>
  </r>
  <r>
    <x v="23"/>
    <x v="5"/>
    <n v="11.669"/>
    <n v="74.793585557079993"/>
    <n v="9.3886921354300004"/>
  </r>
  <r>
    <x v="23"/>
    <x v="3"/>
    <n v="1.923"/>
    <n v="14.058034181569999"/>
    <n v="1.65230716088"/>
  </r>
  <r>
    <x v="24"/>
    <x v="4"/>
    <n v="21.45"/>
    <n v="95.80124791419"/>
    <n v="13.944544404329999"/>
  </r>
  <r>
    <x v="24"/>
    <x v="1"/>
    <n v="10.771000000000001"/>
    <n v="95.606901257000004"/>
    <n v="10.47426158144"/>
  </r>
  <r>
    <x v="24"/>
    <x v="0"/>
    <n v="12.784000000000001"/>
    <n v="39.458835468609998"/>
    <n v="6.5841215701999998"/>
  </r>
  <r>
    <x v="24"/>
    <x v="3"/>
    <n v="1.6240000000000001"/>
    <n v="11.3586049936"/>
    <n v="1.3718104795399999"/>
  </r>
  <r>
    <x v="24"/>
    <x v="2"/>
    <n v="13.113"/>
    <n v="92.384221335160007"/>
    <n v="10.976937918160001"/>
  </r>
  <r>
    <x v="24"/>
    <x v="5"/>
    <n v="9.5980000000000008"/>
    <n v="56.859609156680001"/>
    <n v="7.20291854319"/>
  </r>
  <r>
    <x v="24"/>
    <x v="6"/>
    <n v="5.2439999999999998"/>
    <n v="10.01543375284"/>
    <n v="2.1190429424500001"/>
  </r>
  <r>
    <x v="25"/>
    <x v="1"/>
    <n v="9.0389999999999997"/>
    <n v="66.414911702340007"/>
    <n v="8.5173481612100002"/>
  </r>
  <r>
    <x v="25"/>
    <x v="6"/>
    <n v="3.794"/>
    <n v="8.4697829518199992"/>
    <n v="1.59043721881"/>
  </r>
  <r>
    <x v="25"/>
    <x v="5"/>
    <n v="8.3539999999999992"/>
    <n v="46.631726261460003"/>
    <n v="5.9278866238300001"/>
  </r>
  <r>
    <x v="25"/>
    <x v="0"/>
    <n v="10.106999999999999"/>
    <n v="28.2113106479"/>
    <n v="4.9858931554000003"/>
  </r>
  <r>
    <x v="25"/>
    <x v="3"/>
    <n v="1.2609999999999999"/>
    <n v="6.5983787878499998"/>
    <n v="0.90800717316000001"/>
  </r>
  <r>
    <x v="25"/>
    <x v="2"/>
    <n v="10.992000000000001"/>
    <n v="72.853398782529993"/>
    <n v="8.9263345066700008"/>
  </r>
  <r>
    <x v="25"/>
    <x v="4"/>
    <n v="17.835999999999999"/>
    <n v="73.918627974380001"/>
    <n v="10.872051022040001"/>
  </r>
  <r>
    <x v="26"/>
    <x v="5"/>
    <n v="10.978999999999999"/>
    <n v="73.961432672010005"/>
    <n v="9.46225484052"/>
  </r>
  <r>
    <x v="26"/>
    <x v="1"/>
    <n v="12.215"/>
    <n v="113.01142377777001"/>
    <n v="13.58580114612"/>
  </r>
  <r>
    <x v="26"/>
    <x v="0"/>
    <n v="14.635"/>
    <n v="50.97265458423"/>
    <n v="8.5531693518399994"/>
  </r>
  <r>
    <x v="26"/>
    <x v="3"/>
    <n v="2.7080000000000002"/>
    <n v="15.8515744819"/>
    <n v="2.0238872220799999"/>
  </r>
  <r>
    <x v="26"/>
    <x v="2"/>
    <n v="15.315"/>
    <n v="124.72581652798"/>
    <n v="15.26255592429"/>
  </r>
  <r>
    <x v="26"/>
    <x v="6"/>
    <n v="5.5780000000000003"/>
    <n v="14.039155776479999"/>
    <n v="2.5802658487999999"/>
  </r>
  <r>
    <x v="26"/>
    <x v="4"/>
    <n v="23.687000000000001"/>
    <n v="108.36461863004"/>
    <n v="16.669181838450001"/>
  </r>
  <r>
    <x v="27"/>
    <x v="6"/>
    <n v="4.0030000000000001"/>
    <n v="10.28186728327"/>
    <n v="1.8066356754399999"/>
  </r>
  <r>
    <x v="27"/>
    <x v="4"/>
    <n v="22.253"/>
    <n v="88.510315321389996"/>
    <n v="14.0095893014"/>
  </r>
  <r>
    <x v="27"/>
    <x v="0"/>
    <n v="12.683"/>
    <n v="37.653391175640003"/>
    <n v="6.5940553607499997"/>
  </r>
  <r>
    <x v="27"/>
    <x v="5"/>
    <n v="10.291"/>
    <n v="52.902157079189998"/>
    <n v="7.4356381063299999"/>
  </r>
  <r>
    <x v="27"/>
    <x v="1"/>
    <n v="10.202999999999999"/>
    <n v="76.313740229570001"/>
    <n v="9.6656996062499996"/>
  </r>
  <r>
    <x v="27"/>
    <x v="2"/>
    <n v="13.821999999999999"/>
    <n v="95.505840839879994"/>
    <n v="11.897753199849999"/>
  </r>
  <r>
    <x v="27"/>
    <x v="3"/>
    <n v="2.0760000000000001"/>
    <n v="9.7259865948200002"/>
    <n v="1.40225686783"/>
  </r>
  <r>
    <x v="28"/>
    <x v="2"/>
    <n v="14.851000000000001"/>
    <n v="98.352764938999997"/>
    <n v="12.516721419970001"/>
  </r>
  <r>
    <x v="28"/>
    <x v="1"/>
    <n v="11.603"/>
    <n v="84.083542308760002"/>
    <n v="10.61940253835"/>
  </r>
  <r>
    <x v="28"/>
    <x v="0"/>
    <n v="14.295999999999999"/>
    <n v="41.117511371790002"/>
    <n v="7.4315788527800004"/>
  </r>
  <r>
    <x v="28"/>
    <x v="3"/>
    <n v="3.552"/>
    <n v="18.372908124350001"/>
    <n v="2.4892765934100001"/>
  </r>
  <r>
    <x v="28"/>
    <x v="6"/>
    <n v="4.7060000000000004"/>
    <n v="9.8540536639200003"/>
    <n v="2.0197195343200001"/>
  </r>
  <r>
    <x v="28"/>
    <x v="5"/>
    <n v="10.851000000000001"/>
    <n v="59.105995094900003"/>
    <n v="8.1750487319400005"/>
  </r>
  <r>
    <x v="28"/>
    <x v="4"/>
    <n v="24.643999999999998"/>
    <n v="98.483251212509998"/>
    <n v="15.97676404053"/>
  </r>
  <r>
    <x v="29"/>
    <x v="3"/>
    <n v="3.0739999999999998"/>
    <n v="16.43543928403"/>
    <n v="2.2873029598899999"/>
  </r>
  <r>
    <x v="29"/>
    <x v="0"/>
    <n v="16.213000000000001"/>
    <n v="49.394813213509998"/>
    <n v="8.7840333810099995"/>
  </r>
  <r>
    <x v="29"/>
    <x v="5"/>
    <n v="11.372"/>
    <n v="50.299782647729998"/>
    <n v="8.0982061433299997"/>
  </r>
  <r>
    <x v="29"/>
    <x v="6"/>
    <n v="4.7850000000000001"/>
    <n v="10.12443670989"/>
    <n v="2.0359090019599999"/>
  </r>
  <r>
    <x v="29"/>
    <x v="4"/>
    <n v="27.248999999999999"/>
    <n v="108.94701300897999"/>
    <n v="17.53577903295"/>
  </r>
  <r>
    <x v="29"/>
    <x v="2"/>
    <n v="14.98"/>
    <n v="83.185752000359997"/>
    <n v="11.967781802439999"/>
  </r>
  <r>
    <x v="29"/>
    <x v="1"/>
    <n v="11.779"/>
    <n v="84.946681343310004"/>
    <n v="10.80420505283"/>
  </r>
  <r>
    <x v="30"/>
    <x v="2"/>
    <n v="4.1319999999999997"/>
    <n v="16.97588618368"/>
    <n v="2.46032986133"/>
  </r>
  <r>
    <x v="30"/>
    <x v="4"/>
    <n v="6.109"/>
    <n v="14.642002274519999"/>
    <n v="2.5483942342799999"/>
  </r>
  <r>
    <x v="30"/>
    <x v="6"/>
    <n v="0.94099999999999995"/>
    <n v="1.3146919907400001"/>
    <n v="0.31147342358000002"/>
  </r>
  <r>
    <x v="30"/>
    <x v="3"/>
    <n v="0.155"/>
    <n v="0.92691106000000001"/>
    <n v="0.108163"/>
  </r>
  <r>
    <x v="30"/>
    <x v="0"/>
    <n v="3.3210000000000002"/>
    <n v="6.2094885187199997"/>
    <n v="1.1748520816800001"/>
  </r>
  <r>
    <x v="30"/>
    <x v="1"/>
    <n v="3.294"/>
    <n v="18.432419809390002"/>
    <n v="2.3792060570800002"/>
  </r>
  <r>
    <x v="30"/>
    <x v="5"/>
    <n v="3.0990000000000002"/>
    <n v="8.6411628647400001"/>
    <n v="1.4636580302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">
  <r>
    <x v="0"/>
    <x v="0"/>
    <n v="16.452513454000002"/>
    <n v="2.0645966279999999"/>
    <n v="1.9950000000000001"/>
  </r>
  <r>
    <x v="0"/>
    <x v="1"/>
    <n v="39.682357754000002"/>
    <n v="4.7065480839999996"/>
    <n v="5.93"/>
  </r>
  <r>
    <x v="0"/>
    <x v="2"/>
    <n v="6.16020974"/>
    <n v="0.73054464200000002"/>
    <n v="0.997"/>
  </r>
  <r>
    <x v="0"/>
    <x v="3"/>
    <n v="45.784870515999998"/>
    <n v="6.025146436"/>
    <n v="9.8490000000000002"/>
  </r>
  <r>
    <x v="0"/>
    <x v="4"/>
    <n v="17.949101303999999"/>
    <n v="2.3571809840000002"/>
    <n v="4.2869999999999999"/>
  </r>
  <r>
    <x v="0"/>
    <x v="5"/>
    <n v="56.621808559999998"/>
    <n v="7.1461335699999999"/>
    <n v="10.180999999999999"/>
  </r>
  <r>
    <x v="0"/>
    <x v="6"/>
    <n v="41.818508164000001"/>
    <n v="4.7969230679999999"/>
    <n v="5.1779999999999999"/>
  </r>
  <r>
    <x v="1"/>
    <x v="0"/>
    <n v="13.668879204"/>
    <n v="1.712484828"/>
    <n v="1.8859999999999999"/>
  </r>
  <r>
    <x v="1"/>
    <x v="4"/>
    <n v="12.791993216"/>
    <n v="1.855395946"/>
    <n v="4.0629999999999997"/>
  </r>
  <r>
    <x v="1"/>
    <x v="6"/>
    <n v="35.018237444"/>
    <n v="4.1651610960000003"/>
    <n v="4.6710000000000003"/>
  </r>
  <r>
    <x v="1"/>
    <x v="1"/>
    <n v="40.483278722000001"/>
    <n v="4.3003003419999999"/>
    <n v="5.4269999999999996"/>
  </r>
  <r>
    <x v="1"/>
    <x v="2"/>
    <n v="5.0845650200000003"/>
    <n v="0.60611709400000002"/>
    <n v="0.88700000000000001"/>
  </r>
  <r>
    <x v="1"/>
    <x v="3"/>
    <n v="43.374369745999999"/>
    <n v="5.0926376700000002"/>
    <n v="8.6180000000000003"/>
  </r>
  <r>
    <x v="1"/>
    <x v="5"/>
    <n v="50.567255520000003"/>
    <n v="6.007962612"/>
    <n v="9.0920000000000005"/>
  </r>
  <r>
    <x v="2"/>
    <x v="3"/>
    <n v="44.361215127999998"/>
    <n v="5.4181515219999996"/>
    <n v="8.91"/>
  </r>
  <r>
    <x v="2"/>
    <x v="1"/>
    <n v="34.15127983"/>
    <n v="3.95923793"/>
    <n v="5.0880000000000001"/>
  </r>
  <r>
    <x v="2"/>
    <x v="0"/>
    <n v="11.303203002"/>
    <n v="1.5427651920000001"/>
    <n v="1.7410000000000001"/>
  </r>
  <r>
    <x v="2"/>
    <x v="4"/>
    <n v="13.188354366"/>
    <n v="1.862616654"/>
    <n v="4.0220000000000002"/>
  </r>
  <r>
    <x v="2"/>
    <x v="2"/>
    <n v="8.6609129899999999"/>
    <n v="0.88428284999999995"/>
    <n v="1.377"/>
  </r>
  <r>
    <x v="2"/>
    <x v="5"/>
    <n v="54.719457550000001"/>
    <n v="6.6102085219999998"/>
    <n v="9.3569999999999993"/>
  </r>
  <r>
    <x v="2"/>
    <x v="6"/>
    <n v="34.674452694000003"/>
    <n v="4.098717132"/>
    <n v="4.46"/>
  </r>
  <r>
    <x v="3"/>
    <x v="4"/>
    <n v="16.164510572000001"/>
    <n v="2.2609275559999999"/>
    <n v="5.0999999999999996"/>
  </r>
  <r>
    <x v="3"/>
    <x v="3"/>
    <n v="44.788854231999998"/>
    <n v="6.0380136980000003"/>
    <n v="10.532"/>
  </r>
  <r>
    <x v="3"/>
    <x v="5"/>
    <n v="58.185405492000001"/>
    <n v="7.1436001060000001"/>
    <n v="10.073"/>
  </r>
  <r>
    <x v="3"/>
    <x v="0"/>
    <n v="14.899086128"/>
    <n v="1.8981191079999999"/>
    <n v="2.0670000000000002"/>
  </r>
  <r>
    <x v="3"/>
    <x v="1"/>
    <n v="42.530902677999997"/>
    <n v="5.1190287139999997"/>
    <n v="6.2830000000000004"/>
  </r>
  <r>
    <x v="3"/>
    <x v="2"/>
    <n v="6.2767083479999997"/>
    <n v="0.82799532600000003"/>
    <n v="1.4870000000000001"/>
  </r>
  <r>
    <x v="3"/>
    <x v="6"/>
    <n v="41.048808768000001"/>
    <n v="4.7550767699999996"/>
    <n v="5.5869999999999997"/>
  </r>
  <r>
    <x v="4"/>
    <x v="6"/>
    <n v="43.183207924000001"/>
    <n v="5.5915011359999998"/>
    <n v="6.7880000000000003"/>
  </r>
  <r>
    <x v="4"/>
    <x v="3"/>
    <n v="57.324476848000003"/>
    <n v="7.4355147600000002"/>
    <n v="12.25"/>
  </r>
  <r>
    <x v="4"/>
    <x v="0"/>
    <n v="13.550249704000001"/>
    <n v="2.130611204"/>
    <n v="2.5489999999999999"/>
  </r>
  <r>
    <x v="4"/>
    <x v="4"/>
    <n v="19.392325652"/>
    <n v="2.9035342439999998"/>
    <n v="6.2910000000000004"/>
  </r>
  <r>
    <x v="4"/>
    <x v="1"/>
    <n v="48.281272622000003"/>
    <n v="6.0335332560000001"/>
    <n v="7.5830000000000002"/>
  </r>
  <r>
    <x v="4"/>
    <x v="5"/>
    <n v="69.879206593999996"/>
    <n v="8.8458227699999998"/>
    <n v="12.189"/>
  </r>
  <r>
    <x v="4"/>
    <x v="2"/>
    <n v="6.7996527340000004"/>
    <n v="0.82432461800000001"/>
    <n v="1.36"/>
  </r>
  <r>
    <x v="5"/>
    <x v="0"/>
    <n v="17.502308935999999"/>
    <n v="2.246153632"/>
    <n v="2.4449999999999998"/>
  </r>
  <r>
    <x v="5"/>
    <x v="4"/>
    <n v="19.634990236"/>
    <n v="3.1635076940000002"/>
    <n v="6.6390000000000002"/>
  </r>
  <r>
    <x v="5"/>
    <x v="2"/>
    <n v="5.5381387420000001"/>
    <n v="0.70331289600000002"/>
    <n v="1.173"/>
  </r>
  <r>
    <x v="5"/>
    <x v="6"/>
    <n v="49.456792649999997"/>
    <n v="6.0755531139999999"/>
    <n v="6.6710000000000003"/>
  </r>
  <r>
    <x v="5"/>
    <x v="1"/>
    <n v="56.553983956000003"/>
    <n v="6.4972658579999996"/>
    <n v="7.32"/>
  </r>
  <r>
    <x v="5"/>
    <x v="5"/>
    <n v="74.282593543999994"/>
    <n v="9.4434598059999999"/>
    <n v="11.794"/>
  </r>
  <r>
    <x v="5"/>
    <x v="3"/>
    <n v="60.531620449999998"/>
    <n v="7.8990738800000004"/>
    <n v="12.101000000000001"/>
  </r>
  <r>
    <x v="6"/>
    <x v="3"/>
    <n v="60.783632814000001"/>
    <n v="8.3193829099999999"/>
    <n v="12.186999999999999"/>
  </r>
  <r>
    <x v="6"/>
    <x v="2"/>
    <n v="6.726834674"/>
    <n v="0.78183788399999998"/>
    <n v="1.244"/>
  </r>
  <r>
    <x v="6"/>
    <x v="4"/>
    <n v="23.405436076000001"/>
    <n v="3.5171234519999999"/>
    <n v="7.2130000000000001"/>
  </r>
  <r>
    <x v="6"/>
    <x v="0"/>
    <n v="18.321725084000001"/>
    <n v="2.5115072660000002"/>
    <n v="2.464"/>
  </r>
  <r>
    <x v="6"/>
    <x v="1"/>
    <n v="63.981174815999999"/>
    <n v="7.2246606260000004"/>
    <n v="7.2119999999999997"/>
  </r>
  <r>
    <x v="6"/>
    <x v="6"/>
    <n v="53.067592492000003"/>
    <n v="6.6418122540000004"/>
    <n v="6.407"/>
  </r>
  <r>
    <x v="6"/>
    <x v="5"/>
    <n v="86.809374898000002"/>
    <n v="10.591548983999999"/>
    <n v="11.807"/>
  </r>
  <r>
    <x v="7"/>
    <x v="6"/>
    <n v="83.239830342000005"/>
    <n v="8.886664326"/>
    <n v="7.806"/>
  </r>
  <r>
    <x v="7"/>
    <x v="1"/>
    <n v="73.002511967999993"/>
    <n v="8.2844618780000001"/>
    <n v="8.359"/>
  </r>
  <r>
    <x v="7"/>
    <x v="5"/>
    <n v="98.002561940000007"/>
    <n v="11.97327256"/>
    <n v="13.179"/>
  </r>
  <r>
    <x v="7"/>
    <x v="0"/>
    <n v="26.723919341999999"/>
    <n v="3.4465621959999999"/>
    <n v="3.1429999999999998"/>
  </r>
  <r>
    <x v="7"/>
    <x v="4"/>
    <n v="25.748710209999999"/>
    <n v="3.8390552360000001"/>
    <n v="7.7510000000000003"/>
  </r>
  <r>
    <x v="7"/>
    <x v="2"/>
    <n v="6.2971031039999996"/>
    <n v="0.83191761200000003"/>
    <n v="1.3140000000000001"/>
  </r>
  <r>
    <x v="7"/>
    <x v="3"/>
    <n v="68.915482871999998"/>
    <n v="8.9863827020000002"/>
    <n v="13.425000000000001"/>
  </r>
  <r>
    <x v="8"/>
    <x v="0"/>
    <n v="29.042638606000001"/>
    <n v="3.4610997619999999"/>
    <n v="3.2029999999999998"/>
  </r>
  <r>
    <x v="8"/>
    <x v="2"/>
    <n v="6.7728970640000004"/>
    <n v="0.72658941399999999"/>
    <n v="1.161"/>
  </r>
  <r>
    <x v="8"/>
    <x v="3"/>
    <n v="63.343982056000002"/>
    <n v="8.1721321160000002"/>
    <n v="13.423999999999999"/>
  </r>
  <r>
    <x v="8"/>
    <x v="1"/>
    <n v="59.428461947999999"/>
    <n v="6.9831075980000001"/>
    <n v="8.0649999999999995"/>
  </r>
  <r>
    <x v="8"/>
    <x v="5"/>
    <n v="82.174498974000002"/>
    <n v="10.08330093"/>
    <n v="13.067"/>
  </r>
  <r>
    <x v="8"/>
    <x v="4"/>
    <n v="21.098659758"/>
    <n v="3.2566788600000001"/>
    <n v="7.9370000000000003"/>
  </r>
  <r>
    <x v="8"/>
    <x v="6"/>
    <n v="65.809159832000006"/>
    <n v="7.4851404920000002"/>
    <n v="7.5979999999999999"/>
  </r>
  <r>
    <x v="9"/>
    <x v="1"/>
    <n v="60.4791381"/>
    <n v="7.2787555660000001"/>
    <n v="8.2129999999999992"/>
  </r>
  <r>
    <x v="9"/>
    <x v="3"/>
    <n v="63.193363626"/>
    <n v="8.2208083740000006"/>
    <n v="13.21"/>
  </r>
  <r>
    <x v="9"/>
    <x v="0"/>
    <n v="29.34629717"/>
    <n v="3.6361122419999998"/>
    <n v="3.403"/>
  </r>
  <r>
    <x v="9"/>
    <x v="2"/>
    <n v="5.8552893639999999"/>
    <n v="0.64157344800000005"/>
    <n v="0.997"/>
  </r>
  <r>
    <x v="9"/>
    <x v="5"/>
    <n v="86.641217858000005"/>
    <n v="10.227779376000001"/>
    <n v="13.577999999999999"/>
  </r>
  <r>
    <x v="9"/>
    <x v="4"/>
    <n v="21.784861312"/>
    <n v="3.3508980020000001"/>
    <n v="7.8840000000000003"/>
  </r>
  <r>
    <x v="9"/>
    <x v="6"/>
    <n v="69.174931495999999"/>
    <n v="7.8473729859999999"/>
    <n v="8.0269999999999992"/>
  </r>
  <r>
    <x v="10"/>
    <x v="2"/>
    <n v="5.8682450040000003"/>
    <n v="0.65472299599999995"/>
    <n v="0.82799999999999996"/>
  </r>
  <r>
    <x v="10"/>
    <x v="3"/>
    <n v="64.269297072000001"/>
    <n v="8.6870127339999996"/>
    <n v="12.858000000000001"/>
  </r>
  <r>
    <x v="10"/>
    <x v="6"/>
    <n v="79.768880820000007"/>
    <n v="9.0875980120000008"/>
    <n v="8.0839999999999996"/>
  </r>
  <r>
    <x v="10"/>
    <x v="1"/>
    <n v="66.267631706000003"/>
    <n v="8.2253823780000008"/>
    <n v="8.2390000000000008"/>
  </r>
  <r>
    <x v="10"/>
    <x v="4"/>
    <n v="19.470919341999998"/>
    <n v="3.2292155060000001"/>
    <n v="7.2919999999999998"/>
  </r>
  <r>
    <x v="10"/>
    <x v="5"/>
    <n v="97.030957842000007"/>
    <n v="11.895615504"/>
    <n v="13.891999999999999"/>
  </r>
  <r>
    <x v="10"/>
    <x v="0"/>
    <n v="30.565971978"/>
    <n v="4.080158"/>
    <n v="3.3260000000000001"/>
  </r>
  <r>
    <x v="11"/>
    <x v="3"/>
    <n v="77.734223491999998"/>
    <n v="10.415121356"/>
    <n v="13.526999999999999"/>
  </r>
  <r>
    <x v="11"/>
    <x v="1"/>
    <n v="86.858644179999999"/>
    <n v="9.9432959499999996"/>
    <n v="8.7059999999999995"/>
  </r>
  <r>
    <x v="11"/>
    <x v="0"/>
    <n v="36.692865806"/>
    <n v="4.3155194799999999"/>
    <n v="3.3679999999999999"/>
  </r>
  <r>
    <x v="11"/>
    <x v="2"/>
    <n v="6.2954247419999998"/>
    <n v="0.70908685199999999"/>
    <n v="0.84799999999999998"/>
  </r>
  <r>
    <x v="11"/>
    <x v="5"/>
    <n v="107.632309562"/>
    <n v="13.992573106"/>
    <n v="14.516999999999999"/>
  </r>
  <r>
    <x v="11"/>
    <x v="6"/>
    <n v="80.862730896000002"/>
    <n v="9.7046375420000004"/>
    <n v="8.1240000000000006"/>
  </r>
  <r>
    <x v="11"/>
    <x v="4"/>
    <n v="24.504496302"/>
    <n v="3.7353840740000002"/>
    <n v="7.2910000000000004"/>
  </r>
  <r>
    <x v="12"/>
    <x v="4"/>
    <n v="18.32272858"/>
    <n v="2.8071895900000001"/>
    <n v="6.3689999999999998"/>
  </r>
  <r>
    <x v="12"/>
    <x v="2"/>
    <n v="7.0562252780000003"/>
    <n v="0.60731246000000005"/>
    <n v="0.73499999999999999"/>
  </r>
  <r>
    <x v="12"/>
    <x v="5"/>
    <n v="93.990132799999998"/>
    <n v="11.796997212000001"/>
    <n v="15.06"/>
  </r>
  <r>
    <x v="12"/>
    <x v="6"/>
    <n v="73.992911489999997"/>
    <n v="8.8351903200000006"/>
    <n v="8.6660000000000004"/>
  </r>
  <r>
    <x v="12"/>
    <x v="3"/>
    <n v="61.451920807999997"/>
    <n v="8.3144385540000005"/>
    <n v="13.478999999999999"/>
  </r>
  <r>
    <x v="12"/>
    <x v="0"/>
    <n v="28.156898785999999"/>
    <n v="3.7382609699999998"/>
    <n v="3.427"/>
  </r>
  <r>
    <x v="12"/>
    <x v="1"/>
    <n v="73.929289875999999"/>
    <n v="8.2843745319999993"/>
    <n v="8.9550000000000001"/>
  </r>
  <r>
    <x v="13"/>
    <x v="1"/>
    <n v="65.543984227999999"/>
    <n v="7.6581936300000004"/>
    <n v="8.6129999999999995"/>
  </r>
  <r>
    <x v="13"/>
    <x v="0"/>
    <n v="29.120161698"/>
    <n v="3.768478762"/>
    <n v="3.5230000000000001"/>
  </r>
  <r>
    <x v="13"/>
    <x v="6"/>
    <n v="74.353212606"/>
    <n v="8.2531146339999992"/>
    <n v="8.2330000000000005"/>
  </r>
  <r>
    <x v="13"/>
    <x v="2"/>
    <n v="5.1404959300000002"/>
    <n v="0.46516169800000001"/>
    <n v="0.56000000000000005"/>
  </r>
  <r>
    <x v="13"/>
    <x v="3"/>
    <n v="56.735634621999999"/>
    <n v="7.581590426"/>
    <n v="12.53"/>
  </r>
  <r>
    <x v="13"/>
    <x v="5"/>
    <n v="82.160817080000001"/>
    <n v="10.569786212"/>
    <n v="14.15"/>
  </r>
  <r>
    <x v="13"/>
    <x v="4"/>
    <n v="16.082375322000001"/>
    <n v="2.4068719500000002"/>
    <n v="5.7469999999999999"/>
  </r>
  <r>
    <x v="14"/>
    <x v="3"/>
    <n v="53.455300659999999"/>
    <n v="6.8839820520000004"/>
    <n v="11.67"/>
  </r>
  <r>
    <x v="14"/>
    <x v="6"/>
    <n v="66.233955875999996"/>
    <n v="7.6485163439999999"/>
    <n v="7.7649999999999997"/>
  </r>
  <r>
    <x v="14"/>
    <x v="1"/>
    <n v="60.708043490000001"/>
    <n v="7.3251981180000003"/>
    <n v="8.2129999999999992"/>
  </r>
  <r>
    <x v="14"/>
    <x v="4"/>
    <n v="13.010391808"/>
    <n v="1.9669420179999999"/>
    <n v="4.9050000000000002"/>
  </r>
  <r>
    <x v="14"/>
    <x v="2"/>
    <n v="3.1966257179999999"/>
    <n v="0.39402489400000001"/>
    <n v="0.49099999999999999"/>
  </r>
  <r>
    <x v="14"/>
    <x v="5"/>
    <n v="74.059446694000002"/>
    <n v="9.5285036200000004"/>
    <n v="13.481999999999999"/>
  </r>
  <r>
    <x v="14"/>
    <x v="0"/>
    <n v="27.00609833"/>
    <n v="3.3210664919999999"/>
    <n v="3.2170000000000001"/>
  </r>
  <r>
    <x v="15"/>
    <x v="5"/>
    <n v="31.818019272000001"/>
    <n v="4.0437788360000004"/>
    <n v="6.7880000000000003"/>
  </r>
  <r>
    <x v="15"/>
    <x v="3"/>
    <n v="22.633407362"/>
    <n v="3.1993046199999999"/>
    <n v="6.1920000000000002"/>
  </r>
  <r>
    <x v="15"/>
    <x v="1"/>
    <n v="17.467659611999999"/>
    <n v="2.3602440840000001"/>
    <n v="3.629"/>
  </r>
  <r>
    <x v="15"/>
    <x v="0"/>
    <n v="10.105532706"/>
    <n v="1.1450372360000001"/>
    <n v="1.2290000000000001"/>
  </r>
  <r>
    <x v="15"/>
    <x v="6"/>
    <n v="22.234972089999999"/>
    <n v="2.555046098"/>
    <n v="3.145"/>
  </r>
  <r>
    <x v="15"/>
    <x v="4"/>
    <n v="9.434173672"/>
    <n v="1.3603296540000001"/>
    <n v="3.1549999999999998"/>
  </r>
  <r>
    <x v="15"/>
    <x v="2"/>
    <n v="4.9124769999999998E-2"/>
    <n v="6.7896500000000004E-3"/>
    <n v="6.0000000000000001E-3"/>
  </r>
  <r>
    <x v="16"/>
    <x v="6"/>
    <n v="27.281745336"/>
    <n v="2.8613888420000002"/>
    <n v="3.26"/>
  </r>
  <r>
    <x v="16"/>
    <x v="1"/>
    <n v="21.12978257"/>
    <n v="2.552646142"/>
    <n v="3.633"/>
  </r>
  <r>
    <x v="16"/>
    <x v="4"/>
    <n v="13.064395726000001"/>
    <n v="1.850822094"/>
    <n v="4.3090000000000002"/>
  </r>
  <r>
    <x v="16"/>
    <x v="5"/>
    <n v="33.851517884000003"/>
    <n v="4.3915589199999996"/>
    <n v="6.9340000000000002"/>
  </r>
  <r>
    <x v="16"/>
    <x v="0"/>
    <n v="9.7579002779999993"/>
    <n v="1.2692305399999999"/>
    <n v="1.482"/>
  </r>
  <r>
    <x v="16"/>
    <x v="3"/>
    <n v="36.371037534000003"/>
    <n v="4.6973673580000002"/>
    <n v="8.3130000000000006"/>
  </r>
  <r>
    <x v="16"/>
    <x v="2"/>
    <n v="0.25652912999999999"/>
    <n v="2.664453E-2"/>
    <n v="0.03"/>
  </r>
  <r>
    <x v="17"/>
    <x v="4"/>
    <n v="11.871165444000001"/>
    <n v="1.5818853719999999"/>
    <n v="3.4590000000000001"/>
  </r>
  <r>
    <x v="17"/>
    <x v="6"/>
    <n v="31.111554546000001"/>
    <n v="3.5494956659999999"/>
    <n v="3.8809999999999998"/>
  </r>
  <r>
    <x v="17"/>
    <x v="5"/>
    <n v="39.159934098000001"/>
    <n v="4.8579627580000002"/>
    <n v="6.7350000000000003"/>
  </r>
  <r>
    <x v="17"/>
    <x v="0"/>
    <n v="14.002392054"/>
    <n v="1.6378135620000001"/>
    <n v="1.7050000000000001"/>
  </r>
  <r>
    <x v="17"/>
    <x v="3"/>
    <n v="34.702198899999999"/>
    <n v="4.2100717420000002"/>
    <n v="7.1029999999999998"/>
  </r>
  <r>
    <x v="17"/>
    <x v="1"/>
    <n v="23.415339666000001"/>
    <n v="2.9791480539999999"/>
    <n v="3.9009999999999998"/>
  </r>
  <r>
    <x v="17"/>
    <x v="2"/>
    <n v="0.49498987"/>
    <n v="6.1248860000000002E-2"/>
    <n v="6.4000000000000001E-2"/>
  </r>
  <r>
    <x v="18"/>
    <x v="5"/>
    <n v="39.950789671999999"/>
    <n v="5.4106478979999997"/>
    <n v="7.5119999999999996"/>
  </r>
  <r>
    <x v="18"/>
    <x v="6"/>
    <n v="44.151503724000001"/>
    <n v="4.9486753080000003"/>
    <n v="4.9790000000000001"/>
  </r>
  <r>
    <x v="18"/>
    <x v="4"/>
    <n v="9.5837172299999995"/>
    <n v="1.2744680799999999"/>
    <n v="2.6640000000000001"/>
  </r>
  <r>
    <x v="18"/>
    <x v="0"/>
    <n v="24.509641460000001"/>
    <n v="2.8135288979999999"/>
    <n v="2.452"/>
  </r>
  <r>
    <x v="18"/>
    <x v="1"/>
    <n v="39.534579817999997"/>
    <n v="4.3651445860000004"/>
    <n v="4.95"/>
  </r>
  <r>
    <x v="18"/>
    <x v="3"/>
    <n v="26.620651030000001"/>
    <n v="3.6335161340000002"/>
    <n v="6.2569999999999997"/>
  </r>
  <r>
    <x v="18"/>
    <x v="2"/>
    <n v="0.91267061800000004"/>
    <n v="0.103780894"/>
    <n v="9.7000000000000003E-2"/>
  </r>
  <r>
    <x v="19"/>
    <x v="5"/>
    <n v="27.184270812000001"/>
    <n v="3.3566619539999998"/>
    <n v="5.1189999999999998"/>
  </r>
  <r>
    <x v="19"/>
    <x v="2"/>
    <n v="0.36025217999999998"/>
    <n v="3.5344649999999998E-2"/>
    <n v="2.9000000000000001E-2"/>
  </r>
  <r>
    <x v="19"/>
    <x v="0"/>
    <n v="12.300874148"/>
    <n v="1.632416176"/>
    <n v="1.597"/>
  </r>
  <r>
    <x v="19"/>
    <x v="4"/>
    <n v="2.966536976"/>
    <n v="0.45878722"/>
    <n v="1.1220000000000001"/>
  </r>
  <r>
    <x v="19"/>
    <x v="1"/>
    <n v="23.467788146"/>
    <n v="2.6129909859999998"/>
    <n v="3.3879999999999999"/>
  </r>
  <r>
    <x v="19"/>
    <x v="6"/>
    <n v="28.471525022000002"/>
    <n v="3.2749461279999998"/>
    <n v="3.4390000000000001"/>
  </r>
  <r>
    <x v="19"/>
    <x v="3"/>
    <n v="15.397898723999999"/>
    <n v="2.0413118620000001"/>
    <n v="3.863"/>
  </r>
  <r>
    <x v="20"/>
    <x v="0"/>
    <n v="20.017712534000001"/>
    <n v="2.432642016"/>
    <n v="2.157"/>
  </r>
  <r>
    <x v="20"/>
    <x v="2"/>
    <n v="1.801885738"/>
    <n v="0.241967616"/>
    <n v="0.16900000000000001"/>
  </r>
  <r>
    <x v="20"/>
    <x v="3"/>
    <n v="27.488019571999999"/>
    <n v="3.7045976559999998"/>
    <n v="5.7309999999999999"/>
  </r>
  <r>
    <x v="20"/>
    <x v="1"/>
    <n v="19.862502652"/>
    <n v="2.5600907080000002"/>
    <n v="2.8940000000000001"/>
  </r>
  <r>
    <x v="20"/>
    <x v="4"/>
    <n v="10.627072761999999"/>
    <n v="1.4696313620000001"/>
    <n v="2.7810000000000001"/>
  </r>
  <r>
    <x v="20"/>
    <x v="6"/>
    <n v="29.747726201999999"/>
    <n v="3.3908332319999999"/>
    <n v="3.2429999999999999"/>
  </r>
  <r>
    <x v="20"/>
    <x v="5"/>
    <n v="43.853305083999999"/>
    <n v="5.6578469739999999"/>
    <n v="7.0220000000000002"/>
  </r>
  <r>
    <x v="21"/>
    <x v="3"/>
    <n v="26.489227054000001"/>
    <n v="3.7975082219999998"/>
    <n v="6.6909999999999998"/>
  </r>
  <r>
    <x v="21"/>
    <x v="4"/>
    <n v="8.1149781020000002"/>
    <n v="1.3469265319999999"/>
    <n v="3.056"/>
  </r>
  <r>
    <x v="21"/>
    <x v="2"/>
    <n v="1.818828452"/>
    <n v="0.21273025400000001"/>
    <n v="0.28199999999999997"/>
  </r>
  <r>
    <x v="21"/>
    <x v="0"/>
    <n v="22.651318222"/>
    <n v="2.7798525399999998"/>
    <n v="2.7949999999999999"/>
  </r>
  <r>
    <x v="21"/>
    <x v="5"/>
    <n v="46.915888375999998"/>
    <n v="5.9861602779999998"/>
    <n v="8.5229999999999997"/>
  </r>
  <r>
    <x v="21"/>
    <x v="1"/>
    <n v="22.376069967999999"/>
    <n v="2.8807992979999999"/>
    <n v="3.5470000000000002"/>
  </r>
  <r>
    <x v="21"/>
    <x v="6"/>
    <n v="30.906249922000001"/>
    <n v="3.8023076900000001"/>
    <n v="4.1779999999999999"/>
  </r>
  <r>
    <x v="22"/>
    <x v="3"/>
    <n v="24.947912903999999"/>
    <n v="3.662891482"/>
    <n v="6.4619999999999997"/>
  </r>
  <r>
    <x v="22"/>
    <x v="5"/>
    <n v="51.157722196000002"/>
    <n v="6.1931922200000002"/>
    <n v="8.9060000000000006"/>
  </r>
  <r>
    <x v="22"/>
    <x v="4"/>
    <n v="7.8231879119999999"/>
    <n v="1.237323392"/>
    <n v="2.7709999999999999"/>
  </r>
  <r>
    <x v="22"/>
    <x v="1"/>
    <n v="22.392240833999999"/>
    <n v="2.7764961399999999"/>
    <n v="3.5619999999999998"/>
  </r>
  <r>
    <x v="22"/>
    <x v="2"/>
    <n v="1.2494334300000001"/>
    <n v="0.106457992"/>
    <n v="0.152"/>
  </r>
  <r>
    <x v="22"/>
    <x v="6"/>
    <n v="30.420030017999999"/>
    <n v="3.8152498600000002"/>
    <n v="4.359"/>
  </r>
  <r>
    <x v="22"/>
    <x v="0"/>
    <n v="23.677427997999999"/>
    <n v="2.8825171140000001"/>
    <n v="3.0070000000000001"/>
  </r>
  <r>
    <x v="23"/>
    <x v="1"/>
    <n v="35.902957332"/>
    <n v="4.3392994319999998"/>
    <n v="4.6360000000000001"/>
  </r>
  <r>
    <x v="23"/>
    <x v="5"/>
    <n v="61.135817054"/>
    <n v="8.3838186260000001"/>
    <n v="11.044"/>
  </r>
  <r>
    <x v="23"/>
    <x v="3"/>
    <n v="31.946469"/>
    <n v="4.5129697379999998"/>
    <n v="7.1689999999999996"/>
  </r>
  <r>
    <x v="23"/>
    <x v="2"/>
    <n v="1.725463556"/>
    <n v="0.27247468800000002"/>
    <n v="0.41899999999999998"/>
  </r>
  <r>
    <x v="23"/>
    <x v="0"/>
    <n v="38.625485937999997"/>
    <n v="4.4472785100000003"/>
    <n v="3.8650000000000002"/>
  </r>
  <r>
    <x v="23"/>
    <x v="6"/>
    <n v="45.592071324000003"/>
    <n v="5.6516538479999996"/>
    <n v="5.6689999999999996"/>
  </r>
  <r>
    <x v="23"/>
    <x v="4"/>
    <n v="9.5780173600000005"/>
    <n v="1.4425926819999999"/>
    <n v="2.8149999999999999"/>
  </r>
  <r>
    <x v="24"/>
    <x v="1"/>
    <n v="35.245971886"/>
    <n v="4.09616954"/>
    <n v="4.1669999999999998"/>
  </r>
  <r>
    <x v="24"/>
    <x v="2"/>
    <n v="3.317612982"/>
    <n v="0.31303520200000001"/>
    <n v="0.33200000000000002"/>
  </r>
  <r>
    <x v="24"/>
    <x v="0"/>
    <n v="34.690098165999999"/>
    <n v="4.1279785699999998"/>
    <n v="3.3730000000000002"/>
  </r>
  <r>
    <x v="24"/>
    <x v="5"/>
    <n v="62.462669144000003"/>
    <n v="8.5440007300000005"/>
    <n v="10.618"/>
  </r>
  <r>
    <x v="24"/>
    <x v="3"/>
    <n v="28.393367502"/>
    <n v="4.31008046"/>
    <n v="6.7190000000000003"/>
  </r>
  <r>
    <x v="24"/>
    <x v="6"/>
    <n v="42.982691699999997"/>
    <n v="5.2919966599999997"/>
    <n v="5.0599999999999996"/>
  </r>
  <r>
    <x v="24"/>
    <x v="4"/>
    <n v="8.8995352620000006"/>
    <n v="1.3862104980000001"/>
    <n v="2.5659999999999998"/>
  </r>
  <r>
    <x v="25"/>
    <x v="1"/>
    <n v="27.105097078"/>
    <n v="3.2810853440000001"/>
    <n v="3.5880000000000001"/>
  </r>
  <r>
    <x v="25"/>
    <x v="2"/>
    <n v="4.2988803080000002"/>
    <n v="0.27331730799999998"/>
    <n v="0.24"/>
  </r>
  <r>
    <x v="25"/>
    <x v="3"/>
    <n v="22.787333950000001"/>
    <n v="3.16077268"/>
    <n v="5.3070000000000004"/>
  </r>
  <r>
    <x v="25"/>
    <x v="4"/>
    <n v="5.7776522979999996"/>
    <n v="0.89167312799999998"/>
    <n v="1.819"/>
  </r>
  <r>
    <x v="25"/>
    <x v="5"/>
    <n v="51.347513604"/>
    <n v="6.5285792420000002"/>
    <n v="8.76"/>
  </r>
  <r>
    <x v="25"/>
    <x v="0"/>
    <n v="29.069873026"/>
    <n v="3.4486121359999999"/>
    <n v="3.0019999999999998"/>
  </r>
  <r>
    <x v="25"/>
    <x v="6"/>
    <n v="36.474709246000003"/>
    <n v="4.2551919160000002"/>
    <n v="4.2519999999999998"/>
  </r>
  <r>
    <x v="26"/>
    <x v="0"/>
    <n v="50.402987596000003"/>
    <n v="5.7573349540000001"/>
    <n v="3.835"/>
  </r>
  <r>
    <x v="26"/>
    <x v="2"/>
    <n v="4.5233643560000001"/>
    <n v="0.57370150799999997"/>
    <n v="0.67"/>
  </r>
  <r>
    <x v="26"/>
    <x v="4"/>
    <n v="10.718705313999999"/>
    <n v="1.5084565599999999"/>
    <n v="2.488"/>
  </r>
  <r>
    <x v="26"/>
    <x v="1"/>
    <n v="45.834131159999998"/>
    <n v="5.0327267439999996"/>
    <n v="4.3810000000000002"/>
  </r>
  <r>
    <x v="26"/>
    <x v="5"/>
    <n v="82.071111188000003"/>
    <n v="9.8878350479999995"/>
    <n v="10.176"/>
  </r>
  <r>
    <x v="26"/>
    <x v="3"/>
    <n v="39.618246065999998"/>
    <n v="5.2506241820000001"/>
    <n v="6.7649999999999997"/>
  </r>
  <r>
    <x v="26"/>
    <x v="6"/>
    <n v="61.187153107999997"/>
    <n v="7.2322327939999997"/>
    <n v="5.5179999999999998"/>
  </r>
  <r>
    <x v="27"/>
    <x v="2"/>
    <n v="2.769109684"/>
    <n v="0.40167949600000002"/>
    <n v="0.48199999999999998"/>
  </r>
  <r>
    <x v="27"/>
    <x v="5"/>
    <n v="67.213342987999994"/>
    <n v="8.0378581239999995"/>
    <n v="9.0220000000000002"/>
  </r>
  <r>
    <x v="27"/>
    <x v="6"/>
    <n v="51.388139326000001"/>
    <n v="5.9062697139999996"/>
    <n v="4.7939999999999996"/>
  </r>
  <r>
    <x v="27"/>
    <x v="3"/>
    <n v="27.081406132000001"/>
    <n v="3.8064287819999998"/>
    <n v="5.58"/>
  </r>
  <r>
    <x v="27"/>
    <x v="0"/>
    <n v="38.636596466"/>
    <n v="4.4650007159999996"/>
    <n v="3.19"/>
  </r>
  <r>
    <x v="27"/>
    <x v="1"/>
    <n v="35.152955956"/>
    <n v="4.3102790119999996"/>
    <n v="3.996"/>
  </r>
  <r>
    <x v="27"/>
    <x v="4"/>
    <n v="7.0273277299999997"/>
    <n v="1.0016740900000001"/>
    <n v="1.83"/>
  </r>
  <r>
    <x v="28"/>
    <x v="3"/>
    <n v="30.509571426000001"/>
    <n v="4.1808858820000001"/>
    <n v="6.2439999999999998"/>
  </r>
  <r>
    <x v="28"/>
    <x v="1"/>
    <n v="27.971869934000001"/>
    <n v="3.5447909000000002"/>
    <n v="3.9980000000000002"/>
  </r>
  <r>
    <x v="28"/>
    <x v="5"/>
    <n v="59.526038370000002"/>
    <n v="7.7862335160000002"/>
    <n v="9.9809999999999999"/>
  </r>
  <r>
    <x v="28"/>
    <x v="6"/>
    <n v="45.537663178000003"/>
    <n v="5.2634775420000004"/>
    <n v="4.7670000000000003"/>
  </r>
  <r>
    <x v="28"/>
    <x v="0"/>
    <n v="32.186895409999998"/>
    <n v="4.038945826"/>
    <n v="3.371"/>
  </r>
  <r>
    <x v="28"/>
    <x v="4"/>
    <n v="8.4380898240000004"/>
    <n v="1.10275558"/>
    <n v="2.125"/>
  </r>
  <r>
    <x v="28"/>
    <x v="2"/>
    <n v="4.1132419819999999"/>
    <n v="0.61414902199999999"/>
    <n v="0.97399999999999998"/>
  </r>
  <r>
    <x v="29"/>
    <x v="6"/>
    <n v="46.431103630000003"/>
    <n v="5.2085681660000001"/>
    <n v="4.5069999999999997"/>
  </r>
  <r>
    <x v="29"/>
    <x v="4"/>
    <n v="7.8549740000000003"/>
    <n v="1.1363611140000001"/>
    <n v="2.048"/>
  </r>
  <r>
    <x v="29"/>
    <x v="0"/>
    <n v="28.644233268000001"/>
    <n v="3.9684614300000001"/>
    <n v="3.1629999999999998"/>
  </r>
  <r>
    <x v="29"/>
    <x v="1"/>
    <n v="28.152205076000001"/>
    <n v="3.61638189"/>
    <n v="3.8220000000000001"/>
  </r>
  <r>
    <x v="29"/>
    <x v="2"/>
    <n v="3.5566617979999999"/>
    <n v="0.40756553400000001"/>
    <n v="0.57799999999999996"/>
  </r>
  <r>
    <x v="29"/>
    <x v="3"/>
    <n v="29.446743263999998"/>
    <n v="4.3167335580000001"/>
    <n v="6.5469999999999997"/>
  </r>
  <r>
    <x v="29"/>
    <x v="5"/>
    <n v="60.252566913999999"/>
    <n v="8.0739376600000003"/>
    <n v="9.9420000000000002"/>
  </r>
  <r>
    <x v="30"/>
    <x v="0"/>
    <n v="9.9819233399999998"/>
    <n v="1.5751961619999999"/>
    <n v="1.3240000000000001"/>
  </r>
  <r>
    <x v="30"/>
    <x v="1"/>
    <n v="10.379760492000001"/>
    <n v="1.3209912319999999"/>
    <n v="1.5169999999999999"/>
  </r>
  <r>
    <x v="30"/>
    <x v="3"/>
    <n v="7.7997634839999996"/>
    <n v="1.136840106"/>
    <n v="2.1379999999999999"/>
  </r>
  <r>
    <x v="30"/>
    <x v="4"/>
    <n v="1.4156340780000001"/>
    <n v="0.23516925"/>
    <n v="0.59899999999999998"/>
  </r>
  <r>
    <x v="30"/>
    <x v="6"/>
    <n v="13.479990600000001"/>
    <n v="1.8186292420000001"/>
    <n v="1.968"/>
  </r>
  <r>
    <x v="30"/>
    <x v="5"/>
    <n v="16.020755694000002"/>
    <n v="2.3990578560000002"/>
    <n v="3.7189999999999999"/>
  </r>
  <r>
    <x v="30"/>
    <x v="2"/>
    <n v="7.9954923999999997E-2"/>
    <n v="1.217093E-2"/>
    <n v="2.3E-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d v="2023-12-01T00:00:00"/>
    <s v="viernes"/>
    <n v="53.956441062369997"/>
    <n v="65.65985538831535"/>
  </r>
  <r>
    <x v="0"/>
    <d v="2023-12-02T00:00:00"/>
    <s v="sábado"/>
    <n v="48.713464582109999"/>
    <n v="56.706238744454161"/>
  </r>
  <r>
    <x v="0"/>
    <d v="2023-12-03T00:00:00"/>
    <s v="domingo"/>
    <n v="34.437691954469997"/>
    <n v="42.703643680769197"/>
  </r>
  <r>
    <x v="0"/>
    <d v="2023-12-04T00:00:00"/>
    <s v="lunes"/>
    <n v="48.913102571099998"/>
    <n v="68.644394269602401"/>
  </r>
  <r>
    <x v="0"/>
    <d v="2023-12-05T00:00:00"/>
    <s v="martes"/>
    <n v="52.597714087679996"/>
    <n v="59.690777625741227"/>
  </r>
  <r>
    <x v="0"/>
    <d v="2023-12-06T00:00:00"/>
    <s v="miércoles"/>
    <n v="45.281947508599998"/>
    <n v="54.815065269807512"/>
  </r>
  <r>
    <x v="0"/>
    <d v="2023-12-07T00:00:00"/>
    <s v="jueves"/>
    <n v="47.564555321470003"/>
    <n v="54.286655123787"/>
  </r>
  <r>
    <x v="0"/>
    <d v="2023-12-08T00:00:00"/>
    <s v="viernes"/>
    <n v="40.127159651669999"/>
    <n v="53.484876846145767"/>
  </r>
  <r>
    <x v="1"/>
    <d v="2023-12-09T00:00:00"/>
    <s v="sábado"/>
    <n v="37.036543383489999"/>
    <n v="53.863196819627113"/>
  </r>
  <r>
    <x v="1"/>
    <d v="2023-12-10T00:00:00"/>
    <s v="domingo"/>
    <n v="32.069895092209997"/>
    <n v="43.27981296929363"/>
  </r>
  <r>
    <x v="1"/>
    <d v="2023-12-11T00:00:00"/>
    <s v="lunes"/>
    <n v="48.747849754400001"/>
    <n v="68.855622644136361"/>
  </r>
  <r>
    <x v="1"/>
    <d v="2023-12-12T00:00:00"/>
    <s v="martes"/>
    <n v="50.959395808750003"/>
    <n v="62.832065533721746"/>
  </r>
  <r>
    <x v="1"/>
    <d v="2023-12-13T00:00:00"/>
    <s v="miércoles"/>
    <n v="48.572001648730001"/>
    <n v="65.06294761205794"/>
  </r>
  <r>
    <x v="1"/>
    <d v="2023-12-14T00:00:00"/>
    <s v="jueves"/>
    <n v="51.145416128530002"/>
    <n v="64.46603983580053"/>
  </r>
  <r>
    <x v="1"/>
    <d v="2023-12-15T00:00:00"/>
    <s v="viernes"/>
    <n v="50.149945114040001"/>
    <n v="70.435117598374646"/>
  </r>
  <r>
    <x v="2"/>
    <d v="2023-12-16T00:00:00"/>
    <s v="sábado"/>
    <n v="41.306238744454163"/>
    <n v="56.706238744454161"/>
  </r>
  <r>
    <x v="2"/>
    <d v="2023-12-17T00:00:00"/>
    <s v="domingo"/>
    <n v="31.774011759937714"/>
    <n v="47.174011759937713"/>
  </r>
  <r>
    <x v="2"/>
    <d v="2023-12-18T00:00:00"/>
    <s v="lunes"/>
    <n v="54.055294324166134"/>
    <n v="69.455294324166132"/>
  </r>
  <r>
    <x v="2"/>
    <d v="2023-12-19T00:00:00"/>
    <s v="martes"/>
    <n v="53.841302045859813"/>
    <n v="69.241302045859811"/>
  </r>
  <r>
    <x v="2"/>
    <d v="2023-12-20T00:00:00"/>
    <s v="miércoles"/>
    <n v="54.438209822117237"/>
    <n v="69.838209822117236"/>
  </r>
  <r>
    <x v="2"/>
    <d v="2023-12-21T00:00:00"/>
    <s v="jueves"/>
    <n v="55.035117598374647"/>
    <n v="70.435117598374646"/>
  </r>
  <r>
    <x v="2"/>
    <d v="2023-12-22T00:00:00"/>
    <s v="viernes"/>
    <n v="59.913472032176529"/>
    <n v="74.613472032176531"/>
  </r>
  <r>
    <x v="2"/>
    <d v="2023-12-23T00:00:00"/>
    <s v="sábado"/>
    <n v="56.928933150889463"/>
    <n v="71.628933150889466"/>
  </r>
  <r>
    <x v="3"/>
    <d v="2023-12-24T00:00:00"/>
    <s v="domingo"/>
    <n v="36.037160981880035"/>
    <n v="50.737160981880038"/>
  </r>
  <r>
    <x v="3"/>
    <d v="2023-12-25T00:00:00"/>
    <s v="lunes"/>
    <n v="16.907233287722367"/>
    <n v="17.907233287722367"/>
  </r>
  <r>
    <x v="3"/>
    <d v="2023-12-26T00:00:00"/>
    <s v="martes"/>
    <n v="46.878408730770872"/>
    <n v="62.078408730770875"/>
  </r>
  <r>
    <x v="3"/>
    <d v="2023-12-27T00:00:00"/>
    <s v="miércoles"/>
    <n v="47.475316507028296"/>
    <n v="62.675316507028292"/>
  </r>
  <r>
    <x v="3"/>
    <d v="2023-12-28T00:00:00"/>
    <s v="jueves"/>
    <n v="50.247963769329417"/>
    <n v="65.447963769329419"/>
  </r>
  <r>
    <x v="3"/>
    <d v="2023-12-29T00:00:00"/>
    <s v="viernes"/>
    <n v="53.444394269602398"/>
    <n v="68.644394269602401"/>
  </r>
  <r>
    <x v="3"/>
    <d v="2023-12-30T00:00:00"/>
    <s v="sábado"/>
    <n v="56.428933150889463"/>
    <n v="71.628933150889466"/>
  </r>
  <r>
    <x v="3"/>
    <d v="2023-12-31T00:00:00"/>
    <s v="domingo"/>
    <n v="38.721699863167103"/>
    <n v="53.72169986316710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4">
  <r>
    <x v="0"/>
    <x v="0"/>
    <n v="5.5413525039999998"/>
    <n v="0.65687864399999996"/>
    <n v="0.997"/>
  </r>
  <r>
    <x v="0"/>
    <x v="1"/>
    <n v="16.959444697999999"/>
    <n v="2.210455236"/>
    <n v="4.2869999999999999"/>
  </r>
  <r>
    <x v="0"/>
    <x v="2"/>
    <n v="39.166752506000002"/>
    <n v="4.5194895700000002"/>
    <n v="5.1779999999999999"/>
  </r>
  <r>
    <x v="0"/>
    <x v="3"/>
    <n v="52.690140528000001"/>
    <n v="6.7478142239999999"/>
    <n v="10.180999999999999"/>
  </r>
  <r>
    <x v="0"/>
    <x v="4"/>
    <n v="37.667182615999998"/>
    <n v="4.4661819019999998"/>
    <n v="5.93"/>
  </r>
  <r>
    <x v="0"/>
    <x v="5"/>
    <n v="15.428182718"/>
    <n v="1.945962172"/>
    <n v="1.9950000000000001"/>
  </r>
  <r>
    <x v="0"/>
    <x v="6"/>
    <n v="43.392493399999999"/>
    <n v="5.6970881120000003"/>
    <n v="9.8490000000000002"/>
  </r>
  <r>
    <x v="1"/>
    <x v="3"/>
    <n v="50.115285878000002"/>
    <n v="5.9485314699999998"/>
    <n v="9.0920000000000005"/>
  </r>
  <r>
    <x v="1"/>
    <x v="6"/>
    <n v="42.473383964"/>
    <n v="5.0282636439999999"/>
    <n v="8.6180000000000003"/>
  </r>
  <r>
    <x v="1"/>
    <x v="1"/>
    <n v="12.635148618000001"/>
    <n v="1.8379236219999999"/>
    <n v="4.0629999999999997"/>
  </r>
  <r>
    <x v="1"/>
    <x v="4"/>
    <n v="40.125650569999998"/>
    <n v="4.2543398779999997"/>
    <n v="5.4269999999999996"/>
  </r>
  <r>
    <x v="1"/>
    <x v="0"/>
    <n v="5.01866608"/>
    <n v="0.59713515399999995"/>
    <n v="0.88700000000000001"/>
  </r>
  <r>
    <x v="1"/>
    <x v="2"/>
    <n v="34.510822842000003"/>
    <n v="4.1098019800000003"/>
    <n v="4.6710000000000003"/>
  </r>
  <r>
    <x v="1"/>
    <x v="5"/>
    <n v="13.515841160000001"/>
    <n v="1.681257658"/>
    <n v="1.8859999999999999"/>
  </r>
  <r>
    <x v="2"/>
    <x v="5"/>
    <n v="11.233506390000001"/>
    <n v="1.5317400800000001"/>
    <n v="1.7410000000000001"/>
  </r>
  <r>
    <x v="2"/>
    <x v="1"/>
    <n v="13.099975713999999"/>
    <n v="1.8437988059999999"/>
    <n v="4.0220000000000002"/>
  </r>
  <r>
    <x v="2"/>
    <x v="4"/>
    <n v="33.760614136000001"/>
    <n v="3.9203164620000002"/>
    <n v="5.0880000000000001"/>
  </r>
  <r>
    <x v="2"/>
    <x v="0"/>
    <n v="8.5990665899999996"/>
    <n v="0.87595294000000001"/>
    <n v="1.377"/>
  </r>
  <r>
    <x v="2"/>
    <x v="2"/>
    <n v="34.128197759999999"/>
    <n v="4.0430520899999998"/>
    <n v="4.46"/>
  </r>
  <r>
    <x v="2"/>
    <x v="3"/>
    <n v="53.680144196000001"/>
    <n v="6.5271495340000003"/>
    <n v="9.3569999999999993"/>
  </r>
  <r>
    <x v="2"/>
    <x v="6"/>
    <n v="43.759834779999998"/>
    <n v="5.3643189939999996"/>
    <n v="8.91"/>
  </r>
  <r>
    <x v="3"/>
    <x v="2"/>
    <n v="40.118263784"/>
    <n v="4.6788384939999998"/>
    <n v="5.5869999999999997"/>
  </r>
  <r>
    <x v="3"/>
    <x v="6"/>
    <n v="43.584674477999997"/>
    <n v="5.9614511959999996"/>
    <n v="10.532"/>
  </r>
  <r>
    <x v="3"/>
    <x v="1"/>
    <n v="15.895282492"/>
    <n v="2.2357748260000001"/>
    <n v="5.0999999999999996"/>
  </r>
  <r>
    <x v="3"/>
    <x v="5"/>
    <n v="14.672338935999999"/>
    <n v="1.8584337639999999"/>
    <n v="2.0670000000000002"/>
  </r>
  <r>
    <x v="3"/>
    <x v="3"/>
    <n v="57.762378402000003"/>
    <n v="7.0814172739999997"/>
    <n v="10.073"/>
  </r>
  <r>
    <x v="3"/>
    <x v="0"/>
    <n v="6.2312950880000004"/>
    <n v="0.82025553600000001"/>
    <n v="1.4870000000000001"/>
  </r>
  <r>
    <x v="3"/>
    <x v="4"/>
    <n v="41.533511910000001"/>
    <n v="5.0253741859999996"/>
    <n v="6.2830000000000004"/>
  </r>
  <r>
    <x v="4"/>
    <x v="2"/>
    <n v="42.627247879999999"/>
    <n v="5.5396129360000002"/>
    <n v="6.7880000000000003"/>
  </r>
  <r>
    <x v="4"/>
    <x v="5"/>
    <n v="13.478114022"/>
    <n v="2.1130174359999998"/>
    <n v="2.5489999999999999"/>
  </r>
  <r>
    <x v="4"/>
    <x v="6"/>
    <n v="56.734038335999998"/>
    <n v="7.3704177480000004"/>
    <n v="12.25"/>
  </r>
  <r>
    <x v="4"/>
    <x v="4"/>
    <n v="47.132402524"/>
    <n v="5.940499354"/>
    <n v="7.5830000000000002"/>
  </r>
  <r>
    <x v="4"/>
    <x v="3"/>
    <n v="68.982110320000004"/>
    <n v="8.7605619180000005"/>
    <n v="12.189"/>
  </r>
  <r>
    <x v="4"/>
    <x v="0"/>
    <n v="6.7161155739999998"/>
    <n v="0.81740299800000005"/>
    <n v="1.36"/>
  </r>
  <r>
    <x v="4"/>
    <x v="1"/>
    <n v="19.228485750000001"/>
    <n v="2.8809300859999998"/>
    <n v="6.2910000000000004"/>
  </r>
  <r>
    <x v="5"/>
    <x v="3"/>
    <n v="67.347100979999993"/>
    <n v="8.5110245100000004"/>
    <n v="11.794"/>
  </r>
  <r>
    <x v="5"/>
    <x v="2"/>
    <n v="45.368860927999997"/>
    <n v="5.56877537"/>
    <n v="6.6710000000000003"/>
  </r>
  <r>
    <x v="5"/>
    <x v="4"/>
    <n v="52.550501509999997"/>
    <n v="5.9888950159999998"/>
    <n v="7.32"/>
  </r>
  <r>
    <x v="5"/>
    <x v="0"/>
    <n v="5.3759869819999997"/>
    <n v="0.68455706599999999"/>
    <n v="1.173"/>
  </r>
  <r>
    <x v="5"/>
    <x v="1"/>
    <n v="17.792229758000001"/>
    <n v="2.8452514519999998"/>
    <n v="6.6390000000000002"/>
  </r>
  <r>
    <x v="5"/>
    <x v="6"/>
    <n v="54.461684114000001"/>
    <n v="7.1155313260000002"/>
    <n v="12.101000000000001"/>
  </r>
  <r>
    <x v="5"/>
    <x v="5"/>
    <n v="15.640880948"/>
    <n v="2.0330010860000001"/>
    <n v="2.4449999999999998"/>
  </r>
  <r>
    <x v="6"/>
    <x v="5"/>
    <n v="17.069510013999999"/>
    <n v="2.33144646"/>
    <n v="2.464"/>
  </r>
  <r>
    <x v="6"/>
    <x v="6"/>
    <n v="55.954616512000001"/>
    <n v="7.6676412359999997"/>
    <n v="12.186999999999999"/>
  </r>
  <r>
    <x v="6"/>
    <x v="1"/>
    <n v="21.661740120000001"/>
    <n v="3.2431125679999999"/>
    <n v="7.2130000000000001"/>
  </r>
  <r>
    <x v="6"/>
    <x v="3"/>
    <n v="80.396117454000006"/>
    <n v="9.7865885559999999"/>
    <n v="11.807"/>
  </r>
  <r>
    <x v="6"/>
    <x v="0"/>
    <n v="6.4753174060000003"/>
    <n v="0.76815013600000004"/>
    <n v="1.244"/>
  </r>
  <r>
    <x v="6"/>
    <x v="4"/>
    <n v="58.069915659999999"/>
    <n v="6.6574584220000004"/>
    <n v="7.2119999999999997"/>
  </r>
  <r>
    <x v="6"/>
    <x v="2"/>
    <n v="48.893738759999998"/>
    <n v="6.1383243800000002"/>
    <n v="6.407"/>
  </r>
  <r>
    <x v="7"/>
    <x v="3"/>
    <n v="93.621682981999996"/>
    <n v="11.392598308"/>
    <n v="13.179"/>
  </r>
  <r>
    <x v="7"/>
    <x v="0"/>
    <n v="5.670516696"/>
    <n v="0.78167476999999996"/>
    <n v="1.3140000000000001"/>
  </r>
  <r>
    <x v="7"/>
    <x v="4"/>
    <n v="68.920700486000001"/>
    <n v="7.8805537399999999"/>
    <n v="8.359"/>
  </r>
  <r>
    <x v="7"/>
    <x v="1"/>
    <n v="24.10729847"/>
    <n v="3.632187284"/>
    <n v="7.7510000000000003"/>
  </r>
  <r>
    <x v="7"/>
    <x v="2"/>
    <n v="79.655446815999994"/>
    <n v="8.4982463320000008"/>
    <n v="7.806"/>
  </r>
  <r>
    <x v="7"/>
    <x v="6"/>
    <n v="65.395618217999996"/>
    <n v="8.5435006579999992"/>
    <n v="13.425000000000001"/>
  </r>
  <r>
    <x v="7"/>
    <x v="5"/>
    <n v="25.510959324000002"/>
    <n v="3.3009622140000001"/>
    <n v="3.1429999999999998"/>
  </r>
  <r>
    <x v="8"/>
    <x v="2"/>
    <n v="64.435576080000004"/>
    <n v="7.3714104440000003"/>
    <n v="7.5979999999999999"/>
  </r>
  <r>
    <x v="8"/>
    <x v="3"/>
    <n v="80.704376858000003"/>
    <n v="9.9722925940000007"/>
    <n v="13.067"/>
  </r>
  <r>
    <x v="8"/>
    <x v="1"/>
    <n v="20.829663707999998"/>
    <n v="3.2250517439999999"/>
    <n v="7.9370000000000003"/>
  </r>
  <r>
    <x v="8"/>
    <x v="0"/>
    <n v="6.6517563940000004"/>
    <n v="0.71853679199999998"/>
    <n v="1.161"/>
  </r>
  <r>
    <x v="8"/>
    <x v="6"/>
    <n v="62.630505348"/>
    <n v="8.0890578259999995"/>
    <n v="13.423999999999999"/>
  </r>
  <r>
    <x v="8"/>
    <x v="4"/>
    <n v="58.511819334000002"/>
    <n v="6.8744065660000002"/>
    <n v="8.0649999999999995"/>
  </r>
  <r>
    <x v="8"/>
    <x v="5"/>
    <n v="28.219403639999999"/>
    <n v="3.4070616299999998"/>
    <n v="3.2029999999999998"/>
  </r>
  <r>
    <x v="9"/>
    <x v="5"/>
    <n v="28.085815967999999"/>
    <n v="3.5655344040000001"/>
    <n v="3.403"/>
  </r>
  <r>
    <x v="9"/>
    <x v="6"/>
    <n v="62.005387763999998"/>
    <n v="8.1341085720000006"/>
    <n v="13.21"/>
  </r>
  <r>
    <x v="9"/>
    <x v="0"/>
    <n v="5.780725908"/>
    <n v="0.63095057799999998"/>
    <n v="0.997"/>
  </r>
  <r>
    <x v="9"/>
    <x v="3"/>
    <n v="84.190153054000007"/>
    <n v="10.071767718"/>
    <n v="13.577999999999999"/>
  </r>
  <r>
    <x v="9"/>
    <x v="2"/>
    <n v="68.036496700000001"/>
    <n v="7.7522469999999997"/>
    <n v="8.0269999999999992"/>
  </r>
  <r>
    <x v="9"/>
    <x v="4"/>
    <n v="59.253147130000002"/>
    <n v="7.1819072500000001"/>
    <n v="8.2129999999999992"/>
  </r>
  <r>
    <x v="9"/>
    <x v="1"/>
    <n v="21.008071487999999"/>
    <n v="3.3048634899999998"/>
    <n v="7.8840000000000003"/>
  </r>
  <r>
    <x v="10"/>
    <x v="3"/>
    <n v="83.338636121999997"/>
    <n v="10.524938526"/>
    <n v="13.891999999999999"/>
  </r>
  <r>
    <x v="10"/>
    <x v="6"/>
    <n v="57.780499784"/>
    <n v="7.8044177680000004"/>
    <n v="12.858000000000001"/>
  </r>
  <r>
    <x v="10"/>
    <x v="2"/>
    <n v="68.767359257999999"/>
    <n v="8.0892884380000005"/>
    <n v="8.0839999999999996"/>
  </r>
  <r>
    <x v="10"/>
    <x v="0"/>
    <n v="4.6147440599999996"/>
    <n v="0.52431846999999998"/>
    <n v="0.82799999999999996"/>
  </r>
  <r>
    <x v="10"/>
    <x v="4"/>
    <n v="59.680293327999998"/>
    <n v="7.3913407319999997"/>
    <n v="8.2390000000000008"/>
  </r>
  <r>
    <x v="10"/>
    <x v="1"/>
    <n v="17.520709294"/>
    <n v="2.8940527660000002"/>
    <n v="7.2919999999999998"/>
  </r>
  <r>
    <x v="10"/>
    <x v="5"/>
    <n v="26.722373785999999"/>
    <n v="3.5726073399999998"/>
    <n v="3.3260000000000001"/>
  </r>
  <r>
    <x v="11"/>
    <x v="0"/>
    <n v="4.732638498"/>
    <n v="0.58008602799999998"/>
    <n v="0.84799999999999998"/>
  </r>
  <r>
    <x v="11"/>
    <x v="6"/>
    <n v="66.202352423999997"/>
    <n v="8.866645536"/>
    <n v="13.526999999999999"/>
  </r>
  <r>
    <x v="11"/>
    <x v="3"/>
    <n v="91.685280610000007"/>
    <n v="11.869540110000001"/>
    <n v="14.516999999999999"/>
  </r>
  <r>
    <x v="11"/>
    <x v="5"/>
    <n v="30.443855030000002"/>
    <n v="3.6948533440000002"/>
    <n v="3.3679999999999999"/>
  </r>
  <r>
    <x v="11"/>
    <x v="4"/>
    <n v="74.801007838000004"/>
    <n v="8.4609953460000007"/>
    <n v="8.7059999999999995"/>
  </r>
  <r>
    <x v="11"/>
    <x v="1"/>
    <n v="21.271554475999999"/>
    <n v="3.2498565180000001"/>
    <n v="7.2910000000000004"/>
  </r>
  <r>
    <x v="11"/>
    <x v="2"/>
    <n v="67.052306790000003"/>
    <n v="8.2625955560000008"/>
    <n v="8.1240000000000006"/>
  </r>
  <r>
    <x v="12"/>
    <x v="6"/>
    <n v="59.860462202000001"/>
    <n v="8.1720459539999997"/>
    <n v="13.478999999999999"/>
  </r>
  <r>
    <x v="12"/>
    <x v="2"/>
    <n v="72.586090236000004"/>
    <n v="8.6780321919999999"/>
    <n v="8.6660000000000004"/>
  </r>
  <r>
    <x v="12"/>
    <x v="1"/>
    <n v="18.073917626"/>
    <n v="2.7727001320000002"/>
    <n v="6.3689999999999998"/>
  </r>
  <r>
    <x v="12"/>
    <x v="3"/>
    <n v="92.488777795999994"/>
    <n v="11.646319258"/>
    <n v="15.06"/>
  </r>
  <r>
    <x v="12"/>
    <x v="0"/>
    <n v="6.9995556859999999"/>
    <n v="0.60121962399999995"/>
    <n v="0.73499999999999999"/>
  </r>
  <r>
    <x v="12"/>
    <x v="4"/>
    <n v="73.076401934000003"/>
    <n v="8.1725696600000006"/>
    <n v="8.9550000000000001"/>
  </r>
  <r>
    <x v="12"/>
    <x v="5"/>
    <n v="27.398611052"/>
    <n v="3.6606676139999998"/>
    <n v="3.427"/>
  </r>
  <r>
    <x v="13"/>
    <x v="5"/>
    <n v="28.79683211"/>
    <n v="3.7308048500000002"/>
    <n v="3.5230000000000001"/>
  </r>
  <r>
    <x v="13"/>
    <x v="6"/>
    <n v="55.536343506000001"/>
    <n v="7.4730836539999999"/>
    <n v="12.53"/>
  </r>
  <r>
    <x v="13"/>
    <x v="4"/>
    <n v="64.338579543999998"/>
    <n v="7.553483978"/>
    <n v="8.6129999999999995"/>
  </r>
  <r>
    <x v="13"/>
    <x v="1"/>
    <n v="15.809922887999999"/>
    <n v="2.3826912280000001"/>
    <n v="5.7469999999999999"/>
  </r>
  <r>
    <x v="13"/>
    <x v="3"/>
    <n v="80.596101320000002"/>
    <n v="10.418258986"/>
    <n v="14.15"/>
  </r>
  <r>
    <x v="13"/>
    <x v="2"/>
    <n v="72.466486962000005"/>
    <n v="8.1051504820000009"/>
    <n v="8.2330000000000005"/>
  </r>
  <r>
    <x v="13"/>
    <x v="0"/>
    <n v="4.4290005780000001"/>
    <n v="0.44290980000000002"/>
    <n v="0.56000000000000005"/>
  </r>
  <r>
    <x v="14"/>
    <x v="4"/>
    <n v="59.986392909999999"/>
    <n v="7.2381467239999999"/>
    <n v="8.2129999999999992"/>
  </r>
  <r>
    <x v="14"/>
    <x v="1"/>
    <n v="12.631173228"/>
    <n v="1.9418115220000001"/>
    <n v="4.9050000000000002"/>
  </r>
  <r>
    <x v="14"/>
    <x v="5"/>
    <n v="26.596044708000001"/>
    <n v="3.28256265"/>
    <n v="3.2170000000000001"/>
  </r>
  <r>
    <x v="14"/>
    <x v="6"/>
    <n v="52.629059890000001"/>
    <n v="6.8075268539999998"/>
    <n v="11.67"/>
  </r>
  <r>
    <x v="14"/>
    <x v="0"/>
    <n v="3.1246940780000001"/>
    <n v="0.384206824"/>
    <n v="0.49099999999999999"/>
  </r>
  <r>
    <x v="14"/>
    <x v="3"/>
    <n v="73.065519047999999"/>
    <n v="9.4231772219999996"/>
    <n v="13.481999999999999"/>
  </r>
  <r>
    <x v="14"/>
    <x v="2"/>
    <n v="64.982321092000007"/>
    <n v="7.5437583699999999"/>
    <n v="7.7649999999999997"/>
  </r>
  <r>
    <x v="15"/>
    <x v="3"/>
    <n v="26.594359214000001"/>
    <n v="3.3604962920000001"/>
    <n v="6.7880000000000003"/>
  </r>
  <r>
    <x v="15"/>
    <x v="2"/>
    <n v="18.748341155999999"/>
    <n v="2.1176354380000002"/>
    <n v="3.145"/>
  </r>
  <r>
    <x v="15"/>
    <x v="0"/>
    <n v="4.8890969999999999E-2"/>
    <n v="6.6727499999999999E-3"/>
    <n v="6.0000000000000001E-3"/>
  </r>
  <r>
    <x v="15"/>
    <x v="1"/>
    <n v="7.5332028439999998"/>
    <n v="1.1117995039999999"/>
    <n v="3.1549999999999998"/>
  </r>
  <r>
    <x v="15"/>
    <x v="6"/>
    <n v="18.455593409999999"/>
    <n v="2.6330058799999998"/>
    <n v="6.1920000000000002"/>
  </r>
  <r>
    <x v="15"/>
    <x v="4"/>
    <n v="14.681810936"/>
    <n v="1.9685872579999999"/>
    <n v="3.629"/>
  </r>
  <r>
    <x v="15"/>
    <x v="5"/>
    <n v="8.6260506299999999"/>
    <n v="0.91098732800000004"/>
    <n v="1.2290000000000001"/>
  </r>
  <r>
    <x v="16"/>
    <x v="2"/>
    <n v="26.918940855999999"/>
    <n v="2.825563024"/>
    <n v="3.26"/>
  </r>
  <r>
    <x v="16"/>
    <x v="0"/>
    <n v="0.25542506999999998"/>
    <n v="2.6426519999999998E-2"/>
    <n v="0.03"/>
  </r>
  <r>
    <x v="16"/>
    <x v="1"/>
    <n v="12.916740752000001"/>
    <n v="1.832604696"/>
    <n v="4.3090000000000002"/>
  </r>
  <r>
    <x v="16"/>
    <x v="4"/>
    <n v="20.739452918000001"/>
    <n v="2.5194437079999998"/>
    <n v="3.633"/>
  </r>
  <r>
    <x v="16"/>
    <x v="6"/>
    <n v="35.236680532000001"/>
    <n v="4.622206448"/>
    <n v="8.3130000000000006"/>
  </r>
  <r>
    <x v="16"/>
    <x v="5"/>
    <n v="9.7272318799999997"/>
    <n v="1.2609447920000001"/>
    <n v="1.482"/>
  </r>
  <r>
    <x v="16"/>
    <x v="3"/>
    <n v="33.265945377999998"/>
    <n v="4.3391942999999999"/>
    <n v="6.9340000000000002"/>
  </r>
  <r>
    <x v="17"/>
    <x v="5"/>
    <n v="13.560495683999999"/>
    <n v="1.5801275859999999"/>
    <n v="1.7050000000000001"/>
  </r>
  <r>
    <x v="17"/>
    <x v="0"/>
    <n v="0.45991183000000002"/>
    <n v="5.6301440000000001E-2"/>
    <n v="6.4000000000000001E-2"/>
  </r>
  <r>
    <x v="17"/>
    <x v="6"/>
    <n v="33.497833342"/>
    <n v="4.0454050119999998"/>
    <n v="7.1029999999999998"/>
  </r>
  <r>
    <x v="17"/>
    <x v="3"/>
    <n v="37.099435792000001"/>
    <n v="4.6357296100000003"/>
    <n v="6.7350000000000003"/>
  </r>
  <r>
    <x v="17"/>
    <x v="2"/>
    <n v="29.304493382"/>
    <n v="3.4014778560000001"/>
    <n v="3.8809999999999998"/>
  </r>
  <r>
    <x v="17"/>
    <x v="4"/>
    <n v="22.463332099999999"/>
    <n v="2.8570537759999999"/>
    <n v="3.9009999999999998"/>
  </r>
  <r>
    <x v="17"/>
    <x v="1"/>
    <n v="11.237343431999999"/>
    <n v="1.499594978"/>
    <n v="3.4590000000000001"/>
  </r>
  <r>
    <x v="18"/>
    <x v="5"/>
    <n v="23.959491942"/>
    <n v="2.7704874259999999"/>
    <n v="2.452"/>
  </r>
  <r>
    <x v="18"/>
    <x v="1"/>
    <n v="9.2498281959999993"/>
    <n v="1.2415742860000001"/>
    <n v="2.6640000000000001"/>
  </r>
  <r>
    <x v="18"/>
    <x v="0"/>
    <n v="0.83212853799999997"/>
    <n v="9.9765114000000002E-2"/>
    <n v="9.7000000000000003E-2"/>
  </r>
  <r>
    <x v="18"/>
    <x v="3"/>
    <n v="39.250395324000003"/>
    <n v="5.3305141000000003"/>
    <n v="7.5119999999999996"/>
  </r>
  <r>
    <x v="18"/>
    <x v="4"/>
    <n v="38.905018517999999"/>
    <n v="4.2920368240000002"/>
    <n v="4.95"/>
  </r>
  <r>
    <x v="18"/>
    <x v="6"/>
    <n v="25.967741568000001"/>
    <n v="3.5694550039999999"/>
    <n v="6.2569999999999997"/>
  </r>
  <r>
    <x v="18"/>
    <x v="2"/>
    <n v="42.601661544000002"/>
    <n v="4.8461474019999997"/>
    <n v="4.9790000000000001"/>
  </r>
  <r>
    <x v="19"/>
    <x v="0"/>
    <n v="0.35031617999999998"/>
    <n v="3.3688650000000001E-2"/>
    <n v="2.9000000000000001E-2"/>
  </r>
  <r>
    <x v="19"/>
    <x v="4"/>
    <n v="22.459308753999998"/>
    <n v="2.516216644"/>
    <n v="3.3879999999999999"/>
  </r>
  <r>
    <x v="19"/>
    <x v="5"/>
    <n v="11.390441883999999"/>
    <n v="1.544739198"/>
    <n v="1.597"/>
  </r>
  <r>
    <x v="19"/>
    <x v="1"/>
    <n v="2.8593076860000002"/>
    <n v="0.44613911000000001"/>
    <n v="1.1220000000000001"/>
  </r>
  <r>
    <x v="19"/>
    <x v="3"/>
    <n v="26.055011575999998"/>
    <n v="3.2418546140000002"/>
    <n v="5.1189999999999998"/>
  </r>
  <r>
    <x v="19"/>
    <x v="6"/>
    <n v="14.694553552"/>
    <n v="1.9650518640000001"/>
    <n v="3.863"/>
  </r>
  <r>
    <x v="19"/>
    <x v="2"/>
    <n v="27.165979858"/>
    <n v="3.1340151440000001"/>
    <n v="3.4390000000000001"/>
  </r>
  <r>
    <x v="20"/>
    <x v="4"/>
    <n v="16.342059402"/>
    <n v="2.1024051039999998"/>
    <n v="2.8940000000000001"/>
  </r>
  <r>
    <x v="20"/>
    <x v="2"/>
    <n v="24.783617425999999"/>
    <n v="2.8057827139999998"/>
    <n v="3.2429999999999999"/>
  </r>
  <r>
    <x v="20"/>
    <x v="0"/>
    <n v="1.371104238"/>
    <n v="0.18607918600000001"/>
    <n v="0.16900000000000001"/>
  </r>
  <r>
    <x v="20"/>
    <x v="5"/>
    <n v="16.370407132"/>
    <n v="1.9881649379999999"/>
    <n v="2.157"/>
  </r>
  <r>
    <x v="20"/>
    <x v="3"/>
    <n v="35.278145098000003"/>
    <n v="4.6128473159999999"/>
    <n v="7.0220000000000002"/>
  </r>
  <r>
    <x v="20"/>
    <x v="1"/>
    <n v="8.7201769440000003"/>
    <n v="1.235124178"/>
    <n v="2.7810000000000001"/>
  </r>
  <r>
    <x v="20"/>
    <x v="6"/>
    <n v="22.959653432"/>
    <n v="3.100499772"/>
    <n v="5.7309999999999999"/>
  </r>
  <r>
    <x v="21"/>
    <x v="0"/>
    <n v="1.779924606"/>
    <n v="0.20394826999999999"/>
    <n v="0.28199999999999997"/>
  </r>
  <r>
    <x v="21"/>
    <x v="3"/>
    <n v="43.966289109999998"/>
    <n v="5.7024946740000004"/>
    <n v="8.5229999999999997"/>
  </r>
  <r>
    <x v="21"/>
    <x v="1"/>
    <n v="7.8372648920000003"/>
    <n v="1.29705344"/>
    <n v="3.056"/>
  </r>
  <r>
    <x v="21"/>
    <x v="6"/>
    <n v="25.135834303999999"/>
    <n v="3.6202708299999999"/>
    <n v="6.6909999999999998"/>
  </r>
  <r>
    <x v="21"/>
    <x v="5"/>
    <n v="21.644605356"/>
    <n v="2.6336275179999999"/>
    <n v="2.7949999999999999"/>
  </r>
  <r>
    <x v="21"/>
    <x v="4"/>
    <n v="21.115838117999999"/>
    <n v="2.73453335"/>
    <n v="3.5470000000000002"/>
  </r>
  <r>
    <x v="21"/>
    <x v="2"/>
    <n v="29.466037537999998"/>
    <n v="3.6247993059999999"/>
    <n v="4.1779999999999999"/>
  </r>
  <r>
    <x v="22"/>
    <x v="2"/>
    <n v="29.391620256"/>
    <n v="3.7370642460000001"/>
    <n v="4.359"/>
  </r>
  <r>
    <x v="22"/>
    <x v="3"/>
    <n v="49.755662934"/>
    <n v="6.0960549000000004"/>
    <n v="8.9060000000000006"/>
  </r>
  <r>
    <x v="22"/>
    <x v="6"/>
    <n v="24.497819276000001"/>
    <n v="3.6098324320000001"/>
    <n v="6.4619999999999997"/>
  </r>
  <r>
    <x v="22"/>
    <x v="0"/>
    <n v="1.2359232659999999"/>
    <n v="0.10506554799999999"/>
    <n v="0.152"/>
  </r>
  <r>
    <x v="22"/>
    <x v="5"/>
    <n v="23.214503703999998"/>
    <n v="2.8342777479999999"/>
    <n v="3.0070000000000001"/>
  </r>
  <r>
    <x v="22"/>
    <x v="4"/>
    <n v="21.867734970000001"/>
    <n v="2.727274548"/>
    <n v="3.5619999999999998"/>
  </r>
  <r>
    <x v="22"/>
    <x v="1"/>
    <n v="7.5796043519999996"/>
    <n v="1.217557832"/>
    <n v="2.7709999999999999"/>
  </r>
  <r>
    <x v="23"/>
    <x v="0"/>
    <n v="1.710705548"/>
    <n v="0.27071298399999999"/>
    <n v="0.41899999999999998"/>
  </r>
  <r>
    <x v="23"/>
    <x v="6"/>
    <n v="31.470254954000001"/>
    <n v="4.4511524280000003"/>
    <n v="7.1689999999999996"/>
  </r>
  <r>
    <x v="23"/>
    <x v="4"/>
    <n v="35.173176980000001"/>
    <n v="4.2549592340000002"/>
    <n v="4.6360000000000001"/>
  </r>
  <r>
    <x v="23"/>
    <x v="5"/>
    <n v="37.775977122"/>
    <n v="4.3542018520000001"/>
    <n v="3.8650000000000002"/>
  </r>
  <r>
    <x v="23"/>
    <x v="3"/>
    <n v="59.785201892000003"/>
    <n v="8.2287118620000008"/>
    <n v="11.044"/>
  </r>
  <r>
    <x v="23"/>
    <x v="1"/>
    <n v="9.2966521100000001"/>
    <n v="1.40874079"/>
    <n v="2.8149999999999999"/>
  </r>
  <r>
    <x v="23"/>
    <x v="2"/>
    <n v="44.781324382000001"/>
    <n v="5.5675437280000004"/>
    <n v="5.6689999999999996"/>
  </r>
  <r>
    <x v="24"/>
    <x v="4"/>
    <n v="27.43176201"/>
    <n v="3.3928024159999999"/>
    <n v="4.2160000000000002"/>
  </r>
  <r>
    <x v="24"/>
    <x v="6"/>
    <n v="24.750937537999999"/>
    <n v="3.546367424"/>
    <n v="6.343"/>
  </r>
  <r>
    <x v="24"/>
    <x v="3"/>
    <n v="48.085572824000003"/>
    <n v="6.6320570779999999"/>
    <n v="9.8390000000000004"/>
  </r>
  <r>
    <x v="24"/>
    <x v="0"/>
    <n v="8.306556552"/>
    <n v="0.88138002599999998"/>
    <n v="1.2370000000000001"/>
  </r>
  <r>
    <x v="24"/>
    <x v="2"/>
    <n v="39.865542769999998"/>
    <n v="4.7251613399999997"/>
    <n v="5.1420000000000003"/>
  </r>
  <r>
    <x v="24"/>
    <x v="1"/>
    <n v="6.9521769200000003"/>
    <n v="1.1031433239999999"/>
    <n v="2.4780000000000002"/>
  </r>
  <r>
    <x v="24"/>
    <x v="5"/>
    <n v="30.957940495999999"/>
    <n v="3.7465435039999999"/>
    <n v="3.58"/>
  </r>
  <r>
    <x v="25"/>
    <x v="2"/>
    <n v="32.645025466"/>
    <n v="3.8318011599999999"/>
    <n v="4.0279999999999996"/>
  </r>
  <r>
    <x v="25"/>
    <x v="0"/>
    <n v="3.64891466"/>
    <n v="0.23078648600000001"/>
    <n v="0.23300000000000001"/>
  </r>
  <r>
    <x v="25"/>
    <x v="6"/>
    <n v="23.361296807999999"/>
    <n v="3.301396204"/>
    <n v="5.6319999999999997"/>
  </r>
  <r>
    <x v="25"/>
    <x v="4"/>
    <n v="22.843259580000002"/>
    <n v="2.8487818900000001"/>
    <n v="3.468"/>
  </r>
  <r>
    <x v="25"/>
    <x v="1"/>
    <n v="8.5528397940000005"/>
    <n v="1.0550415959999999"/>
    <n v="2.0139999999999998"/>
  </r>
  <r>
    <x v="25"/>
    <x v="3"/>
    <n v="49.099520267999999"/>
    <n v="6.3692069260000004"/>
    <n v="8.9060000000000006"/>
  </r>
  <r>
    <x v="25"/>
    <x v="5"/>
    <n v="24.613015405999999"/>
    <n v="2.9002734220000002"/>
    <n v="2.6869999999999998"/>
  </r>
  <r>
    <x v="26"/>
    <x v="6"/>
    <n v="29.743933525999999"/>
    <n v="3.8567305680000001"/>
    <n v="6.0140000000000002"/>
  </r>
  <r>
    <x v="26"/>
    <x v="2"/>
    <n v="54.660095603999999"/>
    <n v="6.2083864960000001"/>
    <n v="5.6790000000000003"/>
  </r>
  <r>
    <x v="26"/>
    <x v="3"/>
    <n v="65.193423408000001"/>
    <n v="8.2023300599999995"/>
    <n v="10.284000000000001"/>
  </r>
  <r>
    <x v="26"/>
    <x v="4"/>
    <n v="37.327693193999998"/>
    <n v="4.3597407419999996"/>
    <n v="4.5880000000000001"/>
  </r>
  <r>
    <x v="26"/>
    <x v="0"/>
    <n v="3.8317443340000001"/>
    <n v="0.48102162599999998"/>
    <n v="0.71499999999999997"/>
  </r>
  <r>
    <x v="26"/>
    <x v="5"/>
    <n v="46.151639742"/>
    <n v="5.5365562160000001"/>
    <n v="4.4480000000000004"/>
  </r>
  <r>
    <x v="26"/>
    <x v="1"/>
    <n v="8.1077770680000008"/>
    <n v="1.154466242"/>
    <n v="2.105"/>
  </r>
  <r>
    <x v="27"/>
    <x v="1"/>
    <n v="5.1460767980000002"/>
    <n v="0.74604654400000003"/>
    <n v="1.6220000000000001"/>
  </r>
  <r>
    <x v="27"/>
    <x v="0"/>
    <n v="2.6539409219999999"/>
    <n v="0.363452198"/>
    <n v="0.53100000000000003"/>
  </r>
  <r>
    <x v="27"/>
    <x v="2"/>
    <n v="43.530581603999998"/>
    <n v="5.2458203660000002"/>
    <n v="5.0999999999999996"/>
  </r>
  <r>
    <x v="27"/>
    <x v="5"/>
    <n v="37.860674629999998"/>
    <n v="4.3258436199999997"/>
    <n v="3.6539999999999999"/>
  </r>
  <r>
    <x v="27"/>
    <x v="4"/>
    <n v="31.027984986"/>
    <n v="3.699961794"/>
    <n v="4.0529999999999999"/>
  </r>
  <r>
    <x v="27"/>
    <x v="6"/>
    <n v="21.643123635999999"/>
    <n v="3.0237541179999998"/>
    <n v="5.0430000000000001"/>
  </r>
  <r>
    <x v="27"/>
    <x v="3"/>
    <n v="50.663049954000002"/>
    <n v="6.3329203500000002"/>
    <n v="8.891"/>
  </r>
  <r>
    <x v="28"/>
    <x v="3"/>
    <n v="52.632189861999997"/>
    <n v="7.0539105280000003"/>
    <n v="9.5890000000000004"/>
  </r>
  <r>
    <x v="28"/>
    <x v="2"/>
    <n v="44.473301913999997"/>
    <n v="5.5474774560000002"/>
    <n v="5.4290000000000003"/>
  </r>
  <r>
    <x v="28"/>
    <x v="1"/>
    <n v="6.0802893840000003"/>
    <n v="0.83371880399999998"/>
    <n v="1.724"/>
  </r>
  <r>
    <x v="28"/>
    <x v="5"/>
    <n v="43.308198064000003"/>
    <n v="4.9638244059999996"/>
    <n v="4.0270000000000001"/>
  </r>
  <r>
    <x v="28"/>
    <x v="0"/>
    <n v="4.4069730900000001"/>
    <n v="0.65342488200000004"/>
    <n v="1.0449999999999999"/>
  </r>
  <r>
    <x v="28"/>
    <x v="6"/>
    <n v="23.628843274000001"/>
    <n v="3.357593702"/>
    <n v="5.4329999999999998"/>
  </r>
  <r>
    <x v="28"/>
    <x v="4"/>
    <n v="30.627157803999999"/>
    <n v="3.785380054"/>
    <n v="4.2130000000000001"/>
  </r>
  <r>
    <x v="29"/>
    <x v="2"/>
    <n v="35.203376792"/>
    <n v="4.3814303219999999"/>
    <n v="4.5170000000000003"/>
  </r>
  <r>
    <x v="29"/>
    <x v="3"/>
    <n v="62.487852676000003"/>
    <n v="8.4719314019999992"/>
    <n v="10.32"/>
  </r>
  <r>
    <x v="29"/>
    <x v="4"/>
    <n v="33.206194908000001"/>
    <n v="3.91079518"/>
    <n v="4.0540000000000003"/>
  </r>
  <r>
    <x v="29"/>
    <x v="1"/>
    <n v="9.3793371659999991"/>
    <n v="1.2579532980000001"/>
    <n v="2.2330000000000001"/>
  </r>
  <r>
    <x v="29"/>
    <x v="5"/>
    <n v="20.370703777999999"/>
    <n v="2.6742404999999998"/>
    <n v="2.718"/>
  </r>
  <r>
    <x v="29"/>
    <x v="6"/>
    <n v="31.479528687999998"/>
    <n v="4.4919758559999998"/>
    <n v="6.734"/>
  </r>
  <r>
    <x v="29"/>
    <x v="0"/>
    <n v="0.21090899799999999"/>
    <n v="2.2018194000000001E-2"/>
    <n v="3.1E-2"/>
  </r>
  <r>
    <x v="30"/>
    <x v="5"/>
    <n v="22.759434840000001"/>
    <n v="3.0415531599999999"/>
    <n v="2.7229999999999999"/>
  </r>
  <r>
    <x v="30"/>
    <x v="4"/>
    <n v="33.217048519999999"/>
    <n v="4.3886469200000002"/>
    <n v="4.2240000000000002"/>
  </r>
  <r>
    <x v="30"/>
    <x v="6"/>
    <n v="41.154832620000001"/>
    <n v="5.4123351299999998"/>
    <n v="7.0590000000000002"/>
  </r>
  <r>
    <x v="30"/>
    <x v="1"/>
    <n v="11.32890295"/>
    <n v="1.47214427"/>
    <n v="2.3079999999999998"/>
  </r>
  <r>
    <x v="30"/>
    <x v="3"/>
    <n v="72.120727849999994"/>
    <n v="9.9233186599999996"/>
    <n v="11.053000000000001"/>
  </r>
  <r>
    <x v="30"/>
    <x v="2"/>
    <n v="43.786690370000002"/>
    <n v="5.3408705699999999"/>
    <n v="4.7720000000000002"/>
  </r>
  <r>
    <x v="30"/>
    <x v="0"/>
    <n v="2.97168E-3"/>
    <n v="1.1987600000000001E-3"/>
    <n v="2E-3"/>
  </r>
  <r>
    <x v="31"/>
    <x v="5"/>
    <n v="23.116263780000001"/>
    <n v="2.8302566499999999"/>
    <n v="2.4430000000000001"/>
  </r>
  <r>
    <x v="31"/>
    <x v="1"/>
    <n v="14.670904569999999"/>
    <n v="2.0542395199999999"/>
    <n v="3.21"/>
  </r>
  <r>
    <x v="31"/>
    <x v="6"/>
    <n v="52.099454100000003"/>
    <n v="6.8164585799999999"/>
    <n v="8.4450000000000003"/>
  </r>
  <r>
    <x v="31"/>
    <x v="0"/>
    <n v="3.1258000000000002E-3"/>
    <n v="5.6289999999999997E-4"/>
    <n v="1E-3"/>
  </r>
  <r>
    <x v="31"/>
    <x v="3"/>
    <n v="86.632925510000007"/>
    <n v="11.390969330000001"/>
    <n v="11.898"/>
  </r>
  <r>
    <x v="31"/>
    <x v="2"/>
    <n v="46.482875049999997"/>
    <n v="5.5751529299999998"/>
    <n v="4.7370000000000001"/>
  </r>
  <r>
    <x v="31"/>
    <x v="4"/>
    <n v="37.869192910000002"/>
    <n v="4.7439185899999998"/>
    <n v="4.3869999999999996"/>
  </r>
  <r>
    <x v="32"/>
    <x v="1"/>
    <n v="6.2069482599999999"/>
    <n v="0.95560758000000001"/>
    <n v="1.91"/>
  </r>
  <r>
    <x v="32"/>
    <x v="6"/>
    <n v="25.863712230000001"/>
    <n v="3.6682843799999998"/>
    <n v="5.9509999999999996"/>
  </r>
  <r>
    <x v="32"/>
    <x v="5"/>
    <n v="35.687634959999997"/>
    <n v="4.2055575300000001"/>
    <n v="3.3919999999999999"/>
  </r>
  <r>
    <x v="32"/>
    <x v="3"/>
    <n v="58.953061290000001"/>
    <n v="7.5292455900000004"/>
    <n v="9.875"/>
  </r>
  <r>
    <x v="32"/>
    <x v="4"/>
    <n v="34.72963859"/>
    <n v="3.8777695599999999"/>
    <n v="4.12"/>
  </r>
  <r>
    <x v="32"/>
    <x v="2"/>
    <n v="53.463987950000003"/>
    <n v="5.9428553099999997"/>
    <n v="5.2240000000000002"/>
  </r>
  <r>
    <x v="32"/>
    <x v="0"/>
    <n v="5.8042308800000004"/>
    <n v="0.55674058000000004"/>
    <n v="0.74299999999999999"/>
  </r>
  <r>
    <x v="33"/>
    <x v="6"/>
    <n v="23.15646851"/>
    <n v="3.36178277"/>
    <n v="5.6539999999999999"/>
  </r>
  <r>
    <x v="33"/>
    <x v="0"/>
    <n v="13.531780149999999"/>
    <n v="1.5641730199999999"/>
    <n v="2.2530000000000001"/>
  </r>
  <r>
    <x v="33"/>
    <x v="3"/>
    <n v="57.417295379999999"/>
    <n v="7.4498307500000003"/>
    <n v="9.9770000000000003"/>
  </r>
  <r>
    <x v="33"/>
    <x v="2"/>
    <n v="54.011233939999997"/>
    <n v="5.8315000499999998"/>
    <n v="5.1609999999999996"/>
  </r>
  <r>
    <x v="33"/>
    <x v="5"/>
    <n v="41.195714379999998"/>
    <n v="4.8589325299999997"/>
    <n v="3.69"/>
  </r>
  <r>
    <x v="33"/>
    <x v="1"/>
    <n v="5.16133357"/>
    <n v="0.76388283000000001"/>
    <n v="1.625"/>
  </r>
  <r>
    <x v="33"/>
    <x v="4"/>
    <n v="35.293241780000002"/>
    <n v="3.9451765000000001"/>
    <n v="4.093"/>
  </r>
  <r>
    <x v="34"/>
    <x v="1"/>
    <n v="5.0961012099999996"/>
    <n v="0.76070283000000005"/>
    <n v="1.486"/>
  </r>
  <r>
    <x v="34"/>
    <x v="5"/>
    <n v="67.642118539999998"/>
    <n v="7.7727320300000002"/>
    <n v="5.6859999999999999"/>
  </r>
  <r>
    <x v="34"/>
    <x v="2"/>
    <n v="83.863975890000006"/>
    <n v="9.2920863499999999"/>
    <n v="7.3520000000000003"/>
  </r>
  <r>
    <x v="34"/>
    <x v="0"/>
    <n v="16.986938120000001"/>
    <n v="1.86018645"/>
    <n v="2.4969999999999999"/>
  </r>
  <r>
    <x v="34"/>
    <x v="6"/>
    <n v="28.949551719999999"/>
    <n v="3.92789952"/>
    <n v="5.8869999999999996"/>
  </r>
  <r>
    <x v="34"/>
    <x v="4"/>
    <n v="48.065006799999999"/>
    <n v="5.8104548500000002"/>
    <n v="5.58"/>
  </r>
  <r>
    <x v="34"/>
    <x v="3"/>
    <n v="78.902441519999996"/>
    <n v="9.9828164200000007"/>
    <n v="11.847"/>
  </r>
  <r>
    <x v="35"/>
    <x v="2"/>
    <n v="75.877982290000006"/>
    <n v="8.4086940800000001"/>
    <n v="7.0519999999999996"/>
  </r>
  <r>
    <x v="35"/>
    <x v="5"/>
    <n v="60.820001859999998"/>
    <n v="7.2804197400000001"/>
    <n v="5.2939999999999996"/>
  </r>
  <r>
    <x v="35"/>
    <x v="4"/>
    <n v="47.329151160000002"/>
    <n v="5.8020399600000001"/>
    <n v="5.45"/>
  </r>
  <r>
    <x v="35"/>
    <x v="1"/>
    <n v="5.9217426299999998"/>
    <n v="0.82618433999999996"/>
    <n v="1.528"/>
  </r>
  <r>
    <x v="35"/>
    <x v="0"/>
    <n v="16.855831290000001"/>
    <n v="2.08164141"/>
    <n v="3.32"/>
  </r>
  <r>
    <x v="35"/>
    <x v="6"/>
    <n v="28.691954849999998"/>
    <n v="3.8492464900000001"/>
    <n v="5.8330000000000002"/>
  </r>
  <r>
    <x v="35"/>
    <x v="3"/>
    <n v="71.657039119999993"/>
    <n v="9.5592620200000002"/>
    <n v="11.63"/>
  </r>
  <r>
    <x v="36"/>
    <x v="4"/>
    <n v="55.593206250000001"/>
    <n v="6.0579905199999997"/>
    <n v="5.9290000000000003"/>
  </r>
  <r>
    <x v="36"/>
    <x v="6"/>
    <n v="27.257445400000002"/>
    <n v="3.8685378899999998"/>
    <n v="6.1639999999999997"/>
  </r>
  <r>
    <x v="36"/>
    <x v="5"/>
    <n v="69.548865989999996"/>
    <n v="7.4435417199999998"/>
    <n v="5.66"/>
  </r>
  <r>
    <x v="36"/>
    <x v="2"/>
    <n v="82.543720680000007"/>
    <n v="9.1903633199999994"/>
    <n v="7.6859999999999999"/>
  </r>
  <r>
    <x v="36"/>
    <x v="0"/>
    <n v="17.879993209999999"/>
    <n v="2.0928249399999999"/>
    <n v="3.7109999999999999"/>
  </r>
  <r>
    <x v="36"/>
    <x v="3"/>
    <n v="75.317518899999996"/>
    <n v="10.04279565"/>
    <n v="12.66"/>
  </r>
  <r>
    <x v="36"/>
    <x v="1"/>
    <n v="5.4453843099999997"/>
    <n v="0.81349424000000004"/>
    <n v="1.6"/>
  </r>
  <r>
    <x v="37"/>
    <x v="6"/>
    <n v="31.826640149999999"/>
    <n v="4.4158774300000001"/>
    <n v="6.7759999999999998"/>
  </r>
  <r>
    <x v="37"/>
    <x v="2"/>
    <n v="85.372883099999996"/>
    <n v="9.2090690899999998"/>
    <n v="7.5990000000000002"/>
  </r>
  <r>
    <x v="37"/>
    <x v="4"/>
    <n v="52.93276788"/>
    <n v="6.4266552600000004"/>
    <n v="6.2409999999999997"/>
  </r>
  <r>
    <x v="37"/>
    <x v="1"/>
    <n v="6.4901329900000002"/>
    <n v="0.84678547999999998"/>
    <n v="1.6890000000000001"/>
  </r>
  <r>
    <x v="37"/>
    <x v="5"/>
    <n v="72.020065059999993"/>
    <n v="8.5989040400000007"/>
    <n v="6.31"/>
  </r>
  <r>
    <x v="37"/>
    <x v="0"/>
    <n v="14.728043639999999"/>
    <n v="1.7662836799999999"/>
    <n v="2.8849999999999998"/>
  </r>
  <r>
    <x v="37"/>
    <x v="3"/>
    <n v="87.604543359999994"/>
    <n v="11.00583846"/>
    <n v="13.221"/>
  </r>
  <r>
    <x v="38"/>
    <x v="2"/>
    <n v="114.51630738"/>
    <n v="11.902898009999999"/>
    <n v="8.9760000000000009"/>
  </r>
  <r>
    <x v="38"/>
    <x v="6"/>
    <n v="41.902551699999997"/>
    <n v="5.6679146500000002"/>
    <n v="7.9710000000000001"/>
  </r>
  <r>
    <x v="38"/>
    <x v="1"/>
    <n v="9.2983347500000004"/>
    <n v="1.2379212799999999"/>
    <n v="2.0070000000000001"/>
  </r>
  <r>
    <x v="38"/>
    <x v="4"/>
    <n v="67.554286660000002"/>
    <n v="7.6109136199999998"/>
    <n v="7.0419999999999998"/>
  </r>
  <r>
    <x v="38"/>
    <x v="3"/>
    <n v="111.65455421999999"/>
    <n v="13.747344740000001"/>
    <n v="15.237"/>
  </r>
  <r>
    <x v="38"/>
    <x v="5"/>
    <n v="92.335388069999993"/>
    <n v="10.367659550000001"/>
    <n v="7.1210000000000004"/>
  </r>
  <r>
    <x v="38"/>
    <x v="0"/>
    <n v="20.596046050000002"/>
    <n v="2.21314353"/>
    <n v="3.2519999999999998"/>
  </r>
  <r>
    <x v="39"/>
    <x v="2"/>
    <n v="94.406257190000005"/>
    <n v="10.39224819"/>
    <n v="8.6620000000000008"/>
  </r>
  <r>
    <x v="39"/>
    <x v="5"/>
    <n v="89.648658519999998"/>
    <n v="10.295005270000001"/>
    <n v="7.4420000000000002"/>
  </r>
  <r>
    <x v="39"/>
    <x v="3"/>
    <n v="100.09432953"/>
    <n v="12.58392184"/>
    <n v="14.86"/>
  </r>
  <r>
    <x v="39"/>
    <x v="6"/>
    <n v="40.132760650000002"/>
    <n v="5.4050782899999996"/>
    <n v="7.96"/>
  </r>
  <r>
    <x v="39"/>
    <x v="1"/>
    <n v="9.0829876499999997"/>
    <n v="1.2538745"/>
    <n v="2.1070000000000002"/>
  </r>
  <r>
    <x v="39"/>
    <x v="0"/>
    <n v="18.64610412"/>
    <n v="2.1407154199999998"/>
    <n v="3.133"/>
  </r>
  <r>
    <x v="39"/>
    <x v="4"/>
    <n v="69.068492419999998"/>
    <n v="7.6222823599999998"/>
    <n v="6.9"/>
  </r>
  <r>
    <x v="40"/>
    <x v="3"/>
    <n v="98.981806759999998"/>
    <n v="12.46739859"/>
    <n v="15.241"/>
  </r>
  <r>
    <x v="40"/>
    <x v="5"/>
    <n v="85.517929039999999"/>
    <n v="9.7758457500000002"/>
    <n v="7.4269999999999996"/>
  </r>
  <r>
    <x v="40"/>
    <x v="1"/>
    <n v="8.2945343600000001"/>
    <n v="1.1607441300000001"/>
    <n v="2.1070000000000002"/>
  </r>
  <r>
    <x v="40"/>
    <x v="2"/>
    <n v="94.932317139999995"/>
    <n v="10.305340770000001"/>
    <n v="8.9450000000000003"/>
  </r>
  <r>
    <x v="40"/>
    <x v="0"/>
    <n v="16.393237200000002"/>
    <n v="1.8250421299999999"/>
    <n v="2.75"/>
  </r>
  <r>
    <x v="40"/>
    <x v="4"/>
    <n v="61.5362863"/>
    <n v="7.1401173199999999"/>
    <n v="6.9240000000000004"/>
  </r>
  <r>
    <x v="40"/>
    <x v="6"/>
    <n v="40.60154533"/>
    <n v="5.5168962400000003"/>
    <n v="8.2230000000000008"/>
  </r>
  <r>
    <x v="41"/>
    <x v="2"/>
    <n v="94.500088657999996"/>
    <n v="10.118299950000001"/>
    <n v="8.4730000000000008"/>
  </r>
  <r>
    <x v="41"/>
    <x v="3"/>
    <n v="104.66848102599999"/>
    <n v="13.504776978000001"/>
    <n v="15.97"/>
  </r>
  <r>
    <x v="41"/>
    <x v="4"/>
    <n v="58.327784635999997"/>
    <n v="6.9861785340000004"/>
    <n v="6.907"/>
  </r>
  <r>
    <x v="41"/>
    <x v="1"/>
    <n v="12.304444302"/>
    <n v="1.736384514"/>
    <n v="2.8889999999999998"/>
  </r>
  <r>
    <x v="41"/>
    <x v="5"/>
    <n v="78.526718564000006"/>
    <n v="9.0151037299999999"/>
    <n v="6.5940000000000003"/>
  </r>
  <r>
    <x v="41"/>
    <x v="6"/>
    <n v="48.026161928000001"/>
    <n v="6.5865304279999997"/>
    <n v="9.4090000000000007"/>
  </r>
  <r>
    <x v="41"/>
    <x v="0"/>
    <n v="4.6616057140000002"/>
    <n v="0.52819399199999995"/>
    <n v="0.80600000000000005"/>
  </r>
  <r>
    <x v="42"/>
    <x v="4"/>
    <n v="57.745544639999999"/>
    <n v="7.0924931520000003"/>
    <n v="6.6950000000000003"/>
  </r>
  <r>
    <x v="42"/>
    <x v="1"/>
    <n v="8.2492286499999992"/>
    <n v="1.2155123219999999"/>
    <n v="2.3719999999999999"/>
  </r>
  <r>
    <x v="42"/>
    <x v="3"/>
    <n v="107.3979945"/>
    <n v="13.405139734"/>
    <n v="14.981"/>
  </r>
  <r>
    <x v="42"/>
    <x v="0"/>
    <n v="12.823829462000001"/>
    <n v="1.559262548"/>
    <n v="2.19"/>
  </r>
  <r>
    <x v="42"/>
    <x v="2"/>
    <n v="96.069534493999996"/>
    <n v="10.652375188000001"/>
    <n v="8.2919999999999998"/>
  </r>
  <r>
    <x v="42"/>
    <x v="5"/>
    <n v="81.581508794000001"/>
    <n v="9.6897091900000003"/>
    <n v="6.5789999999999997"/>
  </r>
  <r>
    <x v="42"/>
    <x v="6"/>
    <n v="44.025377132000003"/>
    <n v="6.0130658820000003"/>
    <n v="8.3870000000000005"/>
  </r>
  <r>
    <x v="43"/>
    <x v="2"/>
    <n v="107.65978368"/>
    <n v="11.620298906"/>
    <n v="8.8390000000000004"/>
  </r>
  <r>
    <x v="43"/>
    <x v="0"/>
    <n v="13.447759998"/>
    <n v="1.6912595420000001"/>
    <n v="2.2559999999999998"/>
  </r>
  <r>
    <x v="43"/>
    <x v="6"/>
    <n v="45.902111140000002"/>
    <n v="6.4950495620000002"/>
    <n v="9.0589999999999993"/>
  </r>
  <r>
    <x v="43"/>
    <x v="3"/>
    <n v="114.091592304"/>
    <n v="14.603506425999999"/>
    <n v="16.135999999999999"/>
  </r>
  <r>
    <x v="43"/>
    <x v="1"/>
    <n v="8.4680566339999999"/>
    <n v="1.2548808300000001"/>
    <n v="2.2229999999999999"/>
  </r>
  <r>
    <x v="43"/>
    <x v="4"/>
    <n v="68.573854294"/>
    <n v="7.8568876919999999"/>
    <n v="7.181"/>
  </r>
  <r>
    <x v="43"/>
    <x v="5"/>
    <n v="90.145154132000002"/>
    <n v="10.507849972000001"/>
    <n v="6.9569999999999999"/>
  </r>
  <r>
    <x v="44"/>
    <x v="1"/>
    <n v="6.5535729839999997"/>
    <n v="0.95006154799999998"/>
    <n v="1.8440000000000001"/>
  </r>
  <r>
    <x v="44"/>
    <x v="5"/>
    <n v="79.954743496000006"/>
    <n v="9.3175967540000002"/>
    <n v="6.9720000000000004"/>
  </r>
  <r>
    <x v="44"/>
    <x v="0"/>
    <n v="12.3529544"/>
    <n v="1.4533644139999999"/>
    <n v="1.966"/>
  </r>
  <r>
    <x v="44"/>
    <x v="3"/>
    <n v="96.865403016000002"/>
    <n v="12.193449314"/>
    <n v="14.804"/>
  </r>
  <r>
    <x v="44"/>
    <x v="6"/>
    <n v="36.250298913999998"/>
    <n v="5.2161368240000003"/>
    <n v="8.0589999999999993"/>
  </r>
  <r>
    <x v="44"/>
    <x v="2"/>
    <n v="87.682990447999998"/>
    <n v="10.289281616"/>
    <n v="8.8149999999999995"/>
  </r>
  <r>
    <x v="44"/>
    <x v="4"/>
    <n v="60.733003783999997"/>
    <n v="6.9081904160000001"/>
    <n v="6.9889999999999999"/>
  </r>
  <r>
    <x v="45"/>
    <x v="6"/>
    <n v="38.516388614"/>
    <n v="5.6050880440000004"/>
    <n v="8.6530000000000005"/>
  </r>
  <r>
    <x v="45"/>
    <x v="2"/>
    <n v="89.107440371999999"/>
    <n v="9.8684451360000001"/>
    <n v="8.3239999999999998"/>
  </r>
  <r>
    <x v="45"/>
    <x v="0"/>
    <n v="14.952594213999999"/>
    <n v="1.622804288"/>
    <n v="2.1139999999999999"/>
  </r>
  <r>
    <x v="45"/>
    <x v="1"/>
    <n v="7.05618459"/>
    <n v="0.95660785800000003"/>
    <n v="1.6319999999999999"/>
  </r>
  <r>
    <x v="45"/>
    <x v="4"/>
    <n v="61.497794096"/>
    <n v="11.284543026"/>
    <n v="6.8090000000000002"/>
  </r>
  <r>
    <x v="45"/>
    <x v="5"/>
    <n v="80.516183839999997"/>
    <n v="8.8083248820000009"/>
    <n v="8.4139999999999997"/>
  </r>
  <r>
    <x v="45"/>
    <x v="3"/>
    <n v="91.646496118000002"/>
    <n v="11.917499716"/>
    <n v="15.138"/>
  </r>
  <r>
    <x v="46"/>
    <x v="4"/>
    <n v="66.640283461999999"/>
    <n v="7.2008051899999996"/>
    <n v="6.4249999999999998"/>
  </r>
  <r>
    <x v="46"/>
    <x v="1"/>
    <n v="14.879331016"/>
    <n v="1.9270711739999999"/>
    <n v="2.97"/>
  </r>
  <r>
    <x v="46"/>
    <x v="3"/>
    <n v="105.329105222"/>
    <n v="12.99202871"/>
    <n v="14.712999999999999"/>
  </r>
  <r>
    <x v="46"/>
    <x v="0"/>
    <n v="20.875188481999999"/>
    <n v="2.0666365959999999"/>
    <n v="2.484"/>
  </r>
  <r>
    <x v="46"/>
    <x v="6"/>
    <n v="52.874924946"/>
    <n v="6.8667573480000001"/>
    <n v="9.3949999999999996"/>
  </r>
  <r>
    <x v="46"/>
    <x v="2"/>
    <n v="100.76069371200001"/>
    <n v="10.668722239999999"/>
    <n v="8.0839999999999996"/>
  </r>
  <r>
    <x v="46"/>
    <x v="5"/>
    <n v="80.392823546000002"/>
    <n v="9.1065042399999996"/>
    <n v="6.4340000000000002"/>
  </r>
  <r>
    <x v="47"/>
    <x v="2"/>
    <n v="87.734885751999997"/>
    <n v="10.365912760000001"/>
    <n v="8.2799999999999994"/>
  </r>
  <r>
    <x v="47"/>
    <x v="4"/>
    <n v="75.831565444000006"/>
    <n v="8.2670860659999992"/>
    <n v="7.4749999999999996"/>
  </r>
  <r>
    <x v="47"/>
    <x v="6"/>
    <n v="48.345986912000001"/>
    <n v="6.5664570820000003"/>
    <n v="8.4860000000000007"/>
  </r>
  <r>
    <x v="47"/>
    <x v="0"/>
    <n v="20.139166169999999"/>
    <n v="1.9208690799999999"/>
    <n v="2.3029999999999999"/>
  </r>
  <r>
    <x v="47"/>
    <x v="3"/>
    <n v="134.31818420799999"/>
    <n v="15.710120160000001"/>
    <n v="17.088999999999999"/>
  </r>
  <r>
    <x v="47"/>
    <x v="5"/>
    <n v="69.891767892000004"/>
    <n v="8.2727565740000006"/>
    <n v="5.931"/>
  </r>
  <r>
    <x v="47"/>
    <x v="1"/>
    <n v="11.816016257999999"/>
    <n v="1.5548593500000001"/>
    <n v="2.0299999999999998"/>
  </r>
  <r>
    <x v="48"/>
    <x v="3"/>
    <n v="128.137476964"/>
    <n v="14.847794666"/>
    <n v="16.042999999999999"/>
  </r>
  <r>
    <x v="48"/>
    <x v="5"/>
    <n v="86.449585204000002"/>
    <n v="10.607572266"/>
    <n v="7.5549999999999997"/>
  </r>
  <r>
    <x v="48"/>
    <x v="2"/>
    <n v="100.16999515800001"/>
    <n v="10.870763910000001"/>
    <n v="8.6359999999999992"/>
  </r>
  <r>
    <x v="48"/>
    <x v="6"/>
    <n v="51.481353433999999"/>
    <n v="7.0705114680000003"/>
    <n v="9.4269999999999996"/>
  </r>
  <r>
    <x v="48"/>
    <x v="0"/>
    <n v="18.678559883999998"/>
    <n v="1.86170949"/>
    <n v="2.2599999999999998"/>
  </r>
  <r>
    <x v="48"/>
    <x v="1"/>
    <n v="15.58914497"/>
    <n v="1.9666150339999999"/>
    <n v="2.5299999999999998"/>
  </r>
  <r>
    <x v="48"/>
    <x v="4"/>
    <n v="62.889201663999998"/>
    <n v="7.5548142839999999"/>
    <n v="7.0389999999999997"/>
  </r>
  <r>
    <x v="49"/>
    <x v="0"/>
    <n v="24.550066848"/>
    <n v="2.2101007880000001"/>
    <n v="2.4239999999999999"/>
  </r>
  <r>
    <x v="49"/>
    <x v="2"/>
    <n v="117.839545176"/>
    <n v="13.821012489999999"/>
    <n v="12.682"/>
  </r>
  <r>
    <x v="49"/>
    <x v="1"/>
    <n v="19.964330606000001"/>
    <n v="2.1490416539999999"/>
    <n v="3.1920000000000002"/>
  </r>
  <r>
    <x v="49"/>
    <x v="5"/>
    <n v="96.393605707999996"/>
    <n v="12.475431073999999"/>
    <n v="9.6709999999999994"/>
  </r>
  <r>
    <x v="49"/>
    <x v="6"/>
    <n v="40.301563295999998"/>
    <n v="4.2342032239999998"/>
    <n v="5.4669999999999996"/>
  </r>
  <r>
    <x v="49"/>
    <x v="4"/>
    <n v="83.371383144000006"/>
    <n v="9.4389599059999991"/>
    <n v="10.276"/>
  </r>
  <r>
    <x v="49"/>
    <x v="3"/>
    <n v="64.443851199999997"/>
    <n v="6.961951698"/>
    <n v="8.3390000000000004"/>
  </r>
  <r>
    <x v="50"/>
    <x v="4"/>
    <n v="96.553578250000001"/>
    <n v="10.563898086"/>
    <n v="10.744"/>
  </r>
  <r>
    <x v="50"/>
    <x v="0"/>
    <n v="20.268915836000001"/>
    <n v="2.1086373300000001"/>
    <n v="2.371"/>
  </r>
  <r>
    <x v="50"/>
    <x v="6"/>
    <n v="45.583831170000003"/>
    <n v="4.6322523520000001"/>
    <n v="5.6210000000000004"/>
  </r>
  <r>
    <x v="50"/>
    <x v="3"/>
    <n v="68.060625545999997"/>
    <n v="7.5744363760000004"/>
    <n v="8.7140000000000004"/>
  </r>
  <r>
    <x v="50"/>
    <x v="5"/>
    <n v="102.350077802"/>
    <n v="13.207693682"/>
    <n v="10.031000000000001"/>
  </r>
  <r>
    <x v="50"/>
    <x v="2"/>
    <n v="119.095194896"/>
    <n v="14.770504984"/>
    <n v="13.275"/>
  </r>
  <r>
    <x v="50"/>
    <x v="1"/>
    <n v="18.419296736"/>
    <n v="2.039124792"/>
    <n v="3.0950000000000002"/>
  </r>
  <r>
    <x v="51"/>
    <x v="7"/>
    <n v="12.771018379999999"/>
    <n v="1.4916913999999999"/>
    <n v="2.5539999999999998"/>
  </r>
  <r>
    <x v="51"/>
    <x v="8"/>
    <n v="7.2532113300000001"/>
    <n v="0.92932974000000002"/>
    <n v="1.7330000000000001"/>
  </r>
  <r>
    <x v="51"/>
    <x v="9"/>
    <n v="11.031920960000001"/>
    <n v="1.48147826"/>
    <n v="2.423"/>
  </r>
  <r>
    <x v="51"/>
    <x v="10"/>
    <n v="22.539179220000001"/>
    <n v="2.7184651500000001"/>
    <n v="4.1420000000000003"/>
  </r>
  <r>
    <x v="51"/>
    <x v="11"/>
    <n v="18.70211243"/>
    <n v="2.3637365899999998"/>
    <n v="3.605"/>
  </r>
  <r>
    <x v="51"/>
    <x v="12"/>
    <n v="9.9759805499999992"/>
    <n v="1.2167917100000001"/>
    <n v="1.9630000000000001"/>
  </r>
  <r>
    <x v="51"/>
    <x v="13"/>
    <n v="6.5300732000000004"/>
    <n v="0.91776842000000003"/>
    <n v="1.4350000000000001"/>
  </r>
  <r>
    <x v="51"/>
    <x v="14"/>
    <n v="8.3399973900000006"/>
    <n v="1.0006541099999999"/>
    <n v="1.59"/>
  </r>
  <r>
    <x v="51"/>
    <x v="15"/>
    <n v="6.51517737"/>
    <n v="0.93135166999999996"/>
    <n v="1.472"/>
  </r>
  <r>
    <x v="51"/>
    <x v="16"/>
    <n v="16.802665609999998"/>
    <n v="1.7572043500000001"/>
    <n v="2.3359999999999999"/>
  </r>
  <r>
    <x v="51"/>
    <x v="17"/>
    <n v="19.788890980000001"/>
    <n v="2.6397156499999999"/>
    <n v="4.4260000000000002"/>
  </r>
  <r>
    <x v="51"/>
    <x v="18"/>
    <n v="19.621802450000001"/>
    <n v="2.2599245899999998"/>
    <n v="3.512"/>
  </r>
  <r>
    <x v="51"/>
    <x v="19"/>
    <n v="13.70811305"/>
    <n v="1.7094729200000001"/>
    <n v="2.839"/>
  </r>
  <r>
    <x v="51"/>
    <x v="20"/>
    <n v="11.8370929"/>
    <n v="1.5693753800000001"/>
    <n v="2.6280000000000001"/>
  </r>
  <r>
    <x v="51"/>
    <x v="21"/>
    <n v="12.15626754"/>
    <n v="1.41983485"/>
    <n v="2.3610000000000002"/>
  </r>
  <r>
    <x v="51"/>
    <x v="22"/>
    <n v="8.5340697700000003"/>
    <n v="1.0944238100000001"/>
    <n v="1.786"/>
  </r>
  <r>
    <x v="51"/>
    <x v="23"/>
    <n v="13.102663659999999"/>
    <n v="1.5804161299999999"/>
    <n v="2.4769999999999999"/>
  </r>
  <r>
    <x v="51"/>
    <x v="24"/>
    <n v="19.24679768"/>
    <n v="2.4968772100000001"/>
    <n v="4.1630000000000003"/>
  </r>
  <r>
    <x v="51"/>
    <x v="25"/>
    <n v="14.17775451"/>
    <n v="1.7596304300000001"/>
    <n v="3.0640000000000001"/>
  </r>
  <r>
    <x v="51"/>
    <x v="26"/>
    <n v="18.33809415"/>
    <n v="1.8690354300000001"/>
    <n v="3.165"/>
  </r>
  <r>
    <x v="51"/>
    <x v="27"/>
    <n v="15.67976953"/>
    <n v="1.9533518999999999"/>
    <n v="3.145"/>
  </r>
  <r>
    <x v="51"/>
    <x v="28"/>
    <n v="9.0176236299999992"/>
    <n v="1.1460203499999999"/>
    <n v="2.0760000000000001"/>
  </r>
  <r>
    <x v="51"/>
    <x v="29"/>
    <n v="7.2338141599999997"/>
    <n v="0.96943146000000002"/>
    <n v="1.59"/>
  </r>
  <r>
    <x v="51"/>
    <x v="30"/>
    <n v="9.6878361300000009"/>
    <n v="1.23592597"/>
    <n v="2.0859999999999999"/>
  </r>
  <r>
    <x v="51"/>
    <x v="31"/>
    <n v="20.535545509999999"/>
    <n v="2.4591520299999998"/>
    <n v="4.101"/>
  </r>
  <r>
    <x v="51"/>
    <x v="32"/>
    <n v="18.315772930000001"/>
    <n v="2.0590615400000001"/>
    <n v="3.3490000000000002"/>
  </r>
  <r>
    <x v="51"/>
    <x v="33"/>
    <n v="13.205680709999999"/>
    <n v="1.5898993400000001"/>
    <n v="2.657"/>
  </r>
  <r>
    <x v="51"/>
    <x v="34"/>
    <n v="9.9011008100000009"/>
    <n v="1.28221002"/>
    <n v="2.2389999999999999"/>
  </r>
  <r>
    <x v="51"/>
    <x v="35"/>
    <n v="9.3740663099999999"/>
    <n v="1.1733749499999999"/>
    <n v="2.0760000000000001"/>
  </r>
  <r>
    <x v="51"/>
    <x v="36"/>
    <n v="6.3792162399999999"/>
    <n v="0.85835636000000004"/>
    <n v="1.454"/>
  </r>
  <r>
    <x v="52"/>
    <x v="4"/>
    <n v="90.364283196000002"/>
    <n v="10.675517643999999"/>
    <n v="11.182"/>
  </r>
  <r>
    <x v="52"/>
    <x v="2"/>
    <n v="109.004672656"/>
    <n v="13.952831961999999"/>
    <n v="12.798999999999999"/>
  </r>
  <r>
    <x v="52"/>
    <x v="6"/>
    <n v="41.423239893999998"/>
    <n v="4.4566344200000003"/>
    <n v="5.5030000000000001"/>
  </r>
  <r>
    <x v="52"/>
    <x v="1"/>
    <n v="13.664051497999999"/>
    <n v="1.651845668"/>
    <n v="2.673"/>
  </r>
  <r>
    <x v="52"/>
    <x v="3"/>
    <n v="54.027691419999996"/>
    <n v="6.9687270540000004"/>
    <n v="8.8279999999999994"/>
  </r>
  <r>
    <x v="52"/>
    <x v="0"/>
    <n v="11.677312078"/>
    <n v="1.372042126"/>
    <n v="1.7829999999999999"/>
  </r>
  <r>
    <x v="52"/>
    <x v="5"/>
    <n v="79.735854927999995"/>
    <n v="11.039793742000001"/>
    <n v="8.5790000000000006"/>
  </r>
  <r>
    <x v="53"/>
    <x v="0"/>
    <n v="19.776785075999999"/>
    <n v="1.9576861640000001"/>
    <n v="2.0030000000000001"/>
  </r>
  <r>
    <x v="53"/>
    <x v="2"/>
    <n v="140.59506264999999"/>
    <n v="17.996106562000001"/>
    <n v="15.055"/>
  </r>
  <r>
    <x v="53"/>
    <x v="3"/>
    <n v="74.524709528000002"/>
    <n v="8.5945660880000005"/>
    <n v="9.5619999999999994"/>
  </r>
  <r>
    <x v="53"/>
    <x v="4"/>
    <n v="105.586138242"/>
    <n v="13.053694871999999"/>
    <n v="12.624000000000001"/>
  </r>
  <r>
    <x v="53"/>
    <x v="5"/>
    <n v="124.01673827400001"/>
    <n v="16.04670497"/>
    <n v="11.112"/>
  </r>
  <r>
    <x v="53"/>
    <x v="6"/>
    <n v="44.807158295999997"/>
    <n v="4.9277401039999997"/>
    <n v="5.6950000000000003"/>
  </r>
  <r>
    <x v="53"/>
    <x v="1"/>
    <n v="20.857513357999999"/>
    <n v="2.275126722"/>
    <n v="2.9860000000000002"/>
  </r>
  <r>
    <x v="54"/>
    <x v="1"/>
    <n v="12.109916838"/>
    <n v="1.263393556"/>
    <n v="1.591"/>
  </r>
  <r>
    <x v="54"/>
    <x v="0"/>
    <n v="15.42065639"/>
    <n v="1.6158040840000001"/>
    <n v="1.524"/>
  </r>
  <r>
    <x v="54"/>
    <x v="2"/>
    <n v="121.357536174"/>
    <n v="14.638208585999999"/>
    <n v="12.51"/>
  </r>
  <r>
    <x v="54"/>
    <x v="4"/>
    <n v="89.730897921999997"/>
    <n v="10.353162230000001"/>
    <n v="9.9350000000000005"/>
  </r>
  <r>
    <x v="54"/>
    <x v="3"/>
    <n v="58.408738853999999"/>
    <n v="6.8862382719999999"/>
    <n v="7.66"/>
  </r>
  <r>
    <x v="54"/>
    <x v="6"/>
    <n v="37.190547334000001"/>
    <n v="3.5623642360000001"/>
    <n v="3.911"/>
  </r>
  <r>
    <x v="54"/>
    <x v="5"/>
    <n v="96.156432026000004"/>
    <n v="12.180165796000001"/>
    <n v="8.9610000000000003"/>
  </r>
  <r>
    <x v="55"/>
    <x v="0"/>
    <n v="21.26797444"/>
    <n v="1.9490048440000001"/>
    <n v="1.5309999999999999"/>
  </r>
  <r>
    <x v="55"/>
    <x v="2"/>
    <n v="132.041784202"/>
    <n v="16.339654242000002"/>
    <n v="13.231"/>
  </r>
  <r>
    <x v="55"/>
    <x v="3"/>
    <n v="57.440350899999999"/>
    <n v="6.7096113739999996"/>
    <n v="7.4329999999999998"/>
  </r>
  <r>
    <x v="55"/>
    <x v="4"/>
    <n v="99.204117535999998"/>
    <n v="11.072267454"/>
    <n v="10.090999999999999"/>
  </r>
  <r>
    <x v="55"/>
    <x v="5"/>
    <n v="106.741002452"/>
    <n v="13.893533256"/>
    <n v="9.7769999999999992"/>
  </r>
  <r>
    <x v="55"/>
    <x v="6"/>
    <n v="38.755024542000001"/>
    <n v="3.8432755360000002"/>
    <n v="3.9860000000000002"/>
  </r>
  <r>
    <x v="55"/>
    <x v="1"/>
    <n v="13.537076062000001"/>
    <n v="1.3894823439999999"/>
    <n v="1.736"/>
  </r>
  <r>
    <x v="56"/>
    <x v="0"/>
    <n v="15.566554957999999"/>
    <n v="1.4838425719999999"/>
    <n v="1.452"/>
  </r>
  <r>
    <x v="56"/>
    <x v="2"/>
    <n v="96.836462049999994"/>
    <n v="12.181098424"/>
    <n v="11.101000000000001"/>
  </r>
  <r>
    <x v="56"/>
    <x v="3"/>
    <n v="50.599413882"/>
    <n v="5.8633935839999998"/>
    <n v="6.9130000000000003"/>
  </r>
  <r>
    <x v="56"/>
    <x v="5"/>
    <n v="83.223932194"/>
    <n v="10.389827564000001"/>
    <n v="8.0830000000000002"/>
  </r>
  <r>
    <x v="56"/>
    <x v="6"/>
    <n v="24.671702327999999"/>
    <n v="2.6368309920000002"/>
    <n v="2.9079999999999999"/>
  </r>
  <r>
    <x v="56"/>
    <x v="1"/>
    <n v="6.7760414920000001"/>
    <n v="0.69525223000000003"/>
    <n v="0.92900000000000005"/>
  </r>
  <r>
    <x v="56"/>
    <x v="4"/>
    <n v="77.588016518000003"/>
    <n v="9.2263879959999997"/>
    <n v="9.59"/>
  </r>
  <r>
    <x v="57"/>
    <x v="2"/>
    <n v="105.822306568"/>
    <n v="12.694858258"/>
    <n v="11.356999999999999"/>
  </r>
  <r>
    <x v="57"/>
    <x v="3"/>
    <n v="44.663636122"/>
    <n v="5.3343766639999997"/>
    <n v="6.2679999999999998"/>
  </r>
  <r>
    <x v="57"/>
    <x v="4"/>
    <n v="80.163661587999997"/>
    <n v="9.3233223420000009"/>
    <n v="9.4369999999999994"/>
  </r>
  <r>
    <x v="57"/>
    <x v="6"/>
    <n v="22.525187039999999"/>
    <n v="2.5122960839999999"/>
    <n v="2.9060000000000001"/>
  </r>
  <r>
    <x v="57"/>
    <x v="5"/>
    <n v="89.243099087999994"/>
    <n v="11.020328694"/>
    <n v="8.173"/>
  </r>
  <r>
    <x v="57"/>
    <x v="0"/>
    <n v="8.3624750839999997"/>
    <n v="0.88639017399999998"/>
    <n v="0.94099999999999995"/>
  </r>
  <r>
    <x v="57"/>
    <x v="1"/>
    <n v="9.9942652919999997"/>
    <n v="0.84357290600000001"/>
    <n v="0.94599999999999995"/>
  </r>
  <r>
    <x v="58"/>
    <x v="5"/>
    <n v="63.657887793999997"/>
    <n v="8.4572441180000002"/>
    <n v="5.9489999999999998"/>
  </r>
  <r>
    <x v="58"/>
    <x v="6"/>
    <n v="19.008462414"/>
    <n v="2.235333228"/>
    <n v="2.5649999999999999"/>
  </r>
  <r>
    <x v="58"/>
    <x v="2"/>
    <n v="68.960602343999994"/>
    <n v="8.658148594"/>
    <n v="7.0419999999999998"/>
  </r>
  <r>
    <x v="58"/>
    <x v="1"/>
    <n v="6.3390359099999998"/>
    <n v="0.70119105400000004"/>
    <n v="0.77"/>
  </r>
  <r>
    <x v="58"/>
    <x v="3"/>
    <n v="56.872252197999998"/>
    <n v="6.5335633599999996"/>
    <n v="7.1310000000000002"/>
  </r>
  <r>
    <x v="58"/>
    <x v="4"/>
    <n v="93.513011559999995"/>
    <n v="11.418105947999999"/>
    <n v="11.385"/>
  </r>
  <r>
    <x v="58"/>
    <x v="0"/>
    <n v="7.9028480139999999"/>
    <n v="0.83776287800000004"/>
    <n v="0.73599999999999999"/>
  </r>
  <r>
    <x v="59"/>
    <x v="3"/>
    <n v="5.7732388480000001"/>
    <n v="0.621363624"/>
    <n v="0.98199999999999998"/>
  </r>
  <r>
    <x v="59"/>
    <x v="1"/>
    <n v="0.42467527999999999"/>
    <n v="5.1567639999999998E-2"/>
    <n v="9.8000000000000004E-2"/>
  </r>
  <r>
    <x v="59"/>
    <x v="5"/>
    <n v="5.9276520279999998"/>
    <n v="0.82351326000000002"/>
    <n v="0.90400000000000003"/>
  </r>
  <r>
    <x v="59"/>
    <x v="4"/>
    <n v="10.077275188"/>
    <n v="1.11132673"/>
    <n v="1.704"/>
  </r>
  <r>
    <x v="59"/>
    <x v="2"/>
    <n v="6.0620263760000004"/>
    <n v="0.87203176999999998"/>
    <n v="1.1870000000000001"/>
  </r>
  <r>
    <x v="59"/>
    <x v="6"/>
    <n v="1.0406550779999999"/>
    <n v="0.12276910000000001"/>
    <n v="0.308"/>
  </r>
  <r>
    <x v="59"/>
    <x v="0"/>
    <n v="13.291018872"/>
    <n v="1.4914715380000001"/>
    <n v="2.37"/>
  </r>
  <r>
    <x v="60"/>
    <x v="0"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n v="269617"/>
    <n v="48.856371525619998"/>
  </r>
  <r>
    <x v="0"/>
    <x v="1"/>
    <n v="108732"/>
    <n v="20.591235187999999"/>
  </r>
  <r>
    <x v="1"/>
    <x v="1"/>
    <n v="96560"/>
    <n v="15.831767994570001"/>
  </r>
  <r>
    <x v="1"/>
    <x v="0"/>
    <n v="242454"/>
    <n v="38.313546774419997"/>
  </r>
  <r>
    <x v="2"/>
    <x v="1"/>
    <n v="77762"/>
    <n v="10.90893681735"/>
  </r>
  <r>
    <x v="2"/>
    <x v="0"/>
    <n v="193479"/>
    <n v="26.06441926442"/>
  </r>
  <r>
    <x v="3"/>
    <x v="0"/>
    <n v="235057"/>
    <n v="35.00974560817"/>
  </r>
  <r>
    <x v="3"/>
    <x v="1"/>
    <n v="92167"/>
    <n v="14.37930406497"/>
  </r>
  <r>
    <x v="4"/>
    <x v="1"/>
    <n v="84931"/>
    <n v="12.01214338488"/>
  </r>
  <r>
    <x v="4"/>
    <x v="0"/>
    <n v="211825"/>
    <n v="27.93560297214"/>
  </r>
  <r>
    <x v="5"/>
    <x v="1"/>
    <n v="95748"/>
    <n v="18.792716716680001"/>
  </r>
  <r>
    <x v="5"/>
    <x v="0"/>
    <n v="242032"/>
    <n v="42.792699532379999"/>
  </r>
  <r>
    <x v="6"/>
    <x v="1"/>
    <n v="82804"/>
    <n v="18.669130535600001"/>
  </r>
  <r>
    <x v="6"/>
    <x v="0"/>
    <n v="212393"/>
    <n v="44.762607899759999"/>
  </r>
  <r>
    <x v="7"/>
    <x v="0"/>
    <n v="212216"/>
    <n v="39.487149277219999"/>
  </r>
  <r>
    <x v="7"/>
    <x v="1"/>
    <n v="82539"/>
    <n v="16.480016643199999"/>
  </r>
  <r>
    <x v="8"/>
    <x v="1"/>
    <n v="82293"/>
    <n v="15.140759556000001"/>
  </r>
  <r>
    <x v="8"/>
    <x v="0"/>
    <n v="211634"/>
    <n v="36.895981440600004"/>
  </r>
  <r>
    <x v="9"/>
    <x v="0"/>
    <n v="231785"/>
    <n v="40.618133128540002"/>
  </r>
  <r>
    <x v="9"/>
    <x v="1"/>
    <n v="90919"/>
    <n v="17.289273742119999"/>
  </r>
  <r>
    <x v="10"/>
    <x v="0"/>
    <n v="246744"/>
    <n v="37.063175940839997"/>
  </r>
  <r>
    <x v="10"/>
    <x v="1"/>
    <n v="96884"/>
    <n v="15.532557735259999"/>
  </r>
  <r>
    <x v="11"/>
    <x v="0"/>
    <n v="194835"/>
    <n v="23.647345499059998"/>
  </r>
  <r>
    <x v="11"/>
    <x v="1"/>
    <n v="77149"/>
    <n v="9.7399084221999992"/>
  </r>
  <r>
    <x v="12"/>
    <x v="0"/>
    <n v="218972"/>
    <n v="40.280097654039999"/>
  </r>
  <r>
    <x v="12"/>
    <x v="1"/>
    <n v="84402"/>
    <n v="15.6671330071"/>
  </r>
  <r>
    <x v="13"/>
    <x v="1"/>
    <n v="85231"/>
    <n v="16.602013127239999"/>
  </r>
  <r>
    <x v="13"/>
    <x v="0"/>
    <n v="217284"/>
    <n v="40.726351485720002"/>
  </r>
  <r>
    <x v="14"/>
    <x v="1"/>
    <n v="86221"/>
    <n v="19.204316215550001"/>
  </r>
  <r>
    <x v="14"/>
    <x v="0"/>
    <n v="221130"/>
    <n v="44.915409692049998"/>
  </r>
  <r>
    <x v="15"/>
    <x v="0"/>
    <n v="221502"/>
    <n v="40.849398107360003"/>
  </r>
  <r>
    <x v="15"/>
    <x v="1"/>
    <n v="86276"/>
    <n v="16.098292742480002"/>
  </r>
  <r>
    <x v="16"/>
    <x v="1"/>
    <n v="90016"/>
    <n v="15.583322947319999"/>
  </r>
  <r>
    <x v="16"/>
    <x v="0"/>
    <n v="228291"/>
    <n v="39.198725787999997"/>
  </r>
  <r>
    <x v="17"/>
    <x v="0"/>
    <n v="258171"/>
    <n v="38.929422072139999"/>
  </r>
  <r>
    <x v="17"/>
    <x v="1"/>
    <n v="101621"/>
    <n v="15.62578360462"/>
  </r>
  <r>
    <x v="18"/>
    <x v="1"/>
    <n v="91362"/>
    <n v="12.056112758039999"/>
  </r>
  <r>
    <x v="18"/>
    <x v="0"/>
    <n v="227621"/>
    <n v="29.338010697160001"/>
  </r>
  <r>
    <x v="19"/>
    <x v="1"/>
    <n v="103324"/>
    <n v="24.93329168412"/>
  </r>
  <r>
    <x v="19"/>
    <x v="0"/>
    <n v="261382"/>
    <n v="56.93118844304"/>
  </r>
  <r>
    <x v="20"/>
    <x v="0"/>
    <n v="243818"/>
    <n v="51.670271316540003"/>
  </r>
  <r>
    <x v="20"/>
    <x v="1"/>
    <n v="94042"/>
    <n v="20.549527088920001"/>
  </r>
  <r>
    <x v="21"/>
    <x v="0"/>
    <n v="235845"/>
    <n v="49.023698280399998"/>
  </r>
  <r>
    <x v="21"/>
    <x v="1"/>
    <n v="90726"/>
    <n v="19.775120707599999"/>
  </r>
  <r>
    <x v="22"/>
    <x v="1"/>
    <n v="72988"/>
    <n v="16.841602646599998"/>
  </r>
  <r>
    <x v="22"/>
    <x v="0"/>
    <n v="234476"/>
    <n v="49.34277308894"/>
  </r>
  <r>
    <x v="23"/>
    <x v="1"/>
    <n v="44177"/>
    <n v="8.5553347288800001"/>
  </r>
  <r>
    <x v="23"/>
    <x v="0"/>
    <n v="244256"/>
    <n v="41.95179537496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x v="0"/>
    <x v="0"/>
    <n v="348736"/>
    <n v="48.660338079349998"/>
  </r>
  <r>
    <x v="0"/>
    <x v="1"/>
    <n v="6381"/>
    <n v="4.0843378114000002"/>
  </r>
  <r>
    <x v="1"/>
    <x v="1"/>
    <n v="6766"/>
    <n v="4.5848075502599999"/>
  </r>
  <r>
    <x v="1"/>
    <x v="0"/>
    <n v="356359"/>
    <n v="64.447965446370006"/>
  </r>
  <r>
    <x v="2"/>
    <x v="1"/>
    <n v="6629"/>
    <n v="4.4661155963999999"/>
  </r>
  <r>
    <x v="2"/>
    <x v="0"/>
    <n v="303970"/>
    <n v="57.980522610050002"/>
  </r>
  <r>
    <x v="3"/>
    <x v="1"/>
    <n v="6305"/>
    <n v="4.1975377032200001"/>
  </r>
  <r>
    <x v="3"/>
    <x v="0"/>
    <n v="299882"/>
    <n v="56.529652202640001"/>
  </r>
  <r>
    <x v="4"/>
    <x v="1"/>
    <n v="6745"/>
    <n v="4.6121562025599996"/>
  </r>
  <r>
    <x v="4"/>
    <x v="0"/>
    <n v="308326"/>
    <n v="60.541524725640002"/>
  </r>
  <r>
    <x v="5"/>
    <x v="0"/>
    <n v="315902"/>
    <n v="54.58726212322"/>
  </r>
  <r>
    <x v="5"/>
    <x v="1"/>
    <n v="6249"/>
    <n v="4.1702916304200004"/>
  </r>
  <r>
    <x v="6"/>
    <x v="0"/>
    <n v="330068"/>
    <n v="47.753465476439999"/>
  </r>
  <r>
    <x v="6"/>
    <x v="1"/>
    <n v="6842"/>
    <n v="4.3528346095000003"/>
  </r>
  <r>
    <x v="7"/>
    <x v="1"/>
    <n v="6186"/>
    <n v="3.3103856595500001"/>
  </r>
  <r>
    <x v="7"/>
    <x v="0"/>
    <n v="301919"/>
    <n v="37.042618941960001"/>
  </r>
  <r>
    <x v="8"/>
    <x v="0"/>
    <n v="280500"/>
    <n v="50.728076434800002"/>
  </r>
  <r>
    <x v="8"/>
    <x v="1"/>
    <n v="5879"/>
    <n v="4.1115274216"/>
  </r>
  <r>
    <x v="9"/>
    <x v="1"/>
    <n v="5564"/>
    <n v="3.8943914660800001"/>
  </r>
  <r>
    <x v="9"/>
    <x v="0"/>
    <n v="275421"/>
    <n v="51.765212753679997"/>
  </r>
  <r>
    <x v="10"/>
    <x v="0"/>
    <n v="280717"/>
    <n v="51.374432695279999"/>
  </r>
  <r>
    <x v="10"/>
    <x v="1"/>
    <n v="5842"/>
    <n v="4.0446506187800004"/>
  </r>
  <r>
    <x v="11"/>
    <x v="0"/>
    <n v="281832"/>
    <n v="54.038921659000003"/>
  </r>
  <r>
    <x v="11"/>
    <x v="1"/>
    <n v="5890"/>
    <n v="4.0853156499600001"/>
  </r>
  <r>
    <x v="12"/>
    <x v="0"/>
    <n v="312010"/>
    <n v="53.200415266"/>
  </r>
  <r>
    <x v="12"/>
    <x v="1"/>
    <n v="5397"/>
    <n v="3.7036823475"/>
  </r>
  <r>
    <x v="13"/>
    <x v="0"/>
    <n v="330336"/>
    <n v="48.795833578500002"/>
  </r>
  <r>
    <x v="13"/>
    <x v="1"/>
    <n v="6750"/>
    <n v="4.091482515"/>
  </r>
  <r>
    <x v="14"/>
    <x v="0"/>
    <n v="296859"/>
    <n v="37.706395682999997"/>
  </r>
  <r>
    <x v="14"/>
    <x v="1"/>
    <n v="6281"/>
    <n v="3.4631623275000001"/>
  </r>
  <r>
    <x v="15"/>
    <x v="0"/>
    <n v="285753"/>
    <n v="52.803579968800001"/>
  </r>
  <r>
    <x v="15"/>
    <x v="1"/>
    <n v="5821"/>
    <n v="3.9145046919199999"/>
  </r>
  <r>
    <x v="16"/>
    <x v="0"/>
    <n v="288071"/>
    <n v="50.796360496319998"/>
  </r>
  <r>
    <x v="16"/>
    <x v="1"/>
    <n v="5586"/>
    <n v="4.0414716561999997"/>
  </r>
  <r>
    <x v="17"/>
    <x v="1"/>
    <n v="5754"/>
    <n v="3.8287983190600001"/>
  </r>
  <r>
    <x v="17"/>
    <x v="0"/>
    <n v="281223"/>
    <n v="51.159747561259998"/>
  </r>
  <r>
    <x v="18"/>
    <x v="1"/>
    <n v="5638"/>
    <n v="3.9668851914999999"/>
  </r>
  <r>
    <x v="18"/>
    <x v="0"/>
    <n v="286713"/>
    <n v="51.694042889000002"/>
  </r>
  <r>
    <x v="19"/>
    <x v="0"/>
    <n v="333390"/>
    <n v="61.113512519179999"/>
  </r>
  <r>
    <x v="19"/>
    <x v="1"/>
    <n v="5638"/>
    <n v="4.0303169616399996"/>
  </r>
  <r>
    <x v="20"/>
    <x v="0"/>
    <n v="346292"/>
    <n v="49.297532500350002"/>
  </r>
  <r>
    <x v="20"/>
    <x v="1"/>
    <n v="7494"/>
    <n v="5.2358751291800001"/>
  </r>
  <r>
    <x v="21"/>
    <x v="1"/>
    <n v="6798"/>
    <n v="4.1395312665499997"/>
  </r>
  <r>
    <x v="21"/>
    <x v="0"/>
    <n v="308867"/>
    <n v="38.270861592099997"/>
  </r>
  <r>
    <x v="22"/>
    <x v="1"/>
    <n v="6882"/>
    <n v="5.2456201258200004"/>
  </r>
  <r>
    <x v="22"/>
    <x v="0"/>
    <n v="314193"/>
    <n v="56.773568151139997"/>
  </r>
  <r>
    <x v="23"/>
    <x v="0"/>
    <n v="278862"/>
    <n v="50.958626702799997"/>
  </r>
  <r>
    <x v="23"/>
    <x v="1"/>
    <n v="6160"/>
    <n v="4.7340453289999997"/>
  </r>
  <r>
    <x v="24"/>
    <x v="1"/>
    <n v="6270"/>
    <n v="4.8457542085599998"/>
  </r>
  <r>
    <x v="24"/>
    <x v="0"/>
    <n v="299466"/>
    <n v="50.114492368199997"/>
  </r>
  <r>
    <x v="25"/>
    <x v="1"/>
    <n v="6022"/>
    <n v="4.2613315254600002"/>
  </r>
  <r>
    <x v="25"/>
    <x v="0"/>
    <n v="286686"/>
    <n v="48.273123154719997"/>
  </r>
  <r>
    <x v="26"/>
    <x v="0"/>
    <n v="317642"/>
    <n v="56.217989811080002"/>
  </r>
  <r>
    <x v="26"/>
    <x v="1"/>
    <n v="6453"/>
    <n v="5.08586306696"/>
  </r>
  <r>
    <x v="27"/>
    <x v="0"/>
    <n v="358355"/>
    <n v="50.597498088599998"/>
  </r>
  <r>
    <x v="27"/>
    <x v="1"/>
    <n v="7217"/>
    <n v="5.2356002517600002"/>
  </r>
  <r>
    <x v="28"/>
    <x v="0"/>
    <n v="304676"/>
    <n v="37.980387403400002"/>
  </r>
  <r>
    <x v="28"/>
    <x v="1"/>
    <n v="6379"/>
    <n v="4.2670438402800004"/>
  </r>
  <r>
    <x v="29"/>
    <x v="0"/>
    <n v="305172"/>
    <n v="58.519331319119999"/>
  </r>
  <r>
    <x v="29"/>
    <x v="1"/>
    <n v="6132"/>
    <n v="4.4975846452799999"/>
  </r>
  <r>
    <x v="30"/>
    <x v="0"/>
    <n v="301614"/>
    <n v="63.147861439609997"/>
  </r>
  <r>
    <x v="30"/>
    <x v="1"/>
    <n v="5751"/>
    <n v="4.3631658518299998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n v="372731"/>
    <n v="65.508008094440001"/>
  </r>
  <r>
    <x v="0"/>
    <x v="1"/>
    <n v="5618"/>
    <n v="3.9395986191799999"/>
  </r>
  <r>
    <x v="1"/>
    <x v="1"/>
    <n v="5978"/>
    <n v="3.6864761678"/>
  </r>
  <r>
    <x v="1"/>
    <x v="0"/>
    <n v="333036"/>
    <n v="50.458838601190003"/>
  </r>
  <r>
    <x v="2"/>
    <x v="1"/>
    <n v="4373"/>
    <n v="2.26063959205"/>
  </r>
  <r>
    <x v="2"/>
    <x v="0"/>
    <n v="266868"/>
    <n v="34.712716489720002"/>
  </r>
  <r>
    <x v="3"/>
    <x v="1"/>
    <n v="6469"/>
    <n v="3.7912693614099999"/>
  </r>
  <r>
    <x v="3"/>
    <x v="0"/>
    <n v="320755"/>
    <n v="45.597780311729998"/>
  </r>
  <r>
    <x v="4"/>
    <x v="0"/>
    <n v="291418"/>
    <n v="37.067641704019998"/>
  </r>
  <r>
    <x v="4"/>
    <x v="1"/>
    <n v="5338"/>
    <n v="2.8801046530000001"/>
  </r>
  <r>
    <x v="5"/>
    <x v="0"/>
    <n v="332506"/>
    <n v="57.900816189350003"/>
  </r>
  <r>
    <x v="5"/>
    <x v="1"/>
    <n v="5274"/>
    <n v="3.6846000597100002"/>
  </r>
  <r>
    <x v="6"/>
    <x v="0"/>
    <n v="289149"/>
    <n v="58.19598122008"/>
  </r>
  <r>
    <x v="6"/>
    <x v="1"/>
    <n v="6048"/>
    <n v="5.2357572152799996"/>
  </r>
  <r>
    <x v="7"/>
    <x v="0"/>
    <n v="288991"/>
    <n v="51.621760822539997"/>
  </r>
  <r>
    <x v="7"/>
    <x v="1"/>
    <n v="5764"/>
    <n v="4.3454050978799996"/>
  </r>
  <r>
    <x v="8"/>
    <x v="1"/>
    <n v="5344"/>
    <n v="3.6503281886000001"/>
  </r>
  <r>
    <x v="8"/>
    <x v="0"/>
    <n v="288583"/>
    <n v="48.386412808000003"/>
  </r>
  <r>
    <x v="9"/>
    <x v="1"/>
    <n v="5572"/>
    <n v="4.2753619895800004"/>
  </r>
  <r>
    <x v="9"/>
    <x v="0"/>
    <n v="317132"/>
    <n v="53.632044881079999"/>
  </r>
  <r>
    <x v="10"/>
    <x v="0"/>
    <n v="336942"/>
    <n v="48.25131223044"/>
  </r>
  <r>
    <x v="10"/>
    <x v="1"/>
    <n v="6686"/>
    <n v="4.3444214456600001"/>
  </r>
  <r>
    <x v="11"/>
    <x v="0"/>
    <n v="267046"/>
    <n v="30.818126618880001"/>
  </r>
  <r>
    <x v="11"/>
    <x v="1"/>
    <n v="4938"/>
    <n v="2.5691273023800001"/>
  </r>
  <r>
    <x v="12"/>
    <x v="0"/>
    <n v="297815"/>
    <n v="52.138402042400003"/>
  </r>
  <r>
    <x v="12"/>
    <x v="1"/>
    <n v="5559"/>
    <n v="3.8088286187399998"/>
  </r>
  <r>
    <x v="13"/>
    <x v="1"/>
    <n v="5453"/>
    <n v="3.4949011953800002"/>
  </r>
  <r>
    <x v="13"/>
    <x v="0"/>
    <n v="297062"/>
    <n v="53.833463417579999"/>
  </r>
  <r>
    <x v="14"/>
    <x v="0"/>
    <n v="300975"/>
    <n v="59.862621864559998"/>
  </r>
  <r>
    <x v="14"/>
    <x v="1"/>
    <n v="6376"/>
    <n v="4.25710404304"/>
  </r>
  <r>
    <x v="15"/>
    <x v="0"/>
    <n v="301786"/>
    <n v="52.863929420719998"/>
  </r>
  <r>
    <x v="15"/>
    <x v="1"/>
    <n v="5992"/>
    <n v="4.08376142912"/>
  </r>
  <r>
    <x v="16"/>
    <x v="1"/>
    <n v="5573"/>
    <n v="3.37602802938"/>
  </r>
  <r>
    <x v="16"/>
    <x v="0"/>
    <n v="312734"/>
    <n v="51.406020705940001"/>
  </r>
  <r>
    <x v="17"/>
    <x v="0"/>
    <n v="352795"/>
    <n v="50.295489320340003"/>
  </r>
  <r>
    <x v="17"/>
    <x v="1"/>
    <n v="6997"/>
    <n v="4.2597163564200002"/>
  </r>
  <r>
    <x v="18"/>
    <x v="0"/>
    <n v="312898"/>
    <n v="38.317670302240003"/>
  </r>
  <r>
    <x v="18"/>
    <x v="1"/>
    <n v="6085"/>
    <n v="3.0764531529600001"/>
  </r>
  <r>
    <x v="19"/>
    <x v="0"/>
    <n v="355084"/>
    <n v="73.111189949960007"/>
  </r>
  <r>
    <x v="19"/>
    <x v="1"/>
    <n v="9622"/>
    <n v="8.7532901772000002"/>
  </r>
  <r>
    <x v="20"/>
    <x v="0"/>
    <n v="328922"/>
    <n v="64.068913313590002"/>
  </r>
  <r>
    <x v="20"/>
    <x v="1"/>
    <n v="8938"/>
    <n v="8.1508850918700002"/>
  </r>
  <r>
    <x v="21"/>
    <x v="1"/>
    <n v="9333"/>
    <n v="8.6074123175999997"/>
  </r>
  <r>
    <x v="21"/>
    <x v="0"/>
    <n v="317238"/>
    <n v="60.191406670399999"/>
  </r>
  <r>
    <x v="22"/>
    <x v="1"/>
    <n v="9397"/>
    <n v="8.8178707803599998"/>
  </r>
  <r>
    <x v="22"/>
    <x v="0"/>
    <n v="298067"/>
    <n v="57.366504955179998"/>
  </r>
  <r>
    <x v="23"/>
    <x v="1"/>
    <n v="5450"/>
    <n v="3.73412148337"/>
  </r>
  <r>
    <x v="23"/>
    <x v="0"/>
    <n v="282983"/>
    <n v="46.77300862047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 dinámica2" cacheId="465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5" indent="0" compact="0" outline="1" outlineData="1" compactData="0" multipleFieldFilters="0" rowHeaderCaption="CODMES">
  <location ref="A5:F43" firstHeaderRow="0" firstDataRow="1" firstDataCol="2"/>
  <pivotFields count="6">
    <pivotField axis="axisRow" compact="0" showAll="0" sortType="ascending">
      <items count="3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x="29"/>
        <item sd="0"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8">
        <item x="0"/>
        <item x="6"/>
        <item x="1"/>
        <item x="5"/>
        <item x="3"/>
        <item x="4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78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78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78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0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NumCuotas" fld="5" baseField="0" baseItem="0" numFmtId="178"/>
    <dataField name="FactuPonderada" fld="2" baseField="0" baseItem="0"/>
    <dataField name="FactuCuotas" fld="3" baseField="0" baseItem="0"/>
    <dataField name="ClientesCuotas" fld="4" baseField="0" baseItem="0"/>
  </dataFields>
  <formats count="32">
    <format dxfId="249">
      <pivotArea outline="0" collapsedLevelsAreSubtotals="1" fieldPosition="0"/>
    </format>
    <format dxfId="248">
      <pivotArea dataOnly="0" labelOnly="1" outline="0" fieldPosition="0">
        <references count="1">
          <reference field="0" count="1">
            <x v="1"/>
          </reference>
        </references>
      </pivotArea>
    </format>
    <format dxfId="247">
      <pivotArea dataOnly="0" labelOnly="1" outline="0" fieldPosition="0">
        <references count="1">
          <reference field="0" count="1">
            <x v="2"/>
          </reference>
        </references>
      </pivotArea>
    </format>
    <format dxfId="246">
      <pivotArea dataOnly="0" labelOnly="1" outline="0" fieldPosition="0">
        <references count="1">
          <reference field="0" count="1">
            <x v="3"/>
          </reference>
        </references>
      </pivotArea>
    </format>
    <format dxfId="245">
      <pivotArea dataOnly="0" labelOnly="1" outline="0" fieldPosition="0">
        <references count="1">
          <reference field="0" count="1">
            <x v="4"/>
          </reference>
        </references>
      </pivotArea>
    </format>
    <format dxfId="244">
      <pivotArea dataOnly="0" labelOnly="1" outline="0" fieldPosition="0">
        <references count="1">
          <reference field="0" count="1">
            <x v="5"/>
          </reference>
        </references>
      </pivotArea>
    </format>
    <format dxfId="243">
      <pivotArea dataOnly="0" labelOnly="1" outline="0" fieldPosition="0">
        <references count="1">
          <reference field="0" count="1">
            <x v="6"/>
          </reference>
        </references>
      </pivotArea>
    </format>
    <format dxfId="242">
      <pivotArea dataOnly="0" labelOnly="1" outline="0" fieldPosition="0">
        <references count="1">
          <reference field="0" count="1">
            <x v="7"/>
          </reference>
        </references>
      </pivotArea>
    </format>
    <format dxfId="241">
      <pivotArea dataOnly="0" labelOnly="1" outline="0" fieldPosition="0">
        <references count="1">
          <reference field="0" count="1">
            <x v="8"/>
          </reference>
        </references>
      </pivotArea>
    </format>
    <format dxfId="240">
      <pivotArea dataOnly="0" labelOnly="1" outline="0" fieldPosition="0">
        <references count="1">
          <reference field="0" count="1">
            <x v="9"/>
          </reference>
        </references>
      </pivotArea>
    </format>
    <format dxfId="239">
      <pivotArea dataOnly="0" labelOnly="1" outline="0" fieldPosition="0">
        <references count="1">
          <reference field="0" count="1">
            <x v="10"/>
          </reference>
        </references>
      </pivotArea>
    </format>
    <format dxfId="238">
      <pivotArea dataOnly="0" labelOnly="1" outline="0" fieldPosition="0">
        <references count="1">
          <reference field="0" count="1">
            <x v="11"/>
          </reference>
        </references>
      </pivotArea>
    </format>
    <format dxfId="237">
      <pivotArea dataOnly="0" labelOnly="1" outline="0" fieldPosition="0">
        <references count="1">
          <reference field="0" count="1">
            <x v="12"/>
          </reference>
        </references>
      </pivotArea>
    </format>
    <format dxfId="236">
      <pivotArea dataOnly="0" labelOnly="1" outline="0" fieldPosition="0">
        <references count="1">
          <reference field="0" count="1">
            <x v="13"/>
          </reference>
        </references>
      </pivotArea>
    </format>
    <format dxfId="235">
      <pivotArea dataOnly="0" labelOnly="1" outline="0" fieldPosition="0">
        <references count="1">
          <reference field="0" count="1">
            <x v="14"/>
          </reference>
        </references>
      </pivotArea>
    </format>
    <format dxfId="234">
      <pivotArea dataOnly="0" labelOnly="1" outline="0" fieldPosition="0">
        <references count="1">
          <reference field="0" count="1">
            <x v="15"/>
          </reference>
        </references>
      </pivotArea>
    </format>
    <format dxfId="233">
      <pivotArea dataOnly="0" labelOnly="1" outline="0" fieldPosition="0">
        <references count="1">
          <reference field="0" count="1">
            <x v="16"/>
          </reference>
        </references>
      </pivotArea>
    </format>
    <format dxfId="232">
      <pivotArea dataOnly="0" labelOnly="1" outline="0" fieldPosition="0">
        <references count="1">
          <reference field="0" count="1">
            <x v="17"/>
          </reference>
        </references>
      </pivotArea>
    </format>
    <format dxfId="231">
      <pivotArea dataOnly="0" labelOnly="1" outline="0" fieldPosition="0">
        <references count="1">
          <reference field="0" count="1">
            <x v="18"/>
          </reference>
        </references>
      </pivotArea>
    </format>
    <format dxfId="230">
      <pivotArea dataOnly="0" labelOnly="1" outline="0" fieldPosition="0">
        <references count="1">
          <reference field="0" count="1">
            <x v="19"/>
          </reference>
        </references>
      </pivotArea>
    </format>
    <format dxfId="229">
      <pivotArea dataOnly="0" labelOnly="1" outline="0" fieldPosition="0">
        <references count="1">
          <reference field="0" count="1">
            <x v="20"/>
          </reference>
        </references>
      </pivotArea>
    </format>
    <format dxfId="228">
      <pivotArea dataOnly="0" labelOnly="1" outline="0" fieldPosition="0">
        <references count="1">
          <reference field="0" count="1">
            <x v="21"/>
          </reference>
        </references>
      </pivotArea>
    </format>
    <format dxfId="227">
      <pivotArea dataOnly="0" labelOnly="1" outline="0" fieldPosition="0">
        <references count="1">
          <reference field="0" count="1">
            <x v="22"/>
          </reference>
        </references>
      </pivotArea>
    </format>
    <format dxfId="226">
      <pivotArea dataOnly="0" labelOnly="1" outline="0" fieldPosition="0">
        <references count="1">
          <reference field="0" count="1">
            <x v="23"/>
          </reference>
        </references>
      </pivotArea>
    </format>
    <format dxfId="225">
      <pivotArea dataOnly="0" labelOnly="1" outline="0" fieldPosition="0">
        <references count="1">
          <reference field="0" count="1">
            <x v="24"/>
          </reference>
        </references>
      </pivotArea>
    </format>
    <format dxfId="224">
      <pivotArea dataOnly="0" labelOnly="1" outline="0" fieldPosition="0">
        <references count="1">
          <reference field="0" count="1">
            <x v="25"/>
          </reference>
        </references>
      </pivotArea>
    </format>
    <format dxfId="223">
      <pivotArea dataOnly="0" labelOnly="1" outline="0" fieldPosition="0">
        <references count="1">
          <reference field="0" count="1">
            <x v="26"/>
          </reference>
        </references>
      </pivotArea>
    </format>
    <format dxfId="222">
      <pivotArea dataOnly="0" labelOnly="1" outline="0" fieldPosition="0">
        <references count="1">
          <reference field="0" count="1">
            <x v="27"/>
          </reference>
        </references>
      </pivotArea>
    </format>
    <format dxfId="221">
      <pivotArea dataOnly="0" labelOnly="1" outline="0" fieldPosition="0">
        <references count="1">
          <reference field="0" count="1">
            <x v="28"/>
          </reference>
        </references>
      </pivotArea>
    </format>
    <format dxfId="220">
      <pivotArea dataOnly="0" labelOnly="1" outline="0" fieldPosition="0">
        <references count="1">
          <reference field="0" count="1">
            <x v="29"/>
          </reference>
        </references>
      </pivotArea>
    </format>
    <format dxfId="219">
      <pivotArea dataOnly="0" labelOnly="1" outline="0" fieldPosition="0">
        <references count="1">
          <reference field="0" count="1">
            <x v="30"/>
          </reference>
        </references>
      </pivotArea>
    </format>
    <format dxfId="218">
      <pivotArea dataOnly="0" labelOnly="1" outline="0" fieldPosition="0">
        <references count="1">
          <reference field="0" count="1">
            <x v="0"/>
          </reference>
        </references>
      </pivotArea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abla dinámica3" cacheId="464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5" indent="0" compact="0" outline="1" outlineData="1" compactData="0" multipleFieldFilters="0">
  <location ref="J5:O43" firstHeaderRow="0" firstDataRow="1" firstDataCol="2"/>
  <pivotFields count="6">
    <pivotField axis="axisRow" compact="0" showAll="0">
      <items count="3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x="29"/>
        <item sd="0"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8">
        <item x="1"/>
        <item x="2"/>
        <item x="5"/>
        <item x="4"/>
        <item x="0"/>
        <item x="6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0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NumCuotas" fld="5" baseField="0" baseItem="0"/>
    <dataField name="FactuPonderada" fld="3" baseField="0" baseItem="0"/>
    <dataField name="FactuCuotas" fld="4" baseField="0" baseItem="0"/>
    <dataField name="ClientesCuotas" fld="2" baseField="0" baseItem="0"/>
  </dataFields>
  <formats count="1">
    <format dxfId="250">
      <pivotArea outline="0" collapsedLevelsAreSubtotals="1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Tabla dinámica3" cacheId="463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5" indent="0" compact="0" outline="1" outlineData="1" compactData="0" multipleFieldFilters="0">
  <location ref="J5:O65" firstHeaderRow="0" firstDataRow="1" firstDataCol="2"/>
  <pivotFields count="6">
    <pivotField axis="axisRow" compact="0" showAl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h="1" x="60"/>
        <item sd="0" x="53"/>
        <item sd="0" x="54"/>
        <item sd="0" x="55"/>
        <item sd="0" x="56"/>
        <item sd="0" x="57"/>
        <item sd="0" x="58"/>
        <item sd="0" x="5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26">
        <item x="1"/>
        <item x="2"/>
        <item x="5"/>
        <item x="4"/>
        <item x="0"/>
        <item x="6"/>
        <item x="3"/>
        <item x="7"/>
        <item m="1" x="12"/>
        <item m="1" x="19"/>
        <item m="1" x="9"/>
        <item m="1" x="16"/>
        <item m="1" x="23"/>
        <item m="1" x="14"/>
        <item m="1" x="21"/>
        <item m="1" x="11"/>
        <item m="1" x="18"/>
        <item m="1" x="8"/>
        <item m="1" x="15"/>
        <item m="1" x="22"/>
        <item m="1" x="13"/>
        <item m="1" x="20"/>
        <item m="1" x="10"/>
        <item m="1" x="17"/>
        <item m="1" x="2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4"/>
    </i>
    <i>
      <x v="55"/>
    </i>
    <i>
      <x v="56"/>
    </i>
    <i>
      <x v="57"/>
    </i>
    <i>
      <x v="58"/>
    </i>
    <i>
      <x v="59"/>
    </i>
    <i>
      <x v="60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NumCuotas" fld="5" baseField="0" baseItem="0"/>
    <dataField name="FactuPonderada" fld="3" baseField="0" baseItem="0"/>
    <dataField name="FactuCuotas" fld="4" baseField="0" baseItem="0"/>
    <dataField name="ClientesCuotas" fld="2" baseField="0" baseItem="0"/>
  </dataFields>
  <formats count="57">
    <format dxfId="103">
      <pivotArea outline="0" collapsedLevelsAreSubtotals="1" fieldPosition="0"/>
    </format>
    <format dxfId="102">
      <pivotArea collapsedLevelsAreSubtotals="1" fieldPosition="0">
        <references count="1">
          <reference field="0" count="1">
            <x v="30"/>
          </reference>
        </references>
      </pivotArea>
    </format>
    <format dxfId="101">
      <pivotArea dataOnly="0" labelOnly="1" outline="0" fieldPosition="0">
        <references count="1">
          <reference field="0" count="1">
            <x v="30"/>
          </reference>
        </references>
      </pivotArea>
    </format>
    <format dxfId="100">
      <pivotArea field="0" type="button" dataOnly="0" labelOnly="1" outline="0" axis="axisRow" fieldPosition="0"/>
    </format>
    <format dxfId="99">
      <pivotArea dataOnly="0" labelOnly="1" outline="0" fieldPosition="0">
        <references count="1">
          <reference field="0" count="1">
            <x v="0"/>
          </reference>
        </references>
      </pivotArea>
    </format>
    <format dxfId="98">
      <pivotArea dataOnly="0" labelOnly="1" outline="0" fieldPosition="0">
        <references count="1">
          <reference field="0" count="1">
            <x v="1"/>
          </reference>
        </references>
      </pivotArea>
    </format>
    <format dxfId="97">
      <pivotArea dataOnly="0" labelOnly="1" outline="0" fieldPosition="0">
        <references count="1">
          <reference field="0" count="1">
            <x v="2"/>
          </reference>
        </references>
      </pivotArea>
    </format>
    <format dxfId="96">
      <pivotArea dataOnly="0" labelOnly="1" outline="0" fieldPosition="0">
        <references count="1">
          <reference field="0" count="1">
            <x v="3"/>
          </reference>
        </references>
      </pivotArea>
    </format>
    <format dxfId="95">
      <pivotArea dataOnly="0" labelOnly="1" outline="0" fieldPosition="0">
        <references count="1">
          <reference field="0" count="1">
            <x v="4"/>
          </reference>
        </references>
      </pivotArea>
    </format>
    <format dxfId="94">
      <pivotArea dataOnly="0" labelOnly="1" outline="0" fieldPosition="0">
        <references count="1">
          <reference field="0" count="1">
            <x v="5"/>
          </reference>
        </references>
      </pivotArea>
    </format>
    <format dxfId="93">
      <pivotArea dataOnly="0" labelOnly="1" outline="0" fieldPosition="0">
        <references count="1">
          <reference field="0" count="1">
            <x v="6"/>
          </reference>
        </references>
      </pivotArea>
    </format>
    <format dxfId="92">
      <pivotArea dataOnly="0" labelOnly="1" outline="0" fieldPosition="0">
        <references count="1">
          <reference field="0" count="1">
            <x v="7"/>
          </reference>
        </references>
      </pivotArea>
    </format>
    <format dxfId="91">
      <pivotArea dataOnly="0" labelOnly="1" outline="0" fieldPosition="0">
        <references count="1">
          <reference field="0" count="1">
            <x v="8"/>
          </reference>
        </references>
      </pivotArea>
    </format>
    <format dxfId="90">
      <pivotArea dataOnly="0" labelOnly="1" outline="0" fieldPosition="0">
        <references count="1">
          <reference field="0" count="1">
            <x v="9"/>
          </reference>
        </references>
      </pivotArea>
    </format>
    <format dxfId="89">
      <pivotArea dataOnly="0" labelOnly="1" outline="0" fieldPosition="0">
        <references count="1">
          <reference field="0" count="1">
            <x v="10"/>
          </reference>
        </references>
      </pivotArea>
    </format>
    <format dxfId="88">
      <pivotArea dataOnly="0" labelOnly="1" outline="0" fieldPosition="0">
        <references count="1">
          <reference field="0" count="1">
            <x v="11"/>
          </reference>
        </references>
      </pivotArea>
    </format>
    <format dxfId="87">
      <pivotArea dataOnly="0" labelOnly="1" outline="0" fieldPosition="0">
        <references count="1">
          <reference field="0" count="1">
            <x v="12"/>
          </reference>
        </references>
      </pivotArea>
    </format>
    <format dxfId="86">
      <pivotArea dataOnly="0" labelOnly="1" outline="0" fieldPosition="0">
        <references count="1">
          <reference field="0" count="1">
            <x v="13"/>
          </reference>
        </references>
      </pivotArea>
    </format>
    <format dxfId="85">
      <pivotArea dataOnly="0" labelOnly="1" outline="0" fieldPosition="0">
        <references count="1">
          <reference field="0" count="1">
            <x v="14"/>
          </reference>
        </references>
      </pivotArea>
    </format>
    <format dxfId="84">
      <pivotArea dataOnly="0" labelOnly="1" outline="0" fieldPosition="0">
        <references count="1">
          <reference field="0" count="1">
            <x v="15"/>
          </reference>
        </references>
      </pivotArea>
    </format>
    <format dxfId="83">
      <pivotArea dataOnly="0" labelOnly="1" outline="0" fieldPosition="0">
        <references count="1">
          <reference field="0" count="1">
            <x v="16"/>
          </reference>
        </references>
      </pivotArea>
    </format>
    <format dxfId="82">
      <pivotArea dataOnly="0" labelOnly="1" outline="0" fieldPosition="0">
        <references count="1">
          <reference field="0" count="1">
            <x v="17"/>
          </reference>
        </references>
      </pivotArea>
    </format>
    <format dxfId="81">
      <pivotArea dataOnly="0" labelOnly="1" outline="0" fieldPosition="0">
        <references count="1">
          <reference field="0" count="1">
            <x v="18"/>
          </reference>
        </references>
      </pivotArea>
    </format>
    <format dxfId="80">
      <pivotArea dataOnly="0" labelOnly="1" outline="0" fieldPosition="0">
        <references count="1">
          <reference field="0" count="1">
            <x v="19"/>
          </reference>
        </references>
      </pivotArea>
    </format>
    <format dxfId="79">
      <pivotArea dataOnly="0" labelOnly="1" outline="0" fieldPosition="0">
        <references count="1">
          <reference field="0" count="1">
            <x v="20"/>
          </reference>
        </references>
      </pivotArea>
    </format>
    <format dxfId="78">
      <pivotArea dataOnly="0" labelOnly="1" outline="0" fieldPosition="0">
        <references count="1">
          <reference field="0" count="1">
            <x v="21"/>
          </reference>
        </references>
      </pivotArea>
    </format>
    <format dxfId="77">
      <pivotArea dataOnly="0" labelOnly="1" outline="0" fieldPosition="0">
        <references count="1">
          <reference field="0" count="1">
            <x v="22"/>
          </reference>
        </references>
      </pivotArea>
    </format>
    <format dxfId="76">
      <pivotArea dataOnly="0" labelOnly="1" outline="0" fieldPosition="0">
        <references count="1">
          <reference field="0" count="1">
            <x v="23"/>
          </reference>
        </references>
      </pivotArea>
    </format>
    <format dxfId="75">
      <pivotArea dataOnly="0" labelOnly="1" outline="0" fieldPosition="0">
        <references count="1">
          <reference field="0" count="1">
            <x v="24"/>
          </reference>
        </references>
      </pivotArea>
    </format>
    <format dxfId="74">
      <pivotArea dataOnly="0" labelOnly="1" outline="0" fieldPosition="0">
        <references count="1">
          <reference field="0" count="1">
            <x v="25"/>
          </reference>
        </references>
      </pivotArea>
    </format>
    <format dxfId="73">
      <pivotArea dataOnly="0" labelOnly="1" outline="0" fieldPosition="0">
        <references count="1">
          <reference field="0" count="1">
            <x v="26"/>
          </reference>
        </references>
      </pivotArea>
    </format>
    <format dxfId="72">
      <pivotArea dataOnly="0" labelOnly="1" outline="0" fieldPosition="0">
        <references count="1">
          <reference field="0" count="1">
            <x v="27"/>
          </reference>
        </references>
      </pivotArea>
    </format>
    <format dxfId="71">
      <pivotArea dataOnly="0" labelOnly="1" outline="0" fieldPosition="0">
        <references count="1">
          <reference field="0" count="1">
            <x v="28"/>
          </reference>
        </references>
      </pivotArea>
    </format>
    <format dxfId="70">
      <pivotArea dataOnly="0" labelOnly="1" outline="0" fieldPosition="0">
        <references count="1">
          <reference field="0" count="1">
            <x v="29"/>
          </reference>
        </references>
      </pivotArea>
    </format>
    <format dxfId="69">
      <pivotArea dataOnly="0" labelOnly="1" outline="0" fieldPosition="0">
        <references count="1">
          <reference field="0" count="1">
            <x v="30"/>
          </reference>
        </references>
      </pivotArea>
    </format>
    <format dxfId="68">
      <pivotArea dataOnly="0" labelOnly="1" outline="0" fieldPosition="0">
        <references count="1">
          <reference field="0" count="1">
            <x v="31"/>
          </reference>
        </references>
      </pivotArea>
    </format>
    <format dxfId="67">
      <pivotArea dataOnly="0" labelOnly="1" outline="0" fieldPosition="0">
        <references count="1">
          <reference field="0" count="1">
            <x v="32"/>
          </reference>
        </references>
      </pivotArea>
    </format>
    <format dxfId="66">
      <pivotArea dataOnly="0" labelOnly="1" outline="0" fieldPosition="0">
        <references count="1">
          <reference field="0" count="1">
            <x v="33"/>
          </reference>
        </references>
      </pivotArea>
    </format>
    <format dxfId="65">
      <pivotArea dataOnly="0" labelOnly="1" outline="0" fieldPosition="0">
        <references count="1">
          <reference field="0" count="1">
            <x v="34"/>
          </reference>
        </references>
      </pivotArea>
    </format>
    <format dxfId="64">
      <pivotArea dataOnly="0" labelOnly="1" outline="0" fieldPosition="0">
        <references count="1">
          <reference field="0" count="1">
            <x v="35"/>
          </reference>
        </references>
      </pivotArea>
    </format>
    <format dxfId="63">
      <pivotArea dataOnly="0" labelOnly="1" outline="0" fieldPosition="0">
        <references count="1">
          <reference field="0" count="1">
            <x v="36"/>
          </reference>
        </references>
      </pivotArea>
    </format>
    <format dxfId="62">
      <pivotArea dataOnly="0" labelOnly="1" outline="0" fieldPosition="0">
        <references count="1">
          <reference field="0" count="1">
            <x v="37"/>
          </reference>
        </references>
      </pivotArea>
    </format>
    <format dxfId="61">
      <pivotArea dataOnly="0" labelOnly="1" outline="0" fieldPosition="0">
        <references count="1">
          <reference field="0" count="1">
            <x v="38"/>
          </reference>
        </references>
      </pivotArea>
    </format>
    <format dxfId="60">
      <pivotArea dataOnly="0" labelOnly="1" outline="0" fieldPosition="0">
        <references count="1">
          <reference field="0" count="1">
            <x v="39"/>
          </reference>
        </references>
      </pivotArea>
    </format>
    <format dxfId="59">
      <pivotArea dataOnly="0" labelOnly="1" outline="0" fieldPosition="0">
        <references count="1">
          <reference field="0" count="1">
            <x v="40"/>
          </reference>
        </references>
      </pivotArea>
    </format>
    <format dxfId="58">
      <pivotArea dataOnly="0" labelOnly="1" outline="0" fieldPosition="0">
        <references count="1">
          <reference field="0" count="1">
            <x v="41"/>
          </reference>
        </references>
      </pivotArea>
    </format>
    <format dxfId="57">
      <pivotArea dataOnly="0" labelOnly="1" outline="0" fieldPosition="0">
        <references count="1">
          <reference field="0" count="1">
            <x v="42"/>
          </reference>
        </references>
      </pivotArea>
    </format>
    <format dxfId="56">
      <pivotArea dataOnly="0" labelOnly="1" outline="0" fieldPosition="0">
        <references count="1">
          <reference field="0" count="1">
            <x v="43"/>
          </reference>
        </references>
      </pivotArea>
    </format>
    <format dxfId="55">
      <pivotArea dataOnly="0" labelOnly="1" outline="0" fieldPosition="0">
        <references count="1">
          <reference field="0" count="1">
            <x v="44"/>
          </reference>
        </references>
      </pivotArea>
    </format>
    <format dxfId="54">
      <pivotArea dataOnly="0" labelOnly="1" outline="0" fieldPosition="0">
        <references count="1">
          <reference field="0" count="1">
            <x v="45"/>
          </reference>
        </references>
      </pivotArea>
    </format>
    <format dxfId="53">
      <pivotArea dataOnly="0" labelOnly="1" outline="0" fieldPosition="0">
        <references count="1">
          <reference field="0" count="1">
            <x v="46"/>
          </reference>
        </references>
      </pivotArea>
    </format>
    <format dxfId="52">
      <pivotArea dataOnly="0" labelOnly="1" outline="0" fieldPosition="0">
        <references count="1">
          <reference field="0" count="1">
            <x v="47"/>
          </reference>
        </references>
      </pivotArea>
    </format>
    <format dxfId="51">
      <pivotArea dataOnly="0" fieldPosition="0">
        <references count="1">
          <reference field="0" count="1">
            <x v="48"/>
          </reference>
        </references>
      </pivotArea>
    </format>
    <format dxfId="50">
      <pivotArea dataOnly="0" labelOnly="1" outline="0" fieldPosition="0">
        <references count="1">
          <reference field="0" count="1">
            <x v="49"/>
          </reference>
        </references>
      </pivotArea>
    </format>
    <format dxfId="49">
      <pivotArea dataOnly="0" fieldPosition="0">
        <references count="1">
          <reference field="0" count="1">
            <x v="50"/>
          </reference>
        </references>
      </pivotArea>
    </format>
    <format dxfId="48">
      <pivotArea dataOnly="0" fieldPosition="0">
        <references count="1">
          <reference field="0" count="1">
            <x v="51"/>
          </reference>
        </references>
      </pivotArea>
    </format>
    <format dxfId="47">
      <pivotArea dataOnly="0" labelOnly="1" fieldPosition="0">
        <references count="1">
          <reference field="0" count="0"/>
        </references>
      </pivotArea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la dinámica1" cacheId="467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5" indent="0" compact="0" outline="1" outlineData="1" compactData="0" multipleFieldFilters="0" rowHeaderCaption="CODMES">
  <location ref="A5:F65" firstHeaderRow="0" firstDataRow="1" firstDataCol="2"/>
  <pivotFields count="7">
    <pivotField axis="axisRow" compact="0" showAll="0" sortType="ascending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h="1" x="6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84">
        <item x="5"/>
        <item x="2"/>
        <item x="4"/>
        <item x="3"/>
        <item x="6"/>
        <item x="1"/>
        <item x="0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m="1" x="48"/>
        <item m="1" x="67"/>
        <item m="1" x="40"/>
        <item m="1" x="59"/>
        <item m="1" x="78"/>
        <item m="1" x="53"/>
        <item m="1" x="72"/>
        <item m="1" x="46"/>
        <item m="1" x="65"/>
        <item m="1" x="38"/>
        <item m="1" x="57"/>
        <item m="1" x="76"/>
        <item m="1" x="51"/>
        <item m="1" x="70"/>
        <item m="1" x="44"/>
        <item m="1" x="63"/>
        <item m="1" x="82"/>
        <item m="1" x="43"/>
        <item m="1" x="62"/>
        <item m="1" x="81"/>
        <item m="1" x="55"/>
        <item m="1" x="74"/>
        <item m="1" x="49"/>
        <item m="1" x="68"/>
        <item m="1" x="41"/>
        <item m="1" x="60"/>
        <item m="1" x="79"/>
        <item m="1" x="54"/>
        <item m="1" x="73"/>
        <item m="1" x="47"/>
        <item m="1" x="66"/>
        <item m="1" x="39"/>
        <item m="1" x="58"/>
        <item m="1" x="77"/>
        <item m="1" x="52"/>
        <item m="1" x="71"/>
        <item m="1" x="45"/>
        <item m="1" x="64"/>
        <item m="1" x="37"/>
        <item m="1" x="56"/>
        <item m="1" x="75"/>
        <item m="1" x="50"/>
        <item m="1" x="69"/>
        <item m="1" x="42"/>
        <item m="1" x="61"/>
        <item m="1" x="8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78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78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78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NumCuotas" fld="5" baseField="0" baseItem="0" numFmtId="178"/>
    <dataField name="FactuPonderada" fld="2" baseField="0" baseItem="0"/>
    <dataField name="FactuCuotas" fld="3" baseField="0" baseItem="0"/>
    <dataField name="ClientesCuotas" fld="4" baseField="0" baseItem="0"/>
  </dataFields>
  <formats count="114">
    <format dxfId="217">
      <pivotArea outline="0" collapsedLevelsAreSubtotals="1" fieldPosition="0"/>
    </format>
    <format dxfId="216">
      <pivotArea field="0" type="button" dataOnly="0" labelOnly="1" outline="0" axis="axisRow" fieldPosition="0"/>
    </format>
    <format dxfId="215">
      <pivotArea dataOnly="0" labelOnly="1" outline="0" fieldPosition="0">
        <references count="1">
          <reference field="0" count="1">
            <x v="0"/>
          </reference>
        </references>
      </pivotArea>
    </format>
    <format dxfId="214">
      <pivotArea dataOnly="0" labelOnly="1" outline="0" fieldPosition="0">
        <references count="1">
          <reference field="0" count="1">
            <x v="1"/>
          </reference>
        </references>
      </pivotArea>
    </format>
    <format dxfId="213">
      <pivotArea dataOnly="0" labelOnly="1" outline="0" fieldPosition="0">
        <references count="1">
          <reference field="0" count="1">
            <x v="2"/>
          </reference>
        </references>
      </pivotArea>
    </format>
    <format dxfId="212">
      <pivotArea dataOnly="0" labelOnly="1" outline="0" fieldPosition="0">
        <references count="1">
          <reference field="0" count="1">
            <x v="3"/>
          </reference>
        </references>
      </pivotArea>
    </format>
    <format dxfId="211">
      <pivotArea dataOnly="0" labelOnly="1" outline="0" fieldPosition="0">
        <references count="1">
          <reference field="0" count="1">
            <x v="4"/>
          </reference>
        </references>
      </pivotArea>
    </format>
    <format dxfId="210">
      <pivotArea dataOnly="0" labelOnly="1" outline="0" fieldPosition="0">
        <references count="1">
          <reference field="0" count="1">
            <x v="5"/>
          </reference>
        </references>
      </pivotArea>
    </format>
    <format dxfId="209">
      <pivotArea dataOnly="0" labelOnly="1" outline="0" fieldPosition="0">
        <references count="1">
          <reference field="0" count="1">
            <x v="6"/>
          </reference>
        </references>
      </pivotArea>
    </format>
    <format dxfId="208">
      <pivotArea dataOnly="0" labelOnly="1" outline="0" fieldPosition="0">
        <references count="1">
          <reference field="0" count="1">
            <x v="7"/>
          </reference>
        </references>
      </pivotArea>
    </format>
    <format dxfId="207">
      <pivotArea dataOnly="0" labelOnly="1" outline="0" fieldPosition="0">
        <references count="1">
          <reference field="0" count="1">
            <x v="8"/>
          </reference>
        </references>
      </pivotArea>
    </format>
    <format dxfId="206">
      <pivotArea dataOnly="0" labelOnly="1" outline="0" fieldPosition="0">
        <references count="1">
          <reference field="0" count="1">
            <x v="9"/>
          </reference>
        </references>
      </pivotArea>
    </format>
    <format dxfId="205">
      <pivotArea dataOnly="0" labelOnly="1" outline="0" fieldPosition="0">
        <references count="1">
          <reference field="0" count="1">
            <x v="10"/>
          </reference>
        </references>
      </pivotArea>
    </format>
    <format dxfId="204">
      <pivotArea dataOnly="0" labelOnly="1" outline="0" fieldPosition="0">
        <references count="1">
          <reference field="0" count="1">
            <x v="11"/>
          </reference>
        </references>
      </pivotArea>
    </format>
    <format dxfId="203">
      <pivotArea dataOnly="0" labelOnly="1" outline="0" fieldPosition="0">
        <references count="1">
          <reference field="0" count="1">
            <x v="12"/>
          </reference>
        </references>
      </pivotArea>
    </format>
    <format dxfId="202">
      <pivotArea dataOnly="0" labelOnly="1" outline="0" fieldPosition="0">
        <references count="1">
          <reference field="0" count="1">
            <x v="13"/>
          </reference>
        </references>
      </pivotArea>
    </format>
    <format dxfId="201">
      <pivotArea dataOnly="0" labelOnly="1" outline="0" fieldPosition="0">
        <references count="1">
          <reference field="0" count="1">
            <x v="14"/>
          </reference>
        </references>
      </pivotArea>
    </format>
    <format dxfId="200">
      <pivotArea dataOnly="0" labelOnly="1" outline="0" fieldPosition="0">
        <references count="1">
          <reference field="0" count="1">
            <x v="15"/>
          </reference>
        </references>
      </pivotArea>
    </format>
    <format dxfId="199">
      <pivotArea dataOnly="0" labelOnly="1" outline="0" fieldPosition="0">
        <references count="1">
          <reference field="0" count="1">
            <x v="16"/>
          </reference>
        </references>
      </pivotArea>
    </format>
    <format dxfId="198">
      <pivotArea dataOnly="0" labelOnly="1" outline="0" fieldPosition="0">
        <references count="1">
          <reference field="0" count="1">
            <x v="17"/>
          </reference>
        </references>
      </pivotArea>
    </format>
    <format dxfId="197">
      <pivotArea dataOnly="0" labelOnly="1" outline="0" fieldPosition="0">
        <references count="1">
          <reference field="0" count="1">
            <x v="18"/>
          </reference>
        </references>
      </pivotArea>
    </format>
    <format dxfId="196">
      <pivotArea dataOnly="0" labelOnly="1" outline="0" fieldPosition="0">
        <references count="1">
          <reference field="0" count="1">
            <x v="19"/>
          </reference>
        </references>
      </pivotArea>
    </format>
    <format dxfId="195">
      <pivotArea dataOnly="0" labelOnly="1" outline="0" fieldPosition="0">
        <references count="1">
          <reference field="0" count="1">
            <x v="20"/>
          </reference>
        </references>
      </pivotArea>
    </format>
    <format dxfId="194">
      <pivotArea dataOnly="0" labelOnly="1" outline="0" fieldPosition="0">
        <references count="1">
          <reference field="0" count="1">
            <x v="21"/>
          </reference>
        </references>
      </pivotArea>
    </format>
    <format dxfId="193">
      <pivotArea dataOnly="0" labelOnly="1" outline="0" fieldPosition="0">
        <references count="1">
          <reference field="0" count="1">
            <x v="22"/>
          </reference>
        </references>
      </pivotArea>
    </format>
    <format dxfId="192">
      <pivotArea dataOnly="0" labelOnly="1" outline="0" fieldPosition="0">
        <references count="1">
          <reference field="0" count="1">
            <x v="23"/>
          </reference>
        </references>
      </pivotArea>
    </format>
    <format dxfId="191">
      <pivotArea dataOnly="0" labelOnly="1" outline="0" fieldPosition="0">
        <references count="1">
          <reference field="0" count="1">
            <x v="24"/>
          </reference>
        </references>
      </pivotArea>
    </format>
    <format dxfId="190">
      <pivotArea dataOnly="0" labelOnly="1" outline="0" fieldPosition="0">
        <references count="1">
          <reference field="0" count="1">
            <x v="25"/>
          </reference>
        </references>
      </pivotArea>
    </format>
    <format dxfId="189">
      <pivotArea dataOnly="0" labelOnly="1" outline="0" fieldPosition="0">
        <references count="1">
          <reference field="0" count="1">
            <x v="26"/>
          </reference>
        </references>
      </pivotArea>
    </format>
    <format dxfId="188">
      <pivotArea dataOnly="0" labelOnly="1" outline="0" fieldPosition="0">
        <references count="1">
          <reference field="0" count="1">
            <x v="27"/>
          </reference>
        </references>
      </pivotArea>
    </format>
    <format dxfId="187">
      <pivotArea dataOnly="0" labelOnly="1" outline="0" fieldPosition="0">
        <references count="1">
          <reference field="0" count="1">
            <x v="28"/>
          </reference>
        </references>
      </pivotArea>
    </format>
    <format dxfId="186">
      <pivotArea dataOnly="0" labelOnly="1" outline="0" fieldPosition="0">
        <references count="1">
          <reference field="0" count="1">
            <x v="29"/>
          </reference>
        </references>
      </pivotArea>
    </format>
    <format dxfId="185">
      <pivotArea dataOnly="0" labelOnly="1" outline="0" fieldPosition="0">
        <references count="1">
          <reference field="0" count="1">
            <x v="30"/>
          </reference>
        </references>
      </pivotArea>
    </format>
    <format dxfId="184">
      <pivotArea dataOnly="0" labelOnly="1" outline="0" fieldPosition="0">
        <references count="1">
          <reference field="0" count="1">
            <x v="31"/>
          </reference>
        </references>
      </pivotArea>
    </format>
    <format dxfId="183">
      <pivotArea dataOnly="0" labelOnly="1" outline="0" fieldPosition="0">
        <references count="1">
          <reference field="0" count="1">
            <x v="32"/>
          </reference>
        </references>
      </pivotArea>
    </format>
    <format dxfId="182">
      <pivotArea dataOnly="0" labelOnly="1" outline="0" fieldPosition="0">
        <references count="1">
          <reference field="0" count="1">
            <x v="33"/>
          </reference>
        </references>
      </pivotArea>
    </format>
    <format dxfId="181">
      <pivotArea dataOnly="0" labelOnly="1" outline="0" fieldPosition="0">
        <references count="1">
          <reference field="0" count="1">
            <x v="34"/>
          </reference>
        </references>
      </pivotArea>
    </format>
    <format dxfId="180">
      <pivotArea dataOnly="0" labelOnly="1" outline="0" fieldPosition="0">
        <references count="1">
          <reference field="0" count="1">
            <x v="35"/>
          </reference>
        </references>
      </pivotArea>
    </format>
    <format dxfId="179">
      <pivotArea dataOnly="0" labelOnly="1" outline="0" fieldPosition="0">
        <references count="1">
          <reference field="0" count="1">
            <x v="36"/>
          </reference>
        </references>
      </pivotArea>
    </format>
    <format dxfId="178">
      <pivotArea dataOnly="0" labelOnly="1" outline="0" fieldPosition="0">
        <references count="1">
          <reference field="0" count="1">
            <x v="37"/>
          </reference>
        </references>
      </pivotArea>
    </format>
    <format dxfId="177">
      <pivotArea dataOnly="0" labelOnly="1" outline="0" fieldPosition="0">
        <references count="1">
          <reference field="0" count="1">
            <x v="38"/>
          </reference>
        </references>
      </pivotArea>
    </format>
    <format dxfId="176">
      <pivotArea dataOnly="0" labelOnly="1" outline="0" fieldPosition="0">
        <references count="1">
          <reference field="0" count="1">
            <x v="39"/>
          </reference>
        </references>
      </pivotArea>
    </format>
    <format dxfId="175">
      <pivotArea dataOnly="0" labelOnly="1" outline="0" fieldPosition="0">
        <references count="1">
          <reference field="0" count="1">
            <x v="40"/>
          </reference>
        </references>
      </pivotArea>
    </format>
    <format dxfId="174">
      <pivotArea dataOnly="0" labelOnly="1" outline="0" fieldPosition="0">
        <references count="1">
          <reference field="0" count="1">
            <x v="41"/>
          </reference>
        </references>
      </pivotArea>
    </format>
    <format dxfId="173">
      <pivotArea dataOnly="0" labelOnly="1" outline="0" fieldPosition="0">
        <references count="1">
          <reference field="0" count="1">
            <x v="42"/>
          </reference>
        </references>
      </pivotArea>
    </format>
    <format dxfId="172">
      <pivotArea dataOnly="0" labelOnly="1" outline="0" fieldPosition="0">
        <references count="1">
          <reference field="0" count="1">
            <x v="43"/>
          </reference>
        </references>
      </pivotArea>
    </format>
    <format dxfId="171">
      <pivotArea dataOnly="0" labelOnly="1" outline="0" fieldPosition="0">
        <references count="1">
          <reference field="0" count="1">
            <x v="44"/>
          </reference>
        </references>
      </pivotArea>
    </format>
    <format dxfId="170">
      <pivotArea dataOnly="0" labelOnly="1" outline="0" fieldPosition="0">
        <references count="1">
          <reference field="0" count="1">
            <x v="45"/>
          </reference>
        </references>
      </pivotArea>
    </format>
    <format dxfId="169">
      <pivotArea dataOnly="0" labelOnly="1" outline="0" fieldPosition="0">
        <references count="1">
          <reference field="0" count="1">
            <x v="46"/>
          </reference>
        </references>
      </pivotArea>
    </format>
    <format dxfId="168">
      <pivotArea dataOnly="0" labelOnly="1" outline="0" fieldPosition="0">
        <references count="1">
          <reference field="0" count="1">
            <x v="47"/>
          </reference>
        </references>
      </pivotArea>
    </format>
    <format dxfId="167">
      <pivotArea dataOnly="0" fieldPosition="0">
        <references count="1">
          <reference field="0" count="1">
            <x v="48"/>
          </reference>
        </references>
      </pivotArea>
    </format>
    <format dxfId="166">
      <pivotArea dataOnly="0" labelOnly="1" outline="0" fieldPosition="0">
        <references count="1">
          <reference field="0" count="1">
            <x v="49"/>
          </reference>
        </references>
      </pivotArea>
    </format>
    <format dxfId="165">
      <pivotArea dataOnly="0" fieldPosition="0">
        <references count="1">
          <reference field="0" count="1">
            <x v="50"/>
          </reference>
        </references>
      </pivotArea>
    </format>
    <format dxfId="164">
      <pivotArea field="0" type="button" dataOnly="0" labelOnly="1" outline="0" axis="axisRow" fieldPosition="0"/>
    </format>
    <format dxfId="163">
      <pivotArea dataOnly="0" labelOnly="1" outline="0" fieldPosition="0">
        <references count="1">
          <reference field="0" count="1">
            <x v="0"/>
          </reference>
        </references>
      </pivotArea>
    </format>
    <format dxfId="162">
      <pivotArea dataOnly="0" labelOnly="1" outline="0" fieldPosition="0">
        <references count="1">
          <reference field="0" count="1">
            <x v="1"/>
          </reference>
        </references>
      </pivotArea>
    </format>
    <format dxfId="161">
      <pivotArea dataOnly="0" labelOnly="1" outline="0" fieldPosition="0">
        <references count="1">
          <reference field="0" count="1">
            <x v="2"/>
          </reference>
        </references>
      </pivotArea>
    </format>
    <format dxfId="160">
      <pivotArea dataOnly="0" labelOnly="1" outline="0" fieldPosition="0">
        <references count="1">
          <reference field="0" count="1">
            <x v="3"/>
          </reference>
        </references>
      </pivotArea>
    </format>
    <format dxfId="159">
      <pivotArea dataOnly="0" labelOnly="1" outline="0" fieldPosition="0">
        <references count="1">
          <reference field="0" count="1">
            <x v="4"/>
          </reference>
        </references>
      </pivotArea>
    </format>
    <format dxfId="158">
      <pivotArea dataOnly="0" labelOnly="1" outline="0" fieldPosition="0">
        <references count="1">
          <reference field="0" count="1">
            <x v="5"/>
          </reference>
        </references>
      </pivotArea>
    </format>
    <format dxfId="157">
      <pivotArea dataOnly="0" labelOnly="1" outline="0" fieldPosition="0">
        <references count="1">
          <reference field="0" count="1">
            <x v="6"/>
          </reference>
        </references>
      </pivotArea>
    </format>
    <format dxfId="156">
      <pivotArea dataOnly="0" labelOnly="1" outline="0" fieldPosition="0">
        <references count="1">
          <reference field="0" count="1">
            <x v="7"/>
          </reference>
        </references>
      </pivotArea>
    </format>
    <format dxfId="155">
      <pivotArea dataOnly="0" labelOnly="1" outline="0" fieldPosition="0">
        <references count="1">
          <reference field="0" count="1">
            <x v="8"/>
          </reference>
        </references>
      </pivotArea>
    </format>
    <format dxfId="154">
      <pivotArea dataOnly="0" labelOnly="1" outline="0" fieldPosition="0">
        <references count="1">
          <reference field="0" count="1">
            <x v="9"/>
          </reference>
        </references>
      </pivotArea>
    </format>
    <format dxfId="153">
      <pivotArea dataOnly="0" labelOnly="1" outline="0" fieldPosition="0">
        <references count="1">
          <reference field="0" count="1">
            <x v="10"/>
          </reference>
        </references>
      </pivotArea>
    </format>
    <format dxfId="152">
      <pivotArea dataOnly="0" labelOnly="1" outline="0" fieldPosition="0">
        <references count="1">
          <reference field="0" count="1">
            <x v="11"/>
          </reference>
        </references>
      </pivotArea>
    </format>
    <format dxfId="151">
      <pivotArea dataOnly="0" labelOnly="1" outline="0" fieldPosition="0">
        <references count="1">
          <reference field="0" count="1">
            <x v="12"/>
          </reference>
        </references>
      </pivotArea>
    </format>
    <format dxfId="150">
      <pivotArea dataOnly="0" labelOnly="1" outline="0" fieldPosition="0">
        <references count="1">
          <reference field="0" count="1">
            <x v="13"/>
          </reference>
        </references>
      </pivotArea>
    </format>
    <format dxfId="149">
      <pivotArea dataOnly="0" labelOnly="1" outline="0" fieldPosition="0">
        <references count="1">
          <reference field="0" count="1">
            <x v="14"/>
          </reference>
        </references>
      </pivotArea>
    </format>
    <format dxfId="148">
      <pivotArea dataOnly="0" labelOnly="1" outline="0" fieldPosition="0">
        <references count="1">
          <reference field="0" count="1">
            <x v="15"/>
          </reference>
        </references>
      </pivotArea>
    </format>
    <format dxfId="147">
      <pivotArea dataOnly="0" labelOnly="1" outline="0" fieldPosition="0">
        <references count="1">
          <reference field="0" count="1">
            <x v="16"/>
          </reference>
        </references>
      </pivotArea>
    </format>
    <format dxfId="146">
      <pivotArea dataOnly="0" labelOnly="1" outline="0" fieldPosition="0">
        <references count="1">
          <reference field="0" count="1">
            <x v="17"/>
          </reference>
        </references>
      </pivotArea>
    </format>
    <format dxfId="145">
      <pivotArea dataOnly="0" labelOnly="1" outline="0" fieldPosition="0">
        <references count="1">
          <reference field="0" count="1">
            <x v="18"/>
          </reference>
        </references>
      </pivotArea>
    </format>
    <format dxfId="144">
      <pivotArea dataOnly="0" labelOnly="1" outline="0" fieldPosition="0">
        <references count="1">
          <reference field="0" count="1">
            <x v="19"/>
          </reference>
        </references>
      </pivotArea>
    </format>
    <format dxfId="143">
      <pivotArea dataOnly="0" labelOnly="1" outline="0" fieldPosition="0">
        <references count="1">
          <reference field="0" count="1">
            <x v="20"/>
          </reference>
        </references>
      </pivotArea>
    </format>
    <format dxfId="142">
      <pivotArea dataOnly="0" labelOnly="1" outline="0" fieldPosition="0">
        <references count="1">
          <reference field="0" count="1">
            <x v="21"/>
          </reference>
        </references>
      </pivotArea>
    </format>
    <format dxfId="141">
      <pivotArea dataOnly="0" labelOnly="1" outline="0" fieldPosition="0">
        <references count="1">
          <reference field="0" count="1">
            <x v="22"/>
          </reference>
        </references>
      </pivotArea>
    </format>
    <format dxfId="140">
      <pivotArea dataOnly="0" labelOnly="1" outline="0" fieldPosition="0">
        <references count="1">
          <reference field="0" count="1">
            <x v="23"/>
          </reference>
        </references>
      </pivotArea>
    </format>
    <format dxfId="139">
      <pivotArea dataOnly="0" labelOnly="1" outline="0" fieldPosition="0">
        <references count="1">
          <reference field="0" count="1">
            <x v="24"/>
          </reference>
        </references>
      </pivotArea>
    </format>
    <format dxfId="138">
      <pivotArea dataOnly="0" labelOnly="1" outline="0" fieldPosition="0">
        <references count="1">
          <reference field="0" count="1">
            <x v="25"/>
          </reference>
        </references>
      </pivotArea>
    </format>
    <format dxfId="137">
      <pivotArea dataOnly="0" labelOnly="1" outline="0" fieldPosition="0">
        <references count="1">
          <reference field="0" count="1">
            <x v="26"/>
          </reference>
        </references>
      </pivotArea>
    </format>
    <format dxfId="136">
      <pivotArea dataOnly="0" labelOnly="1" outline="0" fieldPosition="0">
        <references count="1">
          <reference field="0" count="1">
            <x v="27"/>
          </reference>
        </references>
      </pivotArea>
    </format>
    <format dxfId="135">
      <pivotArea dataOnly="0" labelOnly="1" outline="0" fieldPosition="0">
        <references count="1">
          <reference field="0" count="1">
            <x v="28"/>
          </reference>
        </references>
      </pivotArea>
    </format>
    <format dxfId="134">
      <pivotArea dataOnly="0" labelOnly="1" outline="0" fieldPosition="0">
        <references count="1">
          <reference field="0" count="1">
            <x v="29"/>
          </reference>
        </references>
      </pivotArea>
    </format>
    <format dxfId="133">
      <pivotArea dataOnly="0" labelOnly="1" outline="0" fieldPosition="0">
        <references count="1">
          <reference field="0" count="1">
            <x v="30"/>
          </reference>
        </references>
      </pivotArea>
    </format>
    <format dxfId="132">
      <pivotArea dataOnly="0" labelOnly="1" outline="0" fieldPosition="0">
        <references count="1">
          <reference field="0" count="1">
            <x v="31"/>
          </reference>
        </references>
      </pivotArea>
    </format>
    <format dxfId="131">
      <pivotArea dataOnly="0" labelOnly="1" outline="0" fieldPosition="0">
        <references count="1">
          <reference field="0" count="1">
            <x v="32"/>
          </reference>
        </references>
      </pivotArea>
    </format>
    <format dxfId="130">
      <pivotArea dataOnly="0" labelOnly="1" outline="0" fieldPosition="0">
        <references count="1">
          <reference field="0" count="1">
            <x v="33"/>
          </reference>
        </references>
      </pivotArea>
    </format>
    <format dxfId="129">
      <pivotArea dataOnly="0" labelOnly="1" outline="0" fieldPosition="0">
        <references count="1">
          <reference field="0" count="1">
            <x v="34"/>
          </reference>
        </references>
      </pivotArea>
    </format>
    <format dxfId="128">
      <pivotArea dataOnly="0" labelOnly="1" outline="0" fieldPosition="0">
        <references count="1">
          <reference field="0" count="1">
            <x v="35"/>
          </reference>
        </references>
      </pivotArea>
    </format>
    <format dxfId="127">
      <pivotArea dataOnly="0" labelOnly="1" outline="0" fieldPosition="0">
        <references count="1">
          <reference field="0" count="1">
            <x v="36"/>
          </reference>
        </references>
      </pivotArea>
    </format>
    <format dxfId="126">
      <pivotArea dataOnly="0" labelOnly="1" outline="0" fieldPosition="0">
        <references count="1">
          <reference field="0" count="1">
            <x v="37"/>
          </reference>
        </references>
      </pivotArea>
    </format>
    <format dxfId="125">
      <pivotArea dataOnly="0" labelOnly="1" outline="0" fieldPosition="0">
        <references count="1">
          <reference field="0" count="1">
            <x v="38"/>
          </reference>
        </references>
      </pivotArea>
    </format>
    <format dxfId="124">
      <pivotArea dataOnly="0" labelOnly="1" outline="0" fieldPosition="0">
        <references count="1">
          <reference field="0" count="1">
            <x v="39"/>
          </reference>
        </references>
      </pivotArea>
    </format>
    <format dxfId="123">
      <pivotArea dataOnly="0" labelOnly="1" outline="0" fieldPosition="0">
        <references count="1">
          <reference field="0" count="1">
            <x v="40"/>
          </reference>
        </references>
      </pivotArea>
    </format>
    <format dxfId="122">
      <pivotArea dataOnly="0" labelOnly="1" outline="0" fieldPosition="0">
        <references count="1">
          <reference field="0" count="1">
            <x v="41"/>
          </reference>
        </references>
      </pivotArea>
    </format>
    <format dxfId="121">
      <pivotArea dataOnly="0" labelOnly="1" outline="0" fieldPosition="0">
        <references count="1">
          <reference field="0" count="1">
            <x v="42"/>
          </reference>
        </references>
      </pivotArea>
    </format>
    <format dxfId="120">
      <pivotArea dataOnly="0" labelOnly="1" outline="0" fieldPosition="0">
        <references count="1">
          <reference field="0" count="1">
            <x v="43"/>
          </reference>
        </references>
      </pivotArea>
    </format>
    <format dxfId="119">
      <pivotArea dataOnly="0" labelOnly="1" outline="0" fieldPosition="0">
        <references count="1">
          <reference field="0" count="1">
            <x v="44"/>
          </reference>
        </references>
      </pivotArea>
    </format>
    <format dxfId="118">
      <pivotArea dataOnly="0" labelOnly="1" outline="0" fieldPosition="0">
        <references count="1">
          <reference field="0" count="1">
            <x v="45"/>
          </reference>
        </references>
      </pivotArea>
    </format>
    <format dxfId="117">
      <pivotArea dataOnly="0" labelOnly="1" outline="0" fieldPosition="0">
        <references count="1">
          <reference field="0" count="1">
            <x v="46"/>
          </reference>
        </references>
      </pivotArea>
    </format>
    <format dxfId="116">
      <pivotArea dataOnly="0" labelOnly="1" outline="0" fieldPosition="0">
        <references count="1">
          <reference field="0" count="1">
            <x v="47"/>
          </reference>
        </references>
      </pivotArea>
    </format>
    <format dxfId="115">
      <pivotArea dataOnly="0" labelOnly="1" outline="0" fieldPosition="0">
        <references count="1">
          <reference field="0" count="1">
            <x v="48"/>
          </reference>
        </references>
      </pivotArea>
    </format>
    <format dxfId="114">
      <pivotArea dataOnly="0" labelOnly="1" outline="0" fieldPosition="0">
        <references count="1">
          <reference field="0" count="1">
            <x v="49"/>
          </reference>
        </references>
      </pivotArea>
    </format>
    <format dxfId="113">
      <pivotArea dataOnly="0" labelOnly="1" outline="0" fieldPosition="0">
        <references count="1">
          <reference field="0" count="1">
            <x v="50"/>
          </reference>
        </references>
      </pivotArea>
    </format>
    <format dxfId="112">
      <pivotArea dataOnly="0" labelOnly="1" outline="0" fieldPosition="0">
        <references count="1">
          <reference field="0" count="1">
            <x v="51"/>
          </reference>
        </references>
      </pivotArea>
    </format>
    <format dxfId="111">
      <pivotArea dataOnly="0" labelOnly="1" outline="0" fieldPosition="0">
        <references count="1">
          <reference field="0" count="1">
            <x v="52"/>
          </reference>
        </references>
      </pivotArea>
    </format>
    <format dxfId="110">
      <pivotArea dataOnly="0" labelOnly="1" outline="0" fieldPosition="0">
        <references count="1">
          <reference field="0" count="1">
            <x v="53"/>
          </reference>
        </references>
      </pivotArea>
    </format>
    <format dxfId="109">
      <pivotArea dataOnly="0" labelOnly="1" outline="0" fieldPosition="0">
        <references count="1">
          <reference field="0" count="1">
            <x v="54"/>
          </reference>
        </references>
      </pivotArea>
    </format>
    <format dxfId="108">
      <pivotArea dataOnly="0" labelOnly="1" outline="0" fieldPosition="0">
        <references count="1">
          <reference field="0" count="1">
            <x v="55"/>
          </reference>
        </references>
      </pivotArea>
    </format>
    <format dxfId="107">
      <pivotArea dataOnly="0" labelOnly="1" outline="0" fieldPosition="0">
        <references count="1">
          <reference field="0" count="1">
            <x v="56"/>
          </reference>
        </references>
      </pivotArea>
    </format>
    <format dxfId="106">
      <pivotArea dataOnly="0" labelOnly="1" outline="0" fieldPosition="0">
        <references count="1">
          <reference field="0" count="1">
            <x v="57"/>
          </reference>
        </references>
      </pivotArea>
    </format>
    <format dxfId="105">
      <pivotArea dataOnly="0" labelOnly="1" outline="0" fieldPosition="0">
        <references count="1">
          <reference field="0" count="1">
            <x v="58"/>
          </reference>
        </references>
      </pivotArea>
    </format>
    <format dxfId="104">
      <pivotArea dataOnly="0" labelOnly="1" outline="0" fieldPosition="0">
        <references count="1">
          <reference field="0" count="1">
            <x v="59"/>
          </reference>
        </references>
      </pivotArea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A8FBC0-793C-4AB7-91D7-CE849966306D}" name="TablaDinámica6" cacheId="46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4:K30" firstHeaderRow="1" firstDataRow="2" firstDataCol="1"/>
  <pivotFields count="4">
    <pivotField axis="axisRow" numFmtId="1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dataField="1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a de volumen" fld="3" baseField="0" baseItem="0" numFmtId="4"/>
  </dataFields>
  <formats count="21">
    <format dxfId="22">
      <pivotArea outline="0" collapsedLevelsAreSubtotals="1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type="origin" dataOnly="0" labelOnly="1" outline="0" fieldPosition="0"/>
    </format>
    <format dxfId="18">
      <pivotArea field="1" type="button" dataOnly="0" labelOnly="1" outline="0" axis="axisCol" fieldPosition="0"/>
    </format>
    <format dxfId="17">
      <pivotArea type="topRight" dataOnly="0" labelOnly="1" outline="0" fieldPosition="0"/>
    </format>
    <format dxfId="16">
      <pivotArea field="0" type="button" dataOnly="0" labelOnly="1" outline="0" axis="axisRow" fieldPosition="0"/>
    </format>
    <format dxfId="15">
      <pivotArea dataOnly="0" labelOnly="1" fieldPosition="0">
        <references count="1">
          <reference field="0" count="0"/>
        </references>
      </pivotArea>
    </format>
    <format dxfId="14">
      <pivotArea dataOnly="0" labelOnly="1" grandRow="1" outline="0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grandCol="1" outline="0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type="origin" dataOnly="0" labelOnly="1" outline="0" fieldPosition="0"/>
    </format>
    <format dxfId="8">
      <pivotArea field="1" type="button" dataOnly="0" labelOnly="1" outline="0" axis="axisCol" fieldPosition="0"/>
    </format>
    <format dxfId="7">
      <pivotArea type="topRight" dataOnly="0" labelOnly="1" outline="0" fieldPosition="0"/>
    </format>
    <format dxfId="6">
      <pivotArea field="0" type="button" dataOnly="0" labelOnly="1" outline="0" axis="axisRow" fieldPosition="0"/>
    </format>
    <format dxfId="5">
      <pivotArea dataOnly="0" labelOnly="1" fieldPosition="0">
        <references count="1">
          <reference field="0" count="0"/>
        </references>
      </pivotArea>
    </format>
    <format dxfId="4">
      <pivotArea dataOnly="0" labelOnly="1" grandRow="1" outline="0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11D235-015F-4D77-BAC8-0FCEC01E940C}" name="TablaDinámica9" cacheId="47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X3:BA29" firstHeaderRow="1" firstDataRow="2" firstDataCol="1"/>
  <pivotFields count="4">
    <pivotField axis="axisRow" numFmtId="1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a de volumen" fld="3" baseField="0" baseItem="0"/>
  </dataFields>
  <formats count="1">
    <format dxfId="23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71438C-5E6E-4B59-8F9F-B4F2D548C8D3}" name="TablaDinámica8" cacheId="46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E4:AH37" firstHeaderRow="1" firstDataRow="2" firstDataCol="1"/>
  <pivotFields count="4">
    <pivotField axis="axisRow"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a de Trx" fld="2" baseField="0" baseItem="0" numFmtId="3"/>
  </dataFields>
  <formats count="23">
    <format dxfId="46">
      <pivotArea collapsedLevelsAreSubtotals="1" fieldPosition="0">
        <references count="2">
          <reference field="0" count="0"/>
          <reference field="1" count="1" selected="0">
            <x v="1"/>
          </reference>
        </references>
      </pivotArea>
    </format>
    <format dxfId="45">
      <pivotArea outline="0" collapsedLevelsAreSubtotals="1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type="origin" dataOnly="0" labelOnly="1" outline="0" fieldPosition="0"/>
    </format>
    <format dxfId="41">
      <pivotArea field="1" type="button" dataOnly="0" labelOnly="1" outline="0" axis="axisCol" fieldPosition="0"/>
    </format>
    <format dxfId="40">
      <pivotArea type="topRight" dataOnly="0" labelOnly="1" outline="0" fieldPosition="0"/>
    </format>
    <format dxfId="39">
      <pivotArea field="0" type="button" dataOnly="0" labelOnly="1" outline="0" axis="axisRow" fieldPosition="0"/>
    </format>
    <format dxfId="38">
      <pivotArea dataOnly="0" labelOnly="1" fieldPosition="0">
        <references count="1">
          <reference field="0" count="0"/>
        </references>
      </pivotArea>
    </format>
    <format dxfId="37">
      <pivotArea dataOnly="0" labelOnly="1" grandRow="1" outline="0" fieldPosition="0"/>
    </format>
    <format dxfId="36">
      <pivotArea dataOnly="0" labelOnly="1" fieldPosition="0">
        <references count="1">
          <reference field="1" count="0"/>
        </references>
      </pivotArea>
    </format>
    <format dxfId="35">
      <pivotArea dataOnly="0" labelOnly="1" grandCol="1" outline="0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type="origin" dataOnly="0" labelOnly="1" outline="0" fieldPosition="0"/>
    </format>
    <format dxfId="31">
      <pivotArea field="1" type="button" dataOnly="0" labelOnly="1" outline="0" axis="axisCol" fieldPosition="0"/>
    </format>
    <format dxfId="30">
      <pivotArea type="topRight" dataOnly="0" labelOnly="1" outline="0" fieldPosition="0"/>
    </format>
    <format dxfId="29">
      <pivotArea field="0" type="button" dataOnly="0" labelOnly="1" outline="0" axis="axisRow" fieldPosition="0"/>
    </format>
    <format dxfId="28">
      <pivotArea dataOnly="0" labelOnly="1" fieldPosition="0">
        <references count="1">
          <reference field="0" count="0"/>
        </references>
      </pivotArea>
    </format>
    <format dxfId="27">
      <pivotArea dataOnly="0" labelOnly="1" grandRow="1" outline="0" fieldPosition="0"/>
    </format>
    <format dxfId="26">
      <pivotArea dataOnly="0" labelOnly="1" fieldPosition="0">
        <references count="1">
          <reference field="1" count="0"/>
        </references>
      </pivotArea>
    </format>
    <format dxfId="25">
      <pivotArea dataOnly="0" labelOnly="1" grandCol="1" outline="0" fieldPosition="0"/>
    </format>
    <format dxfId="2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Tabla dinámica2" cacheId="466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outline="1" outlineData="1" multipleFieldFilters="0" chartFormat="2">
  <location ref="G4:I9" firstHeaderRow="0" firstDataRow="1" firstDataCol="1"/>
  <pivotFields count="5">
    <pivotField axis="axisRow" showAll="0" defaultSubtotal="0">
      <items count="6">
        <item x="0"/>
        <item x="1"/>
        <item x="2"/>
        <item x="3"/>
        <item m="1" x="5"/>
        <item m="1" x="4"/>
      </items>
    </pivotField>
    <pivotField numFmtId="14" showAll="0"/>
    <pivotField showAll="0"/>
    <pivotField dataField="1" numFmtId="1" showAll="0" defaultSubtotal="0"/>
    <pivotField dataField="1" numFmtId="1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2023 P" fld="4" baseField="0" baseItem="0"/>
    <dataField name="Suma de 2023 R" fld="3" baseField="0" baseItem="0"/>
  </dataFields>
  <formats count="2"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8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88"/>
  <sheetViews>
    <sheetView showGridLines="0" topLeftCell="A37" zoomScale="80" zoomScaleNormal="80" workbookViewId="0">
      <pane xSplit="1" topLeftCell="U1" activePane="topRight" state="frozen"/>
      <selection pane="topRight" activeCell="N85" sqref="N85"/>
    </sheetView>
  </sheetViews>
  <sheetFormatPr baseColWidth="10" defaultColWidth="11.453125" defaultRowHeight="14.5" outlineLevelRow="1" outlineLevelCol="1"/>
  <cols>
    <col min="1" max="1" width="19.453125" customWidth="1"/>
    <col min="2" max="3" width="14.81640625" hidden="1" customWidth="1" outlineLevel="1"/>
    <col min="4" max="5" width="15" hidden="1" customWidth="1" outlineLevel="1"/>
    <col min="6" max="10" width="13.26953125" hidden="1" customWidth="1" outlineLevel="1"/>
    <col min="11" max="13" width="13.7265625" hidden="1" customWidth="1" outlineLevel="1"/>
    <col min="14" max="14" width="15" bestFit="1" customWidth="1" collapsed="1"/>
    <col min="15" max="22" width="15" bestFit="1" customWidth="1"/>
    <col min="23" max="23" width="13.453125" bestFit="1" customWidth="1"/>
    <col min="24" max="28" width="12.26953125" customWidth="1"/>
    <col min="29" max="29" width="13.26953125" customWidth="1"/>
    <col min="30" max="30" width="12.7265625" customWidth="1"/>
    <col min="31" max="33" width="18.81640625" customWidth="1"/>
    <col min="38" max="38" width="15" customWidth="1"/>
    <col min="39" max="39" width="25.7265625" customWidth="1"/>
    <col min="40" max="40" width="22.26953125" customWidth="1"/>
    <col min="41" max="41" width="19.81640625" customWidth="1"/>
    <col min="42" max="42" width="19.81640625" bestFit="1" customWidth="1"/>
    <col min="43" max="43" width="19.453125" bestFit="1" customWidth="1"/>
    <col min="44" max="44" width="19" bestFit="1" customWidth="1"/>
    <col min="45" max="45" width="19.81640625" bestFit="1" customWidth="1"/>
    <col min="46" max="46" width="18.453125" bestFit="1" customWidth="1"/>
    <col min="47" max="48" width="18.7265625" bestFit="1" customWidth="1"/>
    <col min="49" max="49" width="18.26953125" bestFit="1" customWidth="1"/>
    <col min="50" max="50" width="19.1796875" bestFit="1" customWidth="1"/>
    <col min="51" max="51" width="18.7265625" bestFit="1" customWidth="1"/>
    <col min="52" max="52" width="18.453125" bestFit="1" customWidth="1"/>
    <col min="53" max="53" width="18.26953125" bestFit="1" customWidth="1"/>
  </cols>
  <sheetData>
    <row r="1" spans="1:53">
      <c r="A1" s="149" t="s">
        <v>0</v>
      </c>
      <c r="AM1" s="399" t="s">
        <v>1</v>
      </c>
      <c r="AN1" s="400">
        <v>12.70438944054775</v>
      </c>
      <c r="AO1" s="400">
        <v>12.641760520902681</v>
      </c>
      <c r="AP1" s="400">
        <v>12.529263915348388</v>
      </c>
      <c r="AQ1" s="400">
        <v>12.452428771528325</v>
      </c>
      <c r="AR1" s="400">
        <v>12.386583103302197</v>
      </c>
      <c r="AS1" s="400">
        <v>12.291931032220759</v>
      </c>
      <c r="AT1" s="400">
        <v>12.225291394047741</v>
      </c>
      <c r="AU1" s="400">
        <v>12.187898165798019</v>
      </c>
      <c r="AV1" s="400">
        <v>12.095705817883031</v>
      </c>
      <c r="AW1" s="400">
        <v>12.104613928909982</v>
      </c>
      <c r="AX1" s="400">
        <v>12.116840179379205</v>
      </c>
      <c r="AY1" s="400">
        <v>12.113451890515876</v>
      </c>
      <c r="AZ1" s="400">
        <v>12.119328535053349</v>
      </c>
      <c r="BA1" s="401">
        <v>12.128399155983745</v>
      </c>
    </row>
    <row r="2" spans="1:53">
      <c r="A2" s="149"/>
      <c r="AN2" s="163">
        <v>0.4334712748585352</v>
      </c>
      <c r="AO2" s="163">
        <v>0.42569774238481251</v>
      </c>
      <c r="AP2" s="163">
        <v>0.42743296400104025</v>
      </c>
      <c r="AQ2" s="163">
        <v>0.42776849535231737</v>
      </c>
      <c r="AR2" s="163">
        <v>0.43118991013999119</v>
      </c>
      <c r="AS2" s="163">
        <v>0.43786192179815464</v>
      </c>
      <c r="AT2" s="163">
        <v>0.44086770545109655</v>
      </c>
      <c r="AU2" s="163">
        <v>0.44326810998928884</v>
      </c>
      <c r="AV2" s="163">
        <v>0.4441513452166781</v>
      </c>
      <c r="AW2" s="163">
        <v>0.4427949543647795</v>
      </c>
      <c r="AX2" s="163">
        <v>0.44055662875024393</v>
      </c>
      <c r="AY2" s="163">
        <v>0.44072212548329281</v>
      </c>
      <c r="AZ2" s="163">
        <v>0.4381774822781031</v>
      </c>
      <c r="BA2" s="163">
        <v>0.433863852274537</v>
      </c>
    </row>
    <row r="3" spans="1:53" hidden="1" outlineLevel="1">
      <c r="A3" s="402" t="s">
        <v>2</v>
      </c>
      <c r="AM3" t="s">
        <v>3</v>
      </c>
      <c r="AO3">
        <v>4.1959100536870929E-2</v>
      </c>
      <c r="AP3">
        <v>3.8380481225043332E-2</v>
      </c>
      <c r="AQ3">
        <v>3.7440381173554804E-2</v>
      </c>
      <c r="AR3">
        <v>3.7099110699181148E-2</v>
      </c>
      <c r="AS3">
        <v>3.9131966402087333E-2</v>
      </c>
      <c r="AT3">
        <v>3.9801472805121273E-2</v>
      </c>
      <c r="AU3">
        <v>3.9978124272995179E-2</v>
      </c>
      <c r="AV3">
        <v>3.8100902983988084E-2</v>
      </c>
      <c r="AW3">
        <v>3.8573972200214912E-2</v>
      </c>
      <c r="AX3">
        <v>3.8596266715597766E-2</v>
      </c>
      <c r="AY3">
        <v>3.8911516005467807E-2</v>
      </c>
      <c r="AZ3">
        <v>3.8713608997337605E-2</v>
      </c>
      <c r="BA3">
        <v>3.8606915736774855E-2</v>
      </c>
    </row>
    <row r="4" spans="1:53" hidden="1" outlineLevel="1">
      <c r="AM4" t="s">
        <v>4</v>
      </c>
      <c r="AO4">
        <v>9.8134279565252128E-3</v>
      </c>
      <c r="AP4">
        <v>9.4731905855130107E-3</v>
      </c>
      <c r="AQ4">
        <v>8.5771271859780649E-3</v>
      </c>
      <c r="AR4">
        <v>8.0991817671442392E-3</v>
      </c>
      <c r="AS4">
        <v>7.2980042713543802E-3</v>
      </c>
      <c r="AT4">
        <v>6.5455917087640795E-3</v>
      </c>
      <c r="AU4">
        <v>6.3050190987436958E-3</v>
      </c>
      <c r="AV4">
        <v>5.5417590416680478E-3</v>
      </c>
      <c r="AW4">
        <v>5.460062094174975E-3</v>
      </c>
      <c r="AX4">
        <v>5.3969281108061607E-3</v>
      </c>
      <c r="AY4">
        <v>5.3617355681201094E-3</v>
      </c>
      <c r="AZ4">
        <v>5.298830078741947E-3</v>
      </c>
      <c r="BA4">
        <v>5.1806663202375097E-3</v>
      </c>
    </row>
    <row r="5" spans="1:53" ht="15" hidden="1" customHeight="1" outlineLevel="1">
      <c r="B5" s="703"/>
      <c r="C5" s="703"/>
      <c r="D5" s="703"/>
      <c r="E5" s="703"/>
      <c r="F5" s="403"/>
      <c r="G5" s="403"/>
      <c r="H5" s="403"/>
      <c r="I5" s="403"/>
      <c r="J5" s="403"/>
      <c r="K5" s="403"/>
      <c r="L5" s="403"/>
      <c r="M5" s="403"/>
      <c r="N5" s="403"/>
      <c r="O5" s="403"/>
      <c r="P5" s="403"/>
      <c r="Q5" s="403"/>
      <c r="R5" s="403"/>
      <c r="S5" s="403"/>
      <c r="T5" s="403"/>
      <c r="U5" s="403"/>
      <c r="V5" s="403"/>
      <c r="W5" s="403"/>
      <c r="X5" s="403"/>
      <c r="Y5" s="403"/>
      <c r="Z5" s="403"/>
      <c r="AA5" s="403"/>
      <c r="AB5" s="403"/>
      <c r="AC5" s="403"/>
      <c r="AS5" s="704" t="s">
        <v>5</v>
      </c>
      <c r="AT5" s="704"/>
      <c r="AU5" s="704"/>
    </row>
    <row r="6" spans="1:53" s="397" customFormat="1" hidden="1" outlineLevel="1">
      <c r="A6" s="397" t="s">
        <v>6</v>
      </c>
      <c r="B6" s="403">
        <v>202101</v>
      </c>
      <c r="C6" s="403">
        <v>202102</v>
      </c>
      <c r="D6" s="403">
        <v>202103</v>
      </c>
      <c r="E6" s="403">
        <v>202104</v>
      </c>
      <c r="F6" s="403">
        <v>202105</v>
      </c>
      <c r="G6" s="403">
        <v>202106</v>
      </c>
      <c r="H6" s="404" t="s">
        <v>7</v>
      </c>
      <c r="I6" s="404" t="s">
        <v>8</v>
      </c>
      <c r="J6" s="404"/>
      <c r="K6" s="404"/>
      <c r="L6" s="404"/>
      <c r="M6" s="404"/>
      <c r="N6" s="404"/>
      <c r="O6" s="404"/>
      <c r="P6" s="404"/>
      <c r="Q6" s="404"/>
      <c r="R6" s="404"/>
      <c r="S6" s="404"/>
      <c r="T6" s="404"/>
      <c r="U6" s="404"/>
      <c r="V6" s="404"/>
      <c r="W6" s="404"/>
      <c r="X6" s="404"/>
      <c r="Y6" s="404"/>
      <c r="Z6" s="404"/>
      <c r="AA6" s="404"/>
      <c r="AB6" s="404"/>
      <c r="AC6" s="404"/>
      <c r="AS6" s="398">
        <v>202101</v>
      </c>
      <c r="AT6" s="398">
        <v>202102</v>
      </c>
      <c r="AU6" s="398">
        <v>202103</v>
      </c>
    </row>
    <row r="7" spans="1:53" hidden="1" outlineLevel="1">
      <c r="A7" t="s">
        <v>9</v>
      </c>
      <c r="B7" s="405">
        <v>256.59137791000001</v>
      </c>
      <c r="C7" s="405">
        <v>217.46770222543</v>
      </c>
      <c r="D7" s="405">
        <v>317.36217519651001</v>
      </c>
      <c r="E7" s="405">
        <v>294.60180477527507</v>
      </c>
      <c r="F7" s="405">
        <v>346.10210104187001</v>
      </c>
      <c r="G7" s="405">
        <v>314.83821003262</v>
      </c>
      <c r="H7" s="405" t="e">
        <f>+H$13*(#REF!/#REF!)</f>
        <v>#REF!</v>
      </c>
      <c r="I7" s="405">
        <f t="shared" ref="I7:I13" si="0">G7-F7</f>
        <v>-31.263891009250017</v>
      </c>
      <c r="J7" s="405"/>
      <c r="K7" s="405"/>
      <c r="L7" s="405"/>
      <c r="M7" s="405"/>
      <c r="N7" s="405"/>
      <c r="O7" s="405"/>
      <c r="P7" s="405"/>
      <c r="Q7" s="405"/>
      <c r="R7" s="405"/>
      <c r="S7" s="405"/>
      <c r="T7" s="405"/>
      <c r="U7" s="405"/>
      <c r="V7" s="405"/>
      <c r="W7" s="405"/>
      <c r="X7" s="405"/>
      <c r="Y7" s="405"/>
      <c r="Z7" s="405"/>
      <c r="AA7" s="405"/>
      <c r="AB7" s="405"/>
      <c r="AC7" s="405"/>
      <c r="AD7" s="406"/>
      <c r="AE7" s="406"/>
      <c r="AF7" s="406"/>
      <c r="AG7" s="406"/>
      <c r="AL7" s="406"/>
      <c r="AM7" s="406"/>
      <c r="AN7" s="406"/>
      <c r="AO7" s="406"/>
      <c r="AP7" s="406"/>
      <c r="AQ7" s="406"/>
      <c r="AR7" s="406"/>
      <c r="AS7" s="405">
        <v>256.59137791000001</v>
      </c>
      <c r="AT7" s="405">
        <v>217.46770222999999</v>
      </c>
      <c r="AU7" s="405">
        <v>295.04112876324302</v>
      </c>
    </row>
    <row r="8" spans="1:53" hidden="1" outlineLevel="1">
      <c r="A8" t="s">
        <v>10</v>
      </c>
      <c r="B8" s="405">
        <v>128.30226028999999</v>
      </c>
      <c r="C8" s="405">
        <v>119.71831534208</v>
      </c>
      <c r="D8" s="405">
        <v>177.2539249477</v>
      </c>
      <c r="E8" s="405">
        <v>165.10621820539177</v>
      </c>
      <c r="F8" s="405">
        <v>174.62131869480999</v>
      </c>
      <c r="G8" s="405">
        <v>158.85011092830001</v>
      </c>
      <c r="H8" s="405" t="e">
        <f>+H$13*(#REF!/#REF!)</f>
        <v>#REF!</v>
      </c>
      <c r="I8" s="405">
        <f t="shared" si="0"/>
        <v>-15.771207766509974</v>
      </c>
      <c r="J8" s="405"/>
      <c r="K8" s="405"/>
      <c r="L8" s="405"/>
      <c r="M8" s="405"/>
      <c r="N8" s="405"/>
      <c r="O8" s="405"/>
      <c r="P8" s="405"/>
      <c r="Q8" s="405"/>
      <c r="R8" s="405"/>
      <c r="S8" s="405"/>
      <c r="T8" s="405"/>
      <c r="U8" s="405"/>
      <c r="V8" s="405"/>
      <c r="W8" s="405"/>
      <c r="X8" s="405"/>
      <c r="Y8" s="405"/>
      <c r="Z8" s="405"/>
      <c r="AA8" s="405"/>
      <c r="AB8" s="405"/>
      <c r="AC8" s="405"/>
      <c r="AD8" s="406"/>
      <c r="AE8" s="406"/>
      <c r="AF8" s="406"/>
      <c r="AG8" s="406"/>
      <c r="AL8" s="406"/>
      <c r="AM8" s="406"/>
      <c r="AN8" s="406"/>
      <c r="AO8" s="406"/>
      <c r="AP8" s="406"/>
      <c r="AQ8" s="406"/>
      <c r="AR8" s="406"/>
      <c r="AS8" s="405">
        <v>128.30226028999999</v>
      </c>
      <c r="AT8" s="405">
        <v>119.71831534</v>
      </c>
      <c r="AU8" s="405">
        <v>146.97314964057298</v>
      </c>
    </row>
    <row r="9" spans="1:53" hidden="1" outlineLevel="1">
      <c r="A9" t="s">
        <v>11</v>
      </c>
      <c r="B9" s="405">
        <v>64.892363680000003</v>
      </c>
      <c r="C9" s="405">
        <v>59.756772572549998</v>
      </c>
      <c r="D9" s="405">
        <v>86.71330180663</v>
      </c>
      <c r="E9" s="405">
        <v>81.929459561306757</v>
      </c>
      <c r="F9" s="405">
        <v>85.355395869000006</v>
      </c>
      <c r="G9" s="405">
        <v>83.628557891420002</v>
      </c>
      <c r="H9" s="405" t="e">
        <f>+H$13*(#REF!/#REF!)</f>
        <v>#REF!</v>
      </c>
      <c r="I9" s="405">
        <f t="shared" si="0"/>
        <v>-1.7268379775800042</v>
      </c>
      <c r="J9" s="405"/>
      <c r="K9" s="405"/>
      <c r="L9" s="405"/>
      <c r="M9" s="405"/>
      <c r="N9" s="405"/>
      <c r="O9" s="405"/>
      <c r="P9" s="405"/>
      <c r="Q9" s="405"/>
      <c r="R9" s="405"/>
      <c r="S9" s="405"/>
      <c r="T9" s="405"/>
      <c r="U9" s="405"/>
      <c r="V9" s="405"/>
      <c r="W9" s="405"/>
      <c r="X9" s="405"/>
      <c r="Y9" s="405"/>
      <c r="Z9" s="405"/>
      <c r="AA9" s="405"/>
      <c r="AB9" s="405"/>
      <c r="AC9" s="405"/>
      <c r="AD9" s="406"/>
      <c r="AE9" s="406"/>
      <c r="AF9" s="406"/>
      <c r="AG9" s="406"/>
      <c r="AL9" s="406"/>
      <c r="AM9" s="406"/>
      <c r="AN9" s="406"/>
      <c r="AO9" s="406"/>
      <c r="AP9" s="406"/>
      <c r="AQ9" s="406"/>
      <c r="AR9" s="406"/>
      <c r="AS9" s="405">
        <v>64.892363680000003</v>
      </c>
      <c r="AT9" s="405">
        <v>59.756772579999996</v>
      </c>
      <c r="AU9" s="405">
        <v>75.779706053794058</v>
      </c>
    </row>
    <row r="10" spans="1:53" hidden="1" outlineLevel="1">
      <c r="A10" t="s">
        <v>12</v>
      </c>
      <c r="B10" s="405">
        <v>97.96983723999999</v>
      </c>
      <c r="C10" s="405">
        <v>92.706152199399995</v>
      </c>
      <c r="D10" s="405">
        <v>128.28816691841999</v>
      </c>
      <c r="E10" s="405">
        <v>121.28794057182887</v>
      </c>
      <c r="F10" s="405">
        <v>135.66866325463999</v>
      </c>
      <c r="G10" s="405">
        <v>138.66339185782999</v>
      </c>
      <c r="H10" s="405" t="e">
        <f>+H$13*(#REF!/#REF!)</f>
        <v>#REF!</v>
      </c>
      <c r="I10" s="405">
        <f t="shared" si="0"/>
        <v>2.9947286031899978</v>
      </c>
      <c r="J10" s="405"/>
      <c r="K10" s="405"/>
      <c r="L10" s="405"/>
      <c r="M10" s="405"/>
      <c r="N10" s="405"/>
      <c r="O10" s="405"/>
      <c r="P10" s="405"/>
      <c r="Q10" s="405"/>
      <c r="R10" s="405"/>
      <c r="S10" s="405"/>
      <c r="T10" s="405"/>
      <c r="U10" s="405"/>
      <c r="V10" s="405"/>
      <c r="W10" s="405"/>
      <c r="X10" s="405"/>
      <c r="Y10" s="405"/>
      <c r="Z10" s="405"/>
      <c r="AA10" s="405"/>
      <c r="AB10" s="405"/>
      <c r="AC10" s="405"/>
      <c r="AD10" s="406"/>
      <c r="AE10" s="406"/>
      <c r="AF10" s="406"/>
      <c r="AG10" s="406"/>
      <c r="AL10" s="406"/>
      <c r="AM10" s="406"/>
      <c r="AN10" s="406"/>
      <c r="AO10" s="406"/>
      <c r="AP10" s="406"/>
      <c r="AQ10" s="406"/>
      <c r="AR10" s="406"/>
      <c r="AS10" s="405">
        <v>97.96983723999999</v>
      </c>
      <c r="AT10" s="405">
        <v>92.706152199999991</v>
      </c>
      <c r="AU10" s="405">
        <v>115.03885938173755</v>
      </c>
    </row>
    <row r="11" spans="1:53" hidden="1" outlineLevel="1">
      <c r="A11" t="s">
        <v>13</v>
      </c>
      <c r="B11" s="405">
        <v>36.105296659999993</v>
      </c>
      <c r="C11" s="405">
        <v>36.376224984579999</v>
      </c>
      <c r="D11" s="405">
        <v>48.339104987660001</v>
      </c>
      <c r="E11" s="405">
        <v>43.697523335294612</v>
      </c>
      <c r="F11" s="405">
        <v>50.39220951595</v>
      </c>
      <c r="G11" s="405">
        <v>56.175928828110003</v>
      </c>
      <c r="H11" s="405" t="e">
        <f>+H$13*(#REF!/#REF!)</f>
        <v>#REF!</v>
      </c>
      <c r="I11" s="405">
        <f t="shared" si="0"/>
        <v>5.7837193121600023</v>
      </c>
      <c r="J11" s="405"/>
      <c r="K11" s="405"/>
      <c r="L11" s="405"/>
      <c r="M11" s="405"/>
      <c r="N11" s="405"/>
      <c r="O11" s="405"/>
      <c r="P11" s="405"/>
      <c r="Q11" s="405"/>
      <c r="R11" s="405"/>
      <c r="S11" s="405"/>
      <c r="T11" s="405"/>
      <c r="U11" s="405"/>
      <c r="V11" s="405"/>
      <c r="W11" s="405"/>
      <c r="X11" s="405"/>
      <c r="Y11" s="405"/>
      <c r="Z11" s="405"/>
      <c r="AA11" s="405"/>
      <c r="AB11" s="405"/>
      <c r="AC11" s="405"/>
      <c r="AD11" s="406"/>
      <c r="AE11" s="406"/>
      <c r="AF11" s="406"/>
      <c r="AG11" s="406"/>
      <c r="AL11" s="406"/>
      <c r="AM11" s="406"/>
      <c r="AN11" s="406"/>
      <c r="AO11" s="406"/>
      <c r="AP11" s="406"/>
      <c r="AQ11" s="406"/>
      <c r="AR11" s="406"/>
      <c r="AS11" s="405">
        <v>36.105296659999993</v>
      </c>
      <c r="AT11" s="405">
        <v>36.376224980000003</v>
      </c>
      <c r="AU11" s="405">
        <v>43.332879234763638</v>
      </c>
    </row>
    <row r="12" spans="1:53" hidden="1" outlineLevel="1">
      <c r="A12" t="s">
        <v>14</v>
      </c>
      <c r="B12" s="405">
        <v>9.8998812900000015</v>
      </c>
      <c r="C12" s="405">
        <v>10.06174712118</v>
      </c>
      <c r="D12" s="405">
        <v>12.51652761783</v>
      </c>
      <c r="E12" s="405">
        <v>9.7740535509028934</v>
      </c>
      <c r="F12" s="405">
        <v>11.12040832201</v>
      </c>
      <c r="G12" s="405">
        <v>11.09155609642</v>
      </c>
      <c r="H12" s="405" t="e">
        <f>+H$13*(#REF!/#REF!)</f>
        <v>#REF!</v>
      </c>
      <c r="I12" s="405">
        <f t="shared" si="0"/>
        <v>-2.8852225590000558E-2</v>
      </c>
      <c r="J12" s="405"/>
      <c r="K12" s="405"/>
      <c r="L12" s="405"/>
      <c r="M12" s="405"/>
      <c r="N12" s="405"/>
      <c r="O12" s="405"/>
      <c r="P12" s="405"/>
      <c r="Q12" s="405"/>
      <c r="R12" s="405"/>
      <c r="S12" s="405"/>
      <c r="T12" s="405"/>
      <c r="U12" s="405"/>
      <c r="V12" s="405"/>
      <c r="W12" s="405"/>
      <c r="X12" s="405"/>
      <c r="Y12" s="405"/>
      <c r="Z12" s="405"/>
      <c r="AA12" s="405"/>
      <c r="AB12" s="405"/>
      <c r="AC12" s="405"/>
      <c r="AD12" s="406"/>
      <c r="AE12" s="406"/>
      <c r="AF12" s="406"/>
      <c r="AG12" s="406"/>
      <c r="AL12" s="406"/>
      <c r="AM12" s="406"/>
      <c r="AN12" s="406"/>
      <c r="AO12" s="406"/>
      <c r="AP12" s="406"/>
      <c r="AQ12" s="406"/>
      <c r="AR12" s="406"/>
      <c r="AS12" s="405">
        <v>9.8998812900000015</v>
      </c>
      <c r="AT12" s="405">
        <v>10.067112819999998</v>
      </c>
      <c r="AU12" s="405">
        <v>13.834276925888725</v>
      </c>
    </row>
    <row r="13" spans="1:53" s="149" customFormat="1" hidden="1" outlineLevel="1">
      <c r="A13" s="149" t="s">
        <v>15</v>
      </c>
      <c r="B13" s="407">
        <f>+SUM(B7:B12)</f>
        <v>593.76101707000009</v>
      </c>
      <c r="C13" s="407">
        <f>+SUM(C7:C12)</f>
        <v>536.08691444522003</v>
      </c>
      <c r="D13" s="407">
        <f>+SUM(D7:D12)</f>
        <v>770.47320147475</v>
      </c>
      <c r="E13" s="407">
        <v>716.39700000000005</v>
      </c>
      <c r="F13" s="407">
        <v>815.08710199999996</v>
      </c>
      <c r="G13" s="407">
        <v>776.05889300000001</v>
      </c>
      <c r="H13" s="408">
        <v>845.97688401591688</v>
      </c>
      <c r="I13" s="405">
        <f t="shared" si="0"/>
        <v>-39.028208999999947</v>
      </c>
      <c r="J13" s="405"/>
      <c r="K13" s="405"/>
      <c r="L13" s="405"/>
      <c r="M13" s="405"/>
      <c r="N13" s="405"/>
      <c r="O13" s="405"/>
      <c r="P13" s="405"/>
      <c r="Q13" s="405"/>
      <c r="R13" s="405"/>
      <c r="S13" s="405"/>
      <c r="T13" s="405"/>
      <c r="U13" s="405"/>
      <c r="V13" s="405"/>
      <c r="W13" s="405"/>
      <c r="X13" s="405"/>
      <c r="Y13" s="405"/>
      <c r="Z13" s="405"/>
      <c r="AA13" s="405"/>
      <c r="AB13" s="405"/>
      <c r="AC13" s="405"/>
      <c r="AD13" s="406"/>
      <c r="AE13" s="406"/>
      <c r="AF13" s="406"/>
      <c r="AG13" s="406"/>
      <c r="AL13" s="406"/>
      <c r="AM13" s="406"/>
      <c r="AN13" s="406"/>
      <c r="AO13" s="406"/>
      <c r="AP13" s="406"/>
      <c r="AQ13" s="406"/>
      <c r="AR13" s="406"/>
      <c r="AS13" s="407">
        <f>+SUM(AS7:AS12)</f>
        <v>593.76101707000009</v>
      </c>
      <c r="AT13" s="407">
        <f>+SUM(AT7:AT12)</f>
        <v>536.09228014999997</v>
      </c>
      <c r="AU13" s="407">
        <f>+SUM(AU7:AU12)</f>
        <v>689.99999999999989</v>
      </c>
    </row>
    <row r="14" spans="1:53" hidden="1" outlineLevel="1"/>
    <row r="15" spans="1:53" hidden="1" outlineLevel="1"/>
    <row r="16" spans="1:53" s="397" customFormat="1" hidden="1" outlineLevel="1">
      <c r="A16" s="397" t="s">
        <v>16</v>
      </c>
      <c r="B16" s="409">
        <v>202101</v>
      </c>
      <c r="C16" s="403">
        <v>202102</v>
      </c>
      <c r="D16" s="403">
        <v>202103</v>
      </c>
      <c r="E16" s="403">
        <v>202104</v>
      </c>
      <c r="F16" s="403">
        <v>202105</v>
      </c>
      <c r="G16" s="403">
        <v>202106</v>
      </c>
      <c r="H16" s="404" t="s">
        <v>7</v>
      </c>
      <c r="I16" s="404"/>
      <c r="J16" s="404"/>
      <c r="K16" s="404"/>
      <c r="L16" s="404"/>
      <c r="M16" s="404"/>
      <c r="N16" s="404"/>
      <c r="O16" s="404"/>
      <c r="P16" s="404"/>
      <c r="Q16" s="404"/>
      <c r="R16" s="404"/>
      <c r="S16" s="404"/>
      <c r="T16" s="404"/>
      <c r="U16" s="404"/>
      <c r="V16" s="404"/>
      <c r="W16" s="404"/>
      <c r="X16" s="404"/>
      <c r="Y16" s="404"/>
      <c r="Z16" s="404"/>
      <c r="AA16" s="404"/>
      <c r="AB16" s="404"/>
      <c r="AC16" s="404"/>
      <c r="AS16" s="398">
        <v>202101</v>
      </c>
      <c r="AT16" s="398">
        <v>202102</v>
      </c>
      <c r="AU16" s="398">
        <v>202103</v>
      </c>
    </row>
    <row r="17" spans="1:53" s="397" customFormat="1" hidden="1" outlineLevel="1">
      <c r="A17" t="s">
        <v>9</v>
      </c>
      <c r="B17" s="163">
        <f t="shared" ref="B17:D22" si="1">+B7/B$13</f>
        <v>0.43214588114286689</v>
      </c>
      <c r="C17" s="163">
        <f t="shared" si="1"/>
        <v>0.40565754612846816</v>
      </c>
      <c r="D17" s="163">
        <f t="shared" si="1"/>
        <v>0.41190553362407978</v>
      </c>
      <c r="E17" s="163">
        <v>0.41122702185418847</v>
      </c>
      <c r="F17" s="163">
        <f t="shared" ref="F17:H22" si="2">+F7/F$13</f>
        <v>0.42461977400038659</v>
      </c>
      <c r="G17" s="163">
        <f t="shared" si="2"/>
        <v>0.40568855388739161</v>
      </c>
      <c r="H17" s="163" t="e">
        <f t="shared" si="2"/>
        <v>#REF!</v>
      </c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3"/>
      <c r="AB17" s="163"/>
      <c r="AC17" s="163"/>
      <c r="AD17" s="344"/>
      <c r="AE17" s="163"/>
      <c r="AF17" s="163"/>
      <c r="AG17" s="163"/>
      <c r="AL17" s="344"/>
      <c r="AM17" s="163"/>
      <c r="AN17" s="163"/>
      <c r="AO17" s="163"/>
      <c r="AP17" s="163"/>
      <c r="AQ17" s="163"/>
      <c r="AR17" s="163"/>
      <c r="AS17" s="163">
        <f t="shared" ref="AS17:AU22" si="3">+AS7/AS$13</f>
        <v>0.43214588114286689</v>
      </c>
      <c r="AT17" s="163">
        <f t="shared" si="3"/>
        <v>0.40565348594303946</v>
      </c>
      <c r="AU17" s="163">
        <f t="shared" si="3"/>
        <v>0.42759583878730878</v>
      </c>
    </row>
    <row r="18" spans="1:53" hidden="1" outlineLevel="1">
      <c r="A18" t="s">
        <v>10</v>
      </c>
      <c r="B18" s="163">
        <f t="shared" si="1"/>
        <v>0.21608400787765777</v>
      </c>
      <c r="C18" s="163">
        <f t="shared" si="1"/>
        <v>0.2233188539324315</v>
      </c>
      <c r="D18" s="163">
        <f t="shared" si="1"/>
        <v>0.23005852067070107</v>
      </c>
      <c r="E18" s="163">
        <v>0.23046748968154773</v>
      </c>
      <c r="F18" s="163">
        <f t="shared" si="2"/>
        <v>0.21423639052358603</v>
      </c>
      <c r="G18" s="163">
        <f t="shared" si="2"/>
        <v>0.20468821678498569</v>
      </c>
      <c r="H18" s="163" t="e">
        <f t="shared" si="2"/>
        <v>#REF!</v>
      </c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344"/>
      <c r="AE18" s="163"/>
      <c r="AF18" s="163"/>
      <c r="AG18" s="163"/>
      <c r="AL18" s="344"/>
      <c r="AM18" s="163"/>
      <c r="AN18" s="163"/>
      <c r="AO18" s="163"/>
      <c r="AP18" s="163"/>
      <c r="AQ18" s="163"/>
      <c r="AR18" s="163"/>
      <c r="AS18" s="163">
        <f t="shared" si="3"/>
        <v>0.21608400787765777</v>
      </c>
      <c r="AT18" s="163">
        <f t="shared" si="3"/>
        <v>0.22331661874799338</v>
      </c>
      <c r="AU18" s="163">
        <f t="shared" si="3"/>
        <v>0.21300456469648263</v>
      </c>
    </row>
    <row r="19" spans="1:53" hidden="1" outlineLevel="1">
      <c r="A19" t="s">
        <v>11</v>
      </c>
      <c r="B19" s="163">
        <f t="shared" si="1"/>
        <v>0.10929037409734439</v>
      </c>
      <c r="C19" s="163">
        <f t="shared" si="1"/>
        <v>0.11146844096053055</v>
      </c>
      <c r="D19" s="163">
        <f t="shared" si="1"/>
        <v>0.11254551312187562</v>
      </c>
      <c r="E19" s="163">
        <v>0.11436320861380876</v>
      </c>
      <c r="F19" s="163">
        <f t="shared" si="2"/>
        <v>0.1047193553419767</v>
      </c>
      <c r="G19" s="163">
        <f t="shared" si="2"/>
        <v>0.10776058189107048</v>
      </c>
      <c r="H19" s="163" t="e">
        <f t="shared" si="2"/>
        <v>#REF!</v>
      </c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163"/>
      <c r="AC19" s="163"/>
      <c r="AD19" s="344"/>
      <c r="AE19" s="163"/>
      <c r="AF19" s="163"/>
      <c r="AG19" s="163"/>
      <c r="AL19" s="344"/>
      <c r="AM19" s="163"/>
      <c r="AN19" s="163"/>
      <c r="AO19" s="163"/>
      <c r="AP19" s="163"/>
      <c r="AQ19" s="163"/>
      <c r="AR19" s="163"/>
      <c r="AS19" s="163">
        <f t="shared" si="3"/>
        <v>0.10929037409734439</v>
      </c>
      <c r="AT19" s="163">
        <f t="shared" si="3"/>
        <v>0.11146732529571196</v>
      </c>
      <c r="AU19" s="163">
        <f t="shared" si="3"/>
        <v>0.10982566094752765</v>
      </c>
    </row>
    <row r="20" spans="1:53" hidden="1" outlineLevel="1">
      <c r="A20" t="s">
        <v>12</v>
      </c>
      <c r="B20" s="163">
        <f t="shared" si="1"/>
        <v>0.16499876957811471</v>
      </c>
      <c r="C20" s="163">
        <f t="shared" si="1"/>
        <v>0.17293119772441892</v>
      </c>
      <c r="D20" s="163">
        <f t="shared" si="1"/>
        <v>0.16650568335519747</v>
      </c>
      <c r="E20" s="163">
        <v>0.16930269190383107</v>
      </c>
      <c r="F20" s="163">
        <f t="shared" si="2"/>
        <v>0.16644682871529479</v>
      </c>
      <c r="G20" s="163">
        <f t="shared" si="2"/>
        <v>0.1786763776674227</v>
      </c>
      <c r="H20" s="163" t="e">
        <f t="shared" si="2"/>
        <v>#REF!</v>
      </c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163"/>
      <c r="AB20" s="163"/>
      <c r="AC20" s="163"/>
      <c r="AD20" s="344"/>
      <c r="AE20" s="163"/>
      <c r="AF20" s="163"/>
      <c r="AG20" s="163"/>
      <c r="AL20" s="344"/>
      <c r="AM20" s="163"/>
      <c r="AN20" s="163"/>
      <c r="AO20" s="163"/>
      <c r="AP20" s="163"/>
      <c r="AQ20" s="163"/>
      <c r="AR20" s="163"/>
      <c r="AS20" s="163">
        <f t="shared" si="3"/>
        <v>0.16499876957811471</v>
      </c>
      <c r="AT20" s="163">
        <f t="shared" si="3"/>
        <v>0.17292946687100322</v>
      </c>
      <c r="AU20" s="163">
        <f t="shared" si="3"/>
        <v>0.16672298461121388</v>
      </c>
    </row>
    <row r="21" spans="1:53" hidden="1" outlineLevel="1">
      <c r="A21" t="s">
        <v>13</v>
      </c>
      <c r="B21" s="163">
        <f t="shared" si="1"/>
        <v>6.0807792397969844E-2</v>
      </c>
      <c r="C21" s="163">
        <f t="shared" si="1"/>
        <v>6.7855088427637975E-2</v>
      </c>
      <c r="D21" s="163">
        <f t="shared" si="1"/>
        <v>6.2739502029577301E-2</v>
      </c>
      <c r="E21" s="163">
        <v>6.0996239983269904E-2</v>
      </c>
      <c r="F21" s="163">
        <f t="shared" si="2"/>
        <v>6.1824324532067008E-2</v>
      </c>
      <c r="G21" s="163">
        <f t="shared" si="2"/>
        <v>7.2386167254590045E-2</v>
      </c>
      <c r="H21" s="163" t="e">
        <f t="shared" si="2"/>
        <v>#REF!</v>
      </c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344"/>
      <c r="AE21" s="163"/>
      <c r="AF21" s="163"/>
      <c r="AG21" s="163"/>
      <c r="AL21" s="344"/>
      <c r="AM21" s="163"/>
      <c r="AN21" s="163"/>
      <c r="AO21" s="163"/>
      <c r="AP21" s="163"/>
      <c r="AQ21" s="163"/>
      <c r="AR21" s="163"/>
      <c r="AS21" s="163">
        <f t="shared" si="3"/>
        <v>6.0807792397969844E-2</v>
      </c>
      <c r="AT21" s="163">
        <f t="shared" si="3"/>
        <v>6.785440926293855E-2</v>
      </c>
      <c r="AU21" s="163">
        <f t="shared" si="3"/>
        <v>6.2801274253280651E-2</v>
      </c>
    </row>
    <row r="22" spans="1:53" hidden="1" outlineLevel="1">
      <c r="A22" t="s">
        <v>14</v>
      </c>
      <c r="B22" s="163">
        <f t="shared" si="1"/>
        <v>1.6673174906046213E-2</v>
      </c>
      <c r="C22" s="163">
        <f t="shared" si="1"/>
        <v>1.8768872826512833E-2</v>
      </c>
      <c r="D22" s="163">
        <f t="shared" si="1"/>
        <v>1.6245247198568777E-2</v>
      </c>
      <c r="E22" s="163">
        <v>1.3643347963353968E-2</v>
      </c>
      <c r="F22" s="163">
        <f t="shared" si="2"/>
        <v>1.3643214688005211E-2</v>
      </c>
      <c r="G22" s="163">
        <f t="shared" si="2"/>
        <v>1.4292157716978832E-2</v>
      </c>
      <c r="H22" s="163" t="e">
        <f t="shared" si="2"/>
        <v>#REF!</v>
      </c>
      <c r="I22" s="163"/>
      <c r="J22" s="163"/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63"/>
      <c r="Y22" s="163"/>
      <c r="Z22" s="163"/>
      <c r="AA22" s="163"/>
      <c r="AB22" s="163"/>
      <c r="AC22" s="163"/>
      <c r="AD22" s="344"/>
      <c r="AE22" s="163"/>
      <c r="AF22" s="163"/>
      <c r="AG22" s="163"/>
      <c r="AL22" s="344"/>
      <c r="AM22" s="163"/>
      <c r="AN22" s="163"/>
      <c r="AO22" s="163"/>
      <c r="AP22" s="163"/>
      <c r="AQ22" s="163"/>
      <c r="AR22" s="163"/>
      <c r="AS22" s="163">
        <f t="shared" si="3"/>
        <v>1.6673174906046213E-2</v>
      </c>
      <c r="AT22" s="163">
        <f t="shared" si="3"/>
        <v>1.8778693879313454E-2</v>
      </c>
      <c r="AU22" s="163">
        <f t="shared" si="3"/>
        <v>2.0049676704186562E-2</v>
      </c>
    </row>
    <row r="23" spans="1:53" hidden="1" outlineLevel="1"/>
    <row r="24" spans="1:53" hidden="1" outlineLevel="1">
      <c r="A24" t="s">
        <v>17</v>
      </c>
      <c r="B24" s="215">
        <f t="shared" ref="B24:H24" si="4">+B17+B18</f>
        <v>0.6482298890205247</v>
      </c>
      <c r="C24" s="215">
        <f t="shared" si="4"/>
        <v>0.62897640006089972</v>
      </c>
      <c r="D24" s="215">
        <f t="shared" si="4"/>
        <v>0.64196405429478087</v>
      </c>
      <c r="E24" s="215">
        <f t="shared" si="4"/>
        <v>0.6416945115357362</v>
      </c>
      <c r="F24" s="215">
        <f t="shared" si="4"/>
        <v>0.63885616452397265</v>
      </c>
      <c r="G24" s="215">
        <f t="shared" si="4"/>
        <v>0.61037677067237728</v>
      </c>
      <c r="H24" s="215" t="e">
        <f t="shared" si="4"/>
        <v>#REF!</v>
      </c>
      <c r="I24" s="215"/>
      <c r="J24" s="215"/>
      <c r="K24" s="215"/>
      <c r="L24" s="215"/>
      <c r="M24" s="215"/>
      <c r="N24" s="215"/>
      <c r="O24" s="215"/>
      <c r="P24" s="215"/>
      <c r="Q24" s="215"/>
      <c r="R24" s="215"/>
      <c r="S24" s="215"/>
      <c r="T24" s="215"/>
      <c r="U24" s="215"/>
      <c r="V24" s="215"/>
      <c r="W24" s="215"/>
      <c r="X24" s="215"/>
      <c r="Y24" s="215"/>
      <c r="Z24" s="215"/>
      <c r="AA24" s="215"/>
      <c r="AB24" s="215"/>
      <c r="AC24" s="215"/>
      <c r="AD24" s="215"/>
      <c r="AE24" s="215"/>
      <c r="AF24" s="215"/>
      <c r="AG24" s="215"/>
      <c r="AL24" s="215"/>
      <c r="AM24" s="215"/>
      <c r="AN24" s="215"/>
      <c r="AO24" s="215"/>
      <c r="AP24" s="215"/>
      <c r="AQ24" s="215"/>
      <c r="AR24" s="215"/>
      <c r="AS24" s="215">
        <f>+AS17+AS18</f>
        <v>0.6482298890205247</v>
      </c>
      <c r="AT24" s="215">
        <f>+AT17+AT18</f>
        <v>0.62897010469103287</v>
      </c>
      <c r="AU24" s="215">
        <f>+AU17+AU18</f>
        <v>0.64060040348379144</v>
      </c>
    </row>
    <row r="25" spans="1:53" ht="18.5" collapsed="1">
      <c r="B25" s="215"/>
      <c r="C25" s="215"/>
      <c r="D25" s="215"/>
      <c r="E25" s="215"/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Y25" s="215"/>
      <c r="Z25" s="215"/>
      <c r="AA25" s="215"/>
      <c r="AB25" s="215"/>
      <c r="AC25" s="215"/>
      <c r="AD25" s="215"/>
      <c r="AE25" s="215"/>
      <c r="AF25" s="215"/>
      <c r="AG25" s="215"/>
      <c r="AL25" s="215"/>
      <c r="AM25" s="410" t="s">
        <v>3</v>
      </c>
      <c r="AN25" s="208">
        <v>4.584363253322904E-2</v>
      </c>
      <c r="AO25" s="208">
        <v>4.1959100536870929E-2</v>
      </c>
      <c r="AP25" s="208">
        <v>3.8380481225043332E-2</v>
      </c>
      <c r="AQ25" s="208">
        <v>3.7440381173554804E-2</v>
      </c>
      <c r="AR25" s="208">
        <v>3.7099110699181148E-2</v>
      </c>
      <c r="AS25" s="208">
        <v>3.9131966402087333E-2</v>
      </c>
      <c r="AT25" s="208">
        <v>3.9801472805121273E-2</v>
      </c>
      <c r="AU25" s="208">
        <v>3.9978124272995179E-2</v>
      </c>
      <c r="AV25" s="208">
        <v>3.8100902983988084E-2</v>
      </c>
      <c r="AW25" s="208">
        <v>3.8573972200214912E-2</v>
      </c>
      <c r="AX25" s="208">
        <v>3.8596266715597766E-2</v>
      </c>
      <c r="AY25" s="208">
        <v>3.8911516005467807E-2</v>
      </c>
      <c r="AZ25" s="208">
        <v>3.8713608997337605E-2</v>
      </c>
      <c r="BA25" s="208">
        <v>3.8606915736774855E-2</v>
      </c>
    </row>
    <row r="26" spans="1:53">
      <c r="A26" s="402" t="s">
        <v>18</v>
      </c>
      <c r="B26" s="215"/>
      <c r="C26" s="215"/>
      <c r="D26" s="215"/>
      <c r="E26" s="215"/>
      <c r="F26" s="215"/>
      <c r="G26" s="215"/>
      <c r="H26" s="215"/>
      <c r="I26" s="215"/>
      <c r="J26" s="215"/>
      <c r="K26" s="215"/>
      <c r="L26" s="215"/>
      <c r="M26" s="215"/>
      <c r="N26" s="215"/>
      <c r="O26" s="215"/>
      <c r="P26" s="215"/>
      <c r="Q26" s="215"/>
      <c r="R26" s="215"/>
      <c r="S26" s="215"/>
      <c r="T26" s="215"/>
      <c r="U26" s="215"/>
      <c r="V26" s="215"/>
      <c r="W26" s="215"/>
      <c r="X26" s="215"/>
      <c r="Y26" s="215"/>
      <c r="Z26" s="215"/>
      <c r="AA26" s="215"/>
      <c r="AB26" s="215"/>
      <c r="AC26" s="215"/>
      <c r="AD26" s="215"/>
      <c r="AE26" s="215"/>
      <c r="AF26" s="215"/>
      <c r="AG26" s="215"/>
      <c r="AL26" s="215"/>
      <c r="AM26" s="411" t="s">
        <v>4</v>
      </c>
      <c r="AN26" s="208">
        <v>9.5787130550488951E-3</v>
      </c>
      <c r="AO26" s="208">
        <v>9.8134279565252128E-3</v>
      </c>
      <c r="AP26" s="208">
        <v>9.4731905855130107E-3</v>
      </c>
      <c r="AQ26" s="208">
        <v>8.5771271859780649E-3</v>
      </c>
      <c r="AR26" s="208">
        <v>8.0991817671442392E-3</v>
      </c>
      <c r="AS26" s="208">
        <v>7.2980042713543802E-3</v>
      </c>
      <c r="AT26" s="208">
        <v>6.5455917087640795E-3</v>
      </c>
      <c r="AU26" s="208">
        <v>6.3050190987436958E-3</v>
      </c>
      <c r="AV26" s="208">
        <v>5.5417590416680478E-3</v>
      </c>
      <c r="AW26" s="208">
        <v>5.460062094174975E-3</v>
      </c>
      <c r="AX26" s="208">
        <v>5.3969281108061607E-3</v>
      </c>
      <c r="AY26" s="208">
        <v>5.3617355681201094E-3</v>
      </c>
      <c r="AZ26" s="208">
        <v>5.298830078741947E-3</v>
      </c>
      <c r="BA26" s="208">
        <v>5.1806663202375097E-3</v>
      </c>
    </row>
    <row r="27" spans="1:53">
      <c r="B27" s="215"/>
      <c r="C27" s="215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5"/>
      <c r="U27" s="215"/>
      <c r="V27" s="215"/>
      <c r="W27" s="215"/>
      <c r="X27" s="215"/>
      <c r="Y27" s="215"/>
      <c r="Z27" s="215"/>
      <c r="AA27" s="215"/>
      <c r="AB27" s="215"/>
      <c r="AC27" s="215"/>
      <c r="AD27" s="215"/>
      <c r="AE27" s="215"/>
      <c r="AF27" s="215"/>
      <c r="AG27" s="215"/>
      <c r="AL27" s="215"/>
      <c r="AM27" s="215"/>
      <c r="AN27" s="215"/>
      <c r="AO27" s="215"/>
      <c r="AP27" s="215"/>
      <c r="AQ27" s="215"/>
      <c r="AR27" s="215"/>
      <c r="AS27" s="215"/>
      <c r="AT27" s="215"/>
      <c r="AU27" s="215"/>
      <c r="AV27" s="215"/>
      <c r="AW27" s="215"/>
    </row>
    <row r="28" spans="1:53">
      <c r="B28" s="403">
        <v>202101</v>
      </c>
      <c r="C28" s="403">
        <v>202102</v>
      </c>
      <c r="D28" s="403">
        <v>202103</v>
      </c>
      <c r="E28" s="403">
        <v>202104</v>
      </c>
      <c r="F28" s="403">
        <v>202105</v>
      </c>
      <c r="G28" s="403">
        <v>202106</v>
      </c>
      <c r="H28" s="403">
        <v>202107</v>
      </c>
      <c r="I28" s="403">
        <v>202108</v>
      </c>
      <c r="J28" s="403">
        <v>202109</v>
      </c>
      <c r="K28" s="403">
        <v>202110</v>
      </c>
      <c r="L28" s="403">
        <v>202111</v>
      </c>
      <c r="M28" s="403">
        <v>202112</v>
      </c>
      <c r="N28" s="403">
        <v>202201</v>
      </c>
      <c r="O28" s="403">
        <v>202202</v>
      </c>
      <c r="P28" s="403">
        <v>202203</v>
      </c>
      <c r="Q28" s="403">
        <v>202004</v>
      </c>
      <c r="R28" s="403">
        <v>202005</v>
      </c>
      <c r="S28" s="403">
        <v>202206</v>
      </c>
      <c r="T28" s="403">
        <v>202207</v>
      </c>
      <c r="U28" s="403">
        <v>202208</v>
      </c>
      <c r="V28" s="403">
        <v>202209</v>
      </c>
      <c r="W28" s="403">
        <v>202210</v>
      </c>
      <c r="X28" s="403">
        <v>202211</v>
      </c>
      <c r="Y28" s="403">
        <v>202212</v>
      </c>
      <c r="Z28" s="403">
        <v>202301</v>
      </c>
      <c r="AA28" s="403">
        <v>202302</v>
      </c>
      <c r="AB28" s="403" t="s">
        <v>19</v>
      </c>
      <c r="AC28" s="403" t="s">
        <v>20</v>
      </c>
      <c r="AM28" s="403" t="s">
        <v>21</v>
      </c>
      <c r="AN28" s="403">
        <v>202211</v>
      </c>
      <c r="AO28" s="403">
        <v>202212</v>
      </c>
      <c r="AP28" s="403">
        <v>202301</v>
      </c>
      <c r="AQ28" s="403">
        <v>202302</v>
      </c>
      <c r="AR28" s="403">
        <v>202303</v>
      </c>
      <c r="AS28" s="403">
        <v>202304</v>
      </c>
      <c r="AT28" s="403">
        <v>202305</v>
      </c>
      <c r="AU28" s="403">
        <v>202306</v>
      </c>
      <c r="AV28" s="403">
        <v>202307</v>
      </c>
      <c r="AW28" s="403">
        <v>202308</v>
      </c>
      <c r="AX28" s="403">
        <v>202309</v>
      </c>
      <c r="AY28" s="403">
        <v>202310</v>
      </c>
      <c r="AZ28" s="403">
        <v>202311</v>
      </c>
      <c r="BA28" s="403">
        <v>202312</v>
      </c>
    </row>
    <row r="29" spans="1:53">
      <c r="A29" t="s">
        <v>9</v>
      </c>
      <c r="B29" s="405">
        <v>257.11812472809999</v>
      </c>
      <c r="C29" s="405">
        <v>218.3123609159</v>
      </c>
      <c r="D29" s="405">
        <v>306.58949817501002</v>
      </c>
      <c r="E29" s="405">
        <v>304.75927587604002</v>
      </c>
      <c r="F29" s="405">
        <v>355.64639462972002</v>
      </c>
      <c r="G29" s="405">
        <v>352.99305160313003</v>
      </c>
      <c r="H29" s="405">
        <v>420.0965325441</v>
      </c>
      <c r="I29" s="405">
        <v>414.51929054908999</v>
      </c>
      <c r="J29" s="405">
        <v>437.55441868010973</v>
      </c>
      <c r="K29" s="405">
        <v>450.58581736297998</v>
      </c>
      <c r="L29" s="405">
        <v>542.37330722119998</v>
      </c>
      <c r="M29" s="405">
        <v>551.76711686264002</v>
      </c>
      <c r="N29" s="405">
        <v>495.22569633331165</v>
      </c>
      <c r="O29" s="405">
        <v>504.59367888917001</v>
      </c>
      <c r="P29" s="405">
        <v>585.45418211964</v>
      </c>
      <c r="Q29" s="405">
        <v>541.69100546236996</v>
      </c>
      <c r="R29" s="405">
        <v>607.55044121125002</v>
      </c>
      <c r="S29" s="405">
        <v>561.50284094563006</v>
      </c>
      <c r="T29" s="412">
        <v>541.56300731491001</v>
      </c>
      <c r="U29" s="412">
        <v>676.88538734251995</v>
      </c>
      <c r="V29" s="19">
        <v>570.70913425234005</v>
      </c>
      <c r="W29" s="19">
        <v>621.03498516727996</v>
      </c>
      <c r="X29" s="412">
        <v>617.33303094681003</v>
      </c>
      <c r="Y29" s="412">
        <v>644.06054054510821</v>
      </c>
      <c r="Z29" s="413">
        <f>+Z60</f>
        <v>397.2626173134401</v>
      </c>
      <c r="AA29" s="413"/>
      <c r="AB29" s="413"/>
      <c r="AC29" s="405">
        <f t="shared" ref="AC29:AC34" si="5">+$AC$35*(Z29/$Y$35)</f>
        <v>376.30966977437691</v>
      </c>
      <c r="AM29" s="414" t="s">
        <v>9</v>
      </c>
      <c r="AN29" s="415">
        <v>627553590.75452197</v>
      </c>
      <c r="AO29" s="415">
        <v>650810659.80868065</v>
      </c>
      <c r="AP29" s="415">
        <v>595985165.79237986</v>
      </c>
      <c r="AQ29" s="415">
        <v>607985851.46648633</v>
      </c>
      <c r="AR29" s="415">
        <v>669695546.96941376</v>
      </c>
      <c r="AS29" s="415">
        <v>633142366.54418623</v>
      </c>
      <c r="AT29" s="415">
        <v>681720590.24421549</v>
      </c>
      <c r="AU29" s="415">
        <v>644133766.55818534</v>
      </c>
      <c r="AV29" s="415">
        <v>688812663.93935108</v>
      </c>
      <c r="AW29" s="415">
        <v>692271003.09719253</v>
      </c>
      <c r="AX29" s="415">
        <v>656471746.61359739</v>
      </c>
      <c r="AY29" s="415">
        <v>697094056.36666977</v>
      </c>
      <c r="AZ29" s="415">
        <v>723078373.55293798</v>
      </c>
      <c r="BA29" s="415">
        <v>760456683.64280283</v>
      </c>
    </row>
    <row r="30" spans="1:53">
      <c r="A30" t="s">
        <v>10</v>
      </c>
      <c r="B30" s="405">
        <v>128.76692055237001</v>
      </c>
      <c r="C30" s="405">
        <v>119.77027414707</v>
      </c>
      <c r="D30" s="405">
        <v>179.51380651923</v>
      </c>
      <c r="E30" s="405">
        <v>161.99113197949001</v>
      </c>
      <c r="F30" s="405">
        <v>179.5374261728</v>
      </c>
      <c r="G30" s="405">
        <v>170.43719006823</v>
      </c>
      <c r="H30" s="405">
        <v>209.70943599557</v>
      </c>
      <c r="I30" s="405">
        <v>215.13463618246999</v>
      </c>
      <c r="J30" s="405">
        <v>214.49419689756917</v>
      </c>
      <c r="K30" s="405">
        <v>221.13980571126999</v>
      </c>
      <c r="L30" s="405">
        <v>272.90377656782999</v>
      </c>
      <c r="M30" s="405">
        <v>281.17182581191997</v>
      </c>
      <c r="N30" s="405">
        <v>255.13880381792836</v>
      </c>
      <c r="O30" s="405">
        <v>252.55130245015999</v>
      </c>
      <c r="P30" s="405">
        <v>296.53018677457999</v>
      </c>
      <c r="Q30" s="405">
        <v>263.53670825374002</v>
      </c>
      <c r="R30" s="405">
        <v>296.27303506896999</v>
      </c>
      <c r="S30" s="405">
        <v>281.93082695506001</v>
      </c>
      <c r="T30" s="412">
        <v>271.05906063257999</v>
      </c>
      <c r="U30" s="412">
        <v>351.70206897354001</v>
      </c>
      <c r="V30" s="19">
        <v>303.44103607365003</v>
      </c>
      <c r="W30" s="19">
        <v>331.22319871073</v>
      </c>
      <c r="X30" s="412">
        <v>336.42679612990003</v>
      </c>
      <c r="Y30" s="412">
        <v>350.99243569870089</v>
      </c>
      <c r="Z30" s="413">
        <f>+Z57</f>
        <v>262.23897986334919</v>
      </c>
      <c r="AA30" s="413"/>
      <c r="AB30" s="413"/>
      <c r="AC30" s="405">
        <f t="shared" si="5"/>
        <v>248.40762662670949</v>
      </c>
      <c r="AM30" s="414" t="s">
        <v>10</v>
      </c>
      <c r="AN30" s="415">
        <v>358648358.38908529</v>
      </c>
      <c r="AO30" s="415">
        <v>389542104.71170098</v>
      </c>
      <c r="AP30" s="415">
        <v>357763373.6140123</v>
      </c>
      <c r="AQ30" s="415">
        <v>362823996.26647675</v>
      </c>
      <c r="AR30" s="415">
        <v>395192035.60029203</v>
      </c>
      <c r="AS30" s="415">
        <v>368077049.84353554</v>
      </c>
      <c r="AT30" s="415">
        <v>394581924.6975708</v>
      </c>
      <c r="AU30" s="415">
        <v>369383943.34825945</v>
      </c>
      <c r="AV30" s="415">
        <v>392552379.51802802</v>
      </c>
      <c r="AW30" s="415">
        <v>395819900.18154949</v>
      </c>
      <c r="AX30" s="415">
        <v>376657892.09812713</v>
      </c>
      <c r="AY30" s="415">
        <v>399903391.79280567</v>
      </c>
      <c r="AZ30" s="415">
        <v>419775407.91075885</v>
      </c>
      <c r="BA30" s="415">
        <v>450028623.51839924</v>
      </c>
    </row>
    <row r="31" spans="1:53">
      <c r="A31" t="s">
        <v>11</v>
      </c>
      <c r="B31" s="405">
        <v>65.110978021630004</v>
      </c>
      <c r="C31" s="405">
        <v>59.483425820459999</v>
      </c>
      <c r="D31" s="405">
        <v>89.717292160430006</v>
      </c>
      <c r="E31" s="405">
        <v>76.486415444990001</v>
      </c>
      <c r="F31" s="405">
        <v>87.381582252079994</v>
      </c>
      <c r="G31" s="405">
        <v>82.270583155720004</v>
      </c>
      <c r="H31" s="405">
        <v>96.660887851550001</v>
      </c>
      <c r="I31" s="405">
        <v>103.52093239487</v>
      </c>
      <c r="J31" s="405">
        <v>99.196515946218895</v>
      </c>
      <c r="K31" s="405">
        <v>104.46972837958999</v>
      </c>
      <c r="L31" s="405">
        <v>126.71351494942</v>
      </c>
      <c r="M31" s="405">
        <v>130.59912277851001</v>
      </c>
      <c r="N31" s="405">
        <v>126.35602664970838</v>
      </c>
      <c r="O31" s="405">
        <v>129.42604783845999</v>
      </c>
      <c r="P31" s="405">
        <v>149.35837047877999</v>
      </c>
      <c r="Q31" s="405">
        <v>129.07109832808001</v>
      </c>
      <c r="R31" s="405">
        <v>150.65257715357001</v>
      </c>
      <c r="S31" s="405">
        <v>141.22134882709</v>
      </c>
      <c r="T31" s="412">
        <v>135.66445106533999</v>
      </c>
      <c r="U31" s="412">
        <v>171.79711312424999</v>
      </c>
      <c r="V31" s="19">
        <v>150.48327152792999</v>
      </c>
      <c r="W31" s="19">
        <v>164.64180157049</v>
      </c>
      <c r="X31" s="412">
        <v>166.96185480643001</v>
      </c>
      <c r="Y31" s="412">
        <v>174.19048887132752</v>
      </c>
      <c r="Z31" s="413">
        <f>+Z59</f>
        <v>140.7757717803876</v>
      </c>
      <c r="AA31" s="413"/>
      <c r="AB31" s="413"/>
      <c r="AC31" s="405">
        <f t="shared" si="5"/>
        <v>133.35079084250512</v>
      </c>
      <c r="AM31" s="414" t="s">
        <v>11</v>
      </c>
      <c r="AN31" s="415">
        <v>164687081.82726747</v>
      </c>
      <c r="AO31" s="415">
        <v>186143389.49937063</v>
      </c>
      <c r="AP31" s="415">
        <v>169551783.08562034</v>
      </c>
      <c r="AQ31" s="415">
        <v>176775364.94292694</v>
      </c>
      <c r="AR31" s="415">
        <v>194995815.71468058</v>
      </c>
      <c r="AS31" s="415">
        <v>178212903.54271024</v>
      </c>
      <c r="AT31" s="415">
        <v>189868009.70546255</v>
      </c>
      <c r="AU31" s="415">
        <v>181708569.92943019</v>
      </c>
      <c r="AV31" s="415">
        <v>197131080.50959522</v>
      </c>
      <c r="AW31" s="415">
        <v>201816515.01506829</v>
      </c>
      <c r="AX31" s="415">
        <v>197228071.00732839</v>
      </c>
      <c r="AY31" s="415">
        <v>210512995.95141357</v>
      </c>
      <c r="AZ31" s="415">
        <v>221094945.85592896</v>
      </c>
      <c r="BA31" s="415">
        <v>239741944.83464766</v>
      </c>
    </row>
    <row r="32" spans="1:53">
      <c r="A32" t="s">
        <v>12</v>
      </c>
      <c r="B32" s="405">
        <v>98.598310571590005</v>
      </c>
      <c r="C32" s="405">
        <v>91.399719326189995</v>
      </c>
      <c r="D32" s="405">
        <v>131.65943083144001</v>
      </c>
      <c r="E32" s="405">
        <v>116.97523337908</v>
      </c>
      <c r="F32" s="405">
        <v>127.61456650117999</v>
      </c>
      <c r="G32" s="405">
        <v>117.20631180862</v>
      </c>
      <c r="H32" s="405">
        <v>132.91553368359999</v>
      </c>
      <c r="I32" s="405">
        <v>147.08074541546</v>
      </c>
      <c r="J32" s="405">
        <v>133.26238844246899</v>
      </c>
      <c r="K32" s="405">
        <v>142.09797281367</v>
      </c>
      <c r="L32" s="405">
        <v>174.6955240469</v>
      </c>
      <c r="M32" s="405">
        <v>179.17834040144999</v>
      </c>
      <c r="N32" s="405">
        <v>168.78927640203295</v>
      </c>
      <c r="O32" s="405">
        <v>171.62192923738999</v>
      </c>
      <c r="P32" s="405">
        <v>201.95276256560001</v>
      </c>
      <c r="Q32" s="405">
        <v>173.21280177886001</v>
      </c>
      <c r="R32" s="405">
        <v>201.31581547005999</v>
      </c>
      <c r="S32" s="405">
        <v>194.18984173619</v>
      </c>
      <c r="T32" s="412">
        <v>186.17407380794</v>
      </c>
      <c r="U32" s="412">
        <v>238.65555159979999</v>
      </c>
      <c r="V32" s="19">
        <v>208.62821067611</v>
      </c>
      <c r="W32" s="19">
        <v>222.09162761092</v>
      </c>
      <c r="X32" s="412">
        <v>229.75868272142</v>
      </c>
      <c r="Y32" s="412">
        <v>239.70611318421379</v>
      </c>
      <c r="Z32" s="413">
        <f>+Z58</f>
        <v>103.69090543742743</v>
      </c>
      <c r="AA32" s="413"/>
      <c r="AB32" s="413"/>
      <c r="AC32" s="405">
        <f t="shared" si="5"/>
        <v>98.221903303269457</v>
      </c>
      <c r="AM32" s="414" t="s">
        <v>12</v>
      </c>
      <c r="AN32" s="415">
        <v>216613576.82248729</v>
      </c>
      <c r="AO32" s="415">
        <v>223162805.69839194</v>
      </c>
      <c r="AP32" s="415">
        <v>204311572.37159991</v>
      </c>
      <c r="AQ32" s="415">
        <v>208306733.00478786</v>
      </c>
      <c r="AR32" s="415">
        <v>223051236.17052633</v>
      </c>
      <c r="AS32" s="415">
        <v>199416935.91269329</v>
      </c>
      <c r="AT32" s="415">
        <v>208477842.71845329</v>
      </c>
      <c r="AU32" s="415">
        <v>190664600.3017444</v>
      </c>
      <c r="AV32" s="415">
        <v>204671838.35605824</v>
      </c>
      <c r="AW32" s="415">
        <v>204661369.09262201</v>
      </c>
      <c r="AX32" s="415">
        <v>194184372.29915637</v>
      </c>
      <c r="AY32" s="415">
        <v>204170947.21501881</v>
      </c>
      <c r="AZ32" s="415">
        <v>213617347.26697868</v>
      </c>
      <c r="BA32" s="415">
        <v>225778067.17248857</v>
      </c>
    </row>
    <row r="33" spans="1:53">
      <c r="A33" t="s">
        <v>13</v>
      </c>
      <c r="B33" s="405">
        <v>36.261999960499999</v>
      </c>
      <c r="C33" s="405">
        <v>36.137150191650001</v>
      </c>
      <c r="D33" s="405">
        <v>50.419139231519999</v>
      </c>
      <c r="E33" s="405">
        <v>44.437661406979998</v>
      </c>
      <c r="F33" s="405">
        <v>49.529512849520003</v>
      </c>
      <c r="G33" s="405">
        <v>41.368256579700002</v>
      </c>
      <c r="H33" s="405">
        <v>45.159664703300002</v>
      </c>
      <c r="I33" s="405">
        <v>52.956579786399999</v>
      </c>
      <c r="J33" s="405">
        <v>42.645178564129715</v>
      </c>
      <c r="K33" s="405">
        <v>44.639405750709997</v>
      </c>
      <c r="L33" s="405">
        <v>56.299005205699999</v>
      </c>
      <c r="M33" s="405">
        <v>52.065923097320002</v>
      </c>
      <c r="N33" s="405">
        <v>50.03682880329476</v>
      </c>
      <c r="O33" s="405">
        <v>53.269350816120003</v>
      </c>
      <c r="P33" s="405">
        <v>63.242931736780001</v>
      </c>
      <c r="Q33" s="405">
        <v>53.616450344100002</v>
      </c>
      <c r="R33" s="405">
        <v>64.397724902069996</v>
      </c>
      <c r="S33" s="405">
        <v>61.298050885549998</v>
      </c>
      <c r="T33" s="412">
        <v>58.749585091759997</v>
      </c>
      <c r="U33" s="412">
        <v>75.195287445580007</v>
      </c>
      <c r="V33" s="19">
        <v>65.006427870600007</v>
      </c>
      <c r="W33" s="19">
        <v>68.425065201300001</v>
      </c>
      <c r="X33" s="412">
        <v>70.917681046569996</v>
      </c>
      <c r="Y33" s="412">
        <v>73.988070780866536</v>
      </c>
      <c r="Z33" s="413">
        <f>+Z61</f>
        <v>61.335084091698768</v>
      </c>
      <c r="AA33" s="413"/>
      <c r="AB33" s="413"/>
      <c r="AC33" s="405">
        <f t="shared" si="5"/>
        <v>58.100068403667365</v>
      </c>
      <c r="AM33" s="414" t="s">
        <v>13</v>
      </c>
      <c r="AN33" s="415">
        <v>66369648.64361006</v>
      </c>
      <c r="AO33" s="415">
        <v>64147462.357681453</v>
      </c>
      <c r="AP33" s="415">
        <v>53515286.35503906</v>
      </c>
      <c r="AQ33" s="415">
        <v>53213881.513843954</v>
      </c>
      <c r="AR33" s="415">
        <v>57619876.178690434</v>
      </c>
      <c r="AS33" s="415">
        <v>56584289.662818491</v>
      </c>
      <c r="AT33" s="415">
        <v>61545636.475081205</v>
      </c>
      <c r="AU33" s="415">
        <v>58094095.170793712</v>
      </c>
      <c r="AV33" s="415">
        <v>59088832.591720164</v>
      </c>
      <c r="AW33" s="415">
        <v>60307016.069761336</v>
      </c>
      <c r="AX33" s="415">
        <v>57512149.335782051</v>
      </c>
      <c r="AY33" s="415">
        <v>61546686.592789233</v>
      </c>
      <c r="AZ33" s="415">
        <v>63885011.348877668</v>
      </c>
      <c r="BA33" s="415">
        <v>67668433.203067243</v>
      </c>
    </row>
    <row r="34" spans="1:53">
      <c r="A34" t="s">
        <v>14</v>
      </c>
      <c r="B34" s="405">
        <v>9.9305896702500007</v>
      </c>
      <c r="C34" s="405">
        <v>10.01709682563</v>
      </c>
      <c r="D34" s="405">
        <v>12.897198661499999</v>
      </c>
      <c r="E34" s="405">
        <v>10.917682354269999</v>
      </c>
      <c r="F34" s="405">
        <v>11.77224877469</v>
      </c>
      <c r="G34" s="405">
        <v>9.0450333356900003</v>
      </c>
      <c r="H34" s="405">
        <v>10.35866286684</v>
      </c>
      <c r="I34" s="405">
        <v>12.469980848720001</v>
      </c>
      <c r="J34" s="405">
        <v>8.7733014695035703</v>
      </c>
      <c r="K34" s="405">
        <v>9.4036092375100004</v>
      </c>
      <c r="L34" s="405">
        <v>11.899275308209999</v>
      </c>
      <c r="M34" s="405">
        <v>10.38704103135</v>
      </c>
      <c r="N34" s="405">
        <v>9.7993679937239637</v>
      </c>
      <c r="O34" s="405">
        <v>11.493933642729999</v>
      </c>
      <c r="P34" s="405">
        <v>13.770644918409999</v>
      </c>
      <c r="Q34" s="405">
        <v>11.85193467194</v>
      </c>
      <c r="R34" s="405">
        <v>14.01743940593</v>
      </c>
      <c r="S34" s="405">
        <v>13.7010727037</v>
      </c>
      <c r="T34" s="412">
        <v>12.65930455757</v>
      </c>
      <c r="U34" s="412">
        <v>16.352860842969999</v>
      </c>
      <c r="V34" s="19">
        <v>10.12650101094</v>
      </c>
      <c r="W34" s="19">
        <v>9.1623331039299991</v>
      </c>
      <c r="X34" s="412">
        <v>10.29627253252</v>
      </c>
      <c r="Y34" s="412">
        <v>10.742050919782958</v>
      </c>
      <c r="Z34" s="413">
        <f>+Z62</f>
        <v>34.638224484076851</v>
      </c>
      <c r="AA34" s="413"/>
      <c r="AB34" s="413"/>
      <c r="AC34" s="405">
        <f t="shared" si="5"/>
        <v>32.81128968369385</v>
      </c>
      <c r="AM34" s="414" t="s">
        <v>14</v>
      </c>
      <c r="AN34" s="415">
        <v>13867483.547704313</v>
      </c>
      <c r="AO34" s="415">
        <v>15002859.746429753</v>
      </c>
      <c r="AP34" s="415">
        <v>13208810.590649821</v>
      </c>
      <c r="AQ34" s="415">
        <v>12190640.57302361</v>
      </c>
      <c r="AR34" s="415">
        <v>12579111.514440121</v>
      </c>
      <c r="AS34" s="415">
        <v>10552814.632611347</v>
      </c>
      <c r="AT34" s="415">
        <v>10121550.270121271</v>
      </c>
      <c r="AU34" s="415">
        <v>9162120.1904039718</v>
      </c>
      <c r="AV34" s="415">
        <v>8594443.8748443406</v>
      </c>
      <c r="AW34" s="415">
        <v>8536327.3127850294</v>
      </c>
      <c r="AX34" s="415">
        <v>8041941.9253761061</v>
      </c>
      <c r="AY34" s="415">
        <v>8480704.2356850915</v>
      </c>
      <c r="AZ34" s="415">
        <v>8744103.9077365249</v>
      </c>
      <c r="BA34" s="415">
        <v>9080434.5840152279</v>
      </c>
    </row>
    <row r="35" spans="1:53">
      <c r="A35" s="149" t="s">
        <v>15</v>
      </c>
      <c r="B35" s="407">
        <v>595.78692350443998</v>
      </c>
      <c r="C35" s="407">
        <v>535.12002722689999</v>
      </c>
      <c r="D35" s="407">
        <v>770.79636557913</v>
      </c>
      <c r="E35" s="407">
        <v>715.56740044085018</v>
      </c>
      <c r="F35" s="407">
        <v>811.48173117998988</v>
      </c>
      <c r="G35" s="407">
        <v>774.53675274863008</v>
      </c>
      <c r="H35" s="407">
        <v>914.91202180496009</v>
      </c>
      <c r="I35" s="407">
        <v>945.68216517700989</v>
      </c>
      <c r="J35" s="407">
        <v>935.92600000000004</v>
      </c>
      <c r="K35" s="407">
        <f>+SUM(K29:K34)</f>
        <v>972.33633925572997</v>
      </c>
      <c r="L35" s="407">
        <f>+SUM(L29:L34)</f>
        <v>1184.8844032992602</v>
      </c>
      <c r="M35" s="407">
        <f t="shared" ref="M35:Z35" si="6">SUM(M29:M34)</f>
        <v>1205.1693699831899</v>
      </c>
      <c r="N35" s="407">
        <f t="shared" si="6"/>
        <v>1105.3460000000002</v>
      </c>
      <c r="O35" s="407">
        <f t="shared" si="6"/>
        <v>1122.9562428740303</v>
      </c>
      <c r="P35" s="407">
        <f t="shared" si="6"/>
        <v>1310.30907859379</v>
      </c>
      <c r="Q35" s="407">
        <f t="shared" si="6"/>
        <v>1172.9799988390901</v>
      </c>
      <c r="R35" s="407">
        <f t="shared" si="6"/>
        <v>1334.2070332118499</v>
      </c>
      <c r="S35" s="407">
        <f t="shared" si="6"/>
        <v>1253.8439820532201</v>
      </c>
      <c r="T35" s="407">
        <f t="shared" si="6"/>
        <v>1205.8694824701001</v>
      </c>
      <c r="U35" s="407">
        <f t="shared" si="6"/>
        <v>1530.5882693286601</v>
      </c>
      <c r="V35" s="407">
        <f t="shared" si="6"/>
        <v>1308.39458141157</v>
      </c>
      <c r="W35" s="407">
        <f t="shared" si="6"/>
        <v>1416.5790113646501</v>
      </c>
      <c r="X35" s="407">
        <f t="shared" si="6"/>
        <v>1431.69431818365</v>
      </c>
      <c r="Y35" s="407">
        <v>1493.6796999999999</v>
      </c>
      <c r="Z35" s="407">
        <f t="shared" si="6"/>
        <v>999.94158297037995</v>
      </c>
      <c r="AA35" s="407"/>
      <c r="AB35" s="407"/>
      <c r="AC35" s="416">
        <v>1414.8980804106329</v>
      </c>
      <c r="AM35" s="417" t="s">
        <v>15</v>
      </c>
      <c r="AN35" s="417">
        <v>1447739739.9846764</v>
      </c>
      <c r="AO35" s="417">
        <v>1528809281.8222554</v>
      </c>
      <c r="AP35" s="417">
        <v>1394335991.8093014</v>
      </c>
      <c r="AQ35" s="417">
        <v>1421296467.7675455</v>
      </c>
      <c r="AR35" s="417">
        <v>1553133622.1480432</v>
      </c>
      <c r="AS35" s="417">
        <v>1445986360.138555</v>
      </c>
      <c r="AT35" s="417">
        <v>1546315554.1109047</v>
      </c>
      <c r="AU35" s="417">
        <v>1453147095.4988172</v>
      </c>
      <c r="AV35" s="417">
        <v>1550851238.7895968</v>
      </c>
      <c r="AW35" s="417">
        <v>1563412130.7689786</v>
      </c>
      <c r="AX35" s="417">
        <v>1490096173.2793674</v>
      </c>
      <c r="AY35" s="417">
        <v>1581708782.154382</v>
      </c>
      <c r="AZ35" s="417">
        <v>1650195189.8432188</v>
      </c>
      <c r="BA35" s="417">
        <v>1752754186.9554207</v>
      </c>
    </row>
    <row r="36" spans="1:53">
      <c r="B36" s="405"/>
      <c r="C36" s="405"/>
      <c r="D36" s="405"/>
      <c r="E36" s="405"/>
      <c r="F36" s="405"/>
      <c r="G36" s="405"/>
      <c r="H36" s="405"/>
      <c r="I36" s="405"/>
      <c r="J36" s="405"/>
      <c r="K36" s="405"/>
      <c r="L36" s="405"/>
      <c r="M36" s="405"/>
      <c r="N36" s="405"/>
      <c r="O36" s="405"/>
      <c r="P36" s="405"/>
      <c r="Q36" s="405"/>
      <c r="R36" s="405"/>
      <c r="S36" s="405"/>
      <c r="T36" s="405"/>
      <c r="U36" s="405"/>
      <c r="V36" s="405"/>
      <c r="W36" s="405"/>
      <c r="X36" s="405"/>
      <c r="Y36" s="405"/>
      <c r="Z36" s="405"/>
      <c r="AA36" s="405"/>
      <c r="AB36" s="405"/>
      <c r="AC36" s="405"/>
      <c r="AE36" t="s">
        <v>22</v>
      </c>
    </row>
    <row r="37" spans="1:53">
      <c r="B37" s="403">
        <v>202101</v>
      </c>
      <c r="C37" s="403">
        <v>202102</v>
      </c>
      <c r="D37" s="403">
        <v>202103</v>
      </c>
      <c r="E37" s="403">
        <v>202104</v>
      </c>
      <c r="F37" s="403">
        <v>202105</v>
      </c>
      <c r="G37" s="403">
        <v>202106</v>
      </c>
      <c r="H37" s="403">
        <v>202107</v>
      </c>
      <c r="I37" s="403">
        <v>202108</v>
      </c>
      <c r="J37" s="403">
        <v>202109</v>
      </c>
      <c r="K37" s="403">
        <v>202110</v>
      </c>
      <c r="L37" s="403">
        <v>202111</v>
      </c>
      <c r="M37" s="403">
        <v>202112</v>
      </c>
      <c r="N37" s="403">
        <v>202201</v>
      </c>
      <c r="O37" s="403">
        <v>202202</v>
      </c>
      <c r="P37" s="403">
        <v>202203</v>
      </c>
      <c r="Q37" s="403">
        <v>202004</v>
      </c>
      <c r="R37" s="403">
        <v>202005</v>
      </c>
      <c r="S37" s="403">
        <v>202206</v>
      </c>
      <c r="T37" s="403">
        <v>202207</v>
      </c>
      <c r="U37" s="403">
        <v>202208</v>
      </c>
      <c r="V37" s="403">
        <v>202209</v>
      </c>
      <c r="W37" s="403">
        <v>202210</v>
      </c>
      <c r="X37" s="403">
        <f>+X28</f>
        <v>202211</v>
      </c>
      <c r="Y37" s="403">
        <f>+Y28</f>
        <v>202212</v>
      </c>
      <c r="Z37" s="403">
        <f>+Z28</f>
        <v>202301</v>
      </c>
      <c r="AA37" s="403"/>
      <c r="AB37" s="403"/>
      <c r="AC37" s="403" t="str">
        <f>+AC28</f>
        <v>202303 Proy</v>
      </c>
      <c r="AD37" s="397"/>
      <c r="AE37" s="403" t="s">
        <v>23</v>
      </c>
      <c r="AF37" s="403"/>
      <c r="AG37" s="403"/>
      <c r="AL37" s="397"/>
      <c r="AM37" s="414" t="s">
        <v>24</v>
      </c>
      <c r="AN37" s="403">
        <v>202211</v>
      </c>
      <c r="AO37" s="403">
        <v>202212</v>
      </c>
      <c r="AP37" s="403">
        <v>202301</v>
      </c>
      <c r="AQ37" s="403">
        <v>202302</v>
      </c>
      <c r="AR37" s="403">
        <v>202302</v>
      </c>
    </row>
    <row r="38" spans="1:53">
      <c r="A38" t="s">
        <v>9</v>
      </c>
      <c r="B38" s="163">
        <f t="shared" ref="B38:G43" si="7">B29/B$35</f>
        <v>0.43156053713922082</v>
      </c>
      <c r="C38" s="163">
        <f t="shared" si="7"/>
        <v>0.40796895987473825</v>
      </c>
      <c r="D38" s="163">
        <f t="shared" si="7"/>
        <v>0.39775680304960587</v>
      </c>
      <c r="E38" s="163">
        <f t="shared" si="7"/>
        <v>0.42589877024621647</v>
      </c>
      <c r="F38" s="163">
        <f t="shared" si="7"/>
        <v>0.43826790051399966</v>
      </c>
      <c r="G38" s="163">
        <f t="shared" si="7"/>
        <v>0.45574732296491965</v>
      </c>
      <c r="H38" s="344">
        <f t="shared" ref="H38:K43" si="8">+H29/H$35</f>
        <v>0.45916604278007367</v>
      </c>
      <c r="I38" s="344">
        <f t="shared" si="8"/>
        <v>0.43832833674250538</v>
      </c>
      <c r="J38" s="163">
        <f t="shared" si="8"/>
        <v>0.46750963076152358</v>
      </c>
      <c r="K38" s="344">
        <f t="shared" si="8"/>
        <v>0.46340530449358569</v>
      </c>
      <c r="L38" s="163">
        <f t="shared" ref="L38:L43" si="9">L29/$L$35</f>
        <v>0.45774364630928099</v>
      </c>
      <c r="M38" s="339">
        <f t="shared" ref="M38:M43" si="10">M29/$M$35</f>
        <v>0.4578336710219712</v>
      </c>
      <c r="N38" s="339">
        <f t="shared" ref="N38:N43" si="11">N29/$N$35</f>
        <v>0.44802776355395646</v>
      </c>
      <c r="O38" s="163">
        <f t="shared" ref="O38:O43" si="12">O29/$O$35</f>
        <v>0.44934402572778942</v>
      </c>
      <c r="P38" s="163">
        <f t="shared" ref="P38:W43" si="13">P29/P$35</f>
        <v>0.44680617091346364</v>
      </c>
      <c r="Q38" s="163">
        <f t="shared" si="13"/>
        <v>0.4618075380641502</v>
      </c>
      <c r="R38" s="163">
        <f t="shared" si="13"/>
        <v>0.45536444201518544</v>
      </c>
      <c r="S38" s="163">
        <f t="shared" si="13"/>
        <v>0.44782512735447877</v>
      </c>
      <c r="T38" s="163">
        <f t="shared" si="13"/>
        <v>0.44910582379576741</v>
      </c>
      <c r="U38" s="163">
        <f t="shared" si="13"/>
        <v>0.44223871364139777</v>
      </c>
      <c r="V38" s="163">
        <f t="shared" si="13"/>
        <v>0.43619038351307354</v>
      </c>
      <c r="W38" s="163">
        <f t="shared" si="13"/>
        <v>0.43840476258998845</v>
      </c>
      <c r="X38" s="381">
        <f t="shared" ref="X38:X43" si="14">X29/$X$35</f>
        <v>0.43119052936523694</v>
      </c>
      <c r="Y38" s="381">
        <f t="shared" ref="Y38:Y43" si="15">Y29/$Y$35</f>
        <v>0.43119052936523689</v>
      </c>
      <c r="Z38" s="418">
        <f t="shared" ref="Z38:Z43" si="16">Z29/$Z$35</f>
        <v>0.39728582557128012</v>
      </c>
      <c r="AA38" s="418"/>
      <c r="AB38" s="418"/>
      <c r="AC38" s="376">
        <f t="shared" ref="AC38:AC43" si="17">+Z38</f>
        <v>0.39728582557128012</v>
      </c>
      <c r="AD38" s="344"/>
      <c r="AE38" s="339">
        <v>0.42899999999999999</v>
      </c>
      <c r="AF38" s="339"/>
      <c r="AG38" s="339"/>
      <c r="AL38" s="344"/>
      <c r="AM38" s="414" t="s">
        <v>9</v>
      </c>
      <c r="AN38" s="208">
        <v>0.4334712748585352</v>
      </c>
      <c r="AO38" s="208">
        <v>0.42569774238481251</v>
      </c>
      <c r="AP38" s="344">
        <v>0.42743296400104025</v>
      </c>
      <c r="AQ38" s="163">
        <v>0.42776849535231737</v>
      </c>
      <c r="AR38" s="163">
        <v>0.43118991013999119</v>
      </c>
      <c r="AS38" s="208">
        <v>0.43786192179815464</v>
      </c>
      <c r="AT38" s="208">
        <v>0.44086770545109655</v>
      </c>
      <c r="AU38" s="208">
        <v>0.44326810998928884</v>
      </c>
      <c r="AV38" s="208">
        <v>0.4441513452166781</v>
      </c>
      <c r="AW38" s="208">
        <v>0.4427949543647795</v>
      </c>
      <c r="AX38" s="208">
        <v>0.44055662875024393</v>
      </c>
      <c r="AY38" s="208">
        <v>0.44072212548329281</v>
      </c>
      <c r="AZ38" s="208">
        <v>0.4381774822781031</v>
      </c>
      <c r="BA38" s="208">
        <v>0.433863852274537</v>
      </c>
    </row>
    <row r="39" spans="1:53">
      <c r="A39" t="s">
        <v>10</v>
      </c>
      <c r="B39" s="163">
        <f t="shared" si="7"/>
        <v>0.21612914864757082</v>
      </c>
      <c r="C39" s="163">
        <f t="shared" si="7"/>
        <v>0.22381945741732698</v>
      </c>
      <c r="D39" s="163">
        <f t="shared" si="7"/>
        <v>0.23289394519180709</v>
      </c>
      <c r="E39" s="163">
        <f t="shared" si="7"/>
        <v>0.22638137494761462</v>
      </c>
      <c r="F39" s="163">
        <f t="shared" si="7"/>
        <v>0.22124641784816457</v>
      </c>
      <c r="G39" s="163">
        <f t="shared" si="7"/>
        <v>0.22005048755064574</v>
      </c>
      <c r="H39" s="344">
        <f t="shared" si="8"/>
        <v>0.22921267946818566</v>
      </c>
      <c r="I39" s="344">
        <f t="shared" si="8"/>
        <v>0.22749148086365967</v>
      </c>
      <c r="J39" s="163">
        <f t="shared" si="8"/>
        <v>0.22917858559070819</v>
      </c>
      <c r="K39" s="344">
        <f t="shared" si="8"/>
        <v>0.22743139054181638</v>
      </c>
      <c r="L39" s="163">
        <f t="shared" si="9"/>
        <v>0.23032101343214667</v>
      </c>
      <c r="M39" s="339">
        <f t="shared" si="10"/>
        <v>0.23330482238844308</v>
      </c>
      <c r="N39" s="339">
        <f t="shared" si="11"/>
        <v>0.23082256941982721</v>
      </c>
      <c r="O39" s="163">
        <f t="shared" si="12"/>
        <v>0.224898613862099</v>
      </c>
      <c r="P39" s="163">
        <f>P30/$P$35</f>
        <v>0.22630552716067043</v>
      </c>
      <c r="Q39" s="163">
        <f t="shared" si="13"/>
        <v>0.22467280645412957</v>
      </c>
      <c r="R39" s="163">
        <f t="shared" si="13"/>
        <v>0.22205926643614593</v>
      </c>
      <c r="S39" s="163">
        <f t="shared" si="13"/>
        <v>0.22485319624327335</v>
      </c>
      <c r="T39" s="163">
        <f t="shared" si="13"/>
        <v>0.22478308355340684</v>
      </c>
      <c r="U39" s="163">
        <f t="shared" si="13"/>
        <v>0.22978228438128695</v>
      </c>
      <c r="V39" s="163">
        <f t="shared" si="13"/>
        <v>0.23191859732885831</v>
      </c>
      <c r="W39" s="163">
        <f t="shared" si="13"/>
        <v>0.2338190782536364</v>
      </c>
      <c r="X39" s="381">
        <f t="shared" si="14"/>
        <v>0.23498507457703344</v>
      </c>
      <c r="Y39" s="381">
        <f t="shared" si="15"/>
        <v>0.23498507457703341</v>
      </c>
      <c r="Z39" s="418">
        <f t="shared" si="16"/>
        <v>0.26225429998055916</v>
      </c>
      <c r="AA39" s="418"/>
      <c r="AB39" s="418"/>
      <c r="AC39" s="376">
        <f t="shared" si="17"/>
        <v>0.26225429998055916</v>
      </c>
      <c r="AD39" s="344"/>
      <c r="AE39" s="339">
        <v>0.23599999999999999</v>
      </c>
      <c r="AF39" s="339"/>
      <c r="AG39" s="339"/>
      <c r="AL39" s="344"/>
      <c r="AM39" s="414" t="s">
        <v>10</v>
      </c>
      <c r="AN39" s="208">
        <v>0.24772985674405915</v>
      </c>
      <c r="AO39" s="208">
        <v>0.25480098096172499</v>
      </c>
      <c r="AP39" s="344">
        <v>0.25658333121687243</v>
      </c>
      <c r="AQ39" s="163">
        <v>0.25527678742238102</v>
      </c>
      <c r="AR39" s="163">
        <v>0.2544481878215516</v>
      </c>
      <c r="AS39" s="208">
        <v>0.254550845008155</v>
      </c>
      <c r="AT39" s="208">
        <v>0.25517555174852147</v>
      </c>
      <c r="AU39" s="208">
        <v>0.25419583777336885</v>
      </c>
      <c r="AV39" s="208">
        <v>0.25312058932512832</v>
      </c>
      <c r="AW39" s="208">
        <v>0.25317694061057455</v>
      </c>
      <c r="AX39" s="208">
        <v>0.25277421608914519</v>
      </c>
      <c r="AY39" s="208">
        <v>0.25282997496423665</v>
      </c>
      <c r="AZ39" s="208">
        <v>0.25437924585796468</v>
      </c>
      <c r="BA39" s="208">
        <v>0.25675512679853335</v>
      </c>
    </row>
    <row r="40" spans="1:53">
      <c r="A40" t="s">
        <v>11</v>
      </c>
      <c r="B40" s="163">
        <f t="shared" si="7"/>
        <v>0.10928567823987291</v>
      </c>
      <c r="C40" s="163">
        <f t="shared" si="7"/>
        <v>0.11115903497149064</v>
      </c>
      <c r="D40" s="163">
        <f t="shared" si="7"/>
        <v>0.11639558275942548</v>
      </c>
      <c r="E40" s="163">
        <f t="shared" si="7"/>
        <v>0.10688918388102628</v>
      </c>
      <c r="F40" s="163">
        <f t="shared" si="7"/>
        <v>0.10768151505397035</v>
      </c>
      <c r="G40" s="163">
        <f t="shared" si="7"/>
        <v>0.10621908239184653</v>
      </c>
      <c r="H40" s="344">
        <f t="shared" si="8"/>
        <v>0.10565047299395533</v>
      </c>
      <c r="I40" s="344">
        <f t="shared" si="8"/>
        <v>0.10946693953511671</v>
      </c>
      <c r="J40" s="163">
        <f t="shared" si="8"/>
        <v>0.10598756306184345</v>
      </c>
      <c r="K40" s="344">
        <f t="shared" si="8"/>
        <v>0.10744196649027417</v>
      </c>
      <c r="L40" s="163">
        <f t="shared" si="9"/>
        <v>0.10694166839954312</v>
      </c>
      <c r="M40" s="339">
        <f t="shared" si="10"/>
        <v>0.10836578329262687</v>
      </c>
      <c r="N40" s="339">
        <f t="shared" si="11"/>
        <v>0.11431355127689281</v>
      </c>
      <c r="O40" s="163">
        <f t="shared" si="12"/>
        <v>0.11525475605996395</v>
      </c>
      <c r="P40" s="163">
        <f>P31/$P$35</f>
        <v>0.11398712938711364</v>
      </c>
      <c r="Q40" s="163">
        <f t="shared" si="13"/>
        <v>0.11003691320894043</v>
      </c>
      <c r="R40" s="163">
        <f t="shared" si="13"/>
        <v>0.11291544220907197</v>
      </c>
      <c r="S40" s="163">
        <f t="shared" si="13"/>
        <v>0.11263071869263538</v>
      </c>
      <c r="T40" s="163">
        <f t="shared" si="13"/>
        <v>0.11250342847009052</v>
      </c>
      <c r="U40" s="163">
        <f t="shared" si="13"/>
        <v>0.11224253874597045</v>
      </c>
      <c r="V40" s="163">
        <f t="shared" si="13"/>
        <v>0.11501367681114984</v>
      </c>
      <c r="W40" s="163">
        <f t="shared" si="13"/>
        <v>0.11622493362504618</v>
      </c>
      <c r="X40" s="381">
        <f t="shared" si="14"/>
        <v>0.11661836796157002</v>
      </c>
      <c r="Y40" s="381">
        <f t="shared" si="15"/>
        <v>0.11661836796157003</v>
      </c>
      <c r="Z40" s="418">
        <f t="shared" si="16"/>
        <v>0.14078399596324981</v>
      </c>
      <c r="AA40" s="418"/>
      <c r="AB40" s="418"/>
      <c r="AC40" s="376">
        <f t="shared" si="17"/>
        <v>0.14078399596324981</v>
      </c>
      <c r="AD40" s="344"/>
      <c r="AE40" s="339">
        <v>0.122</v>
      </c>
      <c r="AF40" s="339"/>
      <c r="AG40" s="339"/>
      <c r="AL40" s="344"/>
      <c r="AM40" s="414" t="s">
        <v>11</v>
      </c>
      <c r="AN40" s="208">
        <v>0.11375461851244796</v>
      </c>
      <c r="AO40" s="208">
        <v>0.12175710319962088</v>
      </c>
      <c r="AP40" s="344">
        <v>0.12160037758589923</v>
      </c>
      <c r="AQ40" s="163">
        <v>0.12437613752786639</v>
      </c>
      <c r="AR40" s="163">
        <v>0.12554992882389213</v>
      </c>
      <c r="AS40" s="208">
        <v>0.12324660069797187</v>
      </c>
      <c r="AT40" s="208">
        <v>0.12278736329120883</v>
      </c>
      <c r="AU40" s="208">
        <v>0.12504485643076324</v>
      </c>
      <c r="AV40" s="208">
        <v>0.12711153434900141</v>
      </c>
      <c r="AW40" s="208">
        <v>0.12908721318146801</v>
      </c>
      <c r="AX40" s="208">
        <v>0.13235928965126703</v>
      </c>
      <c r="AY40" s="208">
        <v>0.13309213322106125</v>
      </c>
      <c r="AZ40" s="208">
        <v>0.13398108733848307</v>
      </c>
      <c r="BA40" s="208">
        <v>0.1367801295919798</v>
      </c>
    </row>
    <row r="41" spans="1:53">
      <c r="A41" t="s">
        <v>12</v>
      </c>
      <c r="B41" s="163">
        <f t="shared" si="7"/>
        <v>0.16549257239758003</v>
      </c>
      <c r="C41" s="163">
        <f t="shared" si="7"/>
        <v>0.17080227738782605</v>
      </c>
      <c r="D41" s="163">
        <f t="shared" si="7"/>
        <v>0.17080961549749787</v>
      </c>
      <c r="E41" s="163">
        <f t="shared" si="7"/>
        <v>0.16347199901366849</v>
      </c>
      <c r="F41" s="163">
        <f t="shared" si="7"/>
        <v>0.15726117002734419</v>
      </c>
      <c r="G41" s="163">
        <f t="shared" si="7"/>
        <v>0.15132440312572024</v>
      </c>
      <c r="H41" s="344">
        <f t="shared" si="8"/>
        <v>0.14527684686160433</v>
      </c>
      <c r="I41" s="344">
        <f t="shared" si="8"/>
        <v>0.15552872924057934</v>
      </c>
      <c r="J41" s="163">
        <f t="shared" si="8"/>
        <v>0.14238560360805125</v>
      </c>
      <c r="K41" s="344">
        <f t="shared" si="8"/>
        <v>0.14614076125390746</v>
      </c>
      <c r="L41" s="163">
        <f t="shared" si="9"/>
        <v>0.14743676561229752</v>
      </c>
      <c r="M41" s="339">
        <f t="shared" si="10"/>
        <v>0.14867482103693794</v>
      </c>
      <c r="N41" s="339">
        <f t="shared" si="11"/>
        <v>0.15270266179280778</v>
      </c>
      <c r="O41" s="163">
        <f t="shared" si="12"/>
        <v>0.15283046897548794</v>
      </c>
      <c r="P41" s="163">
        <f>P32/$P$35</f>
        <v>0.15412605000213661</v>
      </c>
      <c r="Q41" s="163">
        <f t="shared" si="13"/>
        <v>0.14766901562711252</v>
      </c>
      <c r="R41" s="163">
        <f t="shared" si="13"/>
        <v>0.15088798848963525</v>
      </c>
      <c r="S41" s="163">
        <f t="shared" si="13"/>
        <v>0.15487560216080179</v>
      </c>
      <c r="T41" s="163">
        <f t="shared" si="13"/>
        <v>0.15438990414334186</v>
      </c>
      <c r="U41" s="163">
        <f t="shared" si="13"/>
        <v>0.1559240694458465</v>
      </c>
      <c r="V41" s="163">
        <f t="shared" si="13"/>
        <v>0.15945358811485608</v>
      </c>
      <c r="W41" s="163">
        <f t="shared" si="13"/>
        <v>0.15678026134029036</v>
      </c>
      <c r="X41" s="381">
        <f t="shared" si="14"/>
        <v>0.16048026439953211</v>
      </c>
      <c r="Y41" s="381">
        <f t="shared" si="15"/>
        <v>0.16048026439953211</v>
      </c>
      <c r="Z41" s="418">
        <f t="shared" si="16"/>
        <v>0.1036969631059927</v>
      </c>
      <c r="AA41" s="418"/>
      <c r="AB41" s="418"/>
      <c r="AC41" s="376">
        <f t="shared" si="17"/>
        <v>0.1036969631059927</v>
      </c>
      <c r="AD41" s="344"/>
      <c r="AE41" s="339">
        <v>0.157</v>
      </c>
      <c r="AF41" s="339"/>
      <c r="AG41" s="339"/>
      <c r="AL41" s="344"/>
      <c r="AM41" s="414" t="s">
        <v>12</v>
      </c>
      <c r="AN41" s="208">
        <v>0.14962190429667976</v>
      </c>
      <c r="AO41" s="208">
        <v>0.14597164496044551</v>
      </c>
      <c r="AP41" s="344">
        <v>0.1465296553856317</v>
      </c>
      <c r="AQ41" s="163">
        <v>0.14656107133790236</v>
      </c>
      <c r="AR41" s="163">
        <v>0.14361368074823977</v>
      </c>
      <c r="AS41" s="208">
        <v>0.13791066182227685</v>
      </c>
      <c r="AT41" s="208">
        <v>0.13482231499528774</v>
      </c>
      <c r="AU41" s="208">
        <v>0.1312080524348401</v>
      </c>
      <c r="AV41" s="208">
        <v>0.13197386908353623</v>
      </c>
      <c r="AW41" s="208">
        <v>0.13090685754878814</v>
      </c>
      <c r="AX41" s="208">
        <v>0.13031667068293995</v>
      </c>
      <c r="AY41" s="208">
        <v>0.12908251475782145</v>
      </c>
      <c r="AZ41" s="208">
        <v>0.12944974544936952</v>
      </c>
      <c r="BA41" s="208">
        <v>0.12881330927793755</v>
      </c>
    </row>
    <row r="42" spans="1:53">
      <c r="A42" t="s">
        <v>13</v>
      </c>
      <c r="B42" s="163">
        <f t="shared" si="7"/>
        <v>6.0864041371041878E-2</v>
      </c>
      <c r="C42" s="163">
        <f t="shared" si="7"/>
        <v>6.7530924564569203E-2</v>
      </c>
      <c r="D42" s="163">
        <f t="shared" si="7"/>
        <v>6.5411750084781589E-2</v>
      </c>
      <c r="E42" s="163">
        <f t="shared" si="7"/>
        <v>6.2101293853804175E-2</v>
      </c>
      <c r="F42" s="163">
        <f t="shared" si="7"/>
        <v>6.1035893904226611E-2</v>
      </c>
      <c r="G42" s="163">
        <f t="shared" si="7"/>
        <v>5.3410320985924541E-2</v>
      </c>
      <c r="H42" s="344">
        <f t="shared" si="8"/>
        <v>4.9359570786060881E-2</v>
      </c>
      <c r="I42" s="344">
        <f t="shared" si="8"/>
        <v>5.5998285403307514E-2</v>
      </c>
      <c r="J42" s="163">
        <f t="shared" si="8"/>
        <v>4.5564690546186039E-2</v>
      </c>
      <c r="K42" s="344">
        <f t="shared" si="8"/>
        <v>4.5909428608704485E-2</v>
      </c>
      <c r="L42" s="163">
        <f t="shared" si="9"/>
        <v>4.7514344056633552E-2</v>
      </c>
      <c r="M42" s="339">
        <f t="shared" si="10"/>
        <v>4.3202162612252779E-2</v>
      </c>
      <c r="N42" s="339">
        <f t="shared" si="11"/>
        <v>4.5268023590165206E-2</v>
      </c>
      <c r="O42" s="163">
        <f t="shared" si="12"/>
        <v>4.7436711050989358E-2</v>
      </c>
      <c r="P42" s="163">
        <f>P33/$P$35</f>
        <v>4.8265659431018869E-2</v>
      </c>
      <c r="Q42" s="163">
        <f t="shared" si="13"/>
        <v>4.5709603230374547E-2</v>
      </c>
      <c r="R42" s="163">
        <f t="shared" si="13"/>
        <v>4.82666657415564E-2</v>
      </c>
      <c r="S42" s="163">
        <f t="shared" si="13"/>
        <v>4.8888100723003806E-2</v>
      </c>
      <c r="T42" s="163">
        <f t="shared" si="13"/>
        <v>4.8719688113689957E-2</v>
      </c>
      <c r="U42" s="163">
        <f t="shared" si="13"/>
        <v>4.9128357346265195E-2</v>
      </c>
      <c r="V42" s="163">
        <f t="shared" si="13"/>
        <v>4.9684115781393257E-2</v>
      </c>
      <c r="W42" s="163">
        <f t="shared" si="13"/>
        <v>4.8303034742399054E-2</v>
      </c>
      <c r="X42" s="381">
        <f t="shared" si="14"/>
        <v>4.9534094077108057E-2</v>
      </c>
      <c r="Y42" s="381">
        <f t="shared" si="15"/>
        <v>4.9534094077108057E-2</v>
      </c>
      <c r="Z42" s="418">
        <f t="shared" si="16"/>
        <v>6.133866731444413E-2</v>
      </c>
      <c r="AA42" s="418"/>
      <c r="AB42" s="418"/>
      <c r="AC42" s="376">
        <f t="shared" si="17"/>
        <v>6.133866731444413E-2</v>
      </c>
      <c r="AD42" s="344"/>
      <c r="AE42" s="339">
        <v>4.7E-2</v>
      </c>
      <c r="AF42" s="339"/>
      <c r="AG42" s="339"/>
      <c r="AL42" s="344"/>
      <c r="AM42" s="414" t="s">
        <v>13</v>
      </c>
      <c r="AN42" s="208">
        <v>4.584363253322904E-2</v>
      </c>
      <c r="AO42" s="208">
        <v>4.1959100536870929E-2</v>
      </c>
      <c r="AP42" s="344">
        <v>3.8380481225043332E-2</v>
      </c>
      <c r="AQ42" s="163">
        <v>3.7440381173554804E-2</v>
      </c>
      <c r="AR42" s="163">
        <v>3.7099110699181148E-2</v>
      </c>
      <c r="AS42" s="208">
        <v>3.9131966402087333E-2</v>
      </c>
      <c r="AT42" s="208">
        <v>3.9801472805121273E-2</v>
      </c>
      <c r="AU42" s="208">
        <v>3.9978124272995179E-2</v>
      </c>
      <c r="AV42" s="208">
        <v>3.8100902983988084E-2</v>
      </c>
      <c r="AW42" s="208">
        <v>3.8573972200214912E-2</v>
      </c>
      <c r="AX42" s="208">
        <v>3.8596266715597766E-2</v>
      </c>
      <c r="AY42" s="208">
        <v>3.8911516005467807E-2</v>
      </c>
      <c r="AZ42" s="208">
        <v>3.8713608997337605E-2</v>
      </c>
      <c r="BA42" s="208">
        <v>3.8606915736774855E-2</v>
      </c>
    </row>
    <row r="43" spans="1:53">
      <c r="A43" t="s">
        <v>14</v>
      </c>
      <c r="B43" s="163">
        <f t="shared" si="7"/>
        <v>1.6668022204713587E-2</v>
      </c>
      <c r="C43" s="163">
        <f t="shared" si="7"/>
        <v>1.8719345784048894E-2</v>
      </c>
      <c r="D43" s="163">
        <f t="shared" si="7"/>
        <v>1.6732303416882123E-2</v>
      </c>
      <c r="E43" s="163">
        <f t="shared" si="7"/>
        <v>1.5257378057669734E-2</v>
      </c>
      <c r="F43" s="163">
        <f t="shared" si="7"/>
        <v>1.4507102652294792E-2</v>
      </c>
      <c r="G43" s="163">
        <f t="shared" si="7"/>
        <v>1.1677991139337833E-2</v>
      </c>
      <c r="H43" s="344">
        <f t="shared" si="8"/>
        <v>1.1322031648905634E-2</v>
      </c>
      <c r="I43" s="344">
        <f t="shared" si="8"/>
        <v>1.3186228214831468E-2</v>
      </c>
      <c r="J43" s="163">
        <f t="shared" si="8"/>
        <v>9.373926431687515E-3</v>
      </c>
      <c r="K43" s="344">
        <f t="shared" si="8"/>
        <v>9.6711486117118141E-3</v>
      </c>
      <c r="L43" s="163">
        <f t="shared" si="9"/>
        <v>1.0042562190098017E-2</v>
      </c>
      <c r="M43" s="339">
        <f t="shared" si="10"/>
        <v>8.618739647768249E-3</v>
      </c>
      <c r="N43" s="339">
        <f t="shared" si="11"/>
        <v>8.8654303663504106E-3</v>
      </c>
      <c r="O43" s="163">
        <f t="shared" si="12"/>
        <v>1.0235424323670065E-2</v>
      </c>
      <c r="P43" s="163">
        <f>P34/$P$35</f>
        <v>1.050946310559682E-2</v>
      </c>
      <c r="Q43" s="163">
        <f t="shared" si="13"/>
        <v>1.0104123415292654E-2</v>
      </c>
      <c r="R43" s="163">
        <f t="shared" si="13"/>
        <v>1.0506195108405086E-2</v>
      </c>
      <c r="S43" s="163">
        <f t="shared" si="13"/>
        <v>1.0927254825806908E-2</v>
      </c>
      <c r="T43" s="163">
        <f t="shared" si="13"/>
        <v>1.0498071923703311E-2</v>
      </c>
      <c r="U43" s="163">
        <f t="shared" si="13"/>
        <v>1.0684036439233014E-2</v>
      </c>
      <c r="V43" s="163">
        <f t="shared" si="13"/>
        <v>7.7396384506690317E-3</v>
      </c>
      <c r="W43" s="163">
        <f t="shared" si="13"/>
        <v>6.4679294486394649E-3</v>
      </c>
      <c r="X43" s="381">
        <f t="shared" si="14"/>
        <v>7.1916696195194717E-3</v>
      </c>
      <c r="Y43" s="381">
        <f t="shared" si="15"/>
        <v>7.1916696195194717E-3</v>
      </c>
      <c r="Z43" s="418">
        <f t="shared" si="16"/>
        <v>3.4640248064474077E-2</v>
      </c>
      <c r="AA43" s="418"/>
      <c r="AB43" s="418"/>
      <c r="AC43" s="376">
        <f t="shared" si="17"/>
        <v>3.4640248064474077E-2</v>
      </c>
      <c r="AD43" s="344"/>
      <c r="AE43" s="339">
        <f>100%-SUM(AE38:AE42)</f>
        <v>8.999999999999897E-3</v>
      </c>
      <c r="AF43" s="339"/>
      <c r="AG43" s="339"/>
      <c r="AL43" s="344"/>
      <c r="AM43" s="414" t="s">
        <v>14</v>
      </c>
      <c r="AN43" s="208">
        <v>9.5787130550488951E-3</v>
      </c>
      <c r="AO43" s="208">
        <v>9.8134279565252128E-3</v>
      </c>
      <c r="AP43" s="344">
        <v>9.4731905855130107E-3</v>
      </c>
      <c r="AQ43" s="163">
        <v>8.5771271859780649E-3</v>
      </c>
      <c r="AR43" s="163">
        <v>8.0991817671442392E-3</v>
      </c>
      <c r="AS43" s="208">
        <v>7.2980042713543802E-3</v>
      </c>
      <c r="AT43" s="208">
        <v>6.5455917087640795E-3</v>
      </c>
      <c r="AU43" s="208">
        <v>6.3050190987436958E-3</v>
      </c>
      <c r="AV43" s="208">
        <v>5.5417590416680478E-3</v>
      </c>
      <c r="AW43" s="208">
        <v>5.460062094174975E-3</v>
      </c>
      <c r="AX43" s="208">
        <v>5.3969281108061607E-3</v>
      </c>
      <c r="AY43" s="208">
        <v>5.3617355681201094E-3</v>
      </c>
      <c r="AZ43" s="208">
        <v>5.298830078741947E-3</v>
      </c>
      <c r="BA43" s="208">
        <v>5.1806663202375097E-3</v>
      </c>
    </row>
    <row r="44" spans="1:53">
      <c r="A44" s="149"/>
      <c r="B44" s="419"/>
      <c r="C44" s="419"/>
      <c r="D44" s="419"/>
      <c r="E44" s="419"/>
      <c r="F44" s="419"/>
      <c r="G44" s="419"/>
      <c r="W44" s="215"/>
      <c r="X44" s="215"/>
      <c r="Y44" s="215"/>
      <c r="Z44" s="215"/>
      <c r="AA44" s="215"/>
      <c r="AB44" s="215"/>
      <c r="AC44" s="215"/>
      <c r="AD44" s="215"/>
      <c r="AE44" s="215">
        <f>SUM(AE38:AE43)</f>
        <v>1</v>
      </c>
      <c r="AF44" s="215"/>
      <c r="AG44" s="215"/>
      <c r="AL44" s="215"/>
      <c r="AM44" s="215"/>
      <c r="AN44" s="215"/>
      <c r="AO44" s="215"/>
      <c r="AP44" s="215"/>
      <c r="AQ44" s="215"/>
      <c r="AR44" s="215"/>
      <c r="AS44" s="215"/>
      <c r="AT44" s="215"/>
    </row>
    <row r="45" spans="1:53" hidden="1">
      <c r="A45" t="s">
        <v>17</v>
      </c>
      <c r="B45" s="420">
        <f t="shared" ref="B45:G45" si="18">B38+B39</f>
        <v>0.64768968578679165</v>
      </c>
      <c r="C45" s="420">
        <f t="shared" si="18"/>
        <v>0.63178841729206525</v>
      </c>
      <c r="D45" s="420">
        <f t="shared" si="18"/>
        <v>0.63065074824141298</v>
      </c>
      <c r="E45" s="420">
        <f t="shared" si="18"/>
        <v>0.65228014519383115</v>
      </c>
      <c r="F45" s="420">
        <f t="shared" si="18"/>
        <v>0.65951431836216423</v>
      </c>
      <c r="G45" s="420">
        <f t="shared" si="18"/>
        <v>0.67579781051556542</v>
      </c>
      <c r="H45" s="215">
        <f>+H38+H39</f>
        <v>0.68837872224825936</v>
      </c>
      <c r="I45" s="215">
        <f>+I38+I39</f>
        <v>0.66581981760616504</v>
      </c>
      <c r="J45" s="215">
        <f>+J38+J39</f>
        <v>0.69668821635223177</v>
      </c>
      <c r="K45" s="215">
        <f>+K38+K39</f>
        <v>0.69083669503540213</v>
      </c>
      <c r="L45" s="215">
        <f>+L38+L39</f>
        <v>0.68806465974142772</v>
      </c>
      <c r="M45" s="215">
        <f t="shared" ref="M45:AC45" si="19">M38+M39</f>
        <v>0.69113849341041433</v>
      </c>
      <c r="N45" s="215">
        <f t="shared" si="19"/>
        <v>0.67885033297378361</v>
      </c>
      <c r="O45" s="215">
        <f t="shared" si="19"/>
        <v>0.67424263958988839</v>
      </c>
      <c r="P45" s="215">
        <f t="shared" si="19"/>
        <v>0.67311169807413407</v>
      </c>
      <c r="Q45" s="215">
        <f t="shared" si="19"/>
        <v>0.68648034451827977</v>
      </c>
      <c r="R45" s="215">
        <f t="shared" si="19"/>
        <v>0.67742370845133137</v>
      </c>
      <c r="S45" s="215">
        <f t="shared" si="19"/>
        <v>0.67267832359775215</v>
      </c>
      <c r="T45" s="215">
        <f t="shared" si="19"/>
        <v>0.67388890734917428</v>
      </c>
      <c r="U45" s="215">
        <f t="shared" si="19"/>
        <v>0.67202099802268478</v>
      </c>
      <c r="V45" s="215">
        <f t="shared" si="19"/>
        <v>0.66810898084193182</v>
      </c>
      <c r="W45" s="215">
        <f t="shared" si="19"/>
        <v>0.67222384084362485</v>
      </c>
      <c r="X45" s="215">
        <f t="shared" si="19"/>
        <v>0.66617560394227038</v>
      </c>
      <c r="Y45" s="215">
        <f t="shared" si="19"/>
        <v>0.66617560394227027</v>
      </c>
      <c r="Z45" s="215">
        <f t="shared" si="19"/>
        <v>0.65954012555183927</v>
      </c>
      <c r="AA45" s="215"/>
      <c r="AB45" s="215"/>
      <c r="AC45" s="215">
        <f t="shared" si="19"/>
        <v>0.65954012555183927</v>
      </c>
      <c r="AM45" s="215"/>
      <c r="AN45" s="431" t="s">
        <v>25</v>
      </c>
      <c r="AO45" s="431" t="s">
        <v>25</v>
      </c>
      <c r="AP45" s="431" t="s">
        <v>25</v>
      </c>
      <c r="AQ45" s="431" t="s">
        <v>25</v>
      </c>
      <c r="AR45" s="215"/>
      <c r="AS45" s="215"/>
      <c r="AT45" s="215"/>
    </row>
    <row r="46" spans="1:53" hidden="1">
      <c r="A46" t="s">
        <v>26</v>
      </c>
      <c r="B46" s="420">
        <f t="shared" ref="B46:AC46" si="20">B40+B41</f>
        <v>0.27477825063745293</v>
      </c>
      <c r="C46" s="420">
        <f t="shared" si="20"/>
        <v>0.28196131235931671</v>
      </c>
      <c r="D46" s="420">
        <f t="shared" si="20"/>
        <v>0.28720519825692337</v>
      </c>
      <c r="E46" s="420">
        <f t="shared" si="20"/>
        <v>0.2703611828946948</v>
      </c>
      <c r="F46" s="420">
        <f t="shared" si="20"/>
        <v>0.26494268508131452</v>
      </c>
      <c r="G46" s="420">
        <f t="shared" si="20"/>
        <v>0.25754348551756678</v>
      </c>
      <c r="H46" s="420">
        <f t="shared" si="20"/>
        <v>0.25092731985555966</v>
      </c>
      <c r="I46" s="420">
        <f t="shared" si="20"/>
        <v>0.26499566877569602</v>
      </c>
      <c r="J46" s="420">
        <f t="shared" si="20"/>
        <v>0.2483731666698947</v>
      </c>
      <c r="K46" s="420">
        <f t="shared" si="20"/>
        <v>0.25358272774418161</v>
      </c>
      <c r="L46" s="420">
        <f t="shared" si="20"/>
        <v>0.25437843401184063</v>
      </c>
      <c r="M46" s="420">
        <f t="shared" si="20"/>
        <v>0.25704060432956483</v>
      </c>
      <c r="N46" s="420">
        <f t="shared" si="20"/>
        <v>0.26701621306970058</v>
      </c>
      <c r="O46" s="420">
        <f t="shared" si="20"/>
        <v>0.2680852250354519</v>
      </c>
      <c r="P46" s="420">
        <f t="shared" si="20"/>
        <v>0.26811317938925028</v>
      </c>
      <c r="Q46" s="420">
        <f t="shared" si="20"/>
        <v>0.25770592883605292</v>
      </c>
      <c r="R46" s="420">
        <f t="shared" si="20"/>
        <v>0.26380343069870721</v>
      </c>
      <c r="S46" s="420">
        <f t="shared" si="20"/>
        <v>0.26750632085343717</v>
      </c>
      <c r="T46" s="420">
        <f t="shared" si="20"/>
        <v>0.2668933326134324</v>
      </c>
      <c r="U46" s="420">
        <f t="shared" si="20"/>
        <v>0.26816660819181692</v>
      </c>
      <c r="V46" s="420">
        <f t="shared" si="20"/>
        <v>0.27446726492600593</v>
      </c>
      <c r="W46" s="420">
        <f t="shared" si="20"/>
        <v>0.27300519496533654</v>
      </c>
      <c r="X46" s="420">
        <f t="shared" si="20"/>
        <v>0.2770986323611021</v>
      </c>
      <c r="Y46" s="420">
        <f t="shared" si="20"/>
        <v>0.27709863236110216</v>
      </c>
      <c r="Z46" s="420">
        <f t="shared" si="20"/>
        <v>0.2444809590692425</v>
      </c>
      <c r="AA46" s="420"/>
      <c r="AB46" s="420"/>
      <c r="AC46" s="420">
        <f t="shared" si="20"/>
        <v>0.2444809590692425</v>
      </c>
      <c r="AM46" s="414" t="s">
        <v>9</v>
      </c>
      <c r="AN46" s="215">
        <f t="shared" ref="AN46:AO51" si="21">AN38-X38</f>
        <v>2.280745493298264E-3</v>
      </c>
      <c r="AO46" s="215">
        <f t="shared" si="21"/>
        <v>-5.4927869804243801E-3</v>
      </c>
      <c r="AP46" s="215">
        <f>AP38-AP54</f>
        <v>-1.5670359989597427E-3</v>
      </c>
      <c r="AQ46" s="215">
        <f>AQ38-AQ54</f>
        <v>-1.2315046476826241E-3</v>
      </c>
      <c r="AR46" s="215"/>
      <c r="AS46" s="215"/>
      <c r="AT46" s="215"/>
    </row>
    <row r="47" spans="1:53" hidden="1">
      <c r="A47" t="s">
        <v>27</v>
      </c>
      <c r="B47" s="420">
        <f t="shared" ref="B47:AC47" si="22">B42+B43</f>
        <v>7.7532063575755469E-2</v>
      </c>
      <c r="C47" s="420">
        <f t="shared" si="22"/>
        <v>8.6250270348618097E-2</v>
      </c>
      <c r="D47" s="420">
        <f t="shared" si="22"/>
        <v>8.2144053501663705E-2</v>
      </c>
      <c r="E47" s="420">
        <f t="shared" si="22"/>
        <v>7.7358671911473914E-2</v>
      </c>
      <c r="F47" s="420">
        <f t="shared" si="22"/>
        <v>7.55429965565214E-2</v>
      </c>
      <c r="G47" s="420">
        <f t="shared" si="22"/>
        <v>6.5088312125262379E-2</v>
      </c>
      <c r="H47" s="420">
        <f t="shared" si="22"/>
        <v>6.0681602434966515E-2</v>
      </c>
      <c r="I47" s="420">
        <f t="shared" si="22"/>
        <v>6.9184513618138987E-2</v>
      </c>
      <c r="J47" s="420">
        <f t="shared" si="22"/>
        <v>5.4938616977873556E-2</v>
      </c>
      <c r="K47" s="420">
        <f t="shared" si="22"/>
        <v>5.5580577220416302E-2</v>
      </c>
      <c r="L47" s="420">
        <f t="shared" si="22"/>
        <v>5.7556906246731571E-2</v>
      </c>
      <c r="M47" s="420">
        <f t="shared" si="22"/>
        <v>5.1820902260021028E-2</v>
      </c>
      <c r="N47" s="420">
        <f t="shared" si="22"/>
        <v>5.4133453956515615E-2</v>
      </c>
      <c r="O47" s="420">
        <f t="shared" si="22"/>
        <v>5.7672135374659421E-2</v>
      </c>
      <c r="P47" s="420">
        <f t="shared" si="22"/>
        <v>5.8775122536615688E-2</v>
      </c>
      <c r="Q47" s="420">
        <f t="shared" si="22"/>
        <v>5.5813726645667201E-2</v>
      </c>
      <c r="R47" s="420">
        <f t="shared" si="22"/>
        <v>5.8772860849961486E-2</v>
      </c>
      <c r="S47" s="420">
        <f t="shared" si="22"/>
        <v>5.9815355548810713E-2</v>
      </c>
      <c r="T47" s="420">
        <f t="shared" si="22"/>
        <v>5.921776003739327E-2</v>
      </c>
      <c r="U47" s="420">
        <f t="shared" si="22"/>
        <v>5.9812393785498207E-2</v>
      </c>
      <c r="V47" s="420">
        <f t="shared" si="22"/>
        <v>5.7423754232062287E-2</v>
      </c>
      <c r="W47" s="420">
        <f t="shared" si="22"/>
        <v>5.4770964191038517E-2</v>
      </c>
      <c r="X47" s="420">
        <f t="shared" si="22"/>
        <v>5.6725763696627532E-2</v>
      </c>
      <c r="Y47" s="420">
        <f t="shared" si="22"/>
        <v>5.6725763696627532E-2</v>
      </c>
      <c r="Z47" s="420">
        <f t="shared" si="22"/>
        <v>9.59789153789182E-2</v>
      </c>
      <c r="AA47" s="420"/>
      <c r="AB47" s="420"/>
      <c r="AC47" s="420">
        <f t="shared" si="22"/>
        <v>9.59789153789182E-2</v>
      </c>
      <c r="AM47" s="414" t="s">
        <v>10</v>
      </c>
      <c r="AN47" s="215">
        <f t="shared" si="21"/>
        <v>1.2744782167025709E-2</v>
      </c>
      <c r="AO47" s="215">
        <f t="shared" si="21"/>
        <v>1.9815906384691578E-2</v>
      </c>
      <c r="AP47" s="215">
        <f t="shared" ref="AP47:AQ51" si="23">AP39-AP55</f>
        <v>2.0583331216872447E-2</v>
      </c>
      <c r="AQ47" s="215">
        <f t="shared" si="23"/>
        <v>1.7276787422381035E-2</v>
      </c>
      <c r="AR47" s="215"/>
      <c r="AS47" s="215"/>
      <c r="AT47" s="215"/>
    </row>
    <row r="48" spans="1:53" hidden="1">
      <c r="AM48" s="414" t="s">
        <v>11</v>
      </c>
      <c r="AN48" s="215">
        <f t="shared" si="21"/>
        <v>-2.8637494491220578E-3</v>
      </c>
      <c r="AO48" s="215">
        <f t="shared" si="21"/>
        <v>5.1387352380508483E-3</v>
      </c>
      <c r="AP48" s="215">
        <f t="shared" si="23"/>
        <v>-3.9962241410076982E-4</v>
      </c>
      <c r="AQ48" s="215">
        <f t="shared" si="23"/>
        <v>2.3761375278663899E-3</v>
      </c>
      <c r="AT48" s="149"/>
    </row>
    <row r="49" spans="1:46" hidden="1">
      <c r="AM49" s="414" t="s">
        <v>12</v>
      </c>
      <c r="AN49" s="215">
        <f t="shared" si="21"/>
        <v>-1.0858360102852349E-2</v>
      </c>
      <c r="AO49" s="215">
        <f t="shared" si="21"/>
        <v>-1.4508619439086601E-2</v>
      </c>
      <c r="AP49" s="215">
        <f t="shared" si="23"/>
        <v>-1.0470344614368299E-2</v>
      </c>
      <c r="AQ49" s="215">
        <f t="shared" si="23"/>
        <v>-1.0438928662097641E-2</v>
      </c>
      <c r="AT49" s="149"/>
    </row>
    <row r="50" spans="1:46" hidden="1">
      <c r="A50" t="s">
        <v>28</v>
      </c>
      <c r="L50" s="215" t="e">
        <f>L45-#REF!</f>
        <v>#REF!</v>
      </c>
      <c r="M50" s="215">
        <f t="shared" ref="M50:R52" si="24">M45-L45</f>
        <v>3.0738336689866141E-3</v>
      </c>
      <c r="N50" s="215">
        <f t="shared" si="24"/>
        <v>-1.2288160436630724E-2</v>
      </c>
      <c r="O50" s="215">
        <f t="shared" si="24"/>
        <v>-4.6076933838952172E-3</v>
      </c>
      <c r="P50" s="215">
        <f>P45-O45</f>
        <v>-1.1309415157543246E-3</v>
      </c>
      <c r="Q50" s="215">
        <f>Q45-P45</f>
        <v>1.3368646444145704E-2</v>
      </c>
      <c r="R50" s="215">
        <f>R45-Q45</f>
        <v>-9.0566360669483981E-3</v>
      </c>
      <c r="S50" s="215">
        <f t="shared" ref="S50:Y52" si="25">S45-R45</f>
        <v>-4.7453848535792265E-3</v>
      </c>
      <c r="T50" s="215">
        <f t="shared" si="25"/>
        <v>1.210583751422134E-3</v>
      </c>
      <c r="U50" s="215">
        <f t="shared" si="25"/>
        <v>-1.867909326489503E-3</v>
      </c>
      <c r="V50" s="215">
        <f t="shared" si="25"/>
        <v>-3.912017180752958E-3</v>
      </c>
      <c r="W50" s="215">
        <f t="shared" si="25"/>
        <v>4.1148600016930326E-3</v>
      </c>
      <c r="X50" s="215">
        <f t="shared" si="25"/>
        <v>-6.0482369013544757E-3</v>
      </c>
      <c r="Y50" s="215">
        <f t="shared" si="25"/>
        <v>0</v>
      </c>
      <c r="Z50" s="215">
        <f>Z45-X45</f>
        <v>-6.6354783904311043E-3</v>
      </c>
      <c r="AA50" s="215"/>
      <c r="AB50" s="215"/>
      <c r="AC50" s="215">
        <f>AC45-V45</f>
        <v>-8.5688552900925474E-3</v>
      </c>
      <c r="AM50" s="414" t="s">
        <v>13</v>
      </c>
      <c r="AN50" s="215">
        <f t="shared" si="21"/>
        <v>-3.6904615438790173E-3</v>
      </c>
      <c r="AO50" s="215">
        <f t="shared" si="21"/>
        <v>-7.574993540237128E-3</v>
      </c>
      <c r="AP50" s="215">
        <f t="shared" si="23"/>
        <v>-8.6195187749566679E-3</v>
      </c>
      <c r="AQ50" s="215">
        <f t="shared" si="23"/>
        <v>-7.5596188264451941E-3</v>
      </c>
      <c r="AT50" s="149"/>
    </row>
    <row r="51" spans="1:46" hidden="1">
      <c r="A51" t="s">
        <v>29</v>
      </c>
      <c r="L51" s="215" t="e">
        <f>L46-#REF!</f>
        <v>#REF!</v>
      </c>
      <c r="M51" s="215">
        <f t="shared" si="24"/>
        <v>2.6621703177241995E-3</v>
      </c>
      <c r="N51" s="215">
        <f t="shared" si="24"/>
        <v>9.9756087401357552E-3</v>
      </c>
      <c r="O51" s="215">
        <f t="shared" si="24"/>
        <v>1.0690119657513208E-3</v>
      </c>
      <c r="P51" s="215">
        <f t="shared" si="24"/>
        <v>2.7954353798376186E-5</v>
      </c>
      <c r="Q51" s="215">
        <f t="shared" si="24"/>
        <v>-1.0407250553197356E-2</v>
      </c>
      <c r="R51" s="215">
        <f t="shared" si="24"/>
        <v>6.0975018626542865E-3</v>
      </c>
      <c r="S51" s="215">
        <f t="shared" si="25"/>
        <v>3.7028901547299653E-3</v>
      </c>
      <c r="T51" s="215">
        <f t="shared" si="25"/>
        <v>-6.1298824000477481E-4</v>
      </c>
      <c r="U51" s="215">
        <f t="shared" si="25"/>
        <v>1.2732755783845251E-3</v>
      </c>
      <c r="V51" s="215">
        <f t="shared" si="25"/>
        <v>6.300656734189003E-3</v>
      </c>
      <c r="W51" s="215">
        <f t="shared" si="25"/>
        <v>-1.4620699606693877E-3</v>
      </c>
      <c r="X51" s="215">
        <f t="shared" si="25"/>
        <v>4.0934373957655645E-3</v>
      </c>
      <c r="Y51" s="215">
        <f t="shared" si="25"/>
        <v>0</v>
      </c>
      <c r="Z51" s="215">
        <f>Z46-X46</f>
        <v>-3.2617673291859606E-2</v>
      </c>
      <c r="AA51" s="215"/>
      <c r="AB51" s="215"/>
      <c r="AC51" s="215">
        <f>AC46-V46</f>
        <v>-2.9986305856763429E-2</v>
      </c>
      <c r="AM51" s="414" t="s">
        <v>14</v>
      </c>
      <c r="AN51" s="215">
        <f t="shared" si="21"/>
        <v>2.3870434355294234E-3</v>
      </c>
      <c r="AO51" s="215">
        <f t="shared" si="21"/>
        <v>2.6217583370057411E-3</v>
      </c>
      <c r="AP51" s="215">
        <f t="shared" si="23"/>
        <v>4.7319058551311376E-4</v>
      </c>
      <c r="AQ51" s="215">
        <f t="shared" si="23"/>
        <v>-4.2287281402193441E-4</v>
      </c>
      <c r="AT51" s="149"/>
    </row>
    <row r="52" spans="1:46">
      <c r="L52" s="215" t="e">
        <f>L47-#REF!</f>
        <v>#REF!</v>
      </c>
      <c r="M52" s="215">
        <f t="shared" si="24"/>
        <v>-5.7360039867105431E-3</v>
      </c>
      <c r="N52" s="215">
        <f t="shared" si="24"/>
        <v>2.3125516964945872E-3</v>
      </c>
      <c r="O52" s="215">
        <f t="shared" si="24"/>
        <v>3.5386814181438062E-3</v>
      </c>
      <c r="P52" s="215">
        <f t="shared" si="24"/>
        <v>1.1029871619562676E-3</v>
      </c>
      <c r="Q52" s="215">
        <f t="shared" si="24"/>
        <v>-2.9613958909484872E-3</v>
      </c>
      <c r="R52" s="215">
        <f t="shared" si="24"/>
        <v>2.959134204294285E-3</v>
      </c>
      <c r="S52" s="215">
        <f t="shared" si="25"/>
        <v>1.0424946988492265E-3</v>
      </c>
      <c r="T52" s="215">
        <f t="shared" si="25"/>
        <v>-5.9759551141744249E-4</v>
      </c>
      <c r="U52" s="215">
        <f t="shared" si="25"/>
        <v>5.946337481049363E-4</v>
      </c>
      <c r="V52" s="215">
        <f t="shared" si="25"/>
        <v>-2.38863955343592E-3</v>
      </c>
      <c r="W52" s="215">
        <f t="shared" si="25"/>
        <v>-2.6527900410237698E-3</v>
      </c>
      <c r="X52" s="215">
        <f t="shared" si="25"/>
        <v>1.9547995055890152E-3</v>
      </c>
      <c r="Y52" s="215">
        <f t="shared" si="25"/>
        <v>0</v>
      </c>
      <c r="Z52" s="215">
        <f>Z47-X47</f>
        <v>3.9253151682290668E-2</v>
      </c>
      <c r="AA52" s="215"/>
      <c r="AB52" s="215"/>
      <c r="AC52" s="215">
        <f>AC47-V47</f>
        <v>3.8555161146855914E-2</v>
      </c>
      <c r="AT52" s="149"/>
    </row>
    <row r="53" spans="1:46">
      <c r="AP53" s="403" t="s">
        <v>23</v>
      </c>
      <c r="AQ53" s="403" t="s">
        <v>30</v>
      </c>
      <c r="AR53" s="403" t="s">
        <v>30</v>
      </c>
      <c r="AT53" s="149"/>
    </row>
    <row r="54" spans="1:46">
      <c r="Q54" s="421"/>
      <c r="R54" s="421"/>
      <c r="S54" s="421"/>
      <c r="T54" s="421"/>
      <c r="U54" s="421"/>
      <c r="V54" s="421"/>
      <c r="W54" s="421"/>
      <c r="X54" s="422"/>
      <c r="Y54" s="422"/>
      <c r="Z54" s="422"/>
      <c r="AA54" s="422"/>
      <c r="AB54" s="422"/>
      <c r="AM54" s="414" t="s">
        <v>9</v>
      </c>
      <c r="AP54" s="344">
        <v>0.42899999999999999</v>
      </c>
      <c r="AQ54" s="339">
        <v>0.42899999999999999</v>
      </c>
      <c r="AR54" s="339">
        <f>AQ54+AS54</f>
        <v>0.43242141478767382</v>
      </c>
      <c r="AS54" s="215">
        <f>AR38-AQ38</f>
        <v>3.4214147876738266E-3</v>
      </c>
      <c r="AT54" s="149"/>
    </row>
    <row r="55" spans="1:46">
      <c r="P55" s="149"/>
      <c r="R55" s="163"/>
      <c r="S55" s="163"/>
      <c r="T55" s="163"/>
      <c r="U55" s="163"/>
      <c r="V55" s="163"/>
      <c r="W55" s="163"/>
      <c r="X55" s="149"/>
      <c r="Y55" s="149"/>
      <c r="Z55" s="208"/>
      <c r="AA55" s="208"/>
      <c r="AB55" s="208"/>
      <c r="AC55" s="163"/>
      <c r="AM55" s="414" t="s">
        <v>10</v>
      </c>
      <c r="AP55" s="344">
        <v>0.23599999999999999</v>
      </c>
      <c r="AQ55" s="339">
        <v>0.23799999999999999</v>
      </c>
      <c r="AR55" s="339">
        <f t="shared" ref="AR55:AR59" si="26">AQ55+AS55</f>
        <v>0.23717140039917056</v>
      </c>
      <c r="AS55" s="215">
        <f t="shared" ref="AS55:AS59" si="27">AR39-AQ39</f>
        <v>-8.2859960082942719E-4</v>
      </c>
    </row>
    <row r="56" spans="1:46">
      <c r="R56" s="163"/>
      <c r="S56" s="163"/>
      <c r="T56" s="163"/>
      <c r="U56" s="423" t="s">
        <v>31</v>
      </c>
      <c r="V56" s="423" t="s">
        <v>32</v>
      </c>
      <c r="W56" s="423" t="s">
        <v>33</v>
      </c>
      <c r="Z56" s="423" t="s">
        <v>34</v>
      </c>
      <c r="AA56" s="423"/>
      <c r="AB56" s="423"/>
      <c r="AC56" s="163"/>
      <c r="AM56" s="414" t="s">
        <v>11</v>
      </c>
      <c r="AP56" s="344">
        <v>0.122</v>
      </c>
      <c r="AQ56" s="339">
        <v>0.122</v>
      </c>
      <c r="AR56" s="339">
        <f t="shared" si="26"/>
        <v>0.12317379129602574</v>
      </c>
      <c r="AS56" s="215">
        <f t="shared" si="27"/>
        <v>1.1737912960257391E-3</v>
      </c>
    </row>
    <row r="57" spans="1:46">
      <c r="R57" s="163"/>
      <c r="S57" s="163"/>
      <c r="T57" s="163"/>
      <c r="U57" s="423">
        <v>1</v>
      </c>
      <c r="V57" s="423" t="s">
        <v>10</v>
      </c>
      <c r="W57" s="423">
        <v>259.81463184085999</v>
      </c>
      <c r="X57" s="16">
        <f t="shared" ref="X57:X62" si="28">W57/$W$67</f>
        <v>0.2622542999805591</v>
      </c>
      <c r="Y57" s="424">
        <f t="shared" ref="Y57:Y62" si="29">$W$63*X57</f>
        <v>2.4243480224891942</v>
      </c>
      <c r="Z57" s="423">
        <f t="shared" ref="Z57:Z62" si="30">W57+Y57</f>
        <v>262.23897986334919</v>
      </c>
      <c r="AA57" s="423"/>
      <c r="AB57" s="423"/>
      <c r="AD57" s="215"/>
      <c r="AE57" s="215"/>
      <c r="AF57" s="215"/>
      <c r="AG57" s="215"/>
      <c r="AL57" s="215"/>
      <c r="AM57" s="414" t="s">
        <v>12</v>
      </c>
      <c r="AP57" s="344">
        <v>0.157</v>
      </c>
      <c r="AQ57" s="339">
        <v>0.157</v>
      </c>
      <c r="AR57" s="339">
        <f t="shared" si="26"/>
        <v>0.15405260941033741</v>
      </c>
      <c r="AS57" s="215">
        <f t="shared" si="27"/>
        <v>-2.9473905896625907E-3</v>
      </c>
    </row>
    <row r="58" spans="1:46">
      <c r="R58" s="163"/>
      <c r="S58" s="163"/>
      <c r="T58" s="163"/>
      <c r="U58" s="423">
        <v>2</v>
      </c>
      <c r="V58" s="423" t="s">
        <v>12</v>
      </c>
      <c r="W58" s="423">
        <v>102.73230331932</v>
      </c>
      <c r="X58" s="16">
        <f t="shared" si="28"/>
        <v>0.1036969631059927</v>
      </c>
      <c r="Y58" s="424">
        <f t="shared" si="29"/>
        <v>0.95860211810744167</v>
      </c>
      <c r="Z58" s="423">
        <f t="shared" si="30"/>
        <v>103.69090543742743</v>
      </c>
      <c r="AA58" s="423"/>
      <c r="AB58" s="423"/>
      <c r="AC58" t="s">
        <v>35</v>
      </c>
      <c r="AD58" s="215" t="s">
        <v>36</v>
      </c>
      <c r="AE58" s="215" t="s">
        <v>37</v>
      </c>
      <c r="AF58" s="215"/>
      <c r="AG58" s="215"/>
      <c r="AL58" s="215"/>
      <c r="AM58" s="414" t="s">
        <v>13</v>
      </c>
      <c r="AP58" s="344">
        <v>4.7E-2</v>
      </c>
      <c r="AQ58" s="339">
        <v>4.4999999999999998E-2</v>
      </c>
      <c r="AR58" s="339">
        <f t="shared" si="26"/>
        <v>4.4658729525626342E-2</v>
      </c>
      <c r="AS58" s="215">
        <f t="shared" si="27"/>
        <v>-3.412704743736561E-4</v>
      </c>
    </row>
    <row r="59" spans="1:46">
      <c r="R59" s="163"/>
      <c r="S59" s="163"/>
      <c r="T59" s="163"/>
      <c r="U59" s="423">
        <v>3</v>
      </c>
      <c r="V59" s="423" t="s">
        <v>11</v>
      </c>
      <c r="W59" s="423">
        <v>139.47432733414999</v>
      </c>
      <c r="X59" s="16">
        <f t="shared" si="28"/>
        <v>0.14078399596324981</v>
      </c>
      <c r="Y59" s="424">
        <f t="shared" si="29"/>
        <v>1.3014444462376122</v>
      </c>
      <c r="Z59" s="423">
        <f t="shared" si="30"/>
        <v>140.7757717803876</v>
      </c>
      <c r="AA59" s="423"/>
      <c r="AB59" s="423"/>
      <c r="AC59">
        <v>202203</v>
      </c>
      <c r="AD59" s="215" t="s">
        <v>13</v>
      </c>
      <c r="AE59" s="434">
        <v>71599</v>
      </c>
      <c r="AF59" s="434"/>
      <c r="AG59" s="434"/>
      <c r="AL59" s="215"/>
      <c r="AM59" s="414" t="s">
        <v>14</v>
      </c>
      <c r="AP59" s="344">
        <f>100%-SUM(AP54:AP58)</f>
        <v>8.999999999999897E-3</v>
      </c>
      <c r="AQ59" s="339">
        <v>8.9999999999999993E-3</v>
      </c>
      <c r="AR59" s="339">
        <f t="shared" si="26"/>
        <v>8.5220545811661736E-3</v>
      </c>
      <c r="AS59" s="215">
        <f t="shared" si="27"/>
        <v>-4.7794541883382571E-4</v>
      </c>
    </row>
    <row r="60" spans="1:46">
      <c r="R60" s="163"/>
      <c r="S60" s="163"/>
      <c r="T60" s="163"/>
      <c r="U60" s="423">
        <v>4</v>
      </c>
      <c r="V60" s="423" t="s">
        <v>9</v>
      </c>
      <c r="W60" s="423">
        <v>393.59000220032999</v>
      </c>
      <c r="X60" s="16">
        <f t="shared" si="28"/>
        <v>0.39728582557128012</v>
      </c>
      <c r="Y60" s="424">
        <f t="shared" si="29"/>
        <v>3.6726151131101332</v>
      </c>
      <c r="Z60" s="423">
        <f t="shared" si="30"/>
        <v>397.2626173134401</v>
      </c>
      <c r="AA60" s="423"/>
      <c r="AB60" s="423"/>
      <c r="AC60">
        <v>202203</v>
      </c>
      <c r="AD60" s="215" t="s">
        <v>9</v>
      </c>
      <c r="AE60" s="434">
        <v>335911</v>
      </c>
      <c r="AF60" s="434"/>
      <c r="AG60" s="434"/>
      <c r="AL60" s="215"/>
      <c r="AM60" s="371"/>
      <c r="AN60" s="371"/>
      <c r="AP60" s="215">
        <f>SUM(AP54:AP59)</f>
        <v>1</v>
      </c>
      <c r="AQ60" s="215">
        <f>SUM(AQ54:AQ59)</f>
        <v>1</v>
      </c>
      <c r="AR60" s="215">
        <f>SUM(AR54:AR59)</f>
        <v>1.0000000000000002</v>
      </c>
    </row>
    <row r="61" spans="1:46">
      <c r="Q61" s="149"/>
      <c r="R61" s="163"/>
      <c r="S61" s="163"/>
      <c r="T61" s="163"/>
      <c r="U61" s="423">
        <v>5</v>
      </c>
      <c r="V61" s="423" t="s">
        <v>13</v>
      </c>
      <c r="W61" s="423">
        <v>60.76805324867</v>
      </c>
      <c r="X61" s="16">
        <f t="shared" si="28"/>
        <v>6.1338667314444123E-2</v>
      </c>
      <c r="Y61" s="424">
        <f t="shared" si="29"/>
        <v>0.5670308430287655</v>
      </c>
      <c r="Z61" s="423">
        <f t="shared" si="30"/>
        <v>61.335084091698768</v>
      </c>
      <c r="AA61" s="423"/>
      <c r="AB61" s="423"/>
      <c r="AC61">
        <v>202203</v>
      </c>
      <c r="AD61" s="215" t="s">
        <v>12</v>
      </c>
      <c r="AE61" s="434">
        <v>173582</v>
      </c>
      <c r="AF61" s="434"/>
      <c r="AG61" s="434"/>
      <c r="AL61" s="215"/>
      <c r="AM61" s="371"/>
      <c r="AN61" s="371"/>
      <c r="AQ61" s="215"/>
    </row>
    <row r="62" spans="1:46">
      <c r="R62" s="163"/>
      <c r="S62" s="163"/>
      <c r="T62" s="163"/>
      <c r="U62" s="423">
        <v>6</v>
      </c>
      <c r="V62" s="423" t="s">
        <v>14</v>
      </c>
      <c r="W62" s="423">
        <v>34.31800088088</v>
      </c>
      <c r="X62" s="16">
        <f t="shared" si="28"/>
        <v>3.4640248064474077E-2</v>
      </c>
      <c r="Y62" s="424">
        <f t="shared" si="29"/>
        <v>0.32022360319685245</v>
      </c>
      <c r="Z62" s="423">
        <f t="shared" si="30"/>
        <v>34.638224484076851</v>
      </c>
      <c r="AA62" s="423"/>
      <c r="AB62" s="423"/>
      <c r="AC62">
        <v>202203</v>
      </c>
      <c r="AD62" s="215" t="s">
        <v>11</v>
      </c>
      <c r="AE62" s="434">
        <v>108873</v>
      </c>
      <c r="AF62" s="434"/>
      <c r="AG62" s="434"/>
      <c r="AL62" s="215"/>
      <c r="AM62" s="371"/>
      <c r="AN62" s="371"/>
      <c r="AQ62" s="215"/>
    </row>
    <row r="63" spans="1:46">
      <c r="R63" s="163"/>
      <c r="S63" s="163"/>
      <c r="T63" s="163"/>
      <c r="U63" s="425">
        <v>7</v>
      </c>
      <c r="V63" s="425"/>
      <c r="W63" s="425">
        <v>9.2442641461699999</v>
      </c>
      <c r="X63" s="372"/>
      <c r="Y63" s="424"/>
      <c r="AC63">
        <v>202203</v>
      </c>
      <c r="AD63" t="s">
        <v>14</v>
      </c>
      <c r="AE63" s="434">
        <v>35686</v>
      </c>
      <c r="AF63" s="434"/>
      <c r="AG63" s="434"/>
      <c r="AQ63" s="215"/>
    </row>
    <row r="64" spans="1:46">
      <c r="R64" s="163"/>
      <c r="S64" s="163"/>
      <c r="T64" s="163"/>
      <c r="W64" s="424">
        <f>SUM(W57:W63)</f>
        <v>999.94158297038007</v>
      </c>
      <c r="Z64" s="426">
        <f>SUM(Z57:Z62)</f>
        <v>999.94158297037995</v>
      </c>
      <c r="AA64" s="426"/>
      <c r="AB64" s="426"/>
      <c r="AC64">
        <v>202203</v>
      </c>
      <c r="AE64" s="434">
        <v>32444</v>
      </c>
      <c r="AF64" s="434"/>
      <c r="AG64" s="434"/>
      <c r="AQ64" s="215"/>
    </row>
    <row r="65" spans="1:41">
      <c r="R65" s="163"/>
      <c r="S65" s="163"/>
      <c r="T65" s="163"/>
      <c r="U65" s="371"/>
      <c r="AC65">
        <v>202203</v>
      </c>
      <c r="AD65" t="s">
        <v>10</v>
      </c>
      <c r="AE65" s="435">
        <v>208184</v>
      </c>
      <c r="AF65" s="436"/>
      <c r="AG65" s="436"/>
    </row>
    <row r="66" spans="1:41">
      <c r="R66" s="163"/>
      <c r="S66" s="163"/>
      <c r="T66" s="163"/>
      <c r="U66" s="371"/>
      <c r="X66" s="215"/>
    </row>
    <row r="67" spans="1:41">
      <c r="Q67" t="s">
        <v>28</v>
      </c>
      <c r="R67" s="163">
        <v>-1.4981520733429732E-2</v>
      </c>
      <c r="S67" s="163"/>
      <c r="T67" s="163"/>
      <c r="U67" s="371"/>
      <c r="W67">
        <f>SUM(W57:W62)</f>
        <v>990.69731882421002</v>
      </c>
      <c r="X67" s="215"/>
    </row>
    <row r="68" spans="1:41">
      <c r="Q68" t="s">
        <v>29</v>
      </c>
      <c r="R68" s="163">
        <v>7.4835229065173814E-3</v>
      </c>
      <c r="S68" s="163"/>
      <c r="T68" s="163"/>
      <c r="U68" s="163"/>
    </row>
    <row r="69" spans="1:41">
      <c r="Q69" s="163"/>
      <c r="R69" s="163">
        <v>7.4979978269126904E-3</v>
      </c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</row>
    <row r="71" spans="1:41">
      <c r="A71" s="402" t="s">
        <v>38</v>
      </c>
    </row>
    <row r="72" spans="1:41">
      <c r="B72" s="403">
        <v>202101</v>
      </c>
      <c r="C72" s="403">
        <v>202102</v>
      </c>
      <c r="D72" s="403">
        <v>202103</v>
      </c>
      <c r="E72" s="403">
        <v>202104</v>
      </c>
      <c r="F72" s="403">
        <v>202105</v>
      </c>
      <c r="G72" s="403">
        <v>202106</v>
      </c>
      <c r="H72" s="403">
        <v>202107</v>
      </c>
      <c r="I72" s="403">
        <v>202108</v>
      </c>
      <c r="J72" s="403">
        <v>202109</v>
      </c>
      <c r="K72" s="403">
        <v>202110</v>
      </c>
      <c r="L72" s="403">
        <v>202111</v>
      </c>
      <c r="M72" s="403">
        <v>202112</v>
      </c>
      <c r="N72" s="403">
        <v>202201</v>
      </c>
      <c r="O72" s="403">
        <v>202202</v>
      </c>
      <c r="P72" s="403">
        <v>202203</v>
      </c>
      <c r="Q72" s="403">
        <v>202004</v>
      </c>
      <c r="R72" s="403">
        <v>202005</v>
      </c>
      <c r="S72" s="403">
        <v>202206</v>
      </c>
      <c r="T72" s="403">
        <v>202207</v>
      </c>
      <c r="U72" s="403">
        <v>202208</v>
      </c>
      <c r="V72" s="403">
        <v>202209</v>
      </c>
      <c r="W72" s="403">
        <v>202210</v>
      </c>
      <c r="X72" s="403">
        <v>202211</v>
      </c>
      <c r="Y72" s="403">
        <v>202212</v>
      </c>
      <c r="Z72" s="403">
        <v>202301</v>
      </c>
      <c r="AA72" s="403">
        <v>202302</v>
      </c>
      <c r="AB72" s="403" t="s">
        <v>19</v>
      </c>
      <c r="AC72" s="403" t="s">
        <v>20</v>
      </c>
      <c r="AG72" s="441" t="s">
        <v>35</v>
      </c>
      <c r="AH72" s="441" t="s">
        <v>36</v>
      </c>
      <c r="AI72" s="441" t="s">
        <v>37</v>
      </c>
      <c r="AJ72" s="437"/>
      <c r="AK72" s="437"/>
      <c r="AL72" s="441" t="s">
        <v>39</v>
      </c>
    </row>
    <row r="73" spans="1:41">
      <c r="A73" t="s">
        <v>9</v>
      </c>
      <c r="B73" s="427">
        <v>255334</v>
      </c>
      <c r="C73" s="427">
        <v>272491</v>
      </c>
      <c r="D73" s="427">
        <v>258162</v>
      </c>
      <c r="E73" s="427">
        <v>247309</v>
      </c>
      <c r="F73" s="427">
        <v>259643</v>
      </c>
      <c r="G73" s="427">
        <v>260437</v>
      </c>
      <c r="H73" s="427">
        <v>293847</v>
      </c>
      <c r="I73" s="427">
        <v>295725</v>
      </c>
      <c r="J73" s="427">
        <v>291079</v>
      </c>
      <c r="K73" s="427">
        <v>319476</v>
      </c>
      <c r="L73" s="427">
        <v>321366</v>
      </c>
      <c r="M73" s="427">
        <v>325230</v>
      </c>
      <c r="N73" s="434">
        <v>329341</v>
      </c>
      <c r="O73" s="434">
        <v>329341</v>
      </c>
      <c r="P73" s="434">
        <v>329341</v>
      </c>
      <c r="Q73" s="434">
        <v>329341</v>
      </c>
      <c r="R73" s="434">
        <v>329341</v>
      </c>
      <c r="S73" s="434">
        <v>329341</v>
      </c>
      <c r="T73" s="434">
        <v>329341</v>
      </c>
      <c r="U73" s="434">
        <v>329341</v>
      </c>
      <c r="V73" s="434">
        <v>329341</v>
      </c>
      <c r="W73" s="434">
        <v>329341</v>
      </c>
      <c r="X73" s="196"/>
      <c r="Y73" s="196"/>
      <c r="Z73" s="196">
        <f>+AK76</f>
        <v>119.84612777949552</v>
      </c>
      <c r="AA73" s="196">
        <f>+$AL76</f>
        <v>252535.84612777948</v>
      </c>
      <c r="AB73" s="196">
        <v>347581.4733534297</v>
      </c>
      <c r="AC73" s="196"/>
      <c r="AG73" s="441">
        <v>202301</v>
      </c>
      <c r="AH73" s="441" t="s">
        <v>10</v>
      </c>
      <c r="AI73" s="442">
        <v>244055</v>
      </c>
      <c r="AJ73" s="439">
        <f t="shared" ref="AJ73:AJ78" si="31">AI73/$AI$80</f>
        <v>0.23362168899133592</v>
      </c>
      <c r="AK73" s="440">
        <f>$AI$79*AJ73</f>
        <v>115.87635773970261</v>
      </c>
      <c r="AL73" s="442">
        <f>+AI73+AK73</f>
        <v>244170.8763577397</v>
      </c>
      <c r="AN73">
        <v>338651</v>
      </c>
      <c r="AO73" s="163">
        <f t="shared" ref="AO73:AO78" si="32">+AN73/$AO$79</f>
        <v>0.33094527032573556</v>
      </c>
    </row>
    <row r="74" spans="1:41">
      <c r="A74" t="s">
        <v>10</v>
      </c>
      <c r="B74" s="427">
        <v>192011</v>
      </c>
      <c r="C74" s="427">
        <v>194119</v>
      </c>
      <c r="D74" s="427">
        <v>201766</v>
      </c>
      <c r="E74" s="427">
        <v>189342</v>
      </c>
      <c r="F74" s="427">
        <v>183286</v>
      </c>
      <c r="G74" s="427">
        <v>180017</v>
      </c>
      <c r="H74" s="427">
        <v>191338</v>
      </c>
      <c r="I74" s="427">
        <v>197100</v>
      </c>
      <c r="J74" s="427">
        <v>197611</v>
      </c>
      <c r="K74" s="427">
        <v>202847</v>
      </c>
      <c r="L74" s="427">
        <v>204587</v>
      </c>
      <c r="M74" s="427">
        <v>207237</v>
      </c>
      <c r="N74" s="434">
        <v>207014</v>
      </c>
      <c r="O74" s="434">
        <v>207014</v>
      </c>
      <c r="P74" s="434">
        <v>207014</v>
      </c>
      <c r="Q74" s="434">
        <v>207014</v>
      </c>
      <c r="R74" s="434">
        <v>207014</v>
      </c>
      <c r="S74" s="434">
        <v>207014</v>
      </c>
      <c r="T74" s="434">
        <v>207014</v>
      </c>
      <c r="U74" s="434">
        <v>207014</v>
      </c>
      <c r="V74" s="434">
        <v>207014</v>
      </c>
      <c r="W74" s="434">
        <v>207014</v>
      </c>
      <c r="X74" s="196"/>
      <c r="Y74" s="196"/>
      <c r="Z74" s="196">
        <f>+AK73</f>
        <v>115.87635773970261</v>
      </c>
      <c r="AA74" s="196">
        <f>+AL73</f>
        <v>244170.8763577397</v>
      </c>
      <c r="AB74" s="196">
        <v>215416.88556972056</v>
      </c>
      <c r="AC74" s="196"/>
      <c r="AG74" s="441">
        <v>202301</v>
      </c>
      <c r="AH74" s="441" t="s">
        <v>12</v>
      </c>
      <c r="AI74" s="442">
        <v>152947</v>
      </c>
      <c r="AJ74" s="439">
        <f t="shared" si="31"/>
        <v>0.14640854096887118</v>
      </c>
      <c r="AK74" s="440">
        <f t="shared" ref="AK74:AK78" si="33">$AI$79*AJ74</f>
        <v>72.6186363205601</v>
      </c>
      <c r="AL74" s="442">
        <f t="shared" ref="AL74:AL78" si="34">+AI74+AK74</f>
        <v>153019.61863632055</v>
      </c>
      <c r="AN74">
        <v>214089</v>
      </c>
      <c r="AO74" s="163">
        <f t="shared" si="32"/>
        <v>0.20921757791580831</v>
      </c>
    </row>
    <row r="75" spans="1:41">
      <c r="A75" t="s">
        <v>11</v>
      </c>
      <c r="B75" s="427">
        <v>90893</v>
      </c>
      <c r="C75" s="427">
        <v>92032</v>
      </c>
      <c r="D75" s="427">
        <v>94245</v>
      </c>
      <c r="E75" s="427">
        <v>95443</v>
      </c>
      <c r="F75" s="427">
        <v>92087</v>
      </c>
      <c r="G75" s="427">
        <v>92018</v>
      </c>
      <c r="H75" s="427">
        <v>92761</v>
      </c>
      <c r="I75" s="427">
        <v>94971</v>
      </c>
      <c r="J75" s="427">
        <v>97226</v>
      </c>
      <c r="K75" s="427">
        <v>99460</v>
      </c>
      <c r="L75" s="427">
        <v>101485</v>
      </c>
      <c r="M75" s="427">
        <v>103030</v>
      </c>
      <c r="N75" s="434">
        <v>106932</v>
      </c>
      <c r="O75" s="434">
        <v>106932</v>
      </c>
      <c r="P75" s="434">
        <v>106932</v>
      </c>
      <c r="Q75" s="434">
        <v>106932</v>
      </c>
      <c r="R75" s="434">
        <v>106932</v>
      </c>
      <c r="S75" s="434">
        <v>106932</v>
      </c>
      <c r="T75" s="434">
        <v>106932</v>
      </c>
      <c r="U75" s="434">
        <v>106932</v>
      </c>
      <c r="V75" s="434">
        <v>106932</v>
      </c>
      <c r="W75" s="434">
        <v>106932</v>
      </c>
      <c r="X75" s="196"/>
      <c r="Y75" s="196"/>
      <c r="Z75" s="196">
        <f>+AK75</f>
        <v>80.678299808837153</v>
      </c>
      <c r="AA75" s="196">
        <f>+AL75</f>
        <v>170002.67829980885</v>
      </c>
      <c r="AB75" s="196">
        <v>112655.54789336446</v>
      </c>
      <c r="AC75" s="196"/>
      <c r="AG75" s="441">
        <v>202301</v>
      </c>
      <c r="AH75" s="441" t="s">
        <v>11</v>
      </c>
      <c r="AI75" s="442">
        <v>169922</v>
      </c>
      <c r="AJ75" s="439">
        <f t="shared" si="31"/>
        <v>0.16265786251781683</v>
      </c>
      <c r="AK75" s="440">
        <f t="shared" si="33"/>
        <v>80.678299808837153</v>
      </c>
      <c r="AL75" s="442">
        <f t="shared" si="34"/>
        <v>170002.67829980885</v>
      </c>
      <c r="AN75">
        <v>114368</v>
      </c>
      <c r="AO75" s="163">
        <f t="shared" si="32"/>
        <v>0.11176564863713299</v>
      </c>
    </row>
    <row r="76" spans="1:41">
      <c r="A76" t="s">
        <v>12</v>
      </c>
      <c r="B76" s="427">
        <v>156382</v>
      </c>
      <c r="C76" s="427">
        <v>152603</v>
      </c>
      <c r="D76" s="427">
        <v>155496</v>
      </c>
      <c r="E76" s="427">
        <v>159166</v>
      </c>
      <c r="F76" s="427">
        <v>159728</v>
      </c>
      <c r="G76" s="427">
        <v>164155</v>
      </c>
      <c r="H76" s="427">
        <v>147914</v>
      </c>
      <c r="I76" s="427">
        <v>150716</v>
      </c>
      <c r="J76" s="427">
        <v>160835</v>
      </c>
      <c r="K76" s="427">
        <v>156091</v>
      </c>
      <c r="L76" s="427">
        <v>160090</v>
      </c>
      <c r="M76" s="427">
        <v>163875</v>
      </c>
      <c r="N76" s="434">
        <v>170853</v>
      </c>
      <c r="O76" s="434">
        <v>170853</v>
      </c>
      <c r="P76" s="434">
        <v>170853</v>
      </c>
      <c r="Q76" s="434">
        <v>170853</v>
      </c>
      <c r="R76" s="434">
        <v>170853</v>
      </c>
      <c r="S76" s="434">
        <v>170853</v>
      </c>
      <c r="T76" s="434">
        <v>170853</v>
      </c>
      <c r="U76" s="434">
        <v>170853</v>
      </c>
      <c r="V76" s="434">
        <v>170853</v>
      </c>
      <c r="W76" s="434">
        <v>170853</v>
      </c>
      <c r="X76" s="196"/>
      <c r="Y76" s="196"/>
      <c r="Z76" s="196">
        <f>+AK74</f>
        <v>72.6186363205601</v>
      </c>
      <c r="AA76" s="196">
        <f>+AL74</f>
        <v>153019.61863632055</v>
      </c>
      <c r="AB76" s="196">
        <v>179612.71678401431</v>
      </c>
      <c r="AC76" s="196"/>
      <c r="AG76" s="441">
        <v>202301</v>
      </c>
      <c r="AH76" s="441" t="s">
        <v>9</v>
      </c>
      <c r="AI76" s="442">
        <v>252416</v>
      </c>
      <c r="AJ76" s="439">
        <f t="shared" si="31"/>
        <v>0.24162525761995063</v>
      </c>
      <c r="AK76" s="440">
        <f t="shared" si="33"/>
        <v>119.84612777949552</v>
      </c>
      <c r="AL76" s="442">
        <f t="shared" si="34"/>
        <v>252535.84612777948</v>
      </c>
      <c r="AN76">
        <v>190272</v>
      </c>
      <c r="AO76" s="163">
        <f t="shared" si="32"/>
        <v>0.18594251449255533</v>
      </c>
    </row>
    <row r="77" spans="1:41">
      <c r="A77" t="s">
        <v>13</v>
      </c>
      <c r="B77" s="427">
        <v>83181</v>
      </c>
      <c r="C77" s="427">
        <v>76036</v>
      </c>
      <c r="D77" s="427">
        <v>81142</v>
      </c>
      <c r="E77" s="427">
        <v>77677</v>
      </c>
      <c r="F77" s="427">
        <v>78946</v>
      </c>
      <c r="G77" s="427">
        <v>81910</v>
      </c>
      <c r="H77" s="427">
        <v>66986</v>
      </c>
      <c r="I77" s="427">
        <v>65034</v>
      </c>
      <c r="J77" s="427">
        <v>71388</v>
      </c>
      <c r="K77" s="427">
        <v>62531</v>
      </c>
      <c r="L77" s="427">
        <v>63947</v>
      </c>
      <c r="M77" s="427">
        <v>64724</v>
      </c>
      <c r="N77" s="434">
        <v>69622</v>
      </c>
      <c r="O77" s="434">
        <v>69622</v>
      </c>
      <c r="P77" s="434">
        <v>69622</v>
      </c>
      <c r="Q77" s="434">
        <v>69622</v>
      </c>
      <c r="R77" s="434">
        <v>69622</v>
      </c>
      <c r="S77" s="434">
        <v>69622</v>
      </c>
      <c r="T77" s="434">
        <v>69622</v>
      </c>
      <c r="U77" s="434">
        <v>69622</v>
      </c>
      <c r="V77" s="434">
        <v>69622</v>
      </c>
      <c r="W77" s="434">
        <v>69622</v>
      </c>
      <c r="X77" s="196"/>
      <c r="Y77" s="196"/>
      <c r="Z77" s="196">
        <f>+AK77</f>
        <v>51.704343714073204</v>
      </c>
      <c r="AA77" s="196">
        <f>+AL77</f>
        <v>108949.70434371407</v>
      </c>
      <c r="AB77" s="196">
        <v>74086.546468059139</v>
      </c>
      <c r="AC77" s="196"/>
      <c r="AG77" s="441">
        <v>202301</v>
      </c>
      <c r="AH77" s="441" t="s">
        <v>13</v>
      </c>
      <c r="AI77" s="442">
        <v>108898</v>
      </c>
      <c r="AJ77" s="439">
        <f t="shared" si="31"/>
        <v>0.10424262845579275</v>
      </c>
      <c r="AK77" s="440">
        <f t="shared" si="33"/>
        <v>51.704343714073204</v>
      </c>
      <c r="AL77" s="442">
        <f t="shared" si="34"/>
        <v>108949.70434371407</v>
      </c>
      <c r="AN77">
        <v>92360</v>
      </c>
      <c r="AO77" s="163">
        <f t="shared" si="32"/>
        <v>9.0258422881624265E-2</v>
      </c>
    </row>
    <row r="78" spans="1:41">
      <c r="A78" t="s">
        <v>14</v>
      </c>
      <c r="B78" s="427">
        <v>75013</v>
      </c>
      <c r="C78" s="427">
        <v>63774</v>
      </c>
      <c r="D78" s="427">
        <v>57286</v>
      </c>
      <c r="E78" s="427">
        <v>49653</v>
      </c>
      <c r="F78" s="427">
        <v>48088</v>
      </c>
      <c r="G78" s="427">
        <v>44392</v>
      </c>
      <c r="H78" s="427">
        <v>33454</v>
      </c>
      <c r="I78" s="427">
        <v>32616</v>
      </c>
      <c r="J78" s="427">
        <v>31917</v>
      </c>
      <c r="K78" s="427">
        <v>30382</v>
      </c>
      <c r="L78" s="427">
        <v>32381</v>
      </c>
      <c r="M78" s="427">
        <v>33156</v>
      </c>
      <c r="N78" s="434">
        <v>36829</v>
      </c>
      <c r="O78" s="434">
        <v>36829</v>
      </c>
      <c r="P78" s="434">
        <v>36829</v>
      </c>
      <c r="Q78" s="434">
        <v>36829</v>
      </c>
      <c r="R78" s="434">
        <v>36829</v>
      </c>
      <c r="S78" s="434">
        <v>36829</v>
      </c>
      <c r="T78" s="434">
        <v>36829</v>
      </c>
      <c r="U78" s="434">
        <v>36829</v>
      </c>
      <c r="V78" s="434">
        <v>36829</v>
      </c>
      <c r="W78" s="434">
        <v>36829</v>
      </c>
      <c r="X78" s="196"/>
      <c r="Y78" s="196"/>
      <c r="Z78" s="196">
        <f>+AK78</f>
        <v>55.276234637331413</v>
      </c>
      <c r="AA78" s="196">
        <f>+AL78</f>
        <v>116476.27623463733</v>
      </c>
      <c r="AB78" s="196">
        <v>36925.829931411863</v>
      </c>
      <c r="AC78" s="196"/>
      <c r="AG78" s="441">
        <v>202301</v>
      </c>
      <c r="AH78" s="441" t="s">
        <v>14</v>
      </c>
      <c r="AI78" s="442">
        <v>116421</v>
      </c>
      <c r="AJ78" s="439">
        <f t="shared" si="31"/>
        <v>0.11144402144623269</v>
      </c>
      <c r="AK78" s="440">
        <f t="shared" si="33"/>
        <v>55.276234637331413</v>
      </c>
      <c r="AL78" s="442">
        <f t="shared" si="34"/>
        <v>116476.27623463733</v>
      </c>
      <c r="AN78">
        <v>73544</v>
      </c>
      <c r="AO78" s="163">
        <f t="shared" si="32"/>
        <v>7.1870565747143511E-2</v>
      </c>
    </row>
    <row r="79" spans="1:41">
      <c r="A79" s="149" t="s">
        <v>15</v>
      </c>
      <c r="B79" s="428">
        <v>865356</v>
      </c>
      <c r="C79" s="429">
        <v>862859</v>
      </c>
      <c r="D79" s="429">
        <v>865547</v>
      </c>
      <c r="E79" s="429">
        <v>834530</v>
      </c>
      <c r="F79" s="429">
        <v>841966</v>
      </c>
      <c r="G79" s="429">
        <v>841796</v>
      </c>
      <c r="H79" s="429">
        <v>843933</v>
      </c>
      <c r="I79" s="429">
        <v>860260</v>
      </c>
      <c r="J79" s="429">
        <v>878064</v>
      </c>
      <c r="K79" s="429">
        <v>896706</v>
      </c>
      <c r="L79" s="429">
        <v>910455</v>
      </c>
      <c r="M79" s="429">
        <v>930949</v>
      </c>
      <c r="N79" s="435">
        <v>947275</v>
      </c>
      <c r="O79" s="435">
        <v>947275</v>
      </c>
      <c r="P79" s="435">
        <v>947275</v>
      </c>
      <c r="Q79" s="435">
        <v>947275</v>
      </c>
      <c r="R79" s="435">
        <v>947275</v>
      </c>
      <c r="S79" s="435">
        <v>947275</v>
      </c>
      <c r="T79" s="435">
        <v>947275</v>
      </c>
      <c r="U79" s="435">
        <v>947275</v>
      </c>
      <c r="V79" s="435">
        <v>947275</v>
      </c>
      <c r="W79" s="435">
        <v>947275</v>
      </c>
      <c r="X79" s="196"/>
      <c r="Y79" s="196"/>
      <c r="Z79" s="196"/>
      <c r="AA79" s="196"/>
      <c r="AB79" s="196"/>
      <c r="AC79" s="196"/>
      <c r="AG79" s="441">
        <v>202301</v>
      </c>
      <c r="AH79" s="441"/>
      <c r="AI79" s="442">
        <v>496</v>
      </c>
      <c r="AJ79" s="439"/>
      <c r="AK79" s="439"/>
      <c r="AL79" s="438"/>
      <c r="AM79" s="438"/>
      <c r="AO79">
        <f>+SUM(AN73:AN78)</f>
        <v>1023284</v>
      </c>
    </row>
    <row r="80" spans="1:41">
      <c r="AG80" s="437"/>
      <c r="AH80" s="437" t="s">
        <v>40</v>
      </c>
      <c r="AI80" s="437">
        <f>SUM(AI73:AI78)</f>
        <v>1044659</v>
      </c>
      <c r="AJ80" s="437"/>
      <c r="AK80" s="437"/>
      <c r="AL80" s="437"/>
      <c r="AM80" s="437"/>
    </row>
    <row r="81" spans="1:39">
      <c r="AG81" s="437"/>
      <c r="AH81" s="437" t="s">
        <v>41</v>
      </c>
      <c r="AI81" s="438">
        <f>SUM(AI73:AI79)</f>
        <v>1045155</v>
      </c>
      <c r="AJ81" s="438"/>
      <c r="AK81" s="438"/>
      <c r="AL81" s="438">
        <f>SUM(AL73:AL78)</f>
        <v>1045155</v>
      </c>
      <c r="AM81" s="438">
        <f t="shared" ref="AM81" si="35">SUM(AM73:AM79)</f>
        <v>0</v>
      </c>
    </row>
    <row r="82" spans="1:39">
      <c r="A82" s="402" t="s">
        <v>42</v>
      </c>
    </row>
    <row r="83" spans="1:39">
      <c r="B83" s="403">
        <v>202101</v>
      </c>
      <c r="C83" s="403">
        <v>202102</v>
      </c>
      <c r="D83" s="403">
        <v>202103</v>
      </c>
      <c r="E83" s="403">
        <v>202104</v>
      </c>
      <c r="F83" s="403">
        <v>202105</v>
      </c>
      <c r="G83" s="403">
        <v>202106</v>
      </c>
      <c r="H83" s="403">
        <v>202107</v>
      </c>
      <c r="I83" s="403">
        <v>202108</v>
      </c>
      <c r="J83" s="403">
        <v>202109</v>
      </c>
      <c r="K83" s="403">
        <v>202110</v>
      </c>
      <c r="L83" s="403">
        <v>202111</v>
      </c>
      <c r="M83" s="403">
        <v>202112</v>
      </c>
      <c r="N83" s="403">
        <v>202201</v>
      </c>
      <c r="O83" s="403">
        <v>202202</v>
      </c>
      <c r="P83" s="403">
        <v>202203</v>
      </c>
      <c r="Q83" s="403">
        <v>202004</v>
      </c>
      <c r="R83" s="403">
        <v>202005</v>
      </c>
      <c r="S83" s="403">
        <v>202206</v>
      </c>
      <c r="T83" s="403">
        <v>202207</v>
      </c>
      <c r="U83" s="403">
        <v>202208</v>
      </c>
      <c r="V83" s="403">
        <v>202209</v>
      </c>
      <c r="W83" s="403">
        <v>202210</v>
      </c>
      <c r="X83" s="403"/>
      <c r="Y83" s="403"/>
      <c r="Z83" s="403"/>
      <c r="AA83" s="403"/>
      <c r="AB83" s="403"/>
      <c r="AC83" s="403" t="s">
        <v>43</v>
      </c>
    </row>
    <row r="84" spans="1:39">
      <c r="A84" t="s">
        <v>9</v>
      </c>
      <c r="B84" s="427">
        <v>261201268.75854</v>
      </c>
      <c r="C84" s="427">
        <v>231996202.54848</v>
      </c>
      <c r="D84" s="427">
        <v>303136919.12278998</v>
      </c>
      <c r="E84" s="427">
        <v>288804078.59118998</v>
      </c>
      <c r="F84" s="427">
        <v>344346246.37813002</v>
      </c>
      <c r="G84" s="427">
        <v>327513671.18643999</v>
      </c>
      <c r="H84" s="427">
        <v>427254674.97031999</v>
      </c>
      <c r="I84" s="427">
        <v>421073091.89477003</v>
      </c>
      <c r="J84" s="427">
        <v>408310774.19031</v>
      </c>
      <c r="K84" s="427">
        <v>483743860.99852002</v>
      </c>
      <c r="L84" s="427">
        <v>507430055.66882002</v>
      </c>
      <c r="M84" s="427">
        <v>549087224.83139002</v>
      </c>
      <c r="N84" s="427">
        <v>479440165.14857</v>
      </c>
      <c r="O84" s="427"/>
      <c r="P84" s="427"/>
      <c r="Q84" s="427"/>
      <c r="R84" s="427"/>
      <c r="S84" s="427"/>
      <c r="T84" s="427"/>
      <c r="U84" s="427"/>
      <c r="V84" s="427"/>
      <c r="W84" s="427"/>
      <c r="X84" s="427"/>
      <c r="Y84" s="427"/>
      <c r="Z84" s="427"/>
      <c r="AA84" s="427"/>
      <c r="AB84" s="427"/>
    </row>
    <row r="85" spans="1:39">
      <c r="A85" t="s">
        <v>10</v>
      </c>
      <c r="B85" s="427">
        <v>134326662.38565999</v>
      </c>
      <c r="C85" s="427">
        <v>114619610.81569</v>
      </c>
      <c r="D85" s="427">
        <v>170530270.24123001</v>
      </c>
      <c r="E85" s="427">
        <v>161081479.86938</v>
      </c>
      <c r="F85" s="427">
        <v>174155651.96125001</v>
      </c>
      <c r="G85" s="427">
        <v>164670950.71397999</v>
      </c>
      <c r="H85" s="427">
        <v>203939502.85765001</v>
      </c>
      <c r="I85" s="427">
        <v>213580811.31812</v>
      </c>
      <c r="J85" s="427">
        <v>214742934.94584</v>
      </c>
      <c r="K85" s="427">
        <v>233609629.00033</v>
      </c>
      <c r="L85" s="427">
        <v>246297526.20326999</v>
      </c>
      <c r="M85" s="427">
        <v>274647091.34151</v>
      </c>
      <c r="N85" s="427">
        <v>241643946.92313001</v>
      </c>
      <c r="O85" s="427"/>
      <c r="P85" s="427"/>
      <c r="Q85" s="427"/>
      <c r="R85" s="427"/>
      <c r="S85" s="427"/>
      <c r="T85" s="427"/>
      <c r="U85" s="427"/>
      <c r="V85" s="427"/>
      <c r="W85" s="427"/>
      <c r="X85" s="427"/>
      <c r="Y85" s="427"/>
      <c r="Z85" s="427"/>
      <c r="AA85" s="427"/>
      <c r="AB85" s="427"/>
    </row>
    <row r="86" spans="1:39">
      <c r="A86" t="s">
        <v>11</v>
      </c>
      <c r="B86" s="427">
        <v>69527524.398139998</v>
      </c>
      <c r="C86" s="427">
        <v>58537078.786009997</v>
      </c>
      <c r="D86" s="427">
        <v>82994220.398969993</v>
      </c>
      <c r="E86" s="427">
        <v>79825712.856920004</v>
      </c>
      <c r="F86" s="427">
        <v>85367712.148000002</v>
      </c>
      <c r="G86" s="427">
        <v>86331932.120069996</v>
      </c>
      <c r="H86" s="427">
        <v>95722258.550929993</v>
      </c>
      <c r="I86" s="427">
        <v>98557926.306639999</v>
      </c>
      <c r="J86" s="427">
        <v>101465434.03394</v>
      </c>
      <c r="K86" s="427">
        <v>110084667.48145001</v>
      </c>
      <c r="L86" s="427">
        <v>114320834.87151</v>
      </c>
      <c r="M86" s="427">
        <v>126393333.35716</v>
      </c>
      <c r="N86" s="427">
        <v>117990852.73362</v>
      </c>
      <c r="O86" s="427"/>
      <c r="P86" s="427"/>
      <c r="Q86" s="427"/>
      <c r="R86" s="427"/>
      <c r="S86" s="427"/>
      <c r="T86" s="427"/>
      <c r="U86" s="427"/>
      <c r="V86" s="427"/>
      <c r="W86" s="427"/>
      <c r="X86" s="427"/>
      <c r="Y86" s="427"/>
      <c r="Z86" s="427"/>
      <c r="AA86" s="427"/>
      <c r="AB86" s="427"/>
    </row>
    <row r="87" spans="1:39">
      <c r="A87" t="s">
        <v>12</v>
      </c>
      <c r="B87" s="427">
        <v>107309234.02874</v>
      </c>
      <c r="C87" s="427">
        <v>86637458.071799994</v>
      </c>
      <c r="D87" s="427">
        <v>123622105.77785</v>
      </c>
      <c r="E87" s="427">
        <v>118381392.89642</v>
      </c>
      <c r="F87" s="427">
        <v>135378367.52039999</v>
      </c>
      <c r="G87" s="427">
        <v>143604884.25336</v>
      </c>
      <c r="H87" s="427">
        <v>129932720.85293999</v>
      </c>
      <c r="I87" s="427">
        <v>132665011.08879</v>
      </c>
      <c r="J87" s="427">
        <v>142213059.27619001</v>
      </c>
      <c r="K87" s="427">
        <v>143472966.74225</v>
      </c>
      <c r="L87" s="427">
        <v>149388252.51313001</v>
      </c>
      <c r="M87" s="427">
        <v>172005182.86138001</v>
      </c>
      <c r="N87" s="427">
        <v>155431419.57183</v>
      </c>
      <c r="O87" s="427"/>
      <c r="P87" s="427"/>
      <c r="Q87" s="427"/>
      <c r="R87" s="427"/>
      <c r="S87" s="427"/>
      <c r="T87" s="427"/>
      <c r="U87" s="427"/>
      <c r="V87" s="427"/>
      <c r="W87" s="427"/>
      <c r="X87" s="427"/>
      <c r="Y87" s="427"/>
      <c r="Z87" s="427"/>
      <c r="AA87" s="427"/>
      <c r="AB87" s="427"/>
    </row>
    <row r="88" spans="1:39">
      <c r="A88" t="s">
        <v>13</v>
      </c>
      <c r="B88" s="427">
        <v>40231759.251999997</v>
      </c>
      <c r="C88" s="427">
        <v>31503401.254889999</v>
      </c>
      <c r="D88" s="427">
        <v>46610985.36665</v>
      </c>
      <c r="E88" s="427">
        <v>42507262.785980001</v>
      </c>
      <c r="F88" s="427">
        <v>50243533.729520001</v>
      </c>
      <c r="G88" s="427">
        <v>57731325.472779997</v>
      </c>
      <c r="H88" s="427">
        <v>43097588.02781</v>
      </c>
      <c r="I88" s="427">
        <v>43133055.670699999</v>
      </c>
      <c r="J88" s="427">
        <v>46100887.696570002</v>
      </c>
      <c r="K88" s="427">
        <v>42603072.952090003</v>
      </c>
      <c r="L88" s="427">
        <v>42978373.214709997</v>
      </c>
      <c r="M88" s="427">
        <v>48840509.949469998</v>
      </c>
      <c r="N88" s="427">
        <v>44658225.602420002</v>
      </c>
      <c r="O88" s="427"/>
      <c r="P88" s="427"/>
      <c r="Q88" s="427"/>
      <c r="R88" s="427"/>
      <c r="S88" s="427"/>
      <c r="T88" s="427"/>
      <c r="U88" s="427"/>
      <c r="V88" s="427"/>
      <c r="W88" s="427"/>
      <c r="X88" s="427"/>
      <c r="Y88" s="427"/>
      <c r="Z88" s="427"/>
      <c r="AA88" s="427"/>
      <c r="AB88" s="427"/>
    </row>
    <row r="89" spans="1:39">
      <c r="A89" t="s">
        <v>14</v>
      </c>
      <c r="B89" s="427">
        <v>11147138.387560001</v>
      </c>
      <c r="C89" s="427">
        <v>8305740.5867900001</v>
      </c>
      <c r="D89" s="427">
        <v>12094177.641690001</v>
      </c>
      <c r="E89" s="427">
        <v>9460446.6139700003</v>
      </c>
      <c r="F89" s="427">
        <v>11064344.492219999</v>
      </c>
      <c r="G89" s="427">
        <v>11453658.11383</v>
      </c>
      <c r="H89" s="427">
        <v>8738336.0054400004</v>
      </c>
      <c r="I89" s="427">
        <v>9009016.8243300002</v>
      </c>
      <c r="J89" s="427">
        <v>9309278.0566099994</v>
      </c>
      <c r="K89" s="427">
        <v>7957734.2806500001</v>
      </c>
      <c r="L89" s="427">
        <v>8190034.5805099998</v>
      </c>
      <c r="M89" s="427">
        <v>9780549.4917399995</v>
      </c>
      <c r="N89" s="427">
        <v>8755935.4512699991</v>
      </c>
      <c r="O89" s="427"/>
      <c r="P89" s="427"/>
      <c r="Q89" s="427"/>
      <c r="R89" s="427"/>
      <c r="S89" s="427"/>
      <c r="T89" s="427"/>
      <c r="U89" s="427"/>
      <c r="V89" s="427"/>
      <c r="W89" s="427"/>
      <c r="X89" s="427"/>
      <c r="Y89" s="427"/>
      <c r="Z89" s="427"/>
      <c r="AA89" s="427"/>
      <c r="AB89" s="427"/>
    </row>
    <row r="90" spans="1:39">
      <c r="A90" s="149" t="s">
        <v>15</v>
      </c>
      <c r="B90" s="427">
        <v>631032088.01444995</v>
      </c>
      <c r="C90" s="427">
        <v>536889088.00209999</v>
      </c>
      <c r="D90" s="427">
        <v>748861908.43698001</v>
      </c>
      <c r="E90" s="427">
        <v>708151106.99786997</v>
      </c>
      <c r="F90" s="427">
        <v>813084695.58036005</v>
      </c>
      <c r="G90" s="427">
        <v>803920913.97206998</v>
      </c>
      <c r="H90" s="427">
        <v>920752753.86257994</v>
      </c>
      <c r="I90" s="427">
        <v>934678725.84265995</v>
      </c>
      <c r="J90" s="427">
        <v>938674292.27929008</v>
      </c>
      <c r="K90" s="427">
        <v>1037878973.9251</v>
      </c>
      <c r="L90" s="427">
        <v>1086031653.6420801</v>
      </c>
      <c r="M90" s="427">
        <v>1205619291.43926</v>
      </c>
      <c r="N90" s="427">
        <v>1064261411.2740101</v>
      </c>
      <c r="O90" s="427"/>
      <c r="P90" s="427"/>
      <c r="Q90" s="427"/>
      <c r="R90" s="427"/>
      <c r="S90" s="427"/>
      <c r="T90" s="427"/>
      <c r="U90" s="427"/>
      <c r="V90" s="427"/>
      <c r="W90" s="427"/>
      <c r="X90" s="427"/>
      <c r="Y90" s="427"/>
      <c r="Z90" s="427"/>
      <c r="AA90" s="427"/>
      <c r="AB90" s="427"/>
    </row>
    <row r="92" spans="1:39">
      <c r="A92" s="402" t="s">
        <v>44</v>
      </c>
    </row>
    <row r="93" spans="1:39">
      <c r="B93" s="403">
        <v>202101</v>
      </c>
      <c r="C93" s="403">
        <v>202102</v>
      </c>
      <c r="D93" s="403">
        <v>202103</v>
      </c>
      <c r="E93" s="403">
        <v>202104</v>
      </c>
      <c r="F93" s="403">
        <v>202105</v>
      </c>
      <c r="G93" s="403">
        <v>202106</v>
      </c>
      <c r="H93" s="403">
        <v>202107</v>
      </c>
      <c r="I93" s="403">
        <v>202108</v>
      </c>
      <c r="J93" s="403">
        <v>202109</v>
      </c>
      <c r="K93" s="403">
        <v>202110</v>
      </c>
      <c r="L93" s="403">
        <v>202111</v>
      </c>
      <c r="M93" s="403">
        <v>202112</v>
      </c>
      <c r="N93" s="403">
        <v>202201</v>
      </c>
      <c r="O93" s="403">
        <v>202202</v>
      </c>
      <c r="P93" s="403">
        <v>202203</v>
      </c>
      <c r="Q93" s="403">
        <v>202004</v>
      </c>
      <c r="R93" s="403">
        <v>202005</v>
      </c>
      <c r="S93" s="403">
        <v>202206</v>
      </c>
      <c r="T93" s="403">
        <v>202207</v>
      </c>
      <c r="U93" s="403">
        <v>202208</v>
      </c>
      <c r="V93" s="403">
        <v>202209</v>
      </c>
      <c r="W93" s="403">
        <v>202210</v>
      </c>
      <c r="X93" s="403"/>
      <c r="Y93" s="403"/>
      <c r="Z93" s="403"/>
      <c r="AA93" s="403"/>
      <c r="AB93" s="403"/>
      <c r="AC93" s="403" t="s">
        <v>43</v>
      </c>
    </row>
    <row r="94" spans="1:39">
      <c r="A94" t="s">
        <v>9</v>
      </c>
      <c r="B94" s="427">
        <v>170746</v>
      </c>
      <c r="C94" s="427">
        <v>181130</v>
      </c>
      <c r="D94" s="427">
        <v>175519</v>
      </c>
      <c r="E94" s="427">
        <v>173536</v>
      </c>
      <c r="F94" s="427">
        <v>183862</v>
      </c>
      <c r="G94" s="427">
        <v>185874</v>
      </c>
      <c r="H94" s="427">
        <v>215637</v>
      </c>
      <c r="I94" s="427">
        <v>216413</v>
      </c>
      <c r="J94" s="427">
        <v>211356</v>
      </c>
      <c r="K94" s="427">
        <v>237534</v>
      </c>
      <c r="L94" s="427">
        <v>241464</v>
      </c>
      <c r="M94" s="427">
        <v>247271</v>
      </c>
      <c r="N94" s="427">
        <v>249099</v>
      </c>
      <c r="O94" s="427"/>
      <c r="P94" s="427"/>
      <c r="Q94" s="427"/>
      <c r="R94" s="427"/>
      <c r="S94" s="427"/>
      <c r="T94" s="427"/>
      <c r="U94" s="427"/>
      <c r="V94" s="427"/>
      <c r="W94" s="427"/>
      <c r="X94" s="427"/>
      <c r="Y94" s="427"/>
      <c r="Z94" s="427"/>
      <c r="AA94" s="427"/>
      <c r="AB94" s="427"/>
    </row>
    <row r="95" spans="1:39">
      <c r="A95" t="s">
        <v>10</v>
      </c>
      <c r="B95" s="427">
        <v>107961</v>
      </c>
      <c r="C95" s="427">
        <v>106629</v>
      </c>
      <c r="D95" s="427">
        <v>116948</v>
      </c>
      <c r="E95" s="427">
        <v>118273</v>
      </c>
      <c r="F95" s="427">
        <v>115338</v>
      </c>
      <c r="G95" s="427">
        <v>113905</v>
      </c>
      <c r="H95" s="427">
        <v>123578</v>
      </c>
      <c r="I95" s="427">
        <v>127641</v>
      </c>
      <c r="J95" s="427">
        <v>129248</v>
      </c>
      <c r="K95" s="427">
        <v>134546</v>
      </c>
      <c r="L95" s="427">
        <v>136841</v>
      </c>
      <c r="M95" s="427">
        <v>141535</v>
      </c>
      <c r="N95" s="427">
        <v>139512</v>
      </c>
      <c r="O95" s="427"/>
      <c r="P95" s="427"/>
      <c r="Q95" s="427"/>
      <c r="R95" s="427"/>
      <c r="S95" s="427"/>
      <c r="T95" s="427"/>
      <c r="U95" s="427"/>
      <c r="V95" s="427"/>
      <c r="W95" s="427"/>
      <c r="X95" s="427"/>
      <c r="Y95" s="427"/>
      <c r="Z95" s="427"/>
      <c r="AA95" s="427"/>
      <c r="AB95" s="427"/>
    </row>
    <row r="96" spans="1:39">
      <c r="A96" t="s">
        <v>11</v>
      </c>
      <c r="B96" s="427">
        <v>58906</v>
      </c>
      <c r="C96" s="427">
        <v>58370</v>
      </c>
      <c r="D96" s="427">
        <v>62867</v>
      </c>
      <c r="E96" s="427">
        <v>64395</v>
      </c>
      <c r="F96" s="427">
        <v>63248</v>
      </c>
      <c r="G96" s="427">
        <v>64430</v>
      </c>
      <c r="H96" s="427">
        <v>65399</v>
      </c>
      <c r="I96" s="427">
        <v>67042</v>
      </c>
      <c r="J96" s="427">
        <v>69299</v>
      </c>
      <c r="K96" s="427">
        <v>71716</v>
      </c>
      <c r="L96" s="427">
        <v>73643</v>
      </c>
      <c r="M96" s="427">
        <v>76367</v>
      </c>
      <c r="N96" s="427">
        <v>77990</v>
      </c>
      <c r="O96" s="427"/>
      <c r="P96" s="427"/>
      <c r="Q96" s="427"/>
      <c r="R96" s="427"/>
      <c r="S96" s="427"/>
      <c r="T96" s="427"/>
      <c r="U96" s="427"/>
      <c r="V96" s="427"/>
      <c r="W96" s="427"/>
      <c r="X96" s="427"/>
      <c r="Y96" s="427"/>
      <c r="Z96" s="427"/>
      <c r="AA96" s="427"/>
      <c r="AB96" s="427"/>
    </row>
    <row r="97" spans="1:29">
      <c r="A97" t="s">
        <v>12</v>
      </c>
      <c r="B97" s="427">
        <v>109053</v>
      </c>
      <c r="C97" s="427">
        <v>103163</v>
      </c>
      <c r="D97" s="427">
        <v>110757</v>
      </c>
      <c r="E97" s="427">
        <v>113528</v>
      </c>
      <c r="F97" s="427">
        <v>117257</v>
      </c>
      <c r="G97" s="427">
        <v>123618</v>
      </c>
      <c r="H97" s="427">
        <v>110732</v>
      </c>
      <c r="I97" s="427">
        <v>112845</v>
      </c>
      <c r="J97" s="427">
        <v>121920</v>
      </c>
      <c r="K97" s="427">
        <v>119458</v>
      </c>
      <c r="L97" s="427">
        <v>122331</v>
      </c>
      <c r="M97" s="427">
        <v>128229</v>
      </c>
      <c r="N97" s="427">
        <v>131221</v>
      </c>
      <c r="O97" s="427"/>
      <c r="P97" s="427"/>
      <c r="Q97" s="427"/>
      <c r="R97" s="427"/>
      <c r="S97" s="427"/>
      <c r="T97" s="427"/>
      <c r="U97" s="427"/>
      <c r="V97" s="427"/>
      <c r="W97" s="427"/>
      <c r="X97" s="427"/>
      <c r="Y97" s="427"/>
      <c r="Z97" s="427"/>
      <c r="AA97" s="427"/>
      <c r="AB97" s="427"/>
    </row>
    <row r="98" spans="1:29">
      <c r="A98" t="s">
        <v>13</v>
      </c>
      <c r="B98" s="427">
        <v>57895</v>
      </c>
      <c r="C98" s="427">
        <v>51408</v>
      </c>
      <c r="D98" s="427">
        <v>57858</v>
      </c>
      <c r="E98" s="427">
        <v>56146</v>
      </c>
      <c r="F98" s="427">
        <v>59235</v>
      </c>
      <c r="G98" s="427">
        <v>63249</v>
      </c>
      <c r="H98" s="427">
        <v>51508</v>
      </c>
      <c r="I98" s="427">
        <v>49794</v>
      </c>
      <c r="J98" s="427">
        <v>55317</v>
      </c>
      <c r="K98" s="427">
        <v>48816</v>
      </c>
      <c r="L98" s="427">
        <v>49850</v>
      </c>
      <c r="M98" s="427">
        <v>51458</v>
      </c>
      <c r="N98" s="427">
        <v>53863</v>
      </c>
      <c r="O98" s="427"/>
      <c r="P98" s="427"/>
      <c r="Q98" s="427"/>
      <c r="R98" s="427"/>
      <c r="S98" s="427"/>
      <c r="T98" s="427"/>
      <c r="U98" s="427"/>
      <c r="V98" s="427"/>
      <c r="W98" s="427"/>
      <c r="X98" s="427"/>
      <c r="Y98" s="427"/>
      <c r="Z98" s="427"/>
      <c r="AA98" s="427"/>
      <c r="AB98" s="427"/>
    </row>
    <row r="99" spans="1:29">
      <c r="A99" t="s">
        <v>14</v>
      </c>
      <c r="B99" s="427">
        <v>26308</v>
      </c>
      <c r="C99" s="427">
        <v>21359</v>
      </c>
      <c r="D99" s="427">
        <v>22831</v>
      </c>
      <c r="E99" s="427">
        <v>19273</v>
      </c>
      <c r="F99" s="427">
        <v>20603</v>
      </c>
      <c r="G99" s="427">
        <v>19873</v>
      </c>
      <c r="H99" s="427">
        <v>16238</v>
      </c>
      <c r="I99" s="427">
        <v>15189</v>
      </c>
      <c r="J99" s="427">
        <v>15677</v>
      </c>
      <c r="K99" s="427">
        <v>13435</v>
      </c>
      <c r="L99" s="427">
        <v>13794</v>
      </c>
      <c r="M99" s="427">
        <v>14013</v>
      </c>
      <c r="N99" s="427">
        <v>14693</v>
      </c>
      <c r="O99" s="427"/>
      <c r="P99" s="427"/>
      <c r="Q99" s="427"/>
      <c r="R99" s="427"/>
      <c r="S99" s="427"/>
      <c r="T99" s="427"/>
      <c r="U99" s="427"/>
      <c r="V99" s="427"/>
      <c r="W99" s="427"/>
      <c r="X99" s="427"/>
      <c r="Y99" s="427"/>
      <c r="Z99" s="427"/>
      <c r="AA99" s="427"/>
      <c r="AB99" s="427"/>
    </row>
    <row r="100" spans="1:29">
      <c r="A100" s="149" t="s">
        <v>15</v>
      </c>
      <c r="B100" s="427">
        <v>541008</v>
      </c>
      <c r="C100" s="427">
        <v>531125</v>
      </c>
      <c r="D100" s="427">
        <v>560475</v>
      </c>
      <c r="E100" s="427">
        <v>557218</v>
      </c>
      <c r="F100" s="427">
        <v>575580</v>
      </c>
      <c r="G100" s="427">
        <v>586215</v>
      </c>
      <c r="H100" s="427">
        <v>597333</v>
      </c>
      <c r="I100" s="427">
        <v>608059</v>
      </c>
      <c r="J100" s="427">
        <v>624836</v>
      </c>
      <c r="K100" s="427">
        <v>647133</v>
      </c>
      <c r="L100" s="427">
        <v>659530</v>
      </c>
      <c r="M100" s="427">
        <v>687435</v>
      </c>
      <c r="N100" s="427">
        <v>687992</v>
      </c>
      <c r="O100" s="427"/>
      <c r="P100" s="427"/>
      <c r="Q100" s="427"/>
      <c r="R100" s="427"/>
      <c r="S100" s="427"/>
      <c r="T100" s="427"/>
      <c r="U100" s="427"/>
      <c r="V100" s="427"/>
      <c r="W100" s="427"/>
      <c r="X100" s="427"/>
      <c r="Y100" s="427"/>
      <c r="Z100" s="427"/>
      <c r="AA100" s="427"/>
      <c r="AB100" s="427"/>
    </row>
    <row r="102" spans="1:29">
      <c r="A102" s="402" t="s">
        <v>45</v>
      </c>
    </row>
    <row r="103" spans="1:29">
      <c r="B103" s="403">
        <v>202101</v>
      </c>
      <c r="C103" s="403">
        <v>202102</v>
      </c>
      <c r="D103" s="403">
        <v>202103</v>
      </c>
      <c r="E103" s="403">
        <v>202104</v>
      </c>
      <c r="F103" s="403">
        <v>202105</v>
      </c>
      <c r="G103" s="403">
        <v>202106</v>
      </c>
      <c r="H103" s="403">
        <v>202107</v>
      </c>
      <c r="I103" s="403">
        <v>202108</v>
      </c>
      <c r="J103" s="403">
        <v>202109</v>
      </c>
      <c r="K103" s="403">
        <v>202110</v>
      </c>
      <c r="L103" s="403">
        <v>202111</v>
      </c>
      <c r="M103" s="403">
        <v>202112</v>
      </c>
      <c r="N103" s="403">
        <v>202201</v>
      </c>
      <c r="O103" s="403">
        <v>202202</v>
      </c>
      <c r="P103" s="403">
        <v>202203</v>
      </c>
      <c r="Q103" s="403">
        <v>202004</v>
      </c>
      <c r="R103" s="403">
        <v>202005</v>
      </c>
      <c r="S103" s="403">
        <v>202206</v>
      </c>
      <c r="T103" s="403">
        <v>202207</v>
      </c>
      <c r="U103" s="403">
        <v>202208</v>
      </c>
      <c r="V103" s="403">
        <v>202209</v>
      </c>
      <c r="W103" s="403">
        <v>202210</v>
      </c>
      <c r="X103" s="403"/>
      <c r="Y103" s="403"/>
      <c r="Z103" s="403"/>
      <c r="AA103" s="403"/>
      <c r="AB103" s="403"/>
      <c r="AC103" s="403" t="s">
        <v>43</v>
      </c>
    </row>
    <row r="104" spans="1:29">
      <c r="A104" t="s">
        <v>9</v>
      </c>
      <c r="B104" s="163">
        <f t="shared" ref="B104:V110" si="36">+B94/B73</f>
        <v>0.66871626967031417</v>
      </c>
      <c r="C104" s="163">
        <f t="shared" si="36"/>
        <v>0.66471920173510313</v>
      </c>
      <c r="D104" s="163">
        <f t="shared" si="36"/>
        <v>0.67987930059420054</v>
      </c>
      <c r="E104" s="163">
        <f t="shared" si="36"/>
        <v>0.70169706723168179</v>
      </c>
      <c r="F104" s="163">
        <f t="shared" si="36"/>
        <v>0.70813386072414819</v>
      </c>
      <c r="G104" s="163">
        <f t="shared" si="36"/>
        <v>0.71370043427009222</v>
      </c>
      <c r="H104" s="163">
        <f t="shared" si="36"/>
        <v>0.73384108056233344</v>
      </c>
      <c r="I104" s="163">
        <f t="shared" si="36"/>
        <v>0.73180488629639018</v>
      </c>
      <c r="J104" s="163">
        <f t="shared" si="36"/>
        <v>0.72611215511940053</v>
      </c>
      <c r="K104" s="163">
        <f t="shared" si="36"/>
        <v>0.74351124967133686</v>
      </c>
      <c r="L104" s="163">
        <f t="shared" si="36"/>
        <v>0.75136759955938093</v>
      </c>
      <c r="M104" s="163">
        <f t="shared" si="36"/>
        <v>0.76029579067121733</v>
      </c>
      <c r="N104" s="163">
        <f t="shared" si="36"/>
        <v>0.75635587430656981</v>
      </c>
      <c r="O104" s="163">
        <f t="shared" si="36"/>
        <v>0</v>
      </c>
      <c r="P104" s="163">
        <f t="shared" si="36"/>
        <v>0</v>
      </c>
      <c r="Q104" s="163">
        <f t="shared" si="36"/>
        <v>0</v>
      </c>
      <c r="R104" s="163">
        <f t="shared" si="36"/>
        <v>0</v>
      </c>
      <c r="S104" s="163">
        <f t="shared" si="36"/>
        <v>0</v>
      </c>
      <c r="T104" s="163">
        <f t="shared" si="36"/>
        <v>0</v>
      </c>
      <c r="U104" s="163">
        <f t="shared" si="36"/>
        <v>0</v>
      </c>
      <c r="V104" s="163">
        <f t="shared" si="36"/>
        <v>0</v>
      </c>
      <c r="W104" s="163"/>
      <c r="X104" s="163"/>
      <c r="Y104" s="163"/>
      <c r="Z104" s="163"/>
      <c r="AA104" s="163"/>
      <c r="AB104" s="163"/>
    </row>
    <row r="105" spans="1:29">
      <c r="A105" t="s">
        <v>10</v>
      </c>
      <c r="B105" s="163">
        <f t="shared" si="36"/>
        <v>0.5622646619204108</v>
      </c>
      <c r="C105" s="163">
        <f t="shared" si="36"/>
        <v>0.54929708065671057</v>
      </c>
      <c r="D105" s="163">
        <f t="shared" si="36"/>
        <v>0.57962193828494391</v>
      </c>
      <c r="E105" s="163">
        <f t="shared" si="36"/>
        <v>0.62465274476872534</v>
      </c>
      <c r="F105" s="163">
        <f t="shared" si="36"/>
        <v>0.62927883198934997</v>
      </c>
      <c r="G105" s="163">
        <f t="shared" si="36"/>
        <v>0.63274579623035598</v>
      </c>
      <c r="H105" s="163">
        <f t="shared" si="36"/>
        <v>0.64586229604155998</v>
      </c>
      <c r="I105" s="163">
        <f t="shared" si="36"/>
        <v>0.64759512937595132</v>
      </c>
      <c r="J105" s="163">
        <f t="shared" si="36"/>
        <v>0.65405265901189713</v>
      </c>
      <c r="K105" s="163">
        <f t="shared" si="36"/>
        <v>0.66328809398216393</v>
      </c>
      <c r="L105" s="163">
        <f t="shared" si="36"/>
        <v>0.66886459061426196</v>
      </c>
      <c r="M105" s="163">
        <f t="shared" si="36"/>
        <v>0.68296201933052492</v>
      </c>
      <c r="N105" s="163">
        <f t="shared" si="36"/>
        <v>0.67392543499473467</v>
      </c>
      <c r="O105" s="163">
        <f t="shared" si="36"/>
        <v>0</v>
      </c>
      <c r="P105" s="163">
        <f t="shared" si="36"/>
        <v>0</v>
      </c>
      <c r="Q105" s="163">
        <f t="shared" si="36"/>
        <v>0</v>
      </c>
      <c r="R105" s="163">
        <f t="shared" si="36"/>
        <v>0</v>
      </c>
      <c r="S105" s="163">
        <f t="shared" si="36"/>
        <v>0</v>
      </c>
      <c r="T105" s="163">
        <f t="shared" si="36"/>
        <v>0</v>
      </c>
      <c r="U105" s="163">
        <f t="shared" si="36"/>
        <v>0</v>
      </c>
      <c r="V105" s="163">
        <f t="shared" si="36"/>
        <v>0</v>
      </c>
      <c r="W105" s="163"/>
      <c r="X105" s="163"/>
      <c r="Y105" s="163"/>
      <c r="Z105" s="163"/>
      <c r="AA105" s="163"/>
      <c r="AB105" s="163"/>
    </row>
    <row r="106" spans="1:29">
      <c r="A106" t="s">
        <v>11</v>
      </c>
      <c r="B106" s="163">
        <f t="shared" si="36"/>
        <v>0.64808071028572056</v>
      </c>
      <c r="C106" s="163">
        <f t="shared" si="36"/>
        <v>0.63423591794158551</v>
      </c>
      <c r="D106" s="163">
        <f t="shared" si="36"/>
        <v>0.6670592604382195</v>
      </c>
      <c r="E106" s="163">
        <f t="shared" si="36"/>
        <v>0.67469589178881639</v>
      </c>
      <c r="F106" s="163">
        <f t="shared" si="36"/>
        <v>0.68682875975979241</v>
      </c>
      <c r="G106" s="163">
        <f t="shared" si="36"/>
        <v>0.70018909343824032</v>
      </c>
      <c r="H106" s="163">
        <f t="shared" si="36"/>
        <v>0.70502689707959165</v>
      </c>
      <c r="I106" s="163">
        <f t="shared" si="36"/>
        <v>0.70592075475671523</v>
      </c>
      <c r="J106" s="163">
        <f t="shared" si="36"/>
        <v>0.71276201839014253</v>
      </c>
      <c r="K106" s="163">
        <f t="shared" si="36"/>
        <v>0.72105368992559826</v>
      </c>
      <c r="L106" s="163">
        <f t="shared" si="36"/>
        <v>0.72565403754249391</v>
      </c>
      <c r="M106" s="163">
        <f t="shared" si="36"/>
        <v>0.74121129768028726</v>
      </c>
      <c r="N106" s="163">
        <f t="shared" si="36"/>
        <v>0.72934201174578239</v>
      </c>
      <c r="O106" s="163">
        <f t="shared" si="36"/>
        <v>0</v>
      </c>
      <c r="P106" s="163">
        <f t="shared" si="36"/>
        <v>0</v>
      </c>
      <c r="Q106" s="163">
        <f t="shared" si="36"/>
        <v>0</v>
      </c>
      <c r="R106" s="163">
        <f t="shared" si="36"/>
        <v>0</v>
      </c>
      <c r="S106" s="163">
        <f t="shared" si="36"/>
        <v>0</v>
      </c>
      <c r="T106" s="163">
        <f t="shared" si="36"/>
        <v>0</v>
      </c>
      <c r="U106" s="163">
        <f t="shared" si="36"/>
        <v>0</v>
      </c>
      <c r="V106" s="163">
        <f t="shared" si="36"/>
        <v>0</v>
      </c>
      <c r="W106" s="163"/>
      <c r="X106" s="163"/>
      <c r="Y106" s="163"/>
      <c r="Z106" s="163"/>
      <c r="AA106" s="163"/>
      <c r="AB106" s="163"/>
    </row>
    <row r="107" spans="1:29">
      <c r="A107" t="s">
        <v>12</v>
      </c>
      <c r="B107" s="163">
        <f t="shared" si="36"/>
        <v>0.69735007865355347</v>
      </c>
      <c r="C107" s="163">
        <f t="shared" si="36"/>
        <v>0.67602209655118184</v>
      </c>
      <c r="D107" s="163">
        <f t="shared" si="36"/>
        <v>0.71228198796110509</v>
      </c>
      <c r="E107" s="163">
        <f t="shared" si="36"/>
        <v>0.71326790897553494</v>
      </c>
      <c r="F107" s="163">
        <f t="shared" si="36"/>
        <v>0.7341042271862166</v>
      </c>
      <c r="G107" s="163">
        <f t="shared" si="36"/>
        <v>0.75305656239529717</v>
      </c>
      <c r="H107" s="163">
        <f t="shared" si="36"/>
        <v>0.74862420054896761</v>
      </c>
      <c r="I107" s="163">
        <f t="shared" si="36"/>
        <v>0.74872608084078662</v>
      </c>
      <c r="J107" s="163">
        <f t="shared" si="36"/>
        <v>0.75804395809369851</v>
      </c>
      <c r="K107" s="163">
        <f t="shared" si="36"/>
        <v>0.76530997943507317</v>
      </c>
      <c r="L107" s="163">
        <f t="shared" si="36"/>
        <v>0.76413892185645571</v>
      </c>
      <c r="M107" s="163">
        <f t="shared" si="36"/>
        <v>0.78248054919908472</v>
      </c>
      <c r="N107" s="163">
        <f t="shared" si="36"/>
        <v>0.76803450919796545</v>
      </c>
      <c r="O107" s="163">
        <f t="shared" si="36"/>
        <v>0</v>
      </c>
      <c r="P107" s="163">
        <f t="shared" si="36"/>
        <v>0</v>
      </c>
      <c r="Q107" s="163">
        <f t="shared" si="36"/>
        <v>0</v>
      </c>
      <c r="R107" s="163">
        <f t="shared" si="36"/>
        <v>0</v>
      </c>
      <c r="S107" s="163">
        <f t="shared" si="36"/>
        <v>0</v>
      </c>
      <c r="T107" s="163">
        <f t="shared" si="36"/>
        <v>0</v>
      </c>
      <c r="U107" s="163">
        <f t="shared" si="36"/>
        <v>0</v>
      </c>
      <c r="V107" s="163">
        <f t="shared" si="36"/>
        <v>0</v>
      </c>
      <c r="W107" s="163"/>
      <c r="X107" s="163"/>
      <c r="Y107" s="163"/>
      <c r="Z107" s="163"/>
      <c r="AA107" s="163"/>
      <c r="AB107" s="163"/>
    </row>
    <row r="108" spans="1:29">
      <c r="A108" t="s">
        <v>13</v>
      </c>
      <c r="B108" s="163">
        <f t="shared" si="36"/>
        <v>0.69601231050360057</v>
      </c>
      <c r="C108" s="163">
        <f t="shared" si="36"/>
        <v>0.67610079436056603</v>
      </c>
      <c r="D108" s="163">
        <f t="shared" si="36"/>
        <v>0.71304626457321729</v>
      </c>
      <c r="E108" s="163">
        <f t="shared" si="36"/>
        <v>0.7228137028978977</v>
      </c>
      <c r="F108" s="163">
        <f t="shared" si="36"/>
        <v>0.75032300559876375</v>
      </c>
      <c r="G108" s="163">
        <f t="shared" si="36"/>
        <v>0.77217677939201568</v>
      </c>
      <c r="H108" s="163">
        <f t="shared" si="36"/>
        <v>0.7689367927626668</v>
      </c>
      <c r="I108" s="163">
        <f t="shared" si="36"/>
        <v>0.7656610388412215</v>
      </c>
      <c r="J108" s="163">
        <f t="shared" si="36"/>
        <v>0.77487813077828205</v>
      </c>
      <c r="K108" s="163">
        <f t="shared" si="36"/>
        <v>0.7806687882810126</v>
      </c>
      <c r="L108" s="163">
        <f t="shared" si="36"/>
        <v>0.77955181634791315</v>
      </c>
      <c r="M108" s="163">
        <f t="shared" si="36"/>
        <v>0.79503738953093139</v>
      </c>
      <c r="N108" s="163">
        <f t="shared" si="36"/>
        <v>0.77364913389445866</v>
      </c>
      <c r="O108" s="163">
        <f t="shared" si="36"/>
        <v>0</v>
      </c>
      <c r="P108" s="163">
        <f t="shared" si="36"/>
        <v>0</v>
      </c>
      <c r="Q108" s="163">
        <f t="shared" si="36"/>
        <v>0</v>
      </c>
      <c r="R108" s="163">
        <f t="shared" si="36"/>
        <v>0</v>
      </c>
      <c r="S108" s="163">
        <f t="shared" si="36"/>
        <v>0</v>
      </c>
      <c r="T108" s="163">
        <f t="shared" si="36"/>
        <v>0</v>
      </c>
      <c r="U108" s="163">
        <f t="shared" si="36"/>
        <v>0</v>
      </c>
      <c r="V108" s="163">
        <f t="shared" si="36"/>
        <v>0</v>
      </c>
      <c r="W108" s="163"/>
      <c r="X108" s="163"/>
      <c r="Y108" s="163"/>
      <c r="Z108" s="163"/>
      <c r="AA108" s="163"/>
      <c r="AB108" s="163"/>
    </row>
    <row r="109" spans="1:29">
      <c r="A109" t="s">
        <v>14</v>
      </c>
      <c r="B109" s="163">
        <f t="shared" si="36"/>
        <v>0.35071254315918576</v>
      </c>
      <c r="C109" s="163">
        <f t="shared" si="36"/>
        <v>0.33491705083576379</v>
      </c>
      <c r="D109" s="163">
        <f t="shared" si="36"/>
        <v>0.39854414691198548</v>
      </c>
      <c r="E109" s="163">
        <f t="shared" si="36"/>
        <v>0.38815378728374922</v>
      </c>
      <c r="F109" s="163">
        <f t="shared" si="36"/>
        <v>0.42844368657461324</v>
      </c>
      <c r="G109" s="163">
        <f t="shared" si="36"/>
        <v>0.44767075148675439</v>
      </c>
      <c r="H109" s="163">
        <f t="shared" si="36"/>
        <v>0.48538291385185628</v>
      </c>
      <c r="I109" s="163">
        <f t="shared" si="36"/>
        <v>0.46569168506254599</v>
      </c>
      <c r="J109" s="163">
        <f t="shared" si="36"/>
        <v>0.49118024877024785</v>
      </c>
      <c r="K109" s="163">
        <f t="shared" si="36"/>
        <v>0.44220261997235205</v>
      </c>
      <c r="L109" s="163">
        <f t="shared" si="36"/>
        <v>0.42599055001389702</v>
      </c>
      <c r="M109" s="163">
        <f t="shared" si="36"/>
        <v>0.42263843648208471</v>
      </c>
      <c r="N109" s="163">
        <f t="shared" si="36"/>
        <v>0.3989519128947297</v>
      </c>
      <c r="O109" s="163">
        <f t="shared" si="36"/>
        <v>0</v>
      </c>
      <c r="P109" s="163">
        <f t="shared" si="36"/>
        <v>0</v>
      </c>
      <c r="Q109" s="163">
        <f t="shared" si="36"/>
        <v>0</v>
      </c>
      <c r="R109" s="163">
        <f t="shared" si="36"/>
        <v>0</v>
      </c>
      <c r="S109" s="163">
        <f t="shared" si="36"/>
        <v>0</v>
      </c>
      <c r="T109" s="163">
        <f t="shared" si="36"/>
        <v>0</v>
      </c>
      <c r="U109" s="163">
        <f t="shared" si="36"/>
        <v>0</v>
      </c>
      <c r="V109" s="163">
        <f t="shared" si="36"/>
        <v>0</v>
      </c>
      <c r="W109" s="163"/>
      <c r="X109" s="163"/>
      <c r="Y109" s="163"/>
      <c r="Z109" s="163"/>
      <c r="AA109" s="163"/>
      <c r="AB109" s="163"/>
    </row>
    <row r="110" spans="1:29">
      <c r="A110" s="149" t="s">
        <v>15</v>
      </c>
      <c r="B110" s="163">
        <f t="shared" si="36"/>
        <v>0.62518547279963388</v>
      </c>
      <c r="C110" s="163">
        <f t="shared" si="36"/>
        <v>0.6155408937033745</v>
      </c>
      <c r="D110" s="163">
        <f t="shared" si="36"/>
        <v>0.64753849299922472</v>
      </c>
      <c r="E110" s="163">
        <f t="shared" si="36"/>
        <v>0.66770277880962936</v>
      </c>
      <c r="F110" s="163">
        <f t="shared" si="36"/>
        <v>0.68361430271531154</v>
      </c>
      <c r="G110" s="163">
        <f t="shared" si="36"/>
        <v>0.6963860602806381</v>
      </c>
      <c r="H110" s="163">
        <f t="shared" si="36"/>
        <v>0.70779670898045222</v>
      </c>
      <c r="I110" s="163">
        <f t="shared" si="36"/>
        <v>0.70683165554599769</v>
      </c>
      <c r="J110" s="163">
        <f t="shared" si="36"/>
        <v>0.71160644326609446</v>
      </c>
      <c r="K110" s="163">
        <f t="shared" si="36"/>
        <v>0.721678008176593</v>
      </c>
      <c r="L110" s="163">
        <f t="shared" si="36"/>
        <v>0.72439604373637356</v>
      </c>
      <c r="M110" s="163">
        <f t="shared" si="36"/>
        <v>0.73842390936560431</v>
      </c>
      <c r="N110" s="163">
        <f t="shared" si="36"/>
        <v>0.72628539758781774</v>
      </c>
      <c r="O110" s="163">
        <f t="shared" si="36"/>
        <v>0</v>
      </c>
      <c r="P110" s="163">
        <f t="shared" si="36"/>
        <v>0</v>
      </c>
      <c r="Q110" s="163">
        <f t="shared" si="36"/>
        <v>0</v>
      </c>
      <c r="R110" s="163">
        <f t="shared" si="36"/>
        <v>0</v>
      </c>
      <c r="S110" s="163">
        <f t="shared" si="36"/>
        <v>0</v>
      </c>
      <c r="T110" s="163">
        <f t="shared" si="36"/>
        <v>0</v>
      </c>
      <c r="U110" s="163">
        <f t="shared" si="36"/>
        <v>0</v>
      </c>
      <c r="V110" s="163">
        <f t="shared" si="36"/>
        <v>0</v>
      </c>
      <c r="W110" s="163"/>
      <c r="X110" s="163"/>
      <c r="Y110" s="163"/>
      <c r="Z110" s="163"/>
      <c r="AA110" s="163"/>
      <c r="AB110" s="163"/>
    </row>
    <row r="112" spans="1:29">
      <c r="A112" s="402" t="s">
        <v>46</v>
      </c>
    </row>
    <row r="113" spans="1:29">
      <c r="B113" s="403">
        <v>202101</v>
      </c>
      <c r="C113" s="403">
        <v>202102</v>
      </c>
      <c r="D113" s="403">
        <v>202103</v>
      </c>
      <c r="E113" s="403">
        <v>202104</v>
      </c>
      <c r="F113" s="403">
        <v>202105</v>
      </c>
      <c r="G113" s="403">
        <v>202106</v>
      </c>
      <c r="H113" s="403">
        <v>202107</v>
      </c>
      <c r="I113" s="403">
        <v>202108</v>
      </c>
      <c r="J113" s="403">
        <v>202109</v>
      </c>
      <c r="K113" s="403">
        <v>202110</v>
      </c>
      <c r="L113" s="403">
        <v>202111</v>
      </c>
      <c r="M113" s="403">
        <v>202112</v>
      </c>
      <c r="N113" s="403">
        <v>202201</v>
      </c>
      <c r="O113" s="403">
        <v>202202</v>
      </c>
      <c r="P113" s="403">
        <v>202203</v>
      </c>
      <c r="Q113" s="403">
        <v>202004</v>
      </c>
      <c r="R113" s="403">
        <v>202005</v>
      </c>
      <c r="S113" s="403">
        <v>202206</v>
      </c>
      <c r="T113" s="403">
        <v>202207</v>
      </c>
      <c r="U113" s="403">
        <v>202208</v>
      </c>
      <c r="V113" s="403">
        <v>202209</v>
      </c>
      <c r="W113" s="403">
        <v>202210</v>
      </c>
      <c r="X113" s="403"/>
      <c r="Y113" s="403"/>
      <c r="Z113" s="403"/>
      <c r="AA113" s="403"/>
      <c r="AB113" s="403"/>
      <c r="AC113" s="403" t="s">
        <v>43</v>
      </c>
    </row>
    <row r="114" spans="1:29">
      <c r="A114" t="s">
        <v>9</v>
      </c>
      <c r="B114" s="204">
        <f t="shared" ref="B114:W120" si="37">+B84/B94</f>
        <v>1529.765082394551</v>
      </c>
      <c r="C114" s="204">
        <f t="shared" si="37"/>
        <v>1280.8270443796168</v>
      </c>
      <c r="D114" s="204">
        <f t="shared" si="37"/>
        <v>1727.0889141505477</v>
      </c>
      <c r="E114" s="204">
        <f t="shared" si="37"/>
        <v>1664.2315058039253</v>
      </c>
      <c r="F114" s="204">
        <f t="shared" si="37"/>
        <v>1872.8516299079201</v>
      </c>
      <c r="G114" s="204">
        <f t="shared" si="37"/>
        <v>1762.0198155010382</v>
      </c>
      <c r="H114" s="204">
        <f t="shared" si="37"/>
        <v>1981.3606893544243</v>
      </c>
      <c r="I114" s="204">
        <f t="shared" si="37"/>
        <v>1945.6922268753265</v>
      </c>
      <c r="J114" s="204">
        <f t="shared" si="37"/>
        <v>1931.8627064777438</v>
      </c>
      <c r="K114" s="204">
        <f t="shared" si="37"/>
        <v>2036.5247122454891</v>
      </c>
      <c r="L114" s="204">
        <f t="shared" si="37"/>
        <v>2101.472913845625</v>
      </c>
      <c r="M114" s="204">
        <f t="shared" si="37"/>
        <v>2220.5888471813923</v>
      </c>
      <c r="N114" s="204">
        <f t="shared" si="37"/>
        <v>1924.6972695537518</v>
      </c>
      <c r="O114" s="204" t="e">
        <f t="shared" si="37"/>
        <v>#DIV/0!</v>
      </c>
      <c r="P114" s="204" t="e">
        <f t="shared" si="37"/>
        <v>#DIV/0!</v>
      </c>
      <c r="Q114" s="204" t="e">
        <f t="shared" si="37"/>
        <v>#DIV/0!</v>
      </c>
      <c r="R114" s="204" t="e">
        <f t="shared" si="37"/>
        <v>#DIV/0!</v>
      </c>
      <c r="S114" s="204" t="e">
        <f t="shared" si="37"/>
        <v>#DIV/0!</v>
      </c>
      <c r="T114" s="204" t="e">
        <f t="shared" si="37"/>
        <v>#DIV/0!</v>
      </c>
      <c r="U114" s="204" t="e">
        <f t="shared" si="37"/>
        <v>#DIV/0!</v>
      </c>
      <c r="V114" s="204" t="e">
        <f t="shared" si="37"/>
        <v>#DIV/0!</v>
      </c>
      <c r="W114" s="204" t="e">
        <f t="shared" si="37"/>
        <v>#DIV/0!</v>
      </c>
      <c r="X114" s="204"/>
      <c r="Y114" s="204"/>
      <c r="Z114" s="204"/>
      <c r="AA114" s="204"/>
      <c r="AB114" s="204"/>
    </row>
    <row r="115" spans="1:29">
      <c r="A115" t="s">
        <v>10</v>
      </c>
      <c r="B115" s="204">
        <f t="shared" si="37"/>
        <v>1244.2146922097793</v>
      </c>
      <c r="C115" s="204">
        <f t="shared" si="37"/>
        <v>1074.9384390333773</v>
      </c>
      <c r="D115" s="204">
        <f t="shared" si="37"/>
        <v>1458.1717536104081</v>
      </c>
      <c r="E115" s="204">
        <f t="shared" si="37"/>
        <v>1361.9463433698309</v>
      </c>
      <c r="F115" s="204">
        <f t="shared" si="37"/>
        <v>1509.9590071030364</v>
      </c>
      <c r="G115" s="204">
        <f t="shared" si="37"/>
        <v>1445.6867627758218</v>
      </c>
      <c r="H115" s="204">
        <f t="shared" si="37"/>
        <v>1650.2897187011442</v>
      </c>
      <c r="I115" s="204">
        <f t="shared" si="37"/>
        <v>1673.2931528123408</v>
      </c>
      <c r="J115" s="204">
        <f t="shared" si="37"/>
        <v>1661.4797516854419</v>
      </c>
      <c r="K115" s="204">
        <f t="shared" si="37"/>
        <v>1736.280744134571</v>
      </c>
      <c r="L115" s="204">
        <f t="shared" si="37"/>
        <v>1799.8810751402723</v>
      </c>
      <c r="M115" s="204">
        <f t="shared" si="37"/>
        <v>1940.4888638252728</v>
      </c>
      <c r="N115" s="204">
        <f t="shared" si="37"/>
        <v>1732.0656783870204</v>
      </c>
      <c r="O115" s="204" t="e">
        <f t="shared" si="37"/>
        <v>#DIV/0!</v>
      </c>
      <c r="P115" s="204" t="e">
        <f t="shared" si="37"/>
        <v>#DIV/0!</v>
      </c>
      <c r="Q115" s="204" t="e">
        <f t="shared" si="37"/>
        <v>#DIV/0!</v>
      </c>
      <c r="R115" s="204" t="e">
        <f t="shared" si="37"/>
        <v>#DIV/0!</v>
      </c>
      <c r="S115" s="204" t="e">
        <f t="shared" si="37"/>
        <v>#DIV/0!</v>
      </c>
      <c r="T115" s="204" t="e">
        <f t="shared" si="37"/>
        <v>#DIV/0!</v>
      </c>
      <c r="U115" s="204" t="e">
        <f t="shared" si="37"/>
        <v>#DIV/0!</v>
      </c>
      <c r="V115" s="204" t="e">
        <f t="shared" si="37"/>
        <v>#DIV/0!</v>
      </c>
      <c r="W115" s="204" t="e">
        <f t="shared" si="37"/>
        <v>#DIV/0!</v>
      </c>
      <c r="X115" s="204"/>
      <c r="Y115" s="204"/>
      <c r="Z115" s="204"/>
      <c r="AA115" s="204"/>
      <c r="AB115" s="204"/>
    </row>
    <row r="116" spans="1:29">
      <c r="A116" t="s">
        <v>11</v>
      </c>
      <c r="B116" s="204">
        <f t="shared" si="37"/>
        <v>1180.3131157800563</v>
      </c>
      <c r="C116" s="204">
        <f t="shared" si="37"/>
        <v>1002.8624085319512</v>
      </c>
      <c r="D116" s="204">
        <f t="shared" si="37"/>
        <v>1320.1555728596877</v>
      </c>
      <c r="E116" s="204">
        <f t="shared" si="37"/>
        <v>1239.6259469977483</v>
      </c>
      <c r="F116" s="204">
        <f t="shared" si="37"/>
        <v>1349.7298277890211</v>
      </c>
      <c r="G116" s="204">
        <f t="shared" si="37"/>
        <v>1339.9337594299238</v>
      </c>
      <c r="H116" s="204">
        <f t="shared" si="37"/>
        <v>1463.6654773150965</v>
      </c>
      <c r="I116" s="204">
        <f t="shared" si="37"/>
        <v>1470.0922750908385</v>
      </c>
      <c r="J116" s="204">
        <f t="shared" si="37"/>
        <v>1464.1688052344191</v>
      </c>
      <c r="K116" s="204">
        <f t="shared" si="37"/>
        <v>1535.0084706543869</v>
      </c>
      <c r="L116" s="204">
        <f t="shared" si="37"/>
        <v>1552.3652603982728</v>
      </c>
      <c r="M116" s="204">
        <f t="shared" si="37"/>
        <v>1655.0778917223408</v>
      </c>
      <c r="N116" s="204">
        <f t="shared" si="37"/>
        <v>1512.8972013542761</v>
      </c>
      <c r="O116" s="204" t="e">
        <f t="shared" si="37"/>
        <v>#DIV/0!</v>
      </c>
      <c r="P116" s="204" t="e">
        <f t="shared" si="37"/>
        <v>#DIV/0!</v>
      </c>
      <c r="Q116" s="204" t="e">
        <f t="shared" si="37"/>
        <v>#DIV/0!</v>
      </c>
      <c r="R116" s="204" t="e">
        <f t="shared" si="37"/>
        <v>#DIV/0!</v>
      </c>
      <c r="S116" s="204" t="e">
        <f t="shared" si="37"/>
        <v>#DIV/0!</v>
      </c>
      <c r="T116" s="204" t="e">
        <f t="shared" si="37"/>
        <v>#DIV/0!</v>
      </c>
      <c r="U116" s="204" t="e">
        <f t="shared" si="37"/>
        <v>#DIV/0!</v>
      </c>
      <c r="V116" s="204" t="e">
        <f t="shared" si="37"/>
        <v>#DIV/0!</v>
      </c>
      <c r="W116" s="204" t="e">
        <f t="shared" si="37"/>
        <v>#DIV/0!</v>
      </c>
      <c r="X116" s="204"/>
      <c r="Y116" s="204"/>
      <c r="Z116" s="204"/>
      <c r="AA116" s="204"/>
      <c r="AB116" s="204"/>
    </row>
    <row r="117" spans="1:29">
      <c r="A117" t="s">
        <v>12</v>
      </c>
      <c r="B117" s="204">
        <f t="shared" si="37"/>
        <v>984.00992204469389</v>
      </c>
      <c r="C117" s="204">
        <f t="shared" si="37"/>
        <v>839.81134778748185</v>
      </c>
      <c r="D117" s="204">
        <f t="shared" si="37"/>
        <v>1116.1561416240056</v>
      </c>
      <c r="E117" s="204">
        <f t="shared" si="37"/>
        <v>1042.750624484004</v>
      </c>
      <c r="F117" s="204">
        <f t="shared" si="37"/>
        <v>1154.5440146038188</v>
      </c>
      <c r="G117" s="204">
        <f t="shared" si="37"/>
        <v>1161.6826372644762</v>
      </c>
      <c r="H117" s="204">
        <f t="shared" si="37"/>
        <v>1173.3981220689593</v>
      </c>
      <c r="I117" s="204">
        <f t="shared" si="37"/>
        <v>1175.6392493135718</v>
      </c>
      <c r="J117" s="204">
        <f t="shared" si="37"/>
        <v>1166.4456961629758</v>
      </c>
      <c r="K117" s="204">
        <f t="shared" si="37"/>
        <v>1201.0327206403088</v>
      </c>
      <c r="L117" s="204">
        <f t="shared" si="37"/>
        <v>1221.1806697658812</v>
      </c>
      <c r="M117" s="204">
        <f t="shared" si="37"/>
        <v>1341.390659377988</v>
      </c>
      <c r="N117" s="204">
        <f t="shared" si="37"/>
        <v>1184.5011055534555</v>
      </c>
      <c r="O117" s="204" t="e">
        <f t="shared" si="37"/>
        <v>#DIV/0!</v>
      </c>
      <c r="P117" s="204" t="e">
        <f t="shared" si="37"/>
        <v>#DIV/0!</v>
      </c>
      <c r="Q117" s="204" t="e">
        <f t="shared" si="37"/>
        <v>#DIV/0!</v>
      </c>
      <c r="R117" s="204" t="e">
        <f t="shared" si="37"/>
        <v>#DIV/0!</v>
      </c>
      <c r="S117" s="204" t="e">
        <f t="shared" si="37"/>
        <v>#DIV/0!</v>
      </c>
      <c r="T117" s="204" t="e">
        <f t="shared" si="37"/>
        <v>#DIV/0!</v>
      </c>
      <c r="U117" s="204" t="e">
        <f t="shared" si="37"/>
        <v>#DIV/0!</v>
      </c>
      <c r="V117" s="204" t="e">
        <f t="shared" si="37"/>
        <v>#DIV/0!</v>
      </c>
      <c r="W117" s="204" t="e">
        <f t="shared" si="37"/>
        <v>#DIV/0!</v>
      </c>
      <c r="X117" s="204"/>
      <c r="Y117" s="204"/>
      <c r="Z117" s="204"/>
      <c r="AA117" s="204"/>
      <c r="AB117" s="204"/>
    </row>
    <row r="118" spans="1:29">
      <c r="A118" t="s">
        <v>13</v>
      </c>
      <c r="B118" s="204">
        <f t="shared" si="37"/>
        <v>694.90904658433362</v>
      </c>
      <c r="C118" s="204">
        <f t="shared" si="37"/>
        <v>612.81126001575626</v>
      </c>
      <c r="D118" s="204">
        <f t="shared" si="37"/>
        <v>805.61003433665178</v>
      </c>
      <c r="E118" s="204">
        <f t="shared" si="37"/>
        <v>757.08443675382046</v>
      </c>
      <c r="F118" s="204">
        <f t="shared" si="37"/>
        <v>848.20686637157087</v>
      </c>
      <c r="G118" s="204">
        <f t="shared" si="37"/>
        <v>912.76265984885129</v>
      </c>
      <c r="H118" s="204">
        <f t="shared" si="37"/>
        <v>836.71639410984699</v>
      </c>
      <c r="I118" s="204">
        <f t="shared" si="37"/>
        <v>866.22998093545402</v>
      </c>
      <c r="J118" s="204">
        <f t="shared" si="37"/>
        <v>833.39457484263426</v>
      </c>
      <c r="K118" s="204">
        <f t="shared" si="37"/>
        <v>872.72764978879877</v>
      </c>
      <c r="L118" s="204">
        <f t="shared" si="37"/>
        <v>862.15392607241722</v>
      </c>
      <c r="M118" s="204">
        <f t="shared" si="37"/>
        <v>949.13346708908227</v>
      </c>
      <c r="N118" s="204">
        <f t="shared" si="37"/>
        <v>829.10765465013094</v>
      </c>
      <c r="O118" s="204" t="e">
        <f t="shared" si="37"/>
        <v>#DIV/0!</v>
      </c>
      <c r="P118" s="204" t="e">
        <f t="shared" si="37"/>
        <v>#DIV/0!</v>
      </c>
      <c r="Q118" s="204" t="e">
        <f t="shared" si="37"/>
        <v>#DIV/0!</v>
      </c>
      <c r="R118" s="204" t="e">
        <f t="shared" si="37"/>
        <v>#DIV/0!</v>
      </c>
      <c r="S118" s="204" t="e">
        <f t="shared" si="37"/>
        <v>#DIV/0!</v>
      </c>
      <c r="T118" s="204" t="e">
        <f t="shared" si="37"/>
        <v>#DIV/0!</v>
      </c>
      <c r="U118" s="204" t="e">
        <f t="shared" si="37"/>
        <v>#DIV/0!</v>
      </c>
      <c r="V118" s="204" t="e">
        <f t="shared" si="37"/>
        <v>#DIV/0!</v>
      </c>
      <c r="W118" s="204" t="e">
        <f t="shared" si="37"/>
        <v>#DIV/0!</v>
      </c>
      <c r="X118" s="204"/>
      <c r="Y118" s="204"/>
      <c r="Z118" s="204"/>
      <c r="AA118" s="204"/>
      <c r="AB118" s="204"/>
    </row>
    <row r="119" spans="1:29">
      <c r="A119" t="s">
        <v>14</v>
      </c>
      <c r="B119" s="204">
        <f t="shared" si="37"/>
        <v>423.71667886422381</v>
      </c>
      <c r="C119" s="204">
        <f t="shared" si="37"/>
        <v>388.86373832061429</v>
      </c>
      <c r="D119" s="204">
        <f t="shared" si="37"/>
        <v>529.72614610354344</v>
      </c>
      <c r="E119" s="204">
        <f t="shared" si="37"/>
        <v>490.86528376329579</v>
      </c>
      <c r="F119" s="204">
        <f t="shared" si="37"/>
        <v>537.02589390962476</v>
      </c>
      <c r="G119" s="204">
        <f t="shared" si="37"/>
        <v>576.34268172042471</v>
      </c>
      <c r="H119" s="204">
        <f t="shared" si="37"/>
        <v>538.14115072299546</v>
      </c>
      <c r="I119" s="204">
        <f t="shared" si="37"/>
        <v>593.12771244519058</v>
      </c>
      <c r="J119" s="204">
        <f t="shared" si="37"/>
        <v>593.81757074759196</v>
      </c>
      <c r="K119" s="204">
        <f t="shared" si="37"/>
        <v>592.31367924451058</v>
      </c>
      <c r="L119" s="204">
        <f t="shared" si="37"/>
        <v>593.73891405756126</v>
      </c>
      <c r="M119" s="204">
        <f t="shared" si="37"/>
        <v>697.96256988082496</v>
      </c>
      <c r="N119" s="204">
        <f t="shared" si="37"/>
        <v>595.92564154835634</v>
      </c>
      <c r="O119" s="204" t="e">
        <f t="shared" si="37"/>
        <v>#DIV/0!</v>
      </c>
      <c r="P119" s="204" t="e">
        <f t="shared" si="37"/>
        <v>#DIV/0!</v>
      </c>
      <c r="Q119" s="204" t="e">
        <f t="shared" si="37"/>
        <v>#DIV/0!</v>
      </c>
      <c r="R119" s="204" t="e">
        <f t="shared" si="37"/>
        <v>#DIV/0!</v>
      </c>
      <c r="S119" s="204" t="e">
        <f t="shared" si="37"/>
        <v>#DIV/0!</v>
      </c>
      <c r="T119" s="204" t="e">
        <f t="shared" si="37"/>
        <v>#DIV/0!</v>
      </c>
      <c r="U119" s="204" t="e">
        <f t="shared" si="37"/>
        <v>#DIV/0!</v>
      </c>
      <c r="V119" s="204" t="e">
        <f t="shared" si="37"/>
        <v>#DIV/0!</v>
      </c>
      <c r="W119" s="204" t="e">
        <f t="shared" si="37"/>
        <v>#DIV/0!</v>
      </c>
      <c r="X119" s="204"/>
      <c r="Y119" s="204"/>
      <c r="Z119" s="204"/>
      <c r="AA119" s="204"/>
      <c r="AB119" s="204"/>
    </row>
    <row r="120" spans="1:29">
      <c r="A120" s="149" t="s">
        <v>15</v>
      </c>
      <c r="B120" s="204">
        <f t="shared" si="37"/>
        <v>1166.4006595363653</v>
      </c>
      <c r="C120" s="204">
        <f t="shared" si="37"/>
        <v>1010.8526015572605</v>
      </c>
      <c r="D120" s="204">
        <f t="shared" si="37"/>
        <v>1336.1200917739061</v>
      </c>
      <c r="E120" s="204">
        <f t="shared" si="37"/>
        <v>1270.8690440686948</v>
      </c>
      <c r="F120" s="204">
        <f t="shared" si="37"/>
        <v>1412.635420932555</v>
      </c>
      <c r="G120" s="204">
        <f t="shared" si="37"/>
        <v>1371.3755430551419</v>
      </c>
      <c r="H120" s="204">
        <f t="shared" si="37"/>
        <v>1541.4396222250905</v>
      </c>
      <c r="I120" s="204">
        <f t="shared" si="37"/>
        <v>1537.151371565358</v>
      </c>
      <c r="J120" s="204">
        <f t="shared" si="37"/>
        <v>1502.2730640988837</v>
      </c>
      <c r="K120" s="204">
        <f t="shared" si="37"/>
        <v>1603.8109228320916</v>
      </c>
      <c r="L120" s="204">
        <f t="shared" si="37"/>
        <v>1646.6751378134127</v>
      </c>
      <c r="M120" s="204">
        <f t="shared" si="37"/>
        <v>1753.7938735142377</v>
      </c>
      <c r="N120" s="204">
        <f t="shared" si="37"/>
        <v>1546.9095734747061</v>
      </c>
      <c r="O120" s="204" t="e">
        <f t="shared" si="37"/>
        <v>#DIV/0!</v>
      </c>
      <c r="P120" s="204" t="e">
        <f t="shared" si="37"/>
        <v>#DIV/0!</v>
      </c>
      <c r="Q120" s="204" t="e">
        <f t="shared" si="37"/>
        <v>#DIV/0!</v>
      </c>
      <c r="R120" s="204" t="e">
        <f t="shared" si="37"/>
        <v>#DIV/0!</v>
      </c>
      <c r="S120" s="204" t="e">
        <f t="shared" si="37"/>
        <v>#DIV/0!</v>
      </c>
      <c r="T120" s="204" t="e">
        <f t="shared" si="37"/>
        <v>#DIV/0!</v>
      </c>
      <c r="U120" s="204" t="e">
        <f t="shared" si="37"/>
        <v>#DIV/0!</v>
      </c>
      <c r="V120" s="204" t="e">
        <f t="shared" si="37"/>
        <v>#DIV/0!</v>
      </c>
      <c r="W120" s="204" t="e">
        <f t="shared" si="37"/>
        <v>#DIV/0!</v>
      </c>
      <c r="X120" s="204"/>
      <c r="Y120" s="204"/>
      <c r="Z120" s="204"/>
      <c r="AA120" s="204"/>
      <c r="AB120" s="204"/>
    </row>
    <row r="123" spans="1:29">
      <c r="A123" s="402" t="s">
        <v>38</v>
      </c>
      <c r="B123" s="403">
        <v>202101</v>
      </c>
      <c r="C123" s="403">
        <v>202102</v>
      </c>
      <c r="D123" s="403">
        <v>202103</v>
      </c>
      <c r="E123" s="403">
        <v>202104</v>
      </c>
      <c r="F123" s="403">
        <v>202105</v>
      </c>
      <c r="G123" s="403">
        <v>202106</v>
      </c>
      <c r="H123" s="403">
        <v>202107</v>
      </c>
      <c r="I123" s="403">
        <v>202108</v>
      </c>
      <c r="J123" s="403">
        <v>202109</v>
      </c>
      <c r="K123" s="403">
        <v>202110</v>
      </c>
      <c r="L123" s="403">
        <v>202111</v>
      </c>
      <c r="M123" s="403">
        <v>202112</v>
      </c>
      <c r="N123" s="403">
        <v>202201</v>
      </c>
      <c r="O123" s="403">
        <v>202202</v>
      </c>
      <c r="P123" s="403">
        <v>202203</v>
      </c>
      <c r="Q123" s="403">
        <v>202004</v>
      </c>
      <c r="R123" s="403">
        <v>202005</v>
      </c>
      <c r="S123" s="403">
        <v>202206</v>
      </c>
      <c r="T123" s="403">
        <v>202207</v>
      </c>
      <c r="U123" s="403">
        <v>202208</v>
      </c>
      <c r="V123" s="403">
        <v>202209</v>
      </c>
      <c r="W123" s="403">
        <v>202210</v>
      </c>
      <c r="X123" s="403"/>
      <c r="Y123" s="403"/>
      <c r="Z123" s="403"/>
      <c r="AA123" s="403"/>
      <c r="AB123" s="403"/>
      <c r="AC123" s="403" t="s">
        <v>43</v>
      </c>
    </row>
    <row r="124" spans="1:29">
      <c r="A124" t="s">
        <v>47</v>
      </c>
      <c r="B124" s="430">
        <f>+(B73+B74)/1000</f>
        <v>447.34500000000003</v>
      </c>
      <c r="C124" s="430">
        <f t="shared" ref="C124:V124" si="38">+(C73+C74)/1000</f>
        <v>466.61</v>
      </c>
      <c r="D124" s="430">
        <f t="shared" si="38"/>
        <v>459.928</v>
      </c>
      <c r="E124" s="430">
        <f t="shared" si="38"/>
        <v>436.65100000000001</v>
      </c>
      <c r="F124" s="430">
        <f t="shared" si="38"/>
        <v>442.92899999999997</v>
      </c>
      <c r="G124" s="430">
        <f t="shared" si="38"/>
        <v>440.45400000000001</v>
      </c>
      <c r="H124" s="430">
        <f t="shared" si="38"/>
        <v>485.185</v>
      </c>
      <c r="I124" s="430">
        <f t="shared" si="38"/>
        <v>492.82499999999999</v>
      </c>
      <c r="J124" s="430">
        <f t="shared" si="38"/>
        <v>488.69</v>
      </c>
      <c r="K124" s="430">
        <f t="shared" si="38"/>
        <v>522.32299999999998</v>
      </c>
      <c r="L124" s="430">
        <f t="shared" si="38"/>
        <v>525.95299999999997</v>
      </c>
      <c r="M124" s="430">
        <f t="shared" si="38"/>
        <v>532.46699999999998</v>
      </c>
      <c r="N124" s="430">
        <f t="shared" si="38"/>
        <v>536.35500000000002</v>
      </c>
      <c r="O124" s="430">
        <f t="shared" si="38"/>
        <v>536.35500000000002</v>
      </c>
      <c r="P124" s="430">
        <f t="shared" si="38"/>
        <v>536.35500000000002</v>
      </c>
      <c r="Q124" s="430">
        <f t="shared" si="38"/>
        <v>536.35500000000002</v>
      </c>
      <c r="R124" s="430">
        <f t="shared" si="38"/>
        <v>536.35500000000002</v>
      </c>
      <c r="S124" s="430">
        <f t="shared" si="38"/>
        <v>536.35500000000002</v>
      </c>
      <c r="T124" s="430">
        <f t="shared" si="38"/>
        <v>536.35500000000002</v>
      </c>
      <c r="U124" s="430">
        <f t="shared" si="38"/>
        <v>536.35500000000002</v>
      </c>
      <c r="V124" s="430">
        <f t="shared" si="38"/>
        <v>536.35500000000002</v>
      </c>
    </row>
    <row r="125" spans="1:29">
      <c r="A125" t="s">
        <v>48</v>
      </c>
      <c r="B125" s="430">
        <f>+(B75+B76)/1000</f>
        <v>247.27500000000001</v>
      </c>
      <c r="C125" s="430">
        <f t="shared" ref="C125:V125" si="39">+(C75+C76)/1000</f>
        <v>244.63499999999999</v>
      </c>
      <c r="D125" s="430">
        <f t="shared" si="39"/>
        <v>249.74100000000001</v>
      </c>
      <c r="E125" s="430">
        <f t="shared" si="39"/>
        <v>254.60900000000001</v>
      </c>
      <c r="F125" s="430">
        <f t="shared" si="39"/>
        <v>251.815</v>
      </c>
      <c r="G125" s="430">
        <f t="shared" si="39"/>
        <v>256.173</v>
      </c>
      <c r="H125" s="430">
        <f t="shared" si="39"/>
        <v>240.67500000000001</v>
      </c>
      <c r="I125" s="430">
        <f t="shared" si="39"/>
        <v>245.68700000000001</v>
      </c>
      <c r="J125" s="430">
        <f t="shared" si="39"/>
        <v>258.06099999999998</v>
      </c>
      <c r="K125" s="430">
        <f t="shared" si="39"/>
        <v>255.55099999999999</v>
      </c>
      <c r="L125" s="430">
        <f t="shared" si="39"/>
        <v>261.57499999999999</v>
      </c>
      <c r="M125" s="430">
        <f t="shared" si="39"/>
        <v>266.90499999999997</v>
      </c>
      <c r="N125" s="430">
        <f t="shared" si="39"/>
        <v>277.78500000000003</v>
      </c>
      <c r="O125" s="430">
        <f t="shared" si="39"/>
        <v>277.78500000000003</v>
      </c>
      <c r="P125" s="430">
        <f t="shared" si="39"/>
        <v>277.78500000000003</v>
      </c>
      <c r="Q125" s="430">
        <f t="shared" si="39"/>
        <v>277.78500000000003</v>
      </c>
      <c r="R125" s="430">
        <f t="shared" si="39"/>
        <v>277.78500000000003</v>
      </c>
      <c r="S125" s="430">
        <f t="shared" si="39"/>
        <v>277.78500000000003</v>
      </c>
      <c r="T125" s="430">
        <f t="shared" si="39"/>
        <v>277.78500000000003</v>
      </c>
      <c r="U125" s="430">
        <f t="shared" si="39"/>
        <v>277.78500000000003</v>
      </c>
      <c r="V125" s="430">
        <f t="shared" si="39"/>
        <v>277.78500000000003</v>
      </c>
    </row>
    <row r="126" spans="1:29">
      <c r="A126" t="s">
        <v>49</v>
      </c>
      <c r="B126" s="430">
        <f>+(B77+B78)/1000</f>
        <v>158.19399999999999</v>
      </c>
      <c r="C126" s="430">
        <f t="shared" ref="C126:V126" si="40">+(C77+C78)/1000</f>
        <v>139.81</v>
      </c>
      <c r="D126" s="430">
        <f t="shared" si="40"/>
        <v>138.428</v>
      </c>
      <c r="E126" s="430">
        <f t="shared" si="40"/>
        <v>127.33</v>
      </c>
      <c r="F126" s="430">
        <f t="shared" si="40"/>
        <v>127.03400000000001</v>
      </c>
      <c r="G126" s="430">
        <f t="shared" si="40"/>
        <v>126.30200000000001</v>
      </c>
      <c r="H126" s="430">
        <f t="shared" si="40"/>
        <v>100.44</v>
      </c>
      <c r="I126" s="430">
        <f t="shared" si="40"/>
        <v>97.65</v>
      </c>
      <c r="J126" s="430">
        <f t="shared" si="40"/>
        <v>103.30500000000001</v>
      </c>
      <c r="K126" s="430">
        <f t="shared" si="40"/>
        <v>92.912999999999997</v>
      </c>
      <c r="L126" s="430">
        <f t="shared" si="40"/>
        <v>96.328000000000003</v>
      </c>
      <c r="M126" s="430">
        <f t="shared" si="40"/>
        <v>97.88</v>
      </c>
      <c r="N126" s="430">
        <f t="shared" si="40"/>
        <v>106.45099999999999</v>
      </c>
      <c r="O126" s="430">
        <f t="shared" si="40"/>
        <v>106.45099999999999</v>
      </c>
      <c r="P126" s="430">
        <f t="shared" si="40"/>
        <v>106.45099999999999</v>
      </c>
      <c r="Q126" s="430">
        <f t="shared" si="40"/>
        <v>106.45099999999999</v>
      </c>
      <c r="R126" s="430">
        <f t="shared" si="40"/>
        <v>106.45099999999999</v>
      </c>
      <c r="S126" s="430">
        <f t="shared" si="40"/>
        <v>106.45099999999999</v>
      </c>
      <c r="T126" s="430">
        <f t="shared" si="40"/>
        <v>106.45099999999999</v>
      </c>
      <c r="U126" s="430">
        <f t="shared" si="40"/>
        <v>106.45099999999999</v>
      </c>
      <c r="V126" s="430">
        <f t="shared" si="40"/>
        <v>106.45099999999999</v>
      </c>
    </row>
    <row r="142" spans="1:29">
      <c r="A142" s="402" t="s">
        <v>50</v>
      </c>
      <c r="B142" s="403">
        <v>202101</v>
      </c>
      <c r="C142" s="403">
        <v>202102</v>
      </c>
      <c r="D142" s="403">
        <v>202103</v>
      </c>
      <c r="E142" s="403">
        <v>202104</v>
      </c>
      <c r="F142" s="403">
        <v>202105</v>
      </c>
      <c r="G142" s="403">
        <v>202106</v>
      </c>
      <c r="H142" s="403">
        <v>202107</v>
      </c>
      <c r="I142" s="403">
        <v>202108</v>
      </c>
      <c r="J142" s="403">
        <v>202109</v>
      </c>
      <c r="K142" s="403">
        <v>202110</v>
      </c>
      <c r="L142" s="403">
        <v>202111</v>
      </c>
      <c r="M142" s="403">
        <v>202112</v>
      </c>
      <c r="N142" s="403">
        <v>202201</v>
      </c>
      <c r="O142" s="403">
        <v>202202</v>
      </c>
      <c r="P142" s="403">
        <v>202203</v>
      </c>
      <c r="Q142" s="403">
        <v>202004</v>
      </c>
      <c r="R142" s="403">
        <v>202005</v>
      </c>
      <c r="S142" s="403">
        <v>202206</v>
      </c>
      <c r="T142" s="403">
        <v>202207</v>
      </c>
      <c r="U142" s="403">
        <v>202208</v>
      </c>
      <c r="V142" s="403">
        <v>202209</v>
      </c>
      <c r="W142" s="403">
        <v>202210</v>
      </c>
      <c r="X142" s="403"/>
      <c r="Y142" s="403"/>
      <c r="Z142" s="403"/>
      <c r="AA142" s="403"/>
      <c r="AB142" s="403"/>
      <c r="AC142" s="403" t="s">
        <v>43</v>
      </c>
    </row>
    <row r="143" spans="1:29">
      <c r="A143" t="s">
        <v>47</v>
      </c>
      <c r="B143" s="427">
        <f>+(B84+B85)/1000000</f>
        <v>395.52793114419995</v>
      </c>
      <c r="C143" s="427">
        <f t="shared" ref="C143:V143" si="41">+(C84+C85)/1000000</f>
        <v>346.61581336417004</v>
      </c>
      <c r="D143" s="427">
        <f t="shared" si="41"/>
        <v>473.66718936401998</v>
      </c>
      <c r="E143" s="427">
        <f t="shared" si="41"/>
        <v>449.88555846057</v>
      </c>
      <c r="F143" s="427">
        <f t="shared" si="41"/>
        <v>518.50189833937998</v>
      </c>
      <c r="G143" s="427">
        <f t="shared" si="41"/>
        <v>492.18462190041993</v>
      </c>
      <c r="H143" s="427">
        <f t="shared" si="41"/>
        <v>631.19417782797007</v>
      </c>
      <c r="I143" s="427">
        <f t="shared" si="41"/>
        <v>634.65390321288999</v>
      </c>
      <c r="J143" s="427">
        <f t="shared" si="41"/>
        <v>623.05370913615002</v>
      </c>
      <c r="K143" s="427">
        <f t="shared" si="41"/>
        <v>717.35348999885002</v>
      </c>
      <c r="L143" s="427">
        <f t="shared" si="41"/>
        <v>753.72758187209001</v>
      </c>
      <c r="M143" s="427">
        <f t="shared" si="41"/>
        <v>823.73431617289998</v>
      </c>
      <c r="N143" s="427">
        <f t="shared" si="41"/>
        <v>721.08411207170002</v>
      </c>
      <c r="O143" s="427">
        <f t="shared" si="41"/>
        <v>0</v>
      </c>
      <c r="P143" s="427">
        <f t="shared" si="41"/>
        <v>0</v>
      </c>
      <c r="Q143" s="427">
        <f t="shared" si="41"/>
        <v>0</v>
      </c>
      <c r="R143" s="427">
        <f t="shared" si="41"/>
        <v>0</v>
      </c>
      <c r="S143" s="427">
        <f t="shared" si="41"/>
        <v>0</v>
      </c>
      <c r="T143" s="427">
        <f t="shared" si="41"/>
        <v>0</v>
      </c>
      <c r="U143" s="427">
        <f t="shared" si="41"/>
        <v>0</v>
      </c>
      <c r="V143" s="427">
        <f t="shared" si="41"/>
        <v>0</v>
      </c>
    </row>
    <row r="144" spans="1:29">
      <c r="A144" t="s">
        <v>48</v>
      </c>
      <c r="B144" s="427">
        <f>+(B86+B87)/1000000</f>
        <v>176.83675842688001</v>
      </c>
      <c r="C144" s="427">
        <f t="shared" ref="C144:V144" si="42">+(C86+C87)/1000000</f>
        <v>145.17453685780998</v>
      </c>
      <c r="D144" s="427">
        <f t="shared" si="42"/>
        <v>206.61632617681997</v>
      </c>
      <c r="E144" s="427">
        <f t="shared" si="42"/>
        <v>198.20710575334002</v>
      </c>
      <c r="F144" s="427">
        <f t="shared" si="42"/>
        <v>220.7460796684</v>
      </c>
      <c r="G144" s="427">
        <f t="shared" si="42"/>
        <v>229.93681637343002</v>
      </c>
      <c r="H144" s="427">
        <f t="shared" si="42"/>
        <v>225.65497940386999</v>
      </c>
      <c r="I144" s="427">
        <f t="shared" si="42"/>
        <v>231.22293739542999</v>
      </c>
      <c r="J144" s="427">
        <f t="shared" si="42"/>
        <v>243.67849331012999</v>
      </c>
      <c r="K144" s="427">
        <f t="shared" si="42"/>
        <v>253.55763422369998</v>
      </c>
      <c r="L144" s="427">
        <f t="shared" si="42"/>
        <v>263.70908738463999</v>
      </c>
      <c r="M144" s="427">
        <f t="shared" si="42"/>
        <v>298.39851621854001</v>
      </c>
      <c r="N144" s="427">
        <f t="shared" si="42"/>
        <v>273.42227230545001</v>
      </c>
      <c r="O144" s="427">
        <f t="shared" si="42"/>
        <v>0</v>
      </c>
      <c r="P144" s="427">
        <f t="shared" si="42"/>
        <v>0</v>
      </c>
      <c r="Q144" s="427">
        <f t="shared" si="42"/>
        <v>0</v>
      </c>
      <c r="R144" s="427">
        <f t="shared" si="42"/>
        <v>0</v>
      </c>
      <c r="S144" s="427">
        <f t="shared" si="42"/>
        <v>0</v>
      </c>
      <c r="T144" s="427">
        <f t="shared" si="42"/>
        <v>0</v>
      </c>
      <c r="U144" s="427">
        <f t="shared" si="42"/>
        <v>0</v>
      </c>
      <c r="V144" s="427">
        <f t="shared" si="42"/>
        <v>0</v>
      </c>
    </row>
    <row r="145" spans="1:22">
      <c r="A145" t="s">
        <v>49</v>
      </c>
      <c r="B145" s="427">
        <f>+(B88+B89)/1000000</f>
        <v>51.378897639560002</v>
      </c>
      <c r="C145" s="427">
        <f t="shared" ref="C145:V145" si="43">+(C88+C89)/1000000</f>
        <v>39.809141841679995</v>
      </c>
      <c r="D145" s="427">
        <f t="shared" si="43"/>
        <v>58.705163008340001</v>
      </c>
      <c r="E145" s="427">
        <f t="shared" si="43"/>
        <v>51.967709399949996</v>
      </c>
      <c r="F145" s="427">
        <f t="shared" si="43"/>
        <v>61.307878221739998</v>
      </c>
      <c r="G145" s="427">
        <f t="shared" si="43"/>
        <v>69.184983586609988</v>
      </c>
      <c r="H145" s="427">
        <f t="shared" si="43"/>
        <v>51.835924033250002</v>
      </c>
      <c r="I145" s="427">
        <f t="shared" si="43"/>
        <v>52.14207249503</v>
      </c>
      <c r="J145" s="427">
        <f t="shared" si="43"/>
        <v>55.410165753179996</v>
      </c>
      <c r="K145" s="427">
        <f t="shared" si="43"/>
        <v>50.560807232739997</v>
      </c>
      <c r="L145" s="427">
        <f t="shared" si="43"/>
        <v>51.168407795219998</v>
      </c>
      <c r="M145" s="427">
        <f t="shared" si="43"/>
        <v>58.621059441210001</v>
      </c>
      <c r="N145" s="427">
        <f t="shared" si="43"/>
        <v>53.414161053690002</v>
      </c>
      <c r="O145" s="427">
        <f t="shared" si="43"/>
        <v>0</v>
      </c>
      <c r="P145" s="427">
        <f t="shared" si="43"/>
        <v>0</v>
      </c>
      <c r="Q145" s="427">
        <f t="shared" si="43"/>
        <v>0</v>
      </c>
      <c r="R145" s="427">
        <f t="shared" si="43"/>
        <v>0</v>
      </c>
      <c r="S145" s="427">
        <f t="shared" si="43"/>
        <v>0</v>
      </c>
      <c r="T145" s="427">
        <f t="shared" si="43"/>
        <v>0</v>
      </c>
      <c r="U145" s="427">
        <f t="shared" si="43"/>
        <v>0</v>
      </c>
      <c r="V145" s="427">
        <f t="shared" si="43"/>
        <v>0</v>
      </c>
    </row>
    <row r="161" spans="1:29">
      <c r="A161" s="402" t="s">
        <v>51</v>
      </c>
      <c r="B161" s="403">
        <v>202101</v>
      </c>
      <c r="C161" s="403">
        <v>202102</v>
      </c>
      <c r="D161" s="403">
        <v>202103</v>
      </c>
      <c r="E161" s="403">
        <v>202104</v>
      </c>
      <c r="F161" s="403">
        <v>202105</v>
      </c>
      <c r="G161" s="403">
        <v>202106</v>
      </c>
      <c r="H161" s="403">
        <v>202107</v>
      </c>
      <c r="I161" s="403">
        <v>202108</v>
      </c>
      <c r="J161" s="403">
        <v>202109</v>
      </c>
      <c r="K161" s="403">
        <v>202110</v>
      </c>
      <c r="L161" s="403">
        <v>202111</v>
      </c>
      <c r="M161" s="403">
        <v>202112</v>
      </c>
      <c r="N161" s="403">
        <v>202201</v>
      </c>
      <c r="O161" s="403">
        <v>202202</v>
      </c>
      <c r="P161" s="403">
        <v>202203</v>
      </c>
      <c r="Q161" s="403">
        <v>202004</v>
      </c>
      <c r="R161" s="403">
        <v>202005</v>
      </c>
      <c r="S161" s="403">
        <v>202206</v>
      </c>
      <c r="T161" s="403">
        <v>202207</v>
      </c>
      <c r="U161" s="403">
        <v>202208</v>
      </c>
      <c r="V161" s="403">
        <v>202209</v>
      </c>
      <c r="W161" s="403">
        <v>202210</v>
      </c>
      <c r="X161" s="403"/>
      <c r="Y161" s="403"/>
      <c r="Z161" s="403"/>
      <c r="AA161" s="403"/>
      <c r="AB161" s="403"/>
      <c r="AC161" s="403" t="s">
        <v>43</v>
      </c>
    </row>
    <row r="162" spans="1:29">
      <c r="A162" t="s">
        <v>47</v>
      </c>
      <c r="B162" s="427">
        <f>+(B94+B95)/1000</f>
        <v>278.70699999999999</v>
      </c>
      <c r="C162" s="427">
        <f t="shared" ref="C162:V162" si="44">+(C94+C95)/1000</f>
        <v>287.75900000000001</v>
      </c>
      <c r="D162" s="427">
        <f t="shared" si="44"/>
        <v>292.46699999999998</v>
      </c>
      <c r="E162" s="427">
        <f t="shared" si="44"/>
        <v>291.80900000000003</v>
      </c>
      <c r="F162" s="427">
        <f t="shared" si="44"/>
        <v>299.2</v>
      </c>
      <c r="G162" s="427">
        <f t="shared" si="44"/>
        <v>299.779</v>
      </c>
      <c r="H162" s="427">
        <f t="shared" si="44"/>
        <v>339.21499999999997</v>
      </c>
      <c r="I162" s="427">
        <f t="shared" si="44"/>
        <v>344.05399999999997</v>
      </c>
      <c r="J162" s="427">
        <f t="shared" si="44"/>
        <v>340.60399999999998</v>
      </c>
      <c r="K162" s="427">
        <f t="shared" si="44"/>
        <v>372.08</v>
      </c>
      <c r="L162" s="427">
        <f t="shared" si="44"/>
        <v>378.30500000000001</v>
      </c>
      <c r="M162" s="427">
        <f t="shared" si="44"/>
        <v>388.80599999999998</v>
      </c>
      <c r="N162" s="427">
        <f t="shared" si="44"/>
        <v>388.61099999999999</v>
      </c>
      <c r="O162" s="427">
        <f t="shared" si="44"/>
        <v>0</v>
      </c>
      <c r="P162" s="427">
        <f t="shared" si="44"/>
        <v>0</v>
      </c>
      <c r="Q162" s="427">
        <f t="shared" si="44"/>
        <v>0</v>
      </c>
      <c r="R162" s="427">
        <f t="shared" si="44"/>
        <v>0</v>
      </c>
      <c r="S162" s="427">
        <f t="shared" si="44"/>
        <v>0</v>
      </c>
      <c r="T162" s="427">
        <f t="shared" si="44"/>
        <v>0</v>
      </c>
      <c r="U162" s="427">
        <f t="shared" si="44"/>
        <v>0</v>
      </c>
      <c r="V162" s="427">
        <f t="shared" si="44"/>
        <v>0</v>
      </c>
    </row>
    <row r="163" spans="1:29">
      <c r="A163" t="s">
        <v>48</v>
      </c>
      <c r="B163" s="427">
        <f>+(B96+B97)/1000</f>
        <v>167.959</v>
      </c>
      <c r="C163" s="427">
        <f t="shared" ref="C163:V163" si="45">+(C96+C97)/1000</f>
        <v>161.53299999999999</v>
      </c>
      <c r="D163" s="427">
        <f t="shared" si="45"/>
        <v>173.624</v>
      </c>
      <c r="E163" s="427">
        <f t="shared" si="45"/>
        <v>177.923</v>
      </c>
      <c r="F163" s="427">
        <f t="shared" si="45"/>
        <v>180.505</v>
      </c>
      <c r="G163" s="427">
        <f t="shared" si="45"/>
        <v>188.048</v>
      </c>
      <c r="H163" s="427">
        <f t="shared" si="45"/>
        <v>176.131</v>
      </c>
      <c r="I163" s="427">
        <f t="shared" si="45"/>
        <v>179.887</v>
      </c>
      <c r="J163" s="427">
        <f t="shared" si="45"/>
        <v>191.21899999999999</v>
      </c>
      <c r="K163" s="427">
        <f t="shared" si="45"/>
        <v>191.17400000000001</v>
      </c>
      <c r="L163" s="427">
        <f t="shared" si="45"/>
        <v>195.97399999999999</v>
      </c>
      <c r="M163" s="427">
        <f t="shared" si="45"/>
        <v>204.596</v>
      </c>
      <c r="N163" s="427">
        <f t="shared" si="45"/>
        <v>209.21100000000001</v>
      </c>
      <c r="O163" s="427">
        <f t="shared" si="45"/>
        <v>0</v>
      </c>
      <c r="P163" s="427">
        <f t="shared" si="45"/>
        <v>0</v>
      </c>
      <c r="Q163" s="427">
        <f t="shared" si="45"/>
        <v>0</v>
      </c>
      <c r="R163" s="427">
        <f t="shared" si="45"/>
        <v>0</v>
      </c>
      <c r="S163" s="427">
        <f t="shared" si="45"/>
        <v>0</v>
      </c>
      <c r="T163" s="427">
        <f t="shared" si="45"/>
        <v>0</v>
      </c>
      <c r="U163" s="427">
        <f t="shared" si="45"/>
        <v>0</v>
      </c>
      <c r="V163" s="427">
        <f t="shared" si="45"/>
        <v>0</v>
      </c>
    </row>
    <row r="164" spans="1:29">
      <c r="A164" t="s">
        <v>49</v>
      </c>
      <c r="B164" s="427">
        <f>+(B98+B99)/1000</f>
        <v>84.203000000000003</v>
      </c>
      <c r="C164" s="427">
        <f t="shared" ref="C164:V164" si="46">+(C98+C99)/1000</f>
        <v>72.766999999999996</v>
      </c>
      <c r="D164" s="427">
        <f t="shared" si="46"/>
        <v>80.688999999999993</v>
      </c>
      <c r="E164" s="427">
        <f t="shared" si="46"/>
        <v>75.418999999999997</v>
      </c>
      <c r="F164" s="427">
        <f t="shared" si="46"/>
        <v>79.837999999999994</v>
      </c>
      <c r="G164" s="427">
        <f t="shared" si="46"/>
        <v>83.122</v>
      </c>
      <c r="H164" s="427">
        <f t="shared" si="46"/>
        <v>67.745999999999995</v>
      </c>
      <c r="I164" s="427">
        <f t="shared" si="46"/>
        <v>64.983000000000004</v>
      </c>
      <c r="J164" s="427">
        <f t="shared" si="46"/>
        <v>70.994</v>
      </c>
      <c r="K164" s="427">
        <f t="shared" si="46"/>
        <v>62.250999999999998</v>
      </c>
      <c r="L164" s="427">
        <f t="shared" si="46"/>
        <v>63.643999999999998</v>
      </c>
      <c r="M164" s="427">
        <f t="shared" si="46"/>
        <v>65.471000000000004</v>
      </c>
      <c r="N164" s="427">
        <f t="shared" si="46"/>
        <v>68.555999999999997</v>
      </c>
      <c r="O164" s="427">
        <f t="shared" si="46"/>
        <v>0</v>
      </c>
      <c r="P164" s="427">
        <f t="shared" si="46"/>
        <v>0</v>
      </c>
      <c r="Q164" s="427">
        <f t="shared" si="46"/>
        <v>0</v>
      </c>
      <c r="R164" s="427">
        <f t="shared" si="46"/>
        <v>0</v>
      </c>
      <c r="S164" s="427">
        <f t="shared" si="46"/>
        <v>0</v>
      </c>
      <c r="T164" s="427">
        <f t="shared" si="46"/>
        <v>0</v>
      </c>
      <c r="U164" s="427">
        <f t="shared" si="46"/>
        <v>0</v>
      </c>
      <c r="V164" s="427">
        <f t="shared" si="46"/>
        <v>0</v>
      </c>
    </row>
    <row r="166" spans="1:29">
      <c r="A166" s="402" t="s">
        <v>45</v>
      </c>
      <c r="B166" s="403">
        <v>202101</v>
      </c>
      <c r="C166" s="403">
        <v>202102</v>
      </c>
      <c r="D166" s="403">
        <v>202103</v>
      </c>
      <c r="E166" s="403">
        <v>202104</v>
      </c>
      <c r="F166" s="403">
        <v>202105</v>
      </c>
      <c r="G166" s="403">
        <v>202106</v>
      </c>
      <c r="H166" s="403">
        <v>202107</v>
      </c>
      <c r="I166" s="403">
        <v>202108</v>
      </c>
      <c r="J166" s="403">
        <v>202109</v>
      </c>
      <c r="K166" s="403">
        <v>202110</v>
      </c>
      <c r="L166" s="403">
        <v>202111</v>
      </c>
      <c r="M166" s="403">
        <v>202112</v>
      </c>
      <c r="N166" s="403">
        <v>202201</v>
      </c>
      <c r="O166" s="403">
        <v>202202</v>
      </c>
      <c r="P166" s="403">
        <v>202203</v>
      </c>
      <c r="Q166" s="403">
        <v>202004</v>
      </c>
      <c r="R166" s="403">
        <v>202005</v>
      </c>
      <c r="S166" s="403">
        <v>202206</v>
      </c>
      <c r="T166" s="403">
        <v>202207</v>
      </c>
      <c r="U166" s="403">
        <v>202208</v>
      </c>
      <c r="V166" s="403">
        <v>202209</v>
      </c>
      <c r="W166" s="403">
        <v>202210</v>
      </c>
      <c r="X166" s="403"/>
      <c r="Y166" s="403"/>
      <c r="Z166" s="403"/>
      <c r="AA166" s="403"/>
      <c r="AB166" s="403"/>
      <c r="AC166" s="403" t="s">
        <v>43</v>
      </c>
    </row>
    <row r="167" spans="1:29">
      <c r="A167" t="s">
        <v>47</v>
      </c>
      <c r="B167" s="16">
        <f>+B162/B124</f>
        <v>0.6230247348243525</v>
      </c>
      <c r="C167" s="16">
        <f t="shared" ref="C167:V169" si="47">+C162/C124</f>
        <v>0.61670131373095305</v>
      </c>
      <c r="D167" s="16">
        <f t="shared" si="47"/>
        <v>0.63589735784731516</v>
      </c>
      <c r="E167" s="16">
        <f t="shared" si="47"/>
        <v>0.66828886227215789</v>
      </c>
      <c r="F167" s="16">
        <f t="shared" si="47"/>
        <v>0.67550329736820125</v>
      </c>
      <c r="G167" s="16">
        <f t="shared" si="47"/>
        <v>0.68061363956281473</v>
      </c>
      <c r="H167" s="16">
        <f t="shared" si="47"/>
        <v>0.69914568669682697</v>
      </c>
      <c r="I167" s="16">
        <f t="shared" si="47"/>
        <v>0.69812610967381927</v>
      </c>
      <c r="J167" s="16">
        <f t="shared" si="47"/>
        <v>0.69697354150893198</v>
      </c>
      <c r="K167" s="16">
        <f t="shared" si="47"/>
        <v>0.71235614744133424</v>
      </c>
      <c r="L167" s="16">
        <f t="shared" si="47"/>
        <v>0.71927529646185118</v>
      </c>
      <c r="M167" s="16">
        <f t="shared" si="47"/>
        <v>0.73019736434370575</v>
      </c>
      <c r="N167" s="16">
        <f t="shared" si="47"/>
        <v>0.72454064938333751</v>
      </c>
      <c r="O167" s="16">
        <f t="shared" si="47"/>
        <v>0</v>
      </c>
      <c r="P167" s="16">
        <f t="shared" si="47"/>
        <v>0</v>
      </c>
      <c r="Q167" s="16">
        <f t="shared" si="47"/>
        <v>0</v>
      </c>
      <c r="R167" s="16">
        <f t="shared" si="47"/>
        <v>0</v>
      </c>
      <c r="S167" s="16">
        <f t="shared" si="47"/>
        <v>0</v>
      </c>
      <c r="T167" s="16">
        <f t="shared" si="47"/>
        <v>0</v>
      </c>
      <c r="U167" s="16">
        <f t="shared" si="47"/>
        <v>0</v>
      </c>
      <c r="V167" s="16">
        <f t="shared" si="47"/>
        <v>0</v>
      </c>
    </row>
    <row r="168" spans="1:29">
      <c r="A168" t="s">
        <v>48</v>
      </c>
      <c r="B168" s="16">
        <f t="shared" ref="B168:Q169" si="48">+B163/B125</f>
        <v>0.67923971287028606</v>
      </c>
      <c r="C168" s="16">
        <f t="shared" si="48"/>
        <v>0.66030208269462665</v>
      </c>
      <c r="D168" s="16">
        <f t="shared" si="48"/>
        <v>0.69521624402881377</v>
      </c>
      <c r="E168" s="16">
        <f t="shared" si="48"/>
        <v>0.69880876166985451</v>
      </c>
      <c r="F168" s="16">
        <f t="shared" si="48"/>
        <v>0.7168159164465977</v>
      </c>
      <c r="G168" s="16">
        <f t="shared" si="48"/>
        <v>0.73406643166922358</v>
      </c>
      <c r="H168" s="16">
        <f t="shared" si="48"/>
        <v>0.73182092032824342</v>
      </c>
      <c r="I168" s="16">
        <f t="shared" si="48"/>
        <v>0.73217956180017663</v>
      </c>
      <c r="J168" s="16">
        <f t="shared" si="48"/>
        <v>0.74098372090319731</v>
      </c>
      <c r="K168" s="16">
        <f t="shared" si="48"/>
        <v>0.74808550935038409</v>
      </c>
      <c r="L168" s="16">
        <f t="shared" si="48"/>
        <v>0.74920768422058681</v>
      </c>
      <c r="M168" s="16">
        <f t="shared" si="48"/>
        <v>0.76654989603042289</v>
      </c>
      <c r="N168" s="16">
        <f t="shared" si="48"/>
        <v>0.7531400183595226</v>
      </c>
      <c r="O168" s="16">
        <f t="shared" si="48"/>
        <v>0</v>
      </c>
      <c r="P168" s="16">
        <f t="shared" si="48"/>
        <v>0</v>
      </c>
      <c r="Q168" s="16">
        <f t="shared" si="48"/>
        <v>0</v>
      </c>
      <c r="R168" s="16">
        <f t="shared" si="47"/>
        <v>0</v>
      </c>
      <c r="S168" s="16">
        <f t="shared" si="47"/>
        <v>0</v>
      </c>
      <c r="T168" s="16">
        <f t="shared" si="47"/>
        <v>0</v>
      </c>
      <c r="U168" s="16">
        <f t="shared" si="47"/>
        <v>0</v>
      </c>
      <c r="V168" s="16">
        <f t="shared" si="47"/>
        <v>0</v>
      </c>
    </row>
    <row r="169" spans="1:29">
      <c r="A169" t="s">
        <v>49</v>
      </c>
      <c r="B169" s="16">
        <f t="shared" si="48"/>
        <v>0.53227682465833093</v>
      </c>
      <c r="C169" s="16">
        <f t="shared" si="47"/>
        <v>0.52047063872398247</v>
      </c>
      <c r="D169" s="16">
        <f t="shared" si="47"/>
        <v>0.58289507903025395</v>
      </c>
      <c r="E169" s="16">
        <f t="shared" si="47"/>
        <v>0.59231131705018458</v>
      </c>
      <c r="F169" s="16">
        <f t="shared" si="47"/>
        <v>0.6284774154950642</v>
      </c>
      <c r="G169" s="16">
        <f t="shared" si="47"/>
        <v>0.65812101154376013</v>
      </c>
      <c r="H169" s="16">
        <f t="shared" si="47"/>
        <v>0.67449223416965354</v>
      </c>
      <c r="I169" s="16">
        <f t="shared" si="47"/>
        <v>0.66546850998463902</v>
      </c>
      <c r="J169" s="16">
        <f t="shared" si="47"/>
        <v>0.68722714292628617</v>
      </c>
      <c r="K169" s="16">
        <f t="shared" si="47"/>
        <v>0.66999235844284433</v>
      </c>
      <c r="L169" s="16">
        <f t="shared" si="47"/>
        <v>0.66070093846026079</v>
      </c>
      <c r="M169" s="16">
        <f t="shared" si="47"/>
        <v>0.66889047813649372</v>
      </c>
      <c r="N169" s="16">
        <f t="shared" si="47"/>
        <v>0.64401461705385576</v>
      </c>
      <c r="O169" s="16">
        <f t="shared" si="47"/>
        <v>0</v>
      </c>
      <c r="P169" s="16">
        <f t="shared" si="47"/>
        <v>0</v>
      </c>
      <c r="Q169" s="16">
        <f t="shared" si="47"/>
        <v>0</v>
      </c>
      <c r="R169" s="16">
        <f t="shared" si="47"/>
        <v>0</v>
      </c>
      <c r="S169" s="16">
        <f t="shared" si="47"/>
        <v>0</v>
      </c>
      <c r="T169" s="16">
        <f t="shared" si="47"/>
        <v>0</v>
      </c>
      <c r="U169" s="16">
        <f t="shared" si="47"/>
        <v>0</v>
      </c>
      <c r="V169" s="16">
        <f t="shared" si="47"/>
        <v>0</v>
      </c>
    </row>
    <row r="185" spans="1:29">
      <c r="A185" s="402" t="s">
        <v>52</v>
      </c>
      <c r="B185" s="403">
        <v>202101</v>
      </c>
      <c r="C185" s="403">
        <v>202102</v>
      </c>
      <c r="D185" s="403">
        <v>202103</v>
      </c>
      <c r="E185" s="403">
        <v>202104</v>
      </c>
      <c r="F185" s="403">
        <v>202105</v>
      </c>
      <c r="G185" s="403">
        <v>202106</v>
      </c>
      <c r="H185" s="403">
        <v>202107</v>
      </c>
      <c r="I185" s="403">
        <v>202108</v>
      </c>
      <c r="J185" s="403">
        <v>202109</v>
      </c>
      <c r="K185" s="403">
        <v>202110</v>
      </c>
      <c r="L185" s="403">
        <v>202111</v>
      </c>
      <c r="M185" s="403">
        <v>202112</v>
      </c>
      <c r="N185" s="403">
        <v>202201</v>
      </c>
      <c r="O185" s="403">
        <v>202202</v>
      </c>
      <c r="P185" s="403">
        <v>202203</v>
      </c>
      <c r="Q185" s="403">
        <v>202004</v>
      </c>
      <c r="R185" s="403">
        <v>202005</v>
      </c>
      <c r="S185" s="403">
        <v>202206</v>
      </c>
      <c r="T185" s="403">
        <v>202207</v>
      </c>
      <c r="U185" s="403">
        <v>202208</v>
      </c>
      <c r="V185" s="403">
        <v>202209</v>
      </c>
      <c r="W185" s="403">
        <v>202210</v>
      </c>
      <c r="X185" s="403"/>
      <c r="Y185" s="403"/>
      <c r="Z185" s="403"/>
      <c r="AA185" s="403"/>
      <c r="AB185" s="403"/>
      <c r="AC185" s="403" t="s">
        <v>43</v>
      </c>
    </row>
    <row r="186" spans="1:29">
      <c r="A186" t="s">
        <v>47</v>
      </c>
      <c r="B186" s="204">
        <f>+B143*1000/B162</f>
        <v>1419.1532008316976</v>
      </c>
      <c r="C186" s="204">
        <f t="shared" ref="C186:V188" si="49">+C143*1000/C162</f>
        <v>1204.5350913930408</v>
      </c>
      <c r="D186" s="204">
        <f t="shared" si="49"/>
        <v>1619.5577257058744</v>
      </c>
      <c r="E186" s="204">
        <f t="shared" si="49"/>
        <v>1541.712416205703</v>
      </c>
      <c r="F186" s="204">
        <f t="shared" si="49"/>
        <v>1732.9608901717247</v>
      </c>
      <c r="G186" s="204">
        <f t="shared" si="49"/>
        <v>1641.8248839992793</v>
      </c>
      <c r="H186" s="204">
        <f t="shared" si="49"/>
        <v>1860.7496066741448</v>
      </c>
      <c r="I186" s="204">
        <f t="shared" si="49"/>
        <v>1844.6345725173667</v>
      </c>
      <c r="J186" s="204">
        <f t="shared" si="49"/>
        <v>1829.2612803612112</v>
      </c>
      <c r="K186" s="204">
        <f t="shared" si="49"/>
        <v>1927.9549827963074</v>
      </c>
      <c r="L186" s="204">
        <f t="shared" si="49"/>
        <v>1992.3807030625817</v>
      </c>
      <c r="M186" s="204">
        <f t="shared" si="49"/>
        <v>2118.6255257709504</v>
      </c>
      <c r="N186" s="204">
        <f t="shared" si="49"/>
        <v>1855.5422056290224</v>
      </c>
      <c r="O186" s="204" t="e">
        <f t="shared" si="49"/>
        <v>#DIV/0!</v>
      </c>
      <c r="P186" s="204" t="e">
        <f t="shared" si="49"/>
        <v>#DIV/0!</v>
      </c>
      <c r="Q186" s="204" t="e">
        <f t="shared" si="49"/>
        <v>#DIV/0!</v>
      </c>
      <c r="R186" s="204" t="e">
        <f t="shared" si="49"/>
        <v>#DIV/0!</v>
      </c>
      <c r="S186" s="204" t="e">
        <f t="shared" si="49"/>
        <v>#DIV/0!</v>
      </c>
      <c r="T186" s="204" t="e">
        <f t="shared" si="49"/>
        <v>#DIV/0!</v>
      </c>
      <c r="U186" s="204" t="e">
        <f t="shared" si="49"/>
        <v>#DIV/0!</v>
      </c>
      <c r="V186" s="204" t="e">
        <f t="shared" si="49"/>
        <v>#DIV/0!</v>
      </c>
    </row>
    <row r="187" spans="1:29">
      <c r="A187" t="s">
        <v>48</v>
      </c>
      <c r="B187" s="204">
        <f t="shared" ref="B187:Q188" si="50">+B144*1000/B163</f>
        <v>1052.8566997117152</v>
      </c>
      <c r="C187" s="204">
        <f t="shared" si="50"/>
        <v>898.72989951161685</v>
      </c>
      <c r="D187" s="204">
        <f t="shared" si="50"/>
        <v>1190.021691568101</v>
      </c>
      <c r="E187" s="204">
        <f t="shared" si="50"/>
        <v>1114.0049670550745</v>
      </c>
      <c r="F187" s="204">
        <f t="shared" si="50"/>
        <v>1222.9360941159525</v>
      </c>
      <c r="G187" s="204">
        <f t="shared" si="50"/>
        <v>1222.7559791831343</v>
      </c>
      <c r="H187" s="204">
        <f t="shared" si="50"/>
        <v>1281.1769614881537</v>
      </c>
      <c r="I187" s="204">
        <f t="shared" si="50"/>
        <v>1285.3788066699094</v>
      </c>
      <c r="J187" s="204">
        <f t="shared" si="50"/>
        <v>1274.3424728198036</v>
      </c>
      <c r="K187" s="204">
        <f t="shared" si="50"/>
        <v>1326.3186114414093</v>
      </c>
      <c r="L187" s="204">
        <f t="shared" si="50"/>
        <v>1345.6330298133428</v>
      </c>
      <c r="M187" s="204">
        <f t="shared" si="50"/>
        <v>1458.4767845829831</v>
      </c>
      <c r="N187" s="204">
        <f t="shared" si="50"/>
        <v>1306.9211098147323</v>
      </c>
      <c r="O187" s="204" t="e">
        <f t="shared" si="50"/>
        <v>#DIV/0!</v>
      </c>
      <c r="P187" s="204" t="e">
        <f t="shared" si="50"/>
        <v>#DIV/0!</v>
      </c>
      <c r="Q187" s="204" t="e">
        <f t="shared" si="50"/>
        <v>#DIV/0!</v>
      </c>
      <c r="R187" s="204" t="e">
        <f t="shared" si="49"/>
        <v>#DIV/0!</v>
      </c>
      <c r="S187" s="204" t="e">
        <f t="shared" si="49"/>
        <v>#DIV/0!</v>
      </c>
      <c r="T187" s="204" t="e">
        <f t="shared" si="49"/>
        <v>#DIV/0!</v>
      </c>
      <c r="U187" s="204" t="e">
        <f t="shared" si="49"/>
        <v>#DIV/0!</v>
      </c>
      <c r="V187" s="204" t="e">
        <f t="shared" si="49"/>
        <v>#DIV/0!</v>
      </c>
    </row>
    <row r="188" spans="1:29">
      <c r="A188" t="s">
        <v>49</v>
      </c>
      <c r="B188" s="204">
        <f t="shared" si="50"/>
        <v>610.17894421291408</v>
      </c>
      <c r="C188" s="204">
        <f t="shared" si="49"/>
        <v>547.07685958854972</v>
      </c>
      <c r="D188" s="204">
        <f t="shared" si="49"/>
        <v>727.54852592472344</v>
      </c>
      <c r="E188" s="204">
        <f t="shared" si="49"/>
        <v>689.05328100279769</v>
      </c>
      <c r="F188" s="204">
        <f t="shared" si="49"/>
        <v>767.90348232345502</v>
      </c>
      <c r="G188" s="204">
        <f t="shared" si="49"/>
        <v>832.33059342424372</v>
      </c>
      <c r="H188" s="204">
        <f t="shared" si="49"/>
        <v>765.1510647602812</v>
      </c>
      <c r="I188" s="204">
        <f t="shared" si="49"/>
        <v>802.39558800040004</v>
      </c>
      <c r="J188" s="204">
        <f t="shared" si="49"/>
        <v>780.49082673437181</v>
      </c>
      <c r="K188" s="204">
        <f t="shared" si="49"/>
        <v>812.20875540537497</v>
      </c>
      <c r="L188" s="204">
        <f t="shared" si="49"/>
        <v>803.97850221890508</v>
      </c>
      <c r="M188" s="204">
        <f t="shared" si="49"/>
        <v>895.37443205709394</v>
      </c>
      <c r="N188" s="204">
        <f t="shared" si="49"/>
        <v>779.13182002581846</v>
      </c>
      <c r="O188" s="204" t="e">
        <f t="shared" si="49"/>
        <v>#DIV/0!</v>
      </c>
      <c r="P188" s="204" t="e">
        <f t="shared" si="49"/>
        <v>#DIV/0!</v>
      </c>
      <c r="Q188" s="204" t="e">
        <f t="shared" si="49"/>
        <v>#DIV/0!</v>
      </c>
      <c r="R188" s="204" t="e">
        <f t="shared" si="49"/>
        <v>#DIV/0!</v>
      </c>
      <c r="S188" s="204" t="e">
        <f t="shared" si="49"/>
        <v>#DIV/0!</v>
      </c>
      <c r="T188" s="204" t="e">
        <f t="shared" si="49"/>
        <v>#DIV/0!</v>
      </c>
      <c r="U188" s="204" t="e">
        <f t="shared" si="49"/>
        <v>#DIV/0!</v>
      </c>
      <c r="V188" s="204" t="e">
        <f t="shared" si="49"/>
        <v>#DIV/0!</v>
      </c>
    </row>
  </sheetData>
  <mergeCells count="2">
    <mergeCell ref="B5:E5"/>
    <mergeCell ref="AS5:AU5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46"/>
  <sheetViews>
    <sheetView topLeftCell="N1" zoomScaleNormal="100" workbookViewId="0">
      <pane ySplit="1" topLeftCell="A395" activePane="bottomLeft" state="frozen"/>
      <selection pane="bottomLeft" activeCell="V418" sqref="V418:Z424"/>
    </sheetView>
  </sheetViews>
  <sheetFormatPr baseColWidth="10" defaultColWidth="11.453125" defaultRowHeight="14.5"/>
  <cols>
    <col min="1" max="1" width="8.54296875" hidden="1" customWidth="1"/>
    <col min="2" max="2" width="10" hidden="1" customWidth="1"/>
    <col min="3" max="3" width="8.54296875" hidden="1" customWidth="1"/>
    <col min="4" max="4" width="10" hidden="1" customWidth="1"/>
    <col min="5" max="5" width="12.453125" style="156" hidden="1" customWidth="1"/>
    <col min="6" max="6" width="12" style="156" hidden="1" customWidth="1"/>
    <col min="7" max="7" width="9" style="156" hidden="1" customWidth="1"/>
    <col min="8" max="8" width="8.54296875" hidden="1" customWidth="1"/>
    <col min="9" max="9" width="10" hidden="1" customWidth="1"/>
    <col min="10" max="10" width="9" hidden="1" customWidth="1"/>
    <col min="11" max="11" width="13.453125" hidden="1" customWidth="1"/>
    <col min="12" max="12" width="12.26953125" hidden="1" customWidth="1"/>
    <col min="13" max="13" width="0" hidden="1" customWidth="1"/>
    <col min="15" max="15" width="10.1796875" bestFit="1" customWidth="1"/>
    <col min="16" max="16" width="13.81640625" bestFit="1" customWidth="1"/>
    <col min="17" max="18" width="14.81640625" bestFit="1" customWidth="1"/>
    <col min="19" max="19" width="11" style="156" bestFit="1" customWidth="1"/>
    <col min="20" max="20" width="12" style="156" bestFit="1" customWidth="1"/>
    <col min="21" max="21" width="9" style="156" bestFit="1" customWidth="1"/>
    <col min="22" max="22" width="11.54296875" customWidth="1"/>
    <col min="23" max="23" width="11.7265625" bestFit="1" customWidth="1"/>
    <col min="24" max="24" width="11" bestFit="1" customWidth="1"/>
    <col min="25" max="25" width="15.81640625" bestFit="1" customWidth="1"/>
    <col min="26" max="26" width="14.81640625" bestFit="1" customWidth="1"/>
    <col min="29" max="29" width="12.7265625" customWidth="1"/>
  </cols>
  <sheetData>
    <row r="1" spans="1:26">
      <c r="A1" s="705" t="s">
        <v>53</v>
      </c>
      <c r="B1" s="705"/>
      <c r="C1" s="705"/>
      <c r="D1" s="705"/>
      <c r="E1" s="705"/>
      <c r="F1" s="149"/>
      <c r="G1" s="149"/>
      <c r="H1" s="705" t="s">
        <v>54</v>
      </c>
      <c r="I1" s="705"/>
      <c r="J1" s="705"/>
      <c r="K1" s="705"/>
      <c r="L1" s="705"/>
      <c r="M1" s="149"/>
      <c r="N1" s="149" t="s">
        <v>55</v>
      </c>
      <c r="O1" s="705" t="s">
        <v>53</v>
      </c>
      <c r="P1" s="705"/>
      <c r="Q1" s="705"/>
      <c r="R1" s="705"/>
      <c r="S1" s="705"/>
      <c r="T1" s="149"/>
      <c r="U1" s="149"/>
      <c r="V1" s="705" t="s">
        <v>54</v>
      </c>
      <c r="W1" s="705"/>
      <c r="X1" s="705"/>
      <c r="Y1" s="705"/>
      <c r="Z1" s="705"/>
    </row>
    <row r="2" spans="1:26">
      <c r="E2"/>
      <c r="F2"/>
      <c r="G2"/>
      <c r="S2"/>
      <c r="T2"/>
      <c r="U2"/>
    </row>
    <row r="3" spans="1:26">
      <c r="A3" t="s">
        <v>35</v>
      </c>
      <c r="B3" t="s">
        <v>36</v>
      </c>
      <c r="C3" t="s">
        <v>56</v>
      </c>
      <c r="D3" t="s">
        <v>33</v>
      </c>
      <c r="E3" t="s">
        <v>57</v>
      </c>
      <c r="F3"/>
      <c r="G3"/>
      <c r="H3" t="s">
        <v>35</v>
      </c>
      <c r="I3" t="s">
        <v>36</v>
      </c>
      <c r="J3" t="s">
        <v>57</v>
      </c>
      <c r="K3" t="s">
        <v>58</v>
      </c>
      <c r="L3" t="s">
        <v>59</v>
      </c>
      <c r="O3" t="s">
        <v>35</v>
      </c>
      <c r="P3" t="s">
        <v>36</v>
      </c>
      <c r="Q3" t="s">
        <v>56</v>
      </c>
      <c r="R3" t="s">
        <v>33</v>
      </c>
      <c r="S3" t="s">
        <v>57</v>
      </c>
      <c r="T3"/>
      <c r="U3"/>
      <c r="V3" t="s">
        <v>35</v>
      </c>
      <c r="W3" t="s">
        <v>36</v>
      </c>
      <c r="X3" t="s">
        <v>57</v>
      </c>
      <c r="Y3" t="s">
        <v>58</v>
      </c>
      <c r="Z3" t="s">
        <v>59</v>
      </c>
    </row>
    <row r="4" spans="1:26">
      <c r="A4">
        <v>201901</v>
      </c>
      <c r="B4" t="s">
        <v>9</v>
      </c>
      <c r="C4">
        <v>16.452513454000002</v>
      </c>
      <c r="D4">
        <v>2.0645966279999999</v>
      </c>
      <c r="E4" s="156">
        <v>1.9950000000000001</v>
      </c>
      <c r="H4">
        <v>201901</v>
      </c>
      <c r="I4" t="s">
        <v>13</v>
      </c>
      <c r="J4">
        <v>30.134</v>
      </c>
      <c r="K4">
        <v>137.10912782587999</v>
      </c>
      <c r="L4">
        <v>18.976679264880001</v>
      </c>
      <c r="O4">
        <v>201901</v>
      </c>
      <c r="Q4">
        <v>5.5413525039999998</v>
      </c>
      <c r="R4">
        <v>0.65687864399999996</v>
      </c>
      <c r="S4" s="156">
        <v>0.997</v>
      </c>
      <c r="V4">
        <v>201901</v>
      </c>
      <c r="W4" t="s">
        <v>13</v>
      </c>
      <c r="X4">
        <v>30.134</v>
      </c>
      <c r="Y4">
        <v>137.10912782587999</v>
      </c>
      <c r="Z4">
        <v>18.976679264880001</v>
      </c>
    </row>
    <row r="5" spans="1:26">
      <c r="A5">
        <v>201901</v>
      </c>
      <c r="B5" t="s">
        <v>11</v>
      </c>
      <c r="C5">
        <v>39.682357754000002</v>
      </c>
      <c r="D5">
        <v>4.7065480839999996</v>
      </c>
      <c r="E5" s="156">
        <v>5.93</v>
      </c>
      <c r="H5">
        <v>201901</v>
      </c>
      <c r="I5" t="s">
        <v>9</v>
      </c>
      <c r="J5">
        <v>12.385</v>
      </c>
      <c r="K5">
        <v>81.506033917159996</v>
      </c>
      <c r="L5">
        <v>9.2961915672599993</v>
      </c>
      <c r="O5">
        <v>201901</v>
      </c>
      <c r="P5" t="s">
        <v>14</v>
      </c>
      <c r="Q5">
        <v>16.959444697999999</v>
      </c>
      <c r="R5">
        <v>2.210455236</v>
      </c>
      <c r="S5" s="156">
        <v>4.2869999999999999</v>
      </c>
      <c r="V5">
        <v>201901</v>
      </c>
      <c r="W5" t="s">
        <v>9</v>
      </c>
      <c r="X5">
        <v>12.385</v>
      </c>
      <c r="Y5">
        <v>81.506033917159996</v>
      </c>
      <c r="Z5">
        <v>9.2961915672599993</v>
      </c>
    </row>
    <row r="6" spans="1:26">
      <c r="A6">
        <v>201901</v>
      </c>
      <c r="C6">
        <v>6.16020974</v>
      </c>
      <c r="D6">
        <v>0.73054464200000002</v>
      </c>
      <c r="E6" s="156">
        <v>0.997</v>
      </c>
      <c r="H6">
        <v>201901</v>
      </c>
      <c r="I6" t="s">
        <v>10</v>
      </c>
      <c r="J6">
        <v>23.507000000000001</v>
      </c>
      <c r="K6">
        <v>160.91692248532999</v>
      </c>
      <c r="L6">
        <v>17.55364591663</v>
      </c>
      <c r="O6">
        <v>201901</v>
      </c>
      <c r="P6" t="s">
        <v>10</v>
      </c>
      <c r="Q6">
        <v>39.166752506000002</v>
      </c>
      <c r="R6">
        <v>4.5194895700000002</v>
      </c>
      <c r="S6" s="156">
        <v>5.1779999999999999</v>
      </c>
      <c r="V6">
        <v>201901</v>
      </c>
      <c r="W6" t="s">
        <v>10</v>
      </c>
      <c r="X6">
        <v>23.507000000000001</v>
      </c>
      <c r="Y6">
        <v>160.91692248532999</v>
      </c>
      <c r="Z6">
        <v>17.55364591663</v>
      </c>
    </row>
    <row r="7" spans="1:26">
      <c r="A7">
        <v>201901</v>
      </c>
      <c r="B7" t="s">
        <v>13</v>
      </c>
      <c r="C7">
        <v>45.784870515999998</v>
      </c>
      <c r="D7">
        <v>6.025146436</v>
      </c>
      <c r="E7" s="156">
        <v>9.8490000000000002</v>
      </c>
      <c r="H7">
        <v>201901</v>
      </c>
      <c r="J7">
        <v>4.3849999999999998</v>
      </c>
      <c r="K7">
        <v>41.78527974464</v>
      </c>
      <c r="L7">
        <v>4.0141000403299998</v>
      </c>
      <c r="O7">
        <v>201901</v>
      </c>
      <c r="P7" t="s">
        <v>12</v>
      </c>
      <c r="Q7">
        <v>52.690140528000001</v>
      </c>
      <c r="R7">
        <v>6.7478142239999999</v>
      </c>
      <c r="S7" s="156">
        <v>10.180999999999999</v>
      </c>
      <c r="V7">
        <v>201901</v>
      </c>
      <c r="X7">
        <v>4.3849999999999998</v>
      </c>
      <c r="Y7">
        <v>41.78527974464</v>
      </c>
      <c r="Z7">
        <v>4.0141000403299998</v>
      </c>
    </row>
    <row r="8" spans="1:26">
      <c r="A8">
        <v>201901</v>
      </c>
      <c r="B8" t="s">
        <v>14</v>
      </c>
      <c r="C8">
        <v>17.949101303999999</v>
      </c>
      <c r="D8">
        <v>2.3571809840000002</v>
      </c>
      <c r="E8" s="156">
        <v>4.2869999999999999</v>
      </c>
      <c r="H8">
        <v>201901</v>
      </c>
      <c r="I8" t="s">
        <v>12</v>
      </c>
      <c r="J8">
        <v>35.209000000000003</v>
      </c>
      <c r="K8">
        <v>167.32696439279999</v>
      </c>
      <c r="L8">
        <v>22.685223747439998</v>
      </c>
      <c r="O8">
        <v>201901</v>
      </c>
      <c r="P8" t="s">
        <v>11</v>
      </c>
      <c r="Q8">
        <v>37.667182615999998</v>
      </c>
      <c r="R8">
        <v>4.4661819019999998</v>
      </c>
      <c r="S8" s="156">
        <v>5.93</v>
      </c>
      <c r="V8">
        <v>201901</v>
      </c>
      <c r="W8" t="s">
        <v>12</v>
      </c>
      <c r="X8">
        <v>35.209000000000003</v>
      </c>
      <c r="Y8">
        <v>167.32696439279999</v>
      </c>
      <c r="Z8">
        <v>22.685223747439998</v>
      </c>
    </row>
    <row r="9" spans="1:26">
      <c r="A9">
        <v>201901</v>
      </c>
      <c r="B9" t="s">
        <v>12</v>
      </c>
      <c r="C9">
        <v>56.621808559999998</v>
      </c>
      <c r="D9">
        <v>7.1461335699999999</v>
      </c>
      <c r="E9" s="156">
        <v>10.180999999999999</v>
      </c>
      <c r="H9">
        <v>201901</v>
      </c>
      <c r="I9" t="s">
        <v>11</v>
      </c>
      <c r="J9">
        <v>22.623000000000001</v>
      </c>
      <c r="K9">
        <v>131.86141429543</v>
      </c>
      <c r="L9">
        <v>15.642625537440001</v>
      </c>
      <c r="O9">
        <v>201901</v>
      </c>
      <c r="P9" t="s">
        <v>9</v>
      </c>
      <c r="Q9">
        <v>15.428182718</v>
      </c>
      <c r="R9">
        <v>1.945962172</v>
      </c>
      <c r="S9" s="156">
        <v>1.9950000000000001</v>
      </c>
      <c r="V9">
        <v>201901</v>
      </c>
      <c r="W9" t="s">
        <v>11</v>
      </c>
      <c r="X9">
        <v>22.623000000000001</v>
      </c>
      <c r="Y9">
        <v>131.86141429543</v>
      </c>
      <c r="Z9">
        <v>15.642625537440001</v>
      </c>
    </row>
    <row r="10" spans="1:26">
      <c r="A10">
        <v>201901</v>
      </c>
      <c r="B10" t="s">
        <v>10</v>
      </c>
      <c r="C10">
        <v>41.818508164000001</v>
      </c>
      <c r="D10">
        <v>4.7969230679999999</v>
      </c>
      <c r="E10" s="156">
        <v>5.1779999999999999</v>
      </c>
      <c r="H10">
        <v>201901</v>
      </c>
      <c r="I10" t="s">
        <v>14</v>
      </c>
      <c r="J10">
        <v>12.97</v>
      </c>
      <c r="K10">
        <v>44.304893691590003</v>
      </c>
      <c r="L10">
        <v>7.2845794454900004</v>
      </c>
      <c r="O10">
        <v>201901</v>
      </c>
      <c r="P10" t="s">
        <v>13</v>
      </c>
      <c r="Q10">
        <v>43.392493399999999</v>
      </c>
      <c r="R10">
        <v>5.6970881120000003</v>
      </c>
      <c r="S10" s="156">
        <v>9.8490000000000002</v>
      </c>
      <c r="V10">
        <v>201901</v>
      </c>
      <c r="W10" t="s">
        <v>14</v>
      </c>
      <c r="X10">
        <v>12.97</v>
      </c>
      <c r="Y10">
        <v>44.304893691590003</v>
      </c>
      <c r="Z10">
        <v>7.2845794454900004</v>
      </c>
    </row>
    <row r="11" spans="1:26">
      <c r="A11">
        <v>201902</v>
      </c>
      <c r="B11" t="s">
        <v>9</v>
      </c>
      <c r="C11">
        <v>13.668879204</v>
      </c>
      <c r="D11">
        <v>1.712484828</v>
      </c>
      <c r="E11" s="156">
        <v>1.8859999999999999</v>
      </c>
      <c r="H11">
        <v>201902</v>
      </c>
      <c r="J11">
        <v>5.1429999999999998</v>
      </c>
      <c r="K11">
        <v>54.030456685659999</v>
      </c>
      <c r="L11">
        <v>5.0313002090900003</v>
      </c>
      <c r="O11">
        <v>201902</v>
      </c>
      <c r="P11" t="s">
        <v>12</v>
      </c>
      <c r="Q11">
        <v>50.115285878000002</v>
      </c>
      <c r="R11">
        <v>5.9485314699999998</v>
      </c>
      <c r="S11" s="156">
        <v>9.0920000000000005</v>
      </c>
      <c r="V11">
        <v>201902</v>
      </c>
      <c r="X11">
        <v>5.1429999999999998</v>
      </c>
      <c r="Y11">
        <v>54.030456685659999</v>
      </c>
      <c r="Z11">
        <v>5.0313002090900003</v>
      </c>
    </row>
    <row r="12" spans="1:26">
      <c r="A12">
        <v>201902</v>
      </c>
      <c r="B12" t="s">
        <v>14</v>
      </c>
      <c r="C12">
        <v>12.791993216</v>
      </c>
      <c r="D12">
        <v>1.855395946</v>
      </c>
      <c r="E12" s="156">
        <v>4.0629999999999997</v>
      </c>
      <c r="H12">
        <v>201902</v>
      </c>
      <c r="I12" t="s">
        <v>11</v>
      </c>
      <c r="J12">
        <v>22.975000000000001</v>
      </c>
      <c r="K12">
        <v>133.82364302309</v>
      </c>
      <c r="L12">
        <v>16.06218595416</v>
      </c>
      <c r="O12">
        <v>201902</v>
      </c>
      <c r="P12" t="s">
        <v>13</v>
      </c>
      <c r="Q12">
        <v>42.473383964</v>
      </c>
      <c r="R12">
        <v>5.0282636439999999</v>
      </c>
      <c r="S12" s="156">
        <v>8.6180000000000003</v>
      </c>
      <c r="V12">
        <v>201902</v>
      </c>
      <c r="W12" t="s">
        <v>11</v>
      </c>
      <c r="X12">
        <v>22.975000000000001</v>
      </c>
      <c r="Y12">
        <v>133.82364302309</v>
      </c>
      <c r="Z12">
        <v>16.06218595416</v>
      </c>
    </row>
    <row r="13" spans="1:26">
      <c r="A13">
        <v>201902</v>
      </c>
      <c r="B13" t="s">
        <v>10</v>
      </c>
      <c r="C13">
        <v>35.018237444</v>
      </c>
      <c r="D13">
        <v>4.1651610960000003</v>
      </c>
      <c r="E13" s="156">
        <v>4.6710000000000003</v>
      </c>
      <c r="H13">
        <v>201902</v>
      </c>
      <c r="I13" t="s">
        <v>10</v>
      </c>
      <c r="J13">
        <v>23.555</v>
      </c>
      <c r="K13">
        <v>154.90827790466</v>
      </c>
      <c r="L13">
        <v>17.390728013890001</v>
      </c>
      <c r="O13">
        <v>201902</v>
      </c>
      <c r="P13" t="s">
        <v>14</v>
      </c>
      <c r="Q13">
        <v>12.635148618000001</v>
      </c>
      <c r="R13">
        <v>1.8379236219999999</v>
      </c>
      <c r="S13" s="156">
        <v>4.0629999999999997</v>
      </c>
      <c r="V13">
        <v>201902</v>
      </c>
      <c r="W13" t="s">
        <v>10</v>
      </c>
      <c r="X13">
        <v>23.555</v>
      </c>
      <c r="Y13">
        <v>154.90827790466</v>
      </c>
      <c r="Z13">
        <v>17.390728013890001</v>
      </c>
    </row>
    <row r="14" spans="1:26">
      <c r="A14">
        <v>201902</v>
      </c>
      <c r="B14" t="s">
        <v>11</v>
      </c>
      <c r="C14">
        <v>40.483278722000001</v>
      </c>
      <c r="D14">
        <v>4.3003003419999999</v>
      </c>
      <c r="E14" s="156">
        <v>5.4269999999999996</v>
      </c>
      <c r="H14">
        <v>201902</v>
      </c>
      <c r="I14" t="s">
        <v>9</v>
      </c>
      <c r="J14">
        <v>12.744</v>
      </c>
      <c r="K14">
        <v>97.907502667649993</v>
      </c>
      <c r="L14">
        <v>9.9222692988900008</v>
      </c>
      <c r="O14">
        <v>201902</v>
      </c>
      <c r="P14" t="s">
        <v>11</v>
      </c>
      <c r="Q14">
        <v>40.125650569999998</v>
      </c>
      <c r="R14">
        <v>4.2543398779999997</v>
      </c>
      <c r="S14" s="156">
        <v>5.4269999999999996</v>
      </c>
      <c r="V14">
        <v>201902</v>
      </c>
      <c r="W14" t="s">
        <v>9</v>
      </c>
      <c r="X14">
        <v>12.744</v>
      </c>
      <c r="Y14">
        <v>97.907502667649993</v>
      </c>
      <c r="Z14">
        <v>9.9222692988900008</v>
      </c>
    </row>
    <row r="15" spans="1:26">
      <c r="A15">
        <v>201902</v>
      </c>
      <c r="C15">
        <v>5.0845650200000003</v>
      </c>
      <c r="D15">
        <v>0.60611709400000002</v>
      </c>
      <c r="E15" s="156">
        <v>0.88700000000000001</v>
      </c>
      <c r="H15">
        <v>201902</v>
      </c>
      <c r="I15" t="s">
        <v>13</v>
      </c>
      <c r="J15">
        <v>30.692</v>
      </c>
      <c r="K15">
        <v>134.66660395375999</v>
      </c>
      <c r="L15">
        <v>19.502216972119999</v>
      </c>
      <c r="O15">
        <v>201902</v>
      </c>
      <c r="Q15">
        <v>5.01866608</v>
      </c>
      <c r="R15">
        <v>0.59713515399999995</v>
      </c>
      <c r="S15" s="156">
        <v>0.88700000000000001</v>
      </c>
      <c r="V15">
        <v>201902</v>
      </c>
      <c r="W15" t="s">
        <v>13</v>
      </c>
      <c r="X15">
        <v>30.692</v>
      </c>
      <c r="Y15">
        <v>134.66660395375999</v>
      </c>
      <c r="Z15">
        <v>19.502216972119999</v>
      </c>
    </row>
    <row r="16" spans="1:26">
      <c r="A16">
        <v>201902</v>
      </c>
      <c r="B16" t="s">
        <v>13</v>
      </c>
      <c r="C16">
        <v>43.374369745999999</v>
      </c>
      <c r="D16">
        <v>5.0926376700000002</v>
      </c>
      <c r="E16" s="156">
        <v>8.6180000000000003</v>
      </c>
      <c r="H16">
        <v>201902</v>
      </c>
      <c r="I16" t="s">
        <v>12</v>
      </c>
      <c r="J16">
        <v>35.009</v>
      </c>
      <c r="K16">
        <v>168.29380643745</v>
      </c>
      <c r="L16">
        <v>22.858628290359999</v>
      </c>
      <c r="O16">
        <v>201902</v>
      </c>
      <c r="P16" t="s">
        <v>10</v>
      </c>
      <c r="Q16">
        <v>34.510822842000003</v>
      </c>
      <c r="R16">
        <v>4.1098019800000003</v>
      </c>
      <c r="S16" s="156">
        <v>4.6710000000000003</v>
      </c>
      <c r="V16">
        <v>201902</v>
      </c>
      <c r="W16" t="s">
        <v>12</v>
      </c>
      <c r="X16">
        <v>35.009</v>
      </c>
      <c r="Y16">
        <v>168.29380643745</v>
      </c>
      <c r="Z16">
        <v>22.858628290359999</v>
      </c>
    </row>
    <row r="17" spans="1:26">
      <c r="A17">
        <v>201902</v>
      </c>
      <c r="B17" t="s">
        <v>12</v>
      </c>
      <c r="C17">
        <v>50.567255520000003</v>
      </c>
      <c r="D17">
        <v>6.007962612</v>
      </c>
      <c r="E17" s="156">
        <v>9.0920000000000005</v>
      </c>
      <c r="H17">
        <v>201902</v>
      </c>
      <c r="I17" t="s">
        <v>14</v>
      </c>
      <c r="J17">
        <v>13.978</v>
      </c>
      <c r="K17">
        <v>40.803203479319997</v>
      </c>
      <c r="L17">
        <v>7.4170187138700001</v>
      </c>
      <c r="O17">
        <v>201902</v>
      </c>
      <c r="P17" t="s">
        <v>9</v>
      </c>
      <c r="Q17">
        <v>13.515841160000001</v>
      </c>
      <c r="R17">
        <v>1.681257658</v>
      </c>
      <c r="S17" s="156">
        <v>1.8859999999999999</v>
      </c>
      <c r="V17">
        <v>201902</v>
      </c>
      <c r="W17" t="s">
        <v>14</v>
      </c>
      <c r="X17">
        <v>13.978</v>
      </c>
      <c r="Y17">
        <v>40.803203479319997</v>
      </c>
      <c r="Z17">
        <v>7.4170187138700001</v>
      </c>
    </row>
    <row r="18" spans="1:26">
      <c r="A18">
        <v>201903</v>
      </c>
      <c r="B18" t="s">
        <v>13</v>
      </c>
      <c r="C18">
        <v>44.361215127999998</v>
      </c>
      <c r="D18">
        <v>5.4181515219999996</v>
      </c>
      <c r="E18" s="156">
        <v>8.91</v>
      </c>
      <c r="H18">
        <v>201903</v>
      </c>
      <c r="I18" t="s">
        <v>9</v>
      </c>
      <c r="J18">
        <v>13.49</v>
      </c>
      <c r="K18">
        <v>108.06583963719</v>
      </c>
      <c r="L18">
        <v>10.76903066028</v>
      </c>
      <c r="O18">
        <v>201903</v>
      </c>
      <c r="P18" t="s">
        <v>9</v>
      </c>
      <c r="Q18">
        <v>11.233506390000001</v>
      </c>
      <c r="R18">
        <v>1.5317400800000001</v>
      </c>
      <c r="S18" s="156">
        <v>1.7410000000000001</v>
      </c>
      <c r="V18">
        <v>201903</v>
      </c>
      <c r="W18" t="s">
        <v>9</v>
      </c>
      <c r="X18">
        <v>13.49</v>
      </c>
      <c r="Y18">
        <v>108.06583963719</v>
      </c>
      <c r="Z18">
        <v>10.76903066028</v>
      </c>
    </row>
    <row r="19" spans="1:26">
      <c r="A19">
        <v>201903</v>
      </c>
      <c r="B19" t="s">
        <v>11</v>
      </c>
      <c r="C19">
        <v>34.15127983</v>
      </c>
      <c r="D19">
        <v>3.95923793</v>
      </c>
      <c r="E19" s="156">
        <v>5.0880000000000001</v>
      </c>
      <c r="H19">
        <v>201903</v>
      </c>
      <c r="I19" t="s">
        <v>13</v>
      </c>
      <c r="J19">
        <v>35.628</v>
      </c>
      <c r="K19">
        <v>165.55103046452001</v>
      </c>
      <c r="L19">
        <v>24.34944394899</v>
      </c>
      <c r="O19">
        <v>201903</v>
      </c>
      <c r="P19" t="s">
        <v>14</v>
      </c>
      <c r="Q19">
        <v>13.099975713999999</v>
      </c>
      <c r="R19">
        <v>1.8437988059999999</v>
      </c>
      <c r="S19" s="156">
        <v>4.0220000000000002</v>
      </c>
      <c r="V19">
        <v>201903</v>
      </c>
      <c r="W19" t="s">
        <v>13</v>
      </c>
      <c r="X19">
        <v>35.628</v>
      </c>
      <c r="Y19">
        <v>165.55103046452001</v>
      </c>
      <c r="Z19">
        <v>24.34944394899</v>
      </c>
    </row>
    <row r="20" spans="1:26">
      <c r="A20">
        <v>201903</v>
      </c>
      <c r="B20" t="s">
        <v>9</v>
      </c>
      <c r="C20">
        <v>11.303203002</v>
      </c>
      <c r="D20">
        <v>1.5427651920000001</v>
      </c>
      <c r="E20" s="156">
        <v>1.7410000000000001</v>
      </c>
      <c r="H20">
        <v>201903</v>
      </c>
      <c r="J20">
        <v>7.53</v>
      </c>
      <c r="K20">
        <v>75.805435007849994</v>
      </c>
      <c r="L20">
        <v>7.1142282594099999</v>
      </c>
      <c r="O20">
        <v>201903</v>
      </c>
      <c r="P20" t="s">
        <v>11</v>
      </c>
      <c r="Q20">
        <v>33.760614136000001</v>
      </c>
      <c r="R20">
        <v>3.9203164620000002</v>
      </c>
      <c r="S20" s="156">
        <v>5.0880000000000001</v>
      </c>
      <c r="V20">
        <v>201903</v>
      </c>
      <c r="X20">
        <v>7.53</v>
      </c>
      <c r="Y20">
        <v>75.805435007849994</v>
      </c>
      <c r="Z20">
        <v>7.1142282594099999</v>
      </c>
    </row>
    <row r="21" spans="1:26">
      <c r="A21">
        <v>201903</v>
      </c>
      <c r="B21" t="s">
        <v>14</v>
      </c>
      <c r="C21">
        <v>13.188354366</v>
      </c>
      <c r="D21">
        <v>1.862616654</v>
      </c>
      <c r="E21" s="156">
        <v>4.0220000000000002</v>
      </c>
      <c r="H21">
        <v>201903</v>
      </c>
      <c r="I21" t="s">
        <v>11</v>
      </c>
      <c r="J21">
        <v>25.358000000000001</v>
      </c>
      <c r="K21">
        <v>160.80612986251001</v>
      </c>
      <c r="L21">
        <v>19.48589416686</v>
      </c>
      <c r="O21">
        <v>201903</v>
      </c>
      <c r="Q21">
        <v>8.5990665899999996</v>
      </c>
      <c r="R21">
        <v>0.87595294000000001</v>
      </c>
      <c r="S21" s="156">
        <v>1.377</v>
      </c>
      <c r="V21">
        <v>201903</v>
      </c>
      <c r="W21" t="s">
        <v>11</v>
      </c>
      <c r="X21">
        <v>25.358000000000001</v>
      </c>
      <c r="Y21">
        <v>160.80612986251001</v>
      </c>
      <c r="Z21">
        <v>19.48589416686</v>
      </c>
    </row>
    <row r="22" spans="1:26">
      <c r="A22">
        <v>201903</v>
      </c>
      <c r="C22">
        <v>8.6609129899999999</v>
      </c>
      <c r="D22">
        <v>0.88428284999999995</v>
      </c>
      <c r="E22" s="156">
        <v>1.377</v>
      </c>
      <c r="H22">
        <v>201903</v>
      </c>
      <c r="I22" t="s">
        <v>12</v>
      </c>
      <c r="J22">
        <v>39.896999999999998</v>
      </c>
      <c r="K22">
        <v>226.46096020151001</v>
      </c>
      <c r="L22">
        <v>30.350778553440001</v>
      </c>
      <c r="O22">
        <v>201903</v>
      </c>
      <c r="P22" t="s">
        <v>10</v>
      </c>
      <c r="Q22">
        <v>34.128197759999999</v>
      </c>
      <c r="R22">
        <v>4.0430520899999998</v>
      </c>
      <c r="S22" s="156">
        <v>4.46</v>
      </c>
      <c r="V22">
        <v>201903</v>
      </c>
      <c r="W22" t="s">
        <v>12</v>
      </c>
      <c r="X22">
        <v>39.896999999999998</v>
      </c>
      <c r="Y22">
        <v>226.46096020151001</v>
      </c>
      <c r="Z22">
        <v>30.350778553440001</v>
      </c>
    </row>
    <row r="23" spans="1:26">
      <c r="A23">
        <v>201903</v>
      </c>
      <c r="B23" t="s">
        <v>12</v>
      </c>
      <c r="C23">
        <v>54.719457550000001</v>
      </c>
      <c r="D23">
        <v>6.6102085219999998</v>
      </c>
      <c r="E23" s="156">
        <v>9.3569999999999993</v>
      </c>
      <c r="H23">
        <v>201903</v>
      </c>
      <c r="I23" t="s">
        <v>10</v>
      </c>
      <c r="J23">
        <v>25.616</v>
      </c>
      <c r="K23">
        <v>197.77605258537</v>
      </c>
      <c r="L23">
        <v>20.661572001189999</v>
      </c>
      <c r="O23">
        <v>201903</v>
      </c>
      <c r="P23" t="s">
        <v>12</v>
      </c>
      <c r="Q23">
        <v>53.680144196000001</v>
      </c>
      <c r="R23">
        <v>6.5271495340000003</v>
      </c>
      <c r="S23" s="156">
        <v>9.3569999999999993</v>
      </c>
      <c r="V23">
        <v>201903</v>
      </c>
      <c r="W23" t="s">
        <v>10</v>
      </c>
      <c r="X23">
        <v>25.616</v>
      </c>
      <c r="Y23">
        <v>197.77605258537</v>
      </c>
      <c r="Z23">
        <v>20.661572001189999</v>
      </c>
    </row>
    <row r="24" spans="1:26">
      <c r="A24">
        <v>201903</v>
      </c>
      <c r="B24" t="s">
        <v>10</v>
      </c>
      <c r="C24">
        <v>34.674452694000003</v>
      </c>
      <c r="D24">
        <v>4.098717132</v>
      </c>
      <c r="E24" s="156">
        <v>4.46</v>
      </c>
      <c r="H24">
        <v>201903</v>
      </c>
      <c r="I24" t="s">
        <v>14</v>
      </c>
      <c r="J24">
        <v>15.779</v>
      </c>
      <c r="K24">
        <v>50.635419542549997</v>
      </c>
      <c r="L24">
        <v>8.8925175741199993</v>
      </c>
      <c r="O24">
        <v>201903</v>
      </c>
      <c r="P24" t="s">
        <v>13</v>
      </c>
      <c r="Q24">
        <v>43.759834779999998</v>
      </c>
      <c r="R24">
        <v>5.3643189939999996</v>
      </c>
      <c r="S24" s="156">
        <v>8.91</v>
      </c>
      <c r="V24">
        <v>201903</v>
      </c>
      <c r="W24" t="s">
        <v>14</v>
      </c>
      <c r="X24">
        <v>15.779</v>
      </c>
      <c r="Y24">
        <v>50.635419542549997</v>
      </c>
      <c r="Z24">
        <v>8.8925175741199993</v>
      </c>
    </row>
    <row r="25" spans="1:26">
      <c r="A25">
        <v>201904</v>
      </c>
      <c r="B25" t="s">
        <v>14</v>
      </c>
      <c r="C25">
        <v>16.164510572000001</v>
      </c>
      <c r="D25">
        <v>2.2609275559999999</v>
      </c>
      <c r="E25" s="156">
        <v>5.0999999999999996</v>
      </c>
      <c r="H25">
        <v>201904</v>
      </c>
      <c r="J25">
        <v>6.7249999999999996</v>
      </c>
      <c r="K25">
        <v>65.141736935680001</v>
      </c>
      <c r="L25">
        <v>6.3891291822499996</v>
      </c>
      <c r="O25">
        <v>201904</v>
      </c>
      <c r="P25" t="s">
        <v>10</v>
      </c>
      <c r="Q25">
        <v>40.118263784</v>
      </c>
      <c r="R25">
        <v>4.6788384939999998</v>
      </c>
      <c r="S25" s="156">
        <v>5.5869999999999997</v>
      </c>
      <c r="V25">
        <v>201904</v>
      </c>
      <c r="X25">
        <v>6.7249999999999996</v>
      </c>
      <c r="Y25">
        <v>65.141736935680001</v>
      </c>
      <c r="Z25">
        <v>6.3891291822499996</v>
      </c>
    </row>
    <row r="26" spans="1:26">
      <c r="A26">
        <v>201904</v>
      </c>
      <c r="B26" t="s">
        <v>13</v>
      </c>
      <c r="C26">
        <v>44.788854231999998</v>
      </c>
      <c r="D26">
        <v>6.0380136980000003</v>
      </c>
      <c r="E26" s="156">
        <v>10.532</v>
      </c>
      <c r="H26">
        <v>201904</v>
      </c>
      <c r="I26" t="s">
        <v>9</v>
      </c>
      <c r="J26">
        <v>12.837</v>
      </c>
      <c r="K26">
        <v>87.656201343730004</v>
      </c>
      <c r="L26">
        <v>9.6211442439900008</v>
      </c>
      <c r="O26">
        <v>201904</v>
      </c>
      <c r="P26" t="s">
        <v>13</v>
      </c>
      <c r="Q26">
        <v>43.584674477999997</v>
      </c>
      <c r="R26">
        <v>5.9614511959999996</v>
      </c>
      <c r="S26" s="156">
        <v>10.532</v>
      </c>
      <c r="V26">
        <v>201904</v>
      </c>
      <c r="W26" t="s">
        <v>9</v>
      </c>
      <c r="X26">
        <v>12.837</v>
      </c>
      <c r="Y26">
        <v>87.656201343730004</v>
      </c>
      <c r="Z26">
        <v>9.6211442439900008</v>
      </c>
    </row>
    <row r="27" spans="1:26">
      <c r="A27">
        <v>201904</v>
      </c>
      <c r="B27" t="s">
        <v>12</v>
      </c>
      <c r="C27">
        <v>58.185405492000001</v>
      </c>
      <c r="D27">
        <v>7.1436001060000001</v>
      </c>
      <c r="E27" s="156">
        <v>10.073</v>
      </c>
      <c r="H27">
        <v>201904</v>
      </c>
      <c r="I27" t="s">
        <v>12</v>
      </c>
      <c r="J27">
        <v>35.524000000000001</v>
      </c>
      <c r="K27">
        <v>189.33006128021</v>
      </c>
      <c r="L27">
        <v>25.023597792179999</v>
      </c>
      <c r="O27">
        <v>201904</v>
      </c>
      <c r="P27" t="s">
        <v>14</v>
      </c>
      <c r="Q27">
        <v>15.895282492</v>
      </c>
      <c r="R27">
        <v>2.2357748260000001</v>
      </c>
      <c r="S27" s="156">
        <v>5.0999999999999996</v>
      </c>
      <c r="V27">
        <v>201904</v>
      </c>
      <c r="W27" t="s">
        <v>12</v>
      </c>
      <c r="X27">
        <v>35.524000000000001</v>
      </c>
      <c r="Y27">
        <v>189.33006128021</v>
      </c>
      <c r="Z27">
        <v>25.023597792179999</v>
      </c>
    </row>
    <row r="28" spans="1:26">
      <c r="A28">
        <v>201904</v>
      </c>
      <c r="B28" t="s">
        <v>9</v>
      </c>
      <c r="C28">
        <v>14.899086128</v>
      </c>
      <c r="D28">
        <v>1.8981191079999999</v>
      </c>
      <c r="E28" s="156">
        <v>2.0670000000000002</v>
      </c>
      <c r="H28">
        <v>201904</v>
      </c>
      <c r="I28" t="s">
        <v>14</v>
      </c>
      <c r="J28">
        <v>15.949</v>
      </c>
      <c r="K28">
        <v>45.098273251720002</v>
      </c>
      <c r="L28">
        <v>8.3641917572699995</v>
      </c>
      <c r="O28">
        <v>201904</v>
      </c>
      <c r="P28" t="s">
        <v>9</v>
      </c>
      <c r="Q28">
        <v>14.672338935999999</v>
      </c>
      <c r="R28">
        <v>1.8584337639999999</v>
      </c>
      <c r="S28" s="156">
        <v>2.0670000000000002</v>
      </c>
      <c r="V28">
        <v>201904</v>
      </c>
      <c r="W28" t="s">
        <v>14</v>
      </c>
      <c r="X28">
        <v>15.949</v>
      </c>
      <c r="Y28">
        <v>45.098273251720002</v>
      </c>
      <c r="Z28">
        <v>8.3641917572699995</v>
      </c>
    </row>
    <row r="29" spans="1:26">
      <c r="A29">
        <v>201904</v>
      </c>
      <c r="B29" t="s">
        <v>11</v>
      </c>
      <c r="C29">
        <v>42.530902677999997</v>
      </c>
      <c r="D29">
        <v>5.1190287139999997</v>
      </c>
      <c r="E29" s="156">
        <v>6.2830000000000004</v>
      </c>
      <c r="H29">
        <v>201904</v>
      </c>
      <c r="I29" t="s">
        <v>10</v>
      </c>
      <c r="J29">
        <v>25.103000000000002</v>
      </c>
      <c r="K29">
        <v>182.54087491287001</v>
      </c>
      <c r="L29">
        <v>19.254014524860001</v>
      </c>
      <c r="O29">
        <v>201904</v>
      </c>
      <c r="P29" t="s">
        <v>12</v>
      </c>
      <c r="Q29">
        <v>57.762378402000003</v>
      </c>
      <c r="R29">
        <v>7.0814172739999997</v>
      </c>
      <c r="S29" s="156">
        <v>10.073</v>
      </c>
      <c r="V29">
        <v>201904</v>
      </c>
      <c r="W29" t="s">
        <v>10</v>
      </c>
      <c r="X29">
        <v>25.103000000000002</v>
      </c>
      <c r="Y29">
        <v>182.54087491287001</v>
      </c>
      <c r="Z29">
        <v>19.254014524860001</v>
      </c>
    </row>
    <row r="30" spans="1:26">
      <c r="A30">
        <v>201904</v>
      </c>
      <c r="C30">
        <v>6.2767083479999997</v>
      </c>
      <c r="D30">
        <v>0.82799532600000003</v>
      </c>
      <c r="E30" s="156">
        <v>1.4870000000000001</v>
      </c>
      <c r="H30">
        <v>201904</v>
      </c>
      <c r="I30" t="s">
        <v>13</v>
      </c>
      <c r="J30">
        <v>32.697000000000003</v>
      </c>
      <c r="K30">
        <v>131.91383621452999</v>
      </c>
      <c r="L30">
        <v>20.02519093075</v>
      </c>
      <c r="O30">
        <v>201904</v>
      </c>
      <c r="Q30">
        <v>6.2312950880000004</v>
      </c>
      <c r="R30">
        <v>0.82025553600000001</v>
      </c>
      <c r="S30" s="156">
        <v>1.4870000000000001</v>
      </c>
      <c r="V30">
        <v>201904</v>
      </c>
      <c r="W30" t="s">
        <v>13</v>
      </c>
      <c r="X30">
        <v>32.697000000000003</v>
      </c>
      <c r="Y30">
        <v>131.91383621452999</v>
      </c>
      <c r="Z30">
        <v>20.02519093075</v>
      </c>
    </row>
    <row r="31" spans="1:26">
      <c r="A31">
        <v>201904</v>
      </c>
      <c r="B31" t="s">
        <v>10</v>
      </c>
      <c r="C31">
        <v>41.048808768000001</v>
      </c>
      <c r="D31">
        <v>4.7550767699999996</v>
      </c>
      <c r="E31" s="156">
        <v>5.5869999999999997</v>
      </c>
      <c r="H31">
        <v>201904</v>
      </c>
      <c r="I31" t="s">
        <v>11</v>
      </c>
      <c r="J31">
        <v>23.879000000000001</v>
      </c>
      <c r="K31">
        <v>145.26954664883999</v>
      </c>
      <c r="L31">
        <v>17.987597630989999</v>
      </c>
      <c r="O31">
        <v>201904</v>
      </c>
      <c r="P31" t="s">
        <v>11</v>
      </c>
      <c r="Q31">
        <v>41.533511910000001</v>
      </c>
      <c r="R31">
        <v>5.0253741859999996</v>
      </c>
      <c r="S31" s="156">
        <v>6.2830000000000004</v>
      </c>
      <c r="V31">
        <v>201904</v>
      </c>
      <c r="W31" t="s">
        <v>11</v>
      </c>
      <c r="X31">
        <v>23.879000000000001</v>
      </c>
      <c r="Y31">
        <v>145.26954664883999</v>
      </c>
      <c r="Z31">
        <v>17.987597630989999</v>
      </c>
    </row>
    <row r="32" spans="1:26">
      <c r="A32">
        <v>201905</v>
      </c>
      <c r="B32" t="s">
        <v>10</v>
      </c>
      <c r="C32">
        <v>43.183207924000001</v>
      </c>
      <c r="D32">
        <v>5.5915011359999998</v>
      </c>
      <c r="E32" s="156">
        <v>6.7880000000000003</v>
      </c>
      <c r="H32">
        <v>201905</v>
      </c>
      <c r="I32" t="s">
        <v>12</v>
      </c>
      <c r="J32">
        <v>38.277000000000001</v>
      </c>
      <c r="K32">
        <v>215.11019270397</v>
      </c>
      <c r="L32">
        <v>28.37060048687</v>
      </c>
      <c r="O32">
        <v>201905</v>
      </c>
      <c r="P32" t="s">
        <v>10</v>
      </c>
      <c r="Q32">
        <v>42.627247879999999</v>
      </c>
      <c r="R32">
        <v>5.5396129360000002</v>
      </c>
      <c r="S32" s="156">
        <v>6.7880000000000003</v>
      </c>
      <c r="V32">
        <v>201905</v>
      </c>
      <c r="W32" t="s">
        <v>12</v>
      </c>
      <c r="X32">
        <v>38.277000000000001</v>
      </c>
      <c r="Y32">
        <v>215.11019270397</v>
      </c>
      <c r="Z32">
        <v>28.37060048687</v>
      </c>
    </row>
    <row r="33" spans="1:26">
      <c r="A33">
        <v>201905</v>
      </c>
      <c r="B33" t="s">
        <v>13</v>
      </c>
      <c r="C33">
        <v>57.324476848000003</v>
      </c>
      <c r="D33">
        <v>7.4355147600000002</v>
      </c>
      <c r="E33" s="156">
        <v>12.25</v>
      </c>
      <c r="H33">
        <v>201905</v>
      </c>
      <c r="I33" t="s">
        <v>14</v>
      </c>
      <c r="J33">
        <v>18.256</v>
      </c>
      <c r="K33">
        <v>55.67746003557</v>
      </c>
      <c r="L33">
        <v>9.7193850304900007</v>
      </c>
      <c r="O33">
        <v>201905</v>
      </c>
      <c r="P33" t="s">
        <v>9</v>
      </c>
      <c r="Q33">
        <v>13.478114022</v>
      </c>
      <c r="R33">
        <v>2.1130174359999998</v>
      </c>
      <c r="S33" s="156">
        <v>2.5489999999999999</v>
      </c>
      <c r="V33">
        <v>201905</v>
      </c>
      <c r="W33" t="s">
        <v>14</v>
      </c>
      <c r="X33">
        <v>18.256</v>
      </c>
      <c r="Y33">
        <v>55.67746003557</v>
      </c>
      <c r="Z33">
        <v>9.7193850304900007</v>
      </c>
    </row>
    <row r="34" spans="1:26">
      <c r="A34">
        <v>201905</v>
      </c>
      <c r="B34" t="s">
        <v>9</v>
      </c>
      <c r="C34">
        <v>13.550249704000001</v>
      </c>
      <c r="D34">
        <v>2.130611204</v>
      </c>
      <c r="E34" s="156">
        <v>2.5489999999999999</v>
      </c>
      <c r="H34">
        <v>201905</v>
      </c>
      <c r="J34">
        <v>5.7960000000000003</v>
      </c>
      <c r="K34">
        <v>50.011205726870003</v>
      </c>
      <c r="L34">
        <v>5.4063601500300003</v>
      </c>
      <c r="O34">
        <v>201905</v>
      </c>
      <c r="P34" t="s">
        <v>13</v>
      </c>
      <c r="Q34">
        <v>56.734038335999998</v>
      </c>
      <c r="R34">
        <v>7.3704177480000004</v>
      </c>
      <c r="S34" s="156">
        <v>12.25</v>
      </c>
      <c r="V34">
        <v>201905</v>
      </c>
      <c r="X34">
        <v>5.7960000000000003</v>
      </c>
      <c r="Y34">
        <v>50.011205726870003</v>
      </c>
      <c r="Z34">
        <v>5.4063601500300003</v>
      </c>
    </row>
    <row r="35" spans="1:26">
      <c r="A35">
        <v>201905</v>
      </c>
      <c r="B35" t="s">
        <v>14</v>
      </c>
      <c r="C35">
        <v>19.392325652</v>
      </c>
      <c r="D35">
        <v>2.9035342439999998</v>
      </c>
      <c r="E35" s="156">
        <v>6.2910000000000004</v>
      </c>
      <c r="H35">
        <v>201905</v>
      </c>
      <c r="I35" t="s">
        <v>13</v>
      </c>
      <c r="J35">
        <v>35.951000000000001</v>
      </c>
      <c r="K35">
        <v>159.27446387346001</v>
      </c>
      <c r="L35">
        <v>23.681004248800001</v>
      </c>
      <c r="O35">
        <v>201905</v>
      </c>
      <c r="P35" t="s">
        <v>11</v>
      </c>
      <c r="Q35">
        <v>47.132402524</v>
      </c>
      <c r="R35">
        <v>5.940499354</v>
      </c>
      <c r="S35" s="156">
        <v>7.5830000000000002</v>
      </c>
      <c r="V35">
        <v>201905</v>
      </c>
      <c r="W35" t="s">
        <v>13</v>
      </c>
      <c r="X35">
        <v>35.951000000000001</v>
      </c>
      <c r="Y35">
        <v>159.27446387346001</v>
      </c>
      <c r="Z35">
        <v>23.681004248800001</v>
      </c>
    </row>
    <row r="36" spans="1:26">
      <c r="A36">
        <v>201905</v>
      </c>
      <c r="B36" t="s">
        <v>11</v>
      </c>
      <c r="C36">
        <v>48.281272622000003</v>
      </c>
      <c r="D36">
        <v>6.0335332560000001</v>
      </c>
      <c r="E36" s="156">
        <v>7.5830000000000002</v>
      </c>
      <c r="H36">
        <v>201905</v>
      </c>
      <c r="I36" t="s">
        <v>10</v>
      </c>
      <c r="J36">
        <v>27.495000000000001</v>
      </c>
      <c r="K36">
        <v>173.00962590899999</v>
      </c>
      <c r="L36">
        <v>20.898348321930001</v>
      </c>
      <c r="O36">
        <v>201905</v>
      </c>
      <c r="P36" t="s">
        <v>12</v>
      </c>
      <c r="Q36">
        <v>68.982110320000004</v>
      </c>
      <c r="R36">
        <v>8.7605619180000005</v>
      </c>
      <c r="S36" s="156">
        <v>12.189</v>
      </c>
      <c r="V36">
        <v>201905</v>
      </c>
      <c r="W36" t="s">
        <v>10</v>
      </c>
      <c r="X36">
        <v>27.495000000000001</v>
      </c>
      <c r="Y36">
        <v>173.00962590899999</v>
      </c>
      <c r="Z36">
        <v>20.898348321930001</v>
      </c>
    </row>
    <row r="37" spans="1:26">
      <c r="A37">
        <v>201905</v>
      </c>
      <c r="B37" t="s">
        <v>12</v>
      </c>
      <c r="C37">
        <v>69.879206593999996</v>
      </c>
      <c r="D37">
        <v>8.8458227699999998</v>
      </c>
      <c r="E37" s="156">
        <v>12.189</v>
      </c>
      <c r="H37">
        <v>201905</v>
      </c>
      <c r="I37" t="s">
        <v>9</v>
      </c>
      <c r="J37">
        <v>14.532</v>
      </c>
      <c r="K37">
        <v>89.844016580320002</v>
      </c>
      <c r="L37">
        <v>10.701178952739999</v>
      </c>
      <c r="O37">
        <v>201905</v>
      </c>
      <c r="Q37">
        <v>6.7161155739999998</v>
      </c>
      <c r="R37">
        <v>0.81740299800000005</v>
      </c>
      <c r="S37" s="156">
        <v>1.36</v>
      </c>
      <c r="V37">
        <v>201905</v>
      </c>
      <c r="W37" t="s">
        <v>9</v>
      </c>
      <c r="X37">
        <v>14.532</v>
      </c>
      <c r="Y37">
        <v>89.844016580320002</v>
      </c>
      <c r="Z37">
        <v>10.701178952739999</v>
      </c>
    </row>
    <row r="38" spans="1:26">
      <c r="A38">
        <v>201905</v>
      </c>
      <c r="C38">
        <v>6.7996527340000004</v>
      </c>
      <c r="D38">
        <v>0.82432461800000001</v>
      </c>
      <c r="E38" s="156">
        <v>1.36</v>
      </c>
      <c r="H38">
        <v>201905</v>
      </c>
      <c r="I38" t="s">
        <v>11</v>
      </c>
      <c r="J38">
        <v>26.146999999999998</v>
      </c>
      <c r="K38">
        <v>166.08538941869</v>
      </c>
      <c r="L38">
        <v>19.804476514779999</v>
      </c>
      <c r="O38">
        <v>201905</v>
      </c>
      <c r="P38" t="s">
        <v>14</v>
      </c>
      <c r="Q38">
        <v>19.228485750000001</v>
      </c>
      <c r="R38">
        <v>2.8809300859999998</v>
      </c>
      <c r="S38" s="156">
        <v>6.2910000000000004</v>
      </c>
      <c r="V38">
        <v>201905</v>
      </c>
      <c r="W38" t="s">
        <v>11</v>
      </c>
      <c r="X38">
        <v>26.146999999999998</v>
      </c>
      <c r="Y38">
        <v>166.08538941869</v>
      </c>
      <c r="Z38">
        <v>19.804476514779999</v>
      </c>
    </row>
    <row r="39" spans="1:26">
      <c r="A39">
        <v>201906</v>
      </c>
      <c r="B39" t="s">
        <v>9</v>
      </c>
      <c r="C39">
        <v>17.502308935999999</v>
      </c>
      <c r="D39">
        <v>2.246153632</v>
      </c>
      <c r="E39" s="156">
        <v>2.4449999999999998</v>
      </c>
      <c r="H39">
        <v>201906</v>
      </c>
      <c r="I39" t="s">
        <v>13</v>
      </c>
      <c r="J39">
        <v>34.761000000000003</v>
      </c>
      <c r="K39">
        <v>149.24110014307999</v>
      </c>
      <c r="L39">
        <v>21.740744763750001</v>
      </c>
      <c r="O39">
        <v>201906</v>
      </c>
      <c r="P39" t="s">
        <v>12</v>
      </c>
      <c r="Q39">
        <v>67.347100979999993</v>
      </c>
      <c r="R39">
        <v>8.5110245100000004</v>
      </c>
      <c r="S39" s="156">
        <v>11.794</v>
      </c>
      <c r="V39">
        <v>201906</v>
      </c>
      <c r="W39" t="s">
        <v>13</v>
      </c>
      <c r="X39">
        <v>34.761000000000003</v>
      </c>
      <c r="Y39">
        <v>149.24110014307999</v>
      </c>
      <c r="Z39">
        <v>21.740744763750001</v>
      </c>
    </row>
    <row r="40" spans="1:26">
      <c r="A40">
        <v>201906</v>
      </c>
      <c r="B40" t="s">
        <v>14</v>
      </c>
      <c r="C40">
        <v>19.634990236</v>
      </c>
      <c r="D40">
        <v>3.1635076940000002</v>
      </c>
      <c r="E40" s="156">
        <v>6.6390000000000002</v>
      </c>
      <c r="H40">
        <v>201906</v>
      </c>
      <c r="I40" t="s">
        <v>10</v>
      </c>
      <c r="J40">
        <v>25.625</v>
      </c>
      <c r="K40">
        <v>159.90252780725001</v>
      </c>
      <c r="L40">
        <v>19.106062996169999</v>
      </c>
      <c r="O40">
        <v>201906</v>
      </c>
      <c r="P40" t="s">
        <v>10</v>
      </c>
      <c r="Q40">
        <v>45.368860927999997</v>
      </c>
      <c r="R40">
        <v>5.56877537</v>
      </c>
      <c r="S40" s="156">
        <v>6.6710000000000003</v>
      </c>
      <c r="V40">
        <v>201906</v>
      </c>
      <c r="W40" t="s">
        <v>10</v>
      </c>
      <c r="X40">
        <v>25.625</v>
      </c>
      <c r="Y40">
        <v>159.90252780725001</v>
      </c>
      <c r="Z40">
        <v>19.106062996169999</v>
      </c>
    </row>
    <row r="41" spans="1:26">
      <c r="A41">
        <v>201906</v>
      </c>
      <c r="C41">
        <v>5.5381387420000001</v>
      </c>
      <c r="D41">
        <v>0.70331289600000002</v>
      </c>
      <c r="E41" s="156">
        <v>1.173</v>
      </c>
      <c r="H41">
        <v>201906</v>
      </c>
      <c r="I41" t="s">
        <v>12</v>
      </c>
      <c r="J41">
        <v>36.637</v>
      </c>
      <c r="K41">
        <v>181.69185006429001</v>
      </c>
      <c r="L41">
        <v>25.804319039789998</v>
      </c>
      <c r="O41">
        <v>201906</v>
      </c>
      <c r="P41" t="s">
        <v>11</v>
      </c>
      <c r="Q41">
        <v>52.550501509999997</v>
      </c>
      <c r="R41">
        <v>5.9888950159999998</v>
      </c>
      <c r="S41" s="156">
        <v>7.32</v>
      </c>
      <c r="V41">
        <v>201906</v>
      </c>
      <c r="W41" t="s">
        <v>12</v>
      </c>
      <c r="X41">
        <v>36.637</v>
      </c>
      <c r="Y41">
        <v>181.69185006429001</v>
      </c>
      <c r="Z41">
        <v>25.804319039789998</v>
      </c>
    </row>
    <row r="42" spans="1:26">
      <c r="A42">
        <v>201906</v>
      </c>
      <c r="B42" t="s">
        <v>10</v>
      </c>
      <c r="C42">
        <v>49.456792649999997</v>
      </c>
      <c r="D42">
        <v>6.0755531139999999</v>
      </c>
      <c r="E42" s="156">
        <v>6.6710000000000003</v>
      </c>
      <c r="H42">
        <v>201906</v>
      </c>
      <c r="J42">
        <v>5.2270000000000003</v>
      </c>
      <c r="K42">
        <v>43.074161797110001</v>
      </c>
      <c r="L42">
        <v>4.4432988338900001</v>
      </c>
      <c r="O42">
        <v>201906</v>
      </c>
      <c r="Q42">
        <v>5.3759869819999997</v>
      </c>
      <c r="R42">
        <v>0.68455706599999999</v>
      </c>
      <c r="S42" s="156">
        <v>1.173</v>
      </c>
      <c r="V42">
        <v>201906</v>
      </c>
      <c r="X42">
        <v>5.2270000000000003</v>
      </c>
      <c r="Y42">
        <v>43.074161797110001</v>
      </c>
      <c r="Z42">
        <v>4.4432988338900001</v>
      </c>
    </row>
    <row r="43" spans="1:26">
      <c r="A43">
        <v>201906</v>
      </c>
      <c r="B43" t="s">
        <v>11</v>
      </c>
      <c r="C43">
        <v>56.553983956000003</v>
      </c>
      <c r="D43">
        <v>6.4972658579999996</v>
      </c>
      <c r="E43" s="156">
        <v>7.32</v>
      </c>
      <c r="H43">
        <v>201906</v>
      </c>
      <c r="I43" t="s">
        <v>9</v>
      </c>
      <c r="J43">
        <v>13.465999999999999</v>
      </c>
      <c r="K43">
        <v>67.236371236210005</v>
      </c>
      <c r="L43">
        <v>8.9498094046700007</v>
      </c>
      <c r="O43">
        <v>201906</v>
      </c>
      <c r="P43" t="s">
        <v>14</v>
      </c>
      <c r="Q43">
        <v>17.792229758000001</v>
      </c>
      <c r="R43">
        <v>2.8452514519999998</v>
      </c>
      <c r="S43" s="156">
        <v>6.6390000000000002</v>
      </c>
      <c r="V43">
        <v>201906</v>
      </c>
      <c r="W43" t="s">
        <v>9</v>
      </c>
      <c r="X43">
        <v>13.465999999999999</v>
      </c>
      <c r="Y43">
        <v>67.236371236210005</v>
      </c>
      <c r="Z43">
        <v>8.9498094046700007</v>
      </c>
    </row>
    <row r="44" spans="1:26">
      <c r="A44">
        <v>201906</v>
      </c>
      <c r="B44" t="s">
        <v>12</v>
      </c>
      <c r="C44">
        <v>74.282593543999994</v>
      </c>
      <c r="D44">
        <v>9.4434598059999999</v>
      </c>
      <c r="E44" s="156">
        <v>11.794</v>
      </c>
      <c r="H44">
        <v>201906</v>
      </c>
      <c r="I44" t="s">
        <v>11</v>
      </c>
      <c r="J44">
        <v>24.582999999999998</v>
      </c>
      <c r="K44">
        <v>139.02479244061001</v>
      </c>
      <c r="L44">
        <v>18.040903591639999</v>
      </c>
      <c r="O44">
        <v>201906</v>
      </c>
      <c r="P44" t="s">
        <v>13</v>
      </c>
      <c r="Q44">
        <v>54.461684114000001</v>
      </c>
      <c r="R44">
        <v>7.1155313260000002</v>
      </c>
      <c r="S44" s="156">
        <v>12.101000000000001</v>
      </c>
      <c r="V44">
        <v>201906</v>
      </c>
      <c r="W44" t="s">
        <v>11</v>
      </c>
      <c r="X44">
        <v>24.582999999999998</v>
      </c>
      <c r="Y44">
        <v>139.02479244061001</v>
      </c>
      <c r="Z44">
        <v>18.040903591639999</v>
      </c>
    </row>
    <row r="45" spans="1:26">
      <c r="A45">
        <v>201906</v>
      </c>
      <c r="B45" t="s">
        <v>13</v>
      </c>
      <c r="C45">
        <v>60.531620449999998</v>
      </c>
      <c r="D45">
        <v>7.8990738800000004</v>
      </c>
      <c r="E45" s="156">
        <v>12.101000000000001</v>
      </c>
      <c r="H45">
        <v>201906</v>
      </c>
      <c r="I45" t="s">
        <v>14</v>
      </c>
      <c r="J45">
        <v>18.393000000000001</v>
      </c>
      <c r="K45">
        <v>47.936155930159998</v>
      </c>
      <c r="L45">
        <v>9.1914605041600002</v>
      </c>
      <c r="O45">
        <v>201906</v>
      </c>
      <c r="P45" t="s">
        <v>9</v>
      </c>
      <c r="Q45">
        <v>15.640880948</v>
      </c>
      <c r="R45">
        <v>2.0330010860000001</v>
      </c>
      <c r="S45" s="156">
        <v>2.4449999999999998</v>
      </c>
      <c r="V45">
        <v>201906</v>
      </c>
      <c r="W45" t="s">
        <v>14</v>
      </c>
      <c r="X45">
        <v>18.393000000000001</v>
      </c>
      <c r="Y45">
        <v>47.936155930159998</v>
      </c>
      <c r="Z45">
        <v>9.1914605041600002</v>
      </c>
    </row>
    <row r="46" spans="1:26">
      <c r="A46">
        <v>201907</v>
      </c>
      <c r="B46" t="s">
        <v>13</v>
      </c>
      <c r="C46">
        <v>60.783632814000001</v>
      </c>
      <c r="D46">
        <v>8.3193829099999999</v>
      </c>
      <c r="E46" s="156">
        <v>12.186999999999999</v>
      </c>
      <c r="H46">
        <v>201907</v>
      </c>
      <c r="I46" t="s">
        <v>10</v>
      </c>
      <c r="J46">
        <v>24.67</v>
      </c>
      <c r="K46">
        <v>141.2628595164</v>
      </c>
      <c r="L46">
        <v>17.102707537280001</v>
      </c>
      <c r="O46">
        <v>201907</v>
      </c>
      <c r="P46" t="s">
        <v>9</v>
      </c>
      <c r="Q46">
        <v>17.069510013999999</v>
      </c>
      <c r="R46">
        <v>2.33144646</v>
      </c>
      <c r="S46" s="156">
        <v>2.464</v>
      </c>
      <c r="V46">
        <v>201907</v>
      </c>
      <c r="W46" t="s">
        <v>10</v>
      </c>
      <c r="X46">
        <v>24.67</v>
      </c>
      <c r="Y46">
        <v>141.2628595164</v>
      </c>
      <c r="Z46">
        <v>17.102707537280001</v>
      </c>
    </row>
    <row r="47" spans="1:26">
      <c r="A47">
        <v>201907</v>
      </c>
      <c r="C47">
        <v>6.726834674</v>
      </c>
      <c r="D47">
        <v>0.78183788399999998</v>
      </c>
      <c r="E47" s="156">
        <v>1.244</v>
      </c>
      <c r="H47">
        <v>201907</v>
      </c>
      <c r="I47" t="s">
        <v>12</v>
      </c>
      <c r="J47">
        <v>34.752000000000002</v>
      </c>
      <c r="K47">
        <v>164.1503726352</v>
      </c>
      <c r="L47">
        <v>22.783131167280001</v>
      </c>
      <c r="O47">
        <v>201907</v>
      </c>
      <c r="P47" t="s">
        <v>13</v>
      </c>
      <c r="Q47">
        <v>55.954616512000001</v>
      </c>
      <c r="R47">
        <v>7.6676412359999997</v>
      </c>
      <c r="S47" s="156">
        <v>12.186999999999999</v>
      </c>
      <c r="V47">
        <v>201907</v>
      </c>
      <c r="W47" t="s">
        <v>12</v>
      </c>
      <c r="X47">
        <v>34.752000000000002</v>
      </c>
      <c r="Y47">
        <v>164.1503726352</v>
      </c>
      <c r="Z47">
        <v>22.783131167280001</v>
      </c>
    </row>
    <row r="48" spans="1:26">
      <c r="A48">
        <v>201907</v>
      </c>
      <c r="B48" t="s">
        <v>14</v>
      </c>
      <c r="C48">
        <v>23.405436076000001</v>
      </c>
      <c r="D48">
        <v>3.5171234519999999</v>
      </c>
      <c r="E48" s="156">
        <v>7.2130000000000001</v>
      </c>
      <c r="H48">
        <v>201907</v>
      </c>
      <c r="I48" t="s">
        <v>11</v>
      </c>
      <c r="J48">
        <v>23.567</v>
      </c>
      <c r="K48">
        <v>129.93196818605</v>
      </c>
      <c r="L48">
        <v>16.362845621990001</v>
      </c>
      <c r="O48">
        <v>201907</v>
      </c>
      <c r="P48" t="s">
        <v>14</v>
      </c>
      <c r="Q48">
        <v>21.661740120000001</v>
      </c>
      <c r="R48">
        <v>3.2431125679999999</v>
      </c>
      <c r="S48" s="156">
        <v>7.2130000000000001</v>
      </c>
      <c r="V48">
        <v>201907</v>
      </c>
      <c r="W48" t="s">
        <v>11</v>
      </c>
      <c r="X48">
        <v>23.567</v>
      </c>
      <c r="Y48">
        <v>129.93196818605</v>
      </c>
      <c r="Z48">
        <v>16.362845621990001</v>
      </c>
    </row>
    <row r="49" spans="1:26">
      <c r="A49">
        <v>201907</v>
      </c>
      <c r="B49" t="s">
        <v>9</v>
      </c>
      <c r="C49">
        <v>18.321725084000001</v>
      </c>
      <c r="D49">
        <v>2.5115072660000002</v>
      </c>
      <c r="E49" s="156">
        <v>2.464</v>
      </c>
      <c r="H49">
        <v>201907</v>
      </c>
      <c r="I49" t="s">
        <v>14</v>
      </c>
      <c r="J49">
        <v>18.843</v>
      </c>
      <c r="K49">
        <v>46.297651477990001</v>
      </c>
      <c r="L49">
        <v>8.18184260618</v>
      </c>
      <c r="O49">
        <v>201907</v>
      </c>
      <c r="P49" t="s">
        <v>12</v>
      </c>
      <c r="Q49">
        <v>80.396117454000006</v>
      </c>
      <c r="R49">
        <v>9.7865885559999999</v>
      </c>
      <c r="S49" s="156">
        <v>11.807</v>
      </c>
      <c r="V49">
        <v>201907</v>
      </c>
      <c r="W49" t="s">
        <v>14</v>
      </c>
      <c r="X49">
        <v>18.843</v>
      </c>
      <c r="Y49">
        <v>46.297651477990001</v>
      </c>
      <c r="Z49">
        <v>8.18184260618</v>
      </c>
    </row>
    <row r="50" spans="1:26">
      <c r="A50">
        <v>201907</v>
      </c>
      <c r="B50" t="s">
        <v>11</v>
      </c>
      <c r="C50">
        <v>63.981174815999999</v>
      </c>
      <c r="D50">
        <v>7.2246606260000004</v>
      </c>
      <c r="E50" s="156">
        <v>7.2119999999999997</v>
      </c>
      <c r="H50">
        <v>201907</v>
      </c>
      <c r="J50">
        <v>5.7789999999999999</v>
      </c>
      <c r="K50">
        <v>43.533129745010001</v>
      </c>
      <c r="L50">
        <v>4.3610311749099999</v>
      </c>
      <c r="O50">
        <v>201907</v>
      </c>
      <c r="Q50">
        <v>6.4753174060000003</v>
      </c>
      <c r="R50">
        <v>0.76815013600000004</v>
      </c>
      <c r="S50" s="156">
        <v>1.244</v>
      </c>
      <c r="V50">
        <v>201907</v>
      </c>
      <c r="X50">
        <v>5.7789999999999999</v>
      </c>
      <c r="Y50">
        <v>43.533129745010001</v>
      </c>
      <c r="Z50">
        <v>4.3610311749099999</v>
      </c>
    </row>
    <row r="51" spans="1:26">
      <c r="A51">
        <v>201907</v>
      </c>
      <c r="B51" t="s">
        <v>10</v>
      </c>
      <c r="C51">
        <v>53.067592492000003</v>
      </c>
      <c r="D51">
        <v>6.6418122540000004</v>
      </c>
      <c r="E51" s="156">
        <v>6.407</v>
      </c>
      <c r="H51">
        <v>201907</v>
      </c>
      <c r="I51" t="s">
        <v>13</v>
      </c>
      <c r="J51">
        <v>33.122</v>
      </c>
      <c r="K51">
        <v>128.32654673854</v>
      </c>
      <c r="L51">
        <v>18.826101839949999</v>
      </c>
      <c r="O51">
        <v>201907</v>
      </c>
      <c r="P51" t="s">
        <v>11</v>
      </c>
      <c r="Q51">
        <v>58.069915659999999</v>
      </c>
      <c r="R51">
        <v>6.6574584220000004</v>
      </c>
      <c r="S51" s="156">
        <v>7.2119999999999997</v>
      </c>
      <c r="V51">
        <v>201907</v>
      </c>
      <c r="W51" t="s">
        <v>13</v>
      </c>
      <c r="X51">
        <v>33.122</v>
      </c>
      <c r="Y51">
        <v>128.32654673854</v>
      </c>
      <c r="Z51">
        <v>18.826101839949999</v>
      </c>
    </row>
    <row r="52" spans="1:26">
      <c r="A52">
        <v>201907</v>
      </c>
      <c r="B52" t="s">
        <v>12</v>
      </c>
      <c r="C52">
        <v>86.809374898000002</v>
      </c>
      <c r="D52">
        <v>10.591548983999999</v>
      </c>
      <c r="E52" s="156">
        <v>11.807</v>
      </c>
      <c r="H52">
        <v>201907</v>
      </c>
      <c r="I52" t="s">
        <v>9</v>
      </c>
      <c r="J52">
        <v>13.166</v>
      </c>
      <c r="K52">
        <v>75.884793771990005</v>
      </c>
      <c r="L52">
        <v>9.2895014555700008</v>
      </c>
      <c r="O52">
        <v>201907</v>
      </c>
      <c r="P52" t="s">
        <v>10</v>
      </c>
      <c r="Q52">
        <v>48.893738759999998</v>
      </c>
      <c r="R52">
        <v>6.1383243800000002</v>
      </c>
      <c r="S52" s="156">
        <v>6.407</v>
      </c>
      <c r="V52">
        <v>201907</v>
      </c>
      <c r="W52" t="s">
        <v>9</v>
      </c>
      <c r="X52">
        <v>13.166</v>
      </c>
      <c r="Y52">
        <v>75.884793771990005</v>
      </c>
      <c r="Z52">
        <v>9.2895014555700008</v>
      </c>
    </row>
    <row r="53" spans="1:26">
      <c r="A53">
        <v>201908</v>
      </c>
      <c r="B53" t="s">
        <v>10</v>
      </c>
      <c r="C53">
        <v>83.239830342000005</v>
      </c>
      <c r="D53">
        <v>8.886664326</v>
      </c>
      <c r="E53" s="156">
        <v>7.806</v>
      </c>
      <c r="H53">
        <v>201908</v>
      </c>
      <c r="I53" t="s">
        <v>11</v>
      </c>
      <c r="J53">
        <v>23.76</v>
      </c>
      <c r="K53">
        <v>125.29318553816</v>
      </c>
      <c r="L53">
        <v>16.028760316989999</v>
      </c>
      <c r="O53">
        <v>201908</v>
      </c>
      <c r="P53" t="s">
        <v>12</v>
      </c>
      <c r="Q53">
        <v>93.621682981999996</v>
      </c>
      <c r="R53">
        <v>11.392598308</v>
      </c>
      <c r="S53" s="156">
        <v>13.179</v>
      </c>
      <c r="V53">
        <v>201908</v>
      </c>
      <c r="W53" t="s">
        <v>11</v>
      </c>
      <c r="X53">
        <v>23.76</v>
      </c>
      <c r="Y53">
        <v>125.29318553816</v>
      </c>
      <c r="Z53">
        <v>16.028760316989999</v>
      </c>
    </row>
    <row r="54" spans="1:26">
      <c r="A54">
        <v>201908</v>
      </c>
      <c r="B54" t="s">
        <v>11</v>
      </c>
      <c r="C54">
        <v>73.002511967999993</v>
      </c>
      <c r="D54">
        <v>8.2844618780000001</v>
      </c>
      <c r="E54" s="156">
        <v>8.359</v>
      </c>
      <c r="H54">
        <v>201908</v>
      </c>
      <c r="I54" t="s">
        <v>13</v>
      </c>
      <c r="J54">
        <v>33.432000000000002</v>
      </c>
      <c r="K54">
        <v>125.84124862416</v>
      </c>
      <c r="L54">
        <v>18.35802635936</v>
      </c>
      <c r="O54">
        <v>201908</v>
      </c>
      <c r="Q54">
        <v>5.670516696</v>
      </c>
      <c r="R54">
        <v>0.78167476999999996</v>
      </c>
      <c r="S54" s="156">
        <v>1.3140000000000001</v>
      </c>
      <c r="V54">
        <v>201908</v>
      </c>
      <c r="W54" t="s">
        <v>13</v>
      </c>
      <c r="X54">
        <v>33.432000000000002</v>
      </c>
      <c r="Y54">
        <v>125.84124862416</v>
      </c>
      <c r="Z54">
        <v>18.35802635936</v>
      </c>
    </row>
    <row r="55" spans="1:26">
      <c r="A55">
        <v>201908</v>
      </c>
      <c r="B55" t="s">
        <v>12</v>
      </c>
      <c r="C55">
        <v>98.002561940000007</v>
      </c>
      <c r="D55">
        <v>11.97327256</v>
      </c>
      <c r="E55" s="156">
        <v>13.179</v>
      </c>
      <c r="H55">
        <v>201908</v>
      </c>
      <c r="I55" t="s">
        <v>12</v>
      </c>
      <c r="J55">
        <v>34.905999999999999</v>
      </c>
      <c r="K55">
        <v>167.94200163107001</v>
      </c>
      <c r="L55">
        <v>22.410450460050001</v>
      </c>
      <c r="O55">
        <v>201908</v>
      </c>
      <c r="P55" t="s">
        <v>11</v>
      </c>
      <c r="Q55">
        <v>68.920700486000001</v>
      </c>
      <c r="R55">
        <v>7.8805537399999999</v>
      </c>
      <c r="S55" s="156">
        <v>8.359</v>
      </c>
      <c r="V55">
        <v>201908</v>
      </c>
      <c r="W55" t="s">
        <v>12</v>
      </c>
      <c r="X55">
        <v>34.905999999999999</v>
      </c>
      <c r="Y55">
        <v>167.94200163107001</v>
      </c>
      <c r="Z55">
        <v>22.410450460050001</v>
      </c>
    </row>
    <row r="56" spans="1:26">
      <c r="A56">
        <v>201908</v>
      </c>
      <c r="B56" t="s">
        <v>9</v>
      </c>
      <c r="C56">
        <v>26.723919341999999</v>
      </c>
      <c r="D56">
        <v>3.4465621959999999</v>
      </c>
      <c r="E56" s="156">
        <v>3.1429999999999998</v>
      </c>
      <c r="H56">
        <v>201908</v>
      </c>
      <c r="I56" t="s">
        <v>9</v>
      </c>
      <c r="J56">
        <v>13.712999999999999</v>
      </c>
      <c r="K56">
        <v>72.20023923091</v>
      </c>
      <c r="L56">
        <v>9.3008302084899999</v>
      </c>
      <c r="O56">
        <v>201908</v>
      </c>
      <c r="P56" t="s">
        <v>14</v>
      </c>
      <c r="Q56">
        <v>24.10729847</v>
      </c>
      <c r="R56">
        <v>3.632187284</v>
      </c>
      <c r="S56" s="156">
        <v>7.7510000000000003</v>
      </c>
      <c r="V56">
        <v>201908</v>
      </c>
      <c r="W56" t="s">
        <v>9</v>
      </c>
      <c r="X56">
        <v>13.712999999999999</v>
      </c>
      <c r="Y56">
        <v>72.20023923091</v>
      </c>
      <c r="Z56">
        <v>9.3008302084899999</v>
      </c>
    </row>
    <row r="57" spans="1:26">
      <c r="A57">
        <v>201908</v>
      </c>
      <c r="B57" t="s">
        <v>14</v>
      </c>
      <c r="C57">
        <v>25.748710209999999</v>
      </c>
      <c r="D57">
        <v>3.8390552360000001</v>
      </c>
      <c r="E57" s="156">
        <v>7.7510000000000003</v>
      </c>
      <c r="H57">
        <v>201908</v>
      </c>
      <c r="J57">
        <v>5.6150000000000002</v>
      </c>
      <c r="K57">
        <v>49.752128552359999</v>
      </c>
      <c r="L57">
        <v>4.6453625213800001</v>
      </c>
      <c r="O57">
        <v>201908</v>
      </c>
      <c r="P57" t="s">
        <v>10</v>
      </c>
      <c r="Q57">
        <v>79.655446815999994</v>
      </c>
      <c r="R57">
        <v>8.4982463320000008</v>
      </c>
      <c r="S57" s="156">
        <v>7.806</v>
      </c>
      <c r="V57">
        <v>201908</v>
      </c>
      <c r="X57">
        <v>5.6150000000000002</v>
      </c>
      <c r="Y57">
        <v>49.752128552359999</v>
      </c>
      <c r="Z57">
        <v>4.6453625213800001</v>
      </c>
    </row>
    <row r="58" spans="1:26">
      <c r="A58">
        <v>201908</v>
      </c>
      <c r="C58">
        <v>6.2971031039999996</v>
      </c>
      <c r="D58">
        <v>0.83191761200000003</v>
      </c>
      <c r="E58" s="156">
        <v>1.3140000000000001</v>
      </c>
      <c r="H58">
        <v>201908</v>
      </c>
      <c r="I58" t="s">
        <v>10</v>
      </c>
      <c r="J58">
        <v>25.361999999999998</v>
      </c>
      <c r="K58">
        <v>148.43605651304</v>
      </c>
      <c r="L58">
        <v>17.711247584740001</v>
      </c>
      <c r="O58">
        <v>201908</v>
      </c>
      <c r="P58" t="s">
        <v>13</v>
      </c>
      <c r="Q58">
        <v>65.395618217999996</v>
      </c>
      <c r="R58">
        <v>8.5435006579999992</v>
      </c>
      <c r="S58" s="156">
        <v>13.425000000000001</v>
      </c>
      <c r="V58">
        <v>201908</v>
      </c>
      <c r="W58" t="s">
        <v>10</v>
      </c>
      <c r="X58">
        <v>25.361999999999998</v>
      </c>
      <c r="Y58">
        <v>148.43605651304</v>
      </c>
      <c r="Z58">
        <v>17.711247584740001</v>
      </c>
    </row>
    <row r="59" spans="1:26">
      <c r="A59">
        <v>201908</v>
      </c>
      <c r="B59" t="s">
        <v>13</v>
      </c>
      <c r="C59">
        <v>68.915482871999998</v>
      </c>
      <c r="D59">
        <v>8.9863827020000002</v>
      </c>
      <c r="E59" s="156">
        <v>13.425000000000001</v>
      </c>
      <c r="H59">
        <v>201908</v>
      </c>
      <c r="I59" t="s">
        <v>14</v>
      </c>
      <c r="J59">
        <v>18.972000000000001</v>
      </c>
      <c r="K59">
        <v>46.407620494169997</v>
      </c>
      <c r="L59">
        <v>8.1778422176899994</v>
      </c>
      <c r="O59">
        <v>201908</v>
      </c>
      <c r="P59" t="s">
        <v>9</v>
      </c>
      <c r="Q59">
        <v>25.510959324000002</v>
      </c>
      <c r="R59">
        <v>3.3009622140000001</v>
      </c>
      <c r="S59" s="156">
        <v>3.1429999999999998</v>
      </c>
      <c r="V59">
        <v>201908</v>
      </c>
      <c r="W59" t="s">
        <v>14</v>
      </c>
      <c r="X59">
        <v>18.972000000000001</v>
      </c>
      <c r="Y59">
        <v>46.407620494169997</v>
      </c>
      <c r="Z59">
        <v>8.1778422176899994</v>
      </c>
    </row>
    <row r="60" spans="1:26">
      <c r="A60">
        <v>201909</v>
      </c>
      <c r="B60" t="s">
        <v>9</v>
      </c>
      <c r="C60">
        <v>29.042638606000001</v>
      </c>
      <c r="D60">
        <v>3.4610997619999999</v>
      </c>
      <c r="E60" s="156">
        <v>3.2029999999999998</v>
      </c>
      <c r="H60">
        <v>201909</v>
      </c>
      <c r="J60">
        <v>4.7759999999999998</v>
      </c>
      <c r="K60">
        <v>43.774153183049997</v>
      </c>
      <c r="L60">
        <v>4.0636374368799997</v>
      </c>
      <c r="O60">
        <v>201909</v>
      </c>
      <c r="P60" t="s">
        <v>10</v>
      </c>
      <c r="Q60">
        <v>64.435576080000004</v>
      </c>
      <c r="R60">
        <v>7.3714104440000003</v>
      </c>
      <c r="S60" s="156">
        <v>7.5979999999999999</v>
      </c>
      <c r="V60">
        <v>201909</v>
      </c>
      <c r="X60">
        <v>4.7759999999999998</v>
      </c>
      <c r="Y60">
        <v>43.774153183049997</v>
      </c>
      <c r="Z60">
        <v>4.0636374368799997</v>
      </c>
    </row>
    <row r="61" spans="1:26">
      <c r="A61">
        <v>201909</v>
      </c>
      <c r="C61">
        <v>6.7728970640000004</v>
      </c>
      <c r="D61">
        <v>0.72658941399999999</v>
      </c>
      <c r="E61" s="156">
        <v>1.161</v>
      </c>
      <c r="H61">
        <v>201909</v>
      </c>
      <c r="I61" t="s">
        <v>11</v>
      </c>
      <c r="J61">
        <v>22.81</v>
      </c>
      <c r="K61">
        <v>125.38907136038</v>
      </c>
      <c r="L61">
        <v>14.83595348271</v>
      </c>
      <c r="O61">
        <v>201909</v>
      </c>
      <c r="P61" t="s">
        <v>12</v>
      </c>
      <c r="Q61">
        <v>80.704376858000003</v>
      </c>
      <c r="R61">
        <v>9.9722925940000007</v>
      </c>
      <c r="S61" s="156">
        <v>13.067</v>
      </c>
      <c r="V61">
        <v>201909</v>
      </c>
      <c r="W61" t="s">
        <v>11</v>
      </c>
      <c r="X61">
        <v>22.81</v>
      </c>
      <c r="Y61">
        <v>125.38907136038</v>
      </c>
      <c r="Z61">
        <v>14.83595348271</v>
      </c>
    </row>
    <row r="62" spans="1:26">
      <c r="A62">
        <v>201909</v>
      </c>
      <c r="B62" t="s">
        <v>13</v>
      </c>
      <c r="C62">
        <v>63.343982056000002</v>
      </c>
      <c r="D62">
        <v>8.1721321160000002</v>
      </c>
      <c r="E62" s="156">
        <v>13.423999999999999</v>
      </c>
      <c r="H62">
        <v>201909</v>
      </c>
      <c r="I62" t="s">
        <v>9</v>
      </c>
      <c r="J62">
        <v>13.717000000000001</v>
      </c>
      <c r="K62">
        <v>70.06921924577</v>
      </c>
      <c r="L62">
        <v>8.7267623920900004</v>
      </c>
      <c r="O62">
        <v>201909</v>
      </c>
      <c r="P62" t="s">
        <v>14</v>
      </c>
      <c r="Q62">
        <v>20.829663707999998</v>
      </c>
      <c r="R62">
        <v>3.2250517439999999</v>
      </c>
      <c r="S62" s="156">
        <v>7.9370000000000003</v>
      </c>
      <c r="V62">
        <v>201909</v>
      </c>
      <c r="W62" t="s">
        <v>9</v>
      </c>
      <c r="X62">
        <v>13.717000000000001</v>
      </c>
      <c r="Y62">
        <v>70.06921924577</v>
      </c>
      <c r="Z62">
        <v>8.7267623920900004</v>
      </c>
    </row>
    <row r="63" spans="1:26">
      <c r="A63">
        <v>201909</v>
      </c>
      <c r="B63" t="s">
        <v>11</v>
      </c>
      <c r="C63">
        <v>59.428461947999999</v>
      </c>
      <c r="D63">
        <v>6.9831075980000001</v>
      </c>
      <c r="E63" s="156">
        <v>8.0649999999999995</v>
      </c>
      <c r="H63">
        <v>201909</v>
      </c>
      <c r="I63" t="s">
        <v>13</v>
      </c>
      <c r="J63">
        <v>31.937999999999999</v>
      </c>
      <c r="K63">
        <v>111.16192302319</v>
      </c>
      <c r="L63">
        <v>16.919152599450001</v>
      </c>
      <c r="O63">
        <v>201909</v>
      </c>
      <c r="Q63">
        <v>6.6517563940000004</v>
      </c>
      <c r="R63">
        <v>0.71853679199999998</v>
      </c>
      <c r="S63" s="156">
        <v>1.161</v>
      </c>
      <c r="V63">
        <v>201909</v>
      </c>
      <c r="W63" t="s">
        <v>13</v>
      </c>
      <c r="X63">
        <v>31.937999999999999</v>
      </c>
      <c r="Y63">
        <v>111.16192302319</v>
      </c>
      <c r="Z63">
        <v>16.919152599450001</v>
      </c>
    </row>
    <row r="64" spans="1:26">
      <c r="A64">
        <v>201909</v>
      </c>
      <c r="B64" t="s">
        <v>12</v>
      </c>
      <c r="C64">
        <v>82.174498974000002</v>
      </c>
      <c r="D64">
        <v>10.08330093</v>
      </c>
      <c r="E64" s="156">
        <v>13.067</v>
      </c>
      <c r="H64">
        <v>201909</v>
      </c>
      <c r="I64" t="s">
        <v>14</v>
      </c>
      <c r="J64">
        <v>18.46</v>
      </c>
      <c r="K64">
        <v>40.470862830030001</v>
      </c>
      <c r="L64">
        <v>7.5763573334999998</v>
      </c>
      <c r="O64">
        <v>201909</v>
      </c>
      <c r="P64" t="s">
        <v>13</v>
      </c>
      <c r="Q64">
        <v>62.630505348</v>
      </c>
      <c r="R64">
        <v>8.0890578259999995</v>
      </c>
      <c r="S64" s="156">
        <v>13.423999999999999</v>
      </c>
      <c r="V64">
        <v>201909</v>
      </c>
      <c r="W64" t="s">
        <v>14</v>
      </c>
      <c r="X64">
        <v>18.46</v>
      </c>
      <c r="Y64">
        <v>40.470862830030001</v>
      </c>
      <c r="Z64">
        <v>7.5763573334999998</v>
      </c>
    </row>
    <row r="65" spans="1:26">
      <c r="A65">
        <v>201909</v>
      </c>
      <c r="B65" t="s">
        <v>14</v>
      </c>
      <c r="C65">
        <v>21.098659758</v>
      </c>
      <c r="D65">
        <v>3.2566788600000001</v>
      </c>
      <c r="E65" s="156">
        <v>7.9370000000000003</v>
      </c>
      <c r="H65">
        <v>201909</v>
      </c>
      <c r="I65" t="s">
        <v>12</v>
      </c>
      <c r="J65">
        <v>33.881</v>
      </c>
      <c r="K65">
        <v>159.54410622941</v>
      </c>
      <c r="L65">
        <v>20.738400555439998</v>
      </c>
      <c r="O65">
        <v>201909</v>
      </c>
      <c r="P65" t="s">
        <v>11</v>
      </c>
      <c r="Q65">
        <v>58.511819334000002</v>
      </c>
      <c r="R65">
        <v>6.8744065660000002</v>
      </c>
      <c r="S65" s="156">
        <v>8.0649999999999995</v>
      </c>
      <c r="V65">
        <v>201909</v>
      </c>
      <c r="W65" t="s">
        <v>12</v>
      </c>
      <c r="X65">
        <v>33.881</v>
      </c>
      <c r="Y65">
        <v>159.54410622941</v>
      </c>
      <c r="Z65">
        <v>20.738400555439998</v>
      </c>
    </row>
    <row r="66" spans="1:26">
      <c r="A66">
        <v>201909</v>
      </c>
      <c r="B66" t="s">
        <v>10</v>
      </c>
      <c r="C66">
        <v>65.809159832000006</v>
      </c>
      <c r="D66">
        <v>7.4851404920000002</v>
      </c>
      <c r="E66" s="156">
        <v>7.5979999999999999</v>
      </c>
      <c r="H66">
        <v>201909</v>
      </c>
      <c r="I66" t="s">
        <v>10</v>
      </c>
      <c r="J66">
        <v>24.981999999999999</v>
      </c>
      <c r="K66">
        <v>151.16766221813</v>
      </c>
      <c r="L66">
        <v>16.430499942619999</v>
      </c>
      <c r="O66">
        <v>201909</v>
      </c>
      <c r="P66" t="s">
        <v>9</v>
      </c>
      <c r="Q66">
        <v>28.219403639999999</v>
      </c>
      <c r="R66">
        <v>3.4070616299999998</v>
      </c>
      <c r="S66" s="156">
        <v>3.2029999999999998</v>
      </c>
      <c r="V66">
        <v>201909</v>
      </c>
      <c r="W66" t="s">
        <v>10</v>
      </c>
      <c r="X66">
        <v>24.981999999999999</v>
      </c>
      <c r="Y66">
        <v>151.16766221813</v>
      </c>
      <c r="Z66">
        <v>16.430499942619999</v>
      </c>
    </row>
    <row r="67" spans="1:26">
      <c r="A67">
        <v>201910</v>
      </c>
      <c r="B67" t="s">
        <v>11</v>
      </c>
      <c r="C67">
        <v>60.4791381</v>
      </c>
      <c r="D67">
        <v>7.2787555660000001</v>
      </c>
      <c r="E67" s="156">
        <v>8.2129999999999992</v>
      </c>
      <c r="H67">
        <v>201910</v>
      </c>
      <c r="I67" t="s">
        <v>14</v>
      </c>
      <c r="J67">
        <v>18.093</v>
      </c>
      <c r="K67">
        <v>41.158710182989999</v>
      </c>
      <c r="L67">
        <v>7.4672292568699996</v>
      </c>
      <c r="O67">
        <v>201910</v>
      </c>
      <c r="P67" t="s">
        <v>9</v>
      </c>
      <c r="Q67">
        <v>28.085815967999999</v>
      </c>
      <c r="R67">
        <v>3.5655344040000001</v>
      </c>
      <c r="S67" s="156">
        <v>3.403</v>
      </c>
      <c r="V67">
        <v>201910</v>
      </c>
      <c r="W67" t="s">
        <v>14</v>
      </c>
      <c r="X67">
        <v>18.093</v>
      </c>
      <c r="Y67">
        <v>41.158710182989999</v>
      </c>
      <c r="Z67">
        <v>7.4672292568699996</v>
      </c>
    </row>
    <row r="68" spans="1:26">
      <c r="A68">
        <v>201910</v>
      </c>
      <c r="B68" t="s">
        <v>13</v>
      </c>
      <c r="C68">
        <v>63.193363626</v>
      </c>
      <c r="D68">
        <v>8.2208083740000006</v>
      </c>
      <c r="E68" s="156">
        <v>13.21</v>
      </c>
      <c r="H68">
        <v>201910</v>
      </c>
      <c r="I68" t="s">
        <v>13</v>
      </c>
      <c r="J68">
        <v>31.827999999999999</v>
      </c>
      <c r="K68">
        <v>112.10355971938</v>
      </c>
      <c r="L68">
        <v>17.065034676549999</v>
      </c>
      <c r="O68">
        <v>201910</v>
      </c>
      <c r="P68" t="s">
        <v>13</v>
      </c>
      <c r="Q68">
        <v>62.005387763999998</v>
      </c>
      <c r="R68">
        <v>8.1341085720000006</v>
      </c>
      <c r="S68" s="156">
        <v>13.21</v>
      </c>
      <c r="V68">
        <v>201910</v>
      </c>
      <c r="W68" t="s">
        <v>13</v>
      </c>
      <c r="X68">
        <v>31.827999999999999</v>
      </c>
      <c r="Y68">
        <v>112.10355971938</v>
      </c>
      <c r="Z68">
        <v>17.065034676549999</v>
      </c>
    </row>
    <row r="69" spans="1:26">
      <c r="A69">
        <v>201910</v>
      </c>
      <c r="B69" t="s">
        <v>9</v>
      </c>
      <c r="C69">
        <v>29.34629717</v>
      </c>
      <c r="D69">
        <v>3.6361122419999998</v>
      </c>
      <c r="E69" s="156">
        <v>3.403</v>
      </c>
      <c r="H69">
        <v>201910</v>
      </c>
      <c r="J69">
        <v>4.3890000000000002</v>
      </c>
      <c r="K69">
        <v>34.31107806696</v>
      </c>
      <c r="L69">
        <v>3.5206151706400002</v>
      </c>
      <c r="O69">
        <v>201910</v>
      </c>
      <c r="Q69">
        <v>5.780725908</v>
      </c>
      <c r="R69">
        <v>0.63095057799999998</v>
      </c>
      <c r="S69" s="156">
        <v>0.997</v>
      </c>
      <c r="V69">
        <v>201910</v>
      </c>
      <c r="X69">
        <v>4.3890000000000002</v>
      </c>
      <c r="Y69">
        <v>34.31107806696</v>
      </c>
      <c r="Z69">
        <v>3.5206151706400002</v>
      </c>
    </row>
    <row r="70" spans="1:26">
      <c r="A70">
        <v>201910</v>
      </c>
      <c r="C70">
        <v>5.8552893639999999</v>
      </c>
      <c r="D70">
        <v>0.64157344800000005</v>
      </c>
      <c r="E70" s="156">
        <v>0.997</v>
      </c>
      <c r="H70">
        <v>201910</v>
      </c>
      <c r="I70" t="s">
        <v>11</v>
      </c>
      <c r="J70">
        <v>23.048999999999999</v>
      </c>
      <c r="K70">
        <v>125.79614533778</v>
      </c>
      <c r="L70">
        <v>14.8080076266</v>
      </c>
      <c r="O70">
        <v>201910</v>
      </c>
      <c r="P70" t="s">
        <v>12</v>
      </c>
      <c r="Q70">
        <v>84.190153054000007</v>
      </c>
      <c r="R70">
        <v>10.071767718</v>
      </c>
      <c r="S70" s="156">
        <v>13.577999999999999</v>
      </c>
      <c r="V70">
        <v>201910</v>
      </c>
      <c r="W70" t="s">
        <v>11</v>
      </c>
      <c r="X70">
        <v>23.048999999999999</v>
      </c>
      <c r="Y70">
        <v>125.79614533778</v>
      </c>
      <c r="Z70">
        <v>14.8080076266</v>
      </c>
    </row>
    <row r="71" spans="1:26">
      <c r="A71">
        <v>201910</v>
      </c>
      <c r="B71" t="s">
        <v>12</v>
      </c>
      <c r="C71">
        <v>86.641217858000005</v>
      </c>
      <c r="D71">
        <v>10.227779376000001</v>
      </c>
      <c r="E71" s="156">
        <v>13.577999999999999</v>
      </c>
      <c r="H71">
        <v>201910</v>
      </c>
      <c r="I71" t="s">
        <v>9</v>
      </c>
      <c r="J71">
        <v>14.095000000000001</v>
      </c>
      <c r="K71">
        <v>76.587973750789999</v>
      </c>
      <c r="L71">
        <v>9.0613538160200005</v>
      </c>
      <c r="O71">
        <v>201910</v>
      </c>
      <c r="P71" t="s">
        <v>10</v>
      </c>
      <c r="Q71">
        <v>68.036496700000001</v>
      </c>
      <c r="R71">
        <v>7.7522469999999997</v>
      </c>
      <c r="S71" s="156">
        <v>8.0269999999999992</v>
      </c>
      <c r="V71">
        <v>201910</v>
      </c>
      <c r="W71" t="s">
        <v>9</v>
      </c>
      <c r="X71">
        <v>14.095000000000001</v>
      </c>
      <c r="Y71">
        <v>76.587973750789999</v>
      </c>
      <c r="Z71">
        <v>9.0613538160200005</v>
      </c>
    </row>
    <row r="72" spans="1:26">
      <c r="A72">
        <v>201910</v>
      </c>
      <c r="B72" t="s">
        <v>14</v>
      </c>
      <c r="C72">
        <v>21.784861312</v>
      </c>
      <c r="D72">
        <v>3.3508980020000001</v>
      </c>
      <c r="E72" s="156">
        <v>7.8840000000000003</v>
      </c>
      <c r="H72">
        <v>201910</v>
      </c>
      <c r="I72" t="s">
        <v>12</v>
      </c>
      <c r="J72">
        <v>34.393000000000001</v>
      </c>
      <c r="K72">
        <v>152.87207358114</v>
      </c>
      <c r="L72">
        <v>20.825913915179999</v>
      </c>
      <c r="O72">
        <v>201910</v>
      </c>
      <c r="P72" t="s">
        <v>11</v>
      </c>
      <c r="Q72">
        <v>59.253147130000002</v>
      </c>
      <c r="R72">
        <v>7.1819072500000001</v>
      </c>
      <c r="S72" s="156">
        <v>8.2129999999999992</v>
      </c>
      <c r="V72">
        <v>201910</v>
      </c>
      <c r="W72" t="s">
        <v>12</v>
      </c>
      <c r="X72">
        <v>34.393000000000001</v>
      </c>
      <c r="Y72">
        <v>152.87207358114</v>
      </c>
      <c r="Z72">
        <v>20.825913915179999</v>
      </c>
    </row>
    <row r="73" spans="1:26">
      <c r="A73">
        <v>201910</v>
      </c>
      <c r="B73" t="s">
        <v>10</v>
      </c>
      <c r="C73">
        <v>69.174931495999999</v>
      </c>
      <c r="D73">
        <v>7.8473729859999999</v>
      </c>
      <c r="E73" s="156">
        <v>8.0269999999999992</v>
      </c>
      <c r="H73">
        <v>201910</v>
      </c>
      <c r="I73" t="s">
        <v>10</v>
      </c>
      <c r="J73">
        <v>25.187000000000001</v>
      </c>
      <c r="K73">
        <v>149.35564583217001</v>
      </c>
      <c r="L73">
        <v>16.688818809080001</v>
      </c>
      <c r="O73">
        <v>201910</v>
      </c>
      <c r="P73" t="s">
        <v>14</v>
      </c>
      <c r="Q73">
        <v>21.008071487999999</v>
      </c>
      <c r="R73">
        <v>3.3048634899999998</v>
      </c>
      <c r="S73" s="156">
        <v>7.8840000000000003</v>
      </c>
      <c r="V73">
        <v>201910</v>
      </c>
      <c r="W73" t="s">
        <v>10</v>
      </c>
      <c r="X73">
        <v>25.187000000000001</v>
      </c>
      <c r="Y73">
        <v>149.35564583217001</v>
      </c>
      <c r="Z73">
        <v>16.688818809080001</v>
      </c>
    </row>
    <row r="74" spans="1:26">
      <c r="A74">
        <v>201911</v>
      </c>
      <c r="C74">
        <v>5.8682450040000003</v>
      </c>
      <c r="D74">
        <v>0.65472299599999995</v>
      </c>
      <c r="E74" s="156">
        <v>0.82799999999999996</v>
      </c>
      <c r="H74">
        <v>201911</v>
      </c>
      <c r="I74" t="s">
        <v>12</v>
      </c>
      <c r="J74">
        <v>33.652999999999999</v>
      </c>
      <c r="K74">
        <v>167.78309378777001</v>
      </c>
      <c r="L74">
        <v>21.173158595709999</v>
      </c>
      <c r="O74">
        <v>201911</v>
      </c>
      <c r="P74" t="s">
        <v>12</v>
      </c>
      <c r="Q74">
        <v>83.338636121999997</v>
      </c>
      <c r="R74">
        <v>10.524938526</v>
      </c>
      <c r="S74" s="156">
        <v>13.891999999999999</v>
      </c>
      <c r="V74">
        <v>201911</v>
      </c>
      <c r="W74" t="s">
        <v>12</v>
      </c>
      <c r="X74">
        <v>33.652999999999999</v>
      </c>
      <c r="Y74">
        <v>167.78309378777001</v>
      </c>
      <c r="Z74">
        <v>21.173158595709999</v>
      </c>
    </row>
    <row r="75" spans="1:26">
      <c r="A75">
        <v>201911</v>
      </c>
      <c r="B75" t="s">
        <v>13</v>
      </c>
      <c r="C75">
        <v>64.269297072000001</v>
      </c>
      <c r="D75">
        <v>8.6870127339999996</v>
      </c>
      <c r="E75" s="156">
        <v>12.858000000000001</v>
      </c>
      <c r="H75">
        <v>201911</v>
      </c>
      <c r="I75" t="s">
        <v>14</v>
      </c>
      <c r="J75">
        <v>16.988</v>
      </c>
      <c r="K75">
        <v>37.295731806169997</v>
      </c>
      <c r="L75">
        <v>6.8251778923300002</v>
      </c>
      <c r="O75">
        <v>201911</v>
      </c>
      <c r="P75" t="s">
        <v>13</v>
      </c>
      <c r="Q75">
        <v>57.780499784</v>
      </c>
      <c r="R75">
        <v>7.8044177680000004</v>
      </c>
      <c r="S75" s="156">
        <v>12.858000000000001</v>
      </c>
      <c r="V75">
        <v>201911</v>
      </c>
      <c r="W75" t="s">
        <v>14</v>
      </c>
      <c r="X75">
        <v>16.988</v>
      </c>
      <c r="Y75">
        <v>37.295731806169997</v>
      </c>
      <c r="Z75">
        <v>6.8251778923300002</v>
      </c>
    </row>
    <row r="76" spans="1:26">
      <c r="A76">
        <v>201911</v>
      </c>
      <c r="B76" t="s">
        <v>10</v>
      </c>
      <c r="C76">
        <v>79.768880820000007</v>
      </c>
      <c r="D76">
        <v>9.0875980120000008</v>
      </c>
      <c r="E76" s="156">
        <v>8.0839999999999996</v>
      </c>
      <c r="H76">
        <v>201911</v>
      </c>
      <c r="I76" t="s">
        <v>13</v>
      </c>
      <c r="J76">
        <v>30.478999999999999</v>
      </c>
      <c r="K76">
        <v>111.57048585944</v>
      </c>
      <c r="L76">
        <v>16.410162459319999</v>
      </c>
      <c r="O76">
        <v>201911</v>
      </c>
      <c r="P76" t="s">
        <v>10</v>
      </c>
      <c r="Q76">
        <v>68.767359257999999</v>
      </c>
      <c r="R76">
        <v>8.0892884380000005</v>
      </c>
      <c r="S76" s="156">
        <v>8.0839999999999996</v>
      </c>
      <c r="V76">
        <v>201911</v>
      </c>
      <c r="W76" t="s">
        <v>13</v>
      </c>
      <c r="X76">
        <v>30.478999999999999</v>
      </c>
      <c r="Y76">
        <v>111.57048585944</v>
      </c>
      <c r="Z76">
        <v>16.410162459319999</v>
      </c>
    </row>
    <row r="77" spans="1:26">
      <c r="A77">
        <v>201911</v>
      </c>
      <c r="B77" t="s">
        <v>11</v>
      </c>
      <c r="C77">
        <v>66.267631706000003</v>
      </c>
      <c r="D77">
        <v>8.2253823780000008</v>
      </c>
      <c r="E77" s="156">
        <v>8.2390000000000008</v>
      </c>
      <c r="H77">
        <v>201911</v>
      </c>
      <c r="I77" t="s">
        <v>9</v>
      </c>
      <c r="J77">
        <v>13.888</v>
      </c>
      <c r="K77">
        <v>113.80683923677</v>
      </c>
      <c r="L77">
        <v>10.87974540692</v>
      </c>
      <c r="O77">
        <v>201911</v>
      </c>
      <c r="Q77">
        <v>4.6147440599999996</v>
      </c>
      <c r="R77">
        <v>0.52431846999999998</v>
      </c>
      <c r="S77" s="156">
        <v>0.82799999999999996</v>
      </c>
      <c r="V77">
        <v>201911</v>
      </c>
      <c r="W77" t="s">
        <v>9</v>
      </c>
      <c r="X77">
        <v>13.888</v>
      </c>
      <c r="Y77">
        <v>113.80683923677</v>
      </c>
      <c r="Z77">
        <v>10.87974540692</v>
      </c>
    </row>
    <row r="78" spans="1:26">
      <c r="A78">
        <v>201911</v>
      </c>
      <c r="B78" t="s">
        <v>14</v>
      </c>
      <c r="C78">
        <v>19.470919341999998</v>
      </c>
      <c r="D78">
        <v>3.2292155060000001</v>
      </c>
      <c r="E78" s="156">
        <v>7.2919999999999998</v>
      </c>
      <c r="H78">
        <v>201911</v>
      </c>
      <c r="I78" t="s">
        <v>11</v>
      </c>
      <c r="J78">
        <v>22.347999999999999</v>
      </c>
      <c r="K78">
        <v>141.28060695804001</v>
      </c>
      <c r="L78">
        <v>15.79611030986</v>
      </c>
      <c r="O78">
        <v>201911</v>
      </c>
      <c r="P78" t="s">
        <v>11</v>
      </c>
      <c r="Q78">
        <v>59.680293327999998</v>
      </c>
      <c r="R78">
        <v>7.3913407319999997</v>
      </c>
      <c r="S78" s="156">
        <v>8.2390000000000008</v>
      </c>
      <c r="V78">
        <v>201911</v>
      </c>
      <c r="W78" t="s">
        <v>11</v>
      </c>
      <c r="X78">
        <v>22.347999999999999</v>
      </c>
      <c r="Y78">
        <v>141.28060695804001</v>
      </c>
      <c r="Z78">
        <v>15.79611030986</v>
      </c>
    </row>
    <row r="79" spans="1:26">
      <c r="A79">
        <v>201911</v>
      </c>
      <c r="B79" t="s">
        <v>12</v>
      </c>
      <c r="C79">
        <v>97.030957842000007</v>
      </c>
      <c r="D79">
        <v>11.895615504</v>
      </c>
      <c r="E79" s="156">
        <v>13.891999999999999</v>
      </c>
      <c r="H79">
        <v>201911</v>
      </c>
      <c r="J79">
        <v>3.7919999999999998</v>
      </c>
      <c r="K79">
        <v>45.133010010850001</v>
      </c>
      <c r="L79">
        <v>3.6233953957299998</v>
      </c>
      <c r="O79">
        <v>201911</v>
      </c>
      <c r="P79" t="s">
        <v>14</v>
      </c>
      <c r="Q79">
        <v>17.520709294</v>
      </c>
      <c r="R79">
        <v>2.8940527660000002</v>
      </c>
      <c r="S79" s="156">
        <v>7.2919999999999998</v>
      </c>
      <c r="V79">
        <v>201911</v>
      </c>
      <c r="X79">
        <v>3.7919999999999998</v>
      </c>
      <c r="Y79">
        <v>45.133010010850001</v>
      </c>
      <c r="Z79">
        <v>3.6233953957299998</v>
      </c>
    </row>
    <row r="80" spans="1:26">
      <c r="A80">
        <v>201911</v>
      </c>
      <c r="B80" t="s">
        <v>9</v>
      </c>
      <c r="C80">
        <v>30.565971978</v>
      </c>
      <c r="D80">
        <v>4.080158</v>
      </c>
      <c r="E80" s="156">
        <v>3.3260000000000001</v>
      </c>
      <c r="H80">
        <v>201911</v>
      </c>
      <c r="I80" t="s">
        <v>10</v>
      </c>
      <c r="J80">
        <v>24.614999999999998</v>
      </c>
      <c r="K80">
        <v>179.39594193999</v>
      </c>
      <c r="L80">
        <v>18.394412743650001</v>
      </c>
      <c r="O80">
        <v>201911</v>
      </c>
      <c r="P80" t="s">
        <v>9</v>
      </c>
      <c r="Q80">
        <v>26.722373785999999</v>
      </c>
      <c r="R80">
        <v>3.5726073399999998</v>
      </c>
      <c r="S80" s="156">
        <v>3.3260000000000001</v>
      </c>
      <c r="V80">
        <v>201911</v>
      </c>
      <c r="W80" t="s">
        <v>10</v>
      </c>
      <c r="X80">
        <v>24.614999999999998</v>
      </c>
      <c r="Y80">
        <v>179.39594193999</v>
      </c>
      <c r="Z80">
        <v>18.394412743650001</v>
      </c>
    </row>
    <row r="81" spans="1:26">
      <c r="A81">
        <v>201912</v>
      </c>
      <c r="B81" t="s">
        <v>13</v>
      </c>
      <c r="C81">
        <v>77.734223491999998</v>
      </c>
      <c r="D81">
        <v>10.415121356</v>
      </c>
      <c r="E81" s="156">
        <v>13.526999999999999</v>
      </c>
      <c r="H81">
        <v>201912</v>
      </c>
      <c r="I81" t="s">
        <v>11</v>
      </c>
      <c r="J81">
        <v>25.882000000000001</v>
      </c>
      <c r="K81">
        <v>156.10292683233001</v>
      </c>
      <c r="L81">
        <v>19.166168719120002</v>
      </c>
      <c r="O81">
        <v>201912</v>
      </c>
      <c r="Q81">
        <v>4.732638498</v>
      </c>
      <c r="R81">
        <v>0.58008602799999998</v>
      </c>
      <c r="S81" s="156">
        <v>0.84799999999999998</v>
      </c>
      <c r="V81">
        <v>201912</v>
      </c>
      <c r="W81" t="s">
        <v>11</v>
      </c>
      <c r="X81">
        <v>25.882000000000001</v>
      </c>
      <c r="Y81">
        <v>156.10292683233001</v>
      </c>
      <c r="Z81">
        <v>19.166168719120002</v>
      </c>
    </row>
    <row r="82" spans="1:26">
      <c r="A82">
        <v>201912</v>
      </c>
      <c r="B82" t="s">
        <v>11</v>
      </c>
      <c r="C82">
        <v>86.858644179999999</v>
      </c>
      <c r="D82">
        <v>9.9432959499999996</v>
      </c>
      <c r="E82" s="156">
        <v>8.7059999999999995</v>
      </c>
      <c r="H82">
        <v>201912</v>
      </c>
      <c r="I82" t="s">
        <v>10</v>
      </c>
      <c r="J82">
        <v>28.259</v>
      </c>
      <c r="K82">
        <v>204.62241362821999</v>
      </c>
      <c r="L82">
        <v>22.218998701379999</v>
      </c>
      <c r="O82">
        <v>201912</v>
      </c>
      <c r="P82" t="s">
        <v>13</v>
      </c>
      <c r="Q82">
        <v>66.202352423999997</v>
      </c>
      <c r="R82">
        <v>8.866645536</v>
      </c>
      <c r="S82" s="156">
        <v>13.526999999999999</v>
      </c>
      <c r="V82">
        <v>201912</v>
      </c>
      <c r="W82" t="s">
        <v>10</v>
      </c>
      <c r="X82">
        <v>28.259</v>
      </c>
      <c r="Y82">
        <v>204.62241362821999</v>
      </c>
      <c r="Z82">
        <v>22.218998701379999</v>
      </c>
    </row>
    <row r="83" spans="1:26">
      <c r="A83">
        <v>201912</v>
      </c>
      <c r="B83" t="s">
        <v>9</v>
      </c>
      <c r="C83">
        <v>36.692865806</v>
      </c>
      <c r="D83">
        <v>4.3155194799999999</v>
      </c>
      <c r="E83" s="156">
        <v>3.3679999999999999</v>
      </c>
      <c r="H83">
        <v>201912</v>
      </c>
      <c r="I83" t="s">
        <v>12</v>
      </c>
      <c r="J83">
        <v>38.787999999999997</v>
      </c>
      <c r="K83">
        <v>195.08985488165001</v>
      </c>
      <c r="L83">
        <v>26.79371635755</v>
      </c>
      <c r="O83">
        <v>201912</v>
      </c>
      <c r="P83" t="s">
        <v>12</v>
      </c>
      <c r="Q83">
        <v>91.685280610000007</v>
      </c>
      <c r="R83">
        <v>11.869540110000001</v>
      </c>
      <c r="S83" s="156">
        <v>14.516999999999999</v>
      </c>
      <c r="V83">
        <v>201912</v>
      </c>
      <c r="W83" t="s">
        <v>12</v>
      </c>
      <c r="X83">
        <v>38.787999999999997</v>
      </c>
      <c r="Y83">
        <v>195.08985488165001</v>
      </c>
      <c r="Z83">
        <v>26.79371635755</v>
      </c>
    </row>
    <row r="84" spans="1:26">
      <c r="A84">
        <v>201912</v>
      </c>
      <c r="C84">
        <v>6.2954247419999998</v>
      </c>
      <c r="D84">
        <v>0.70908685199999999</v>
      </c>
      <c r="E84" s="156">
        <v>0.84799999999999998</v>
      </c>
      <c r="H84">
        <v>201912</v>
      </c>
      <c r="J84">
        <v>4.4240000000000004</v>
      </c>
      <c r="K84">
        <v>54.183151208779996</v>
      </c>
      <c r="L84">
        <v>4.5639897942000003</v>
      </c>
      <c r="O84">
        <v>201912</v>
      </c>
      <c r="P84" t="s">
        <v>9</v>
      </c>
      <c r="Q84">
        <v>30.443855030000002</v>
      </c>
      <c r="R84">
        <v>3.6948533440000002</v>
      </c>
      <c r="S84" s="156">
        <v>3.3679999999999999</v>
      </c>
      <c r="V84">
        <v>201912</v>
      </c>
      <c r="X84">
        <v>4.4240000000000004</v>
      </c>
      <c r="Y84">
        <v>54.183151208779996</v>
      </c>
      <c r="Z84">
        <v>4.5639897942000003</v>
      </c>
    </row>
    <row r="85" spans="1:26">
      <c r="A85">
        <v>201912</v>
      </c>
      <c r="B85" t="s">
        <v>12</v>
      </c>
      <c r="C85">
        <v>107.632309562</v>
      </c>
      <c r="D85">
        <v>13.992573106</v>
      </c>
      <c r="E85" s="156">
        <v>14.516999999999999</v>
      </c>
      <c r="H85">
        <v>201912</v>
      </c>
      <c r="I85" t="s">
        <v>9</v>
      </c>
      <c r="J85">
        <v>16.303999999999998</v>
      </c>
      <c r="K85">
        <v>119.05856985114001</v>
      </c>
      <c r="L85">
        <v>12.95973403182</v>
      </c>
      <c r="O85">
        <v>201912</v>
      </c>
      <c r="P85" t="s">
        <v>11</v>
      </c>
      <c r="Q85">
        <v>74.801007838000004</v>
      </c>
      <c r="R85">
        <v>8.4609953460000007</v>
      </c>
      <c r="S85" s="156">
        <v>8.7059999999999995</v>
      </c>
      <c r="V85">
        <v>201912</v>
      </c>
      <c r="W85" t="s">
        <v>9</v>
      </c>
      <c r="X85">
        <v>16.303999999999998</v>
      </c>
      <c r="Y85">
        <v>119.05856985114001</v>
      </c>
      <c r="Z85">
        <v>12.95973403182</v>
      </c>
    </row>
    <row r="86" spans="1:26">
      <c r="A86">
        <v>201912</v>
      </c>
      <c r="B86" t="s">
        <v>10</v>
      </c>
      <c r="C86">
        <v>80.862730896000002</v>
      </c>
      <c r="D86">
        <v>9.7046375420000004</v>
      </c>
      <c r="E86" s="156">
        <v>8.1240000000000006</v>
      </c>
      <c r="H86">
        <v>201912</v>
      </c>
      <c r="I86" t="s">
        <v>13</v>
      </c>
      <c r="J86">
        <v>35.112000000000002</v>
      </c>
      <c r="K86">
        <v>127.57256972152</v>
      </c>
      <c r="L86">
        <v>20.137982267959998</v>
      </c>
      <c r="O86">
        <v>201912</v>
      </c>
      <c r="P86" t="s">
        <v>14</v>
      </c>
      <c r="Q86">
        <v>21.271554475999999</v>
      </c>
      <c r="R86">
        <v>3.2498565180000001</v>
      </c>
      <c r="S86" s="156">
        <v>7.2910000000000004</v>
      </c>
      <c r="V86">
        <v>201912</v>
      </c>
      <c r="W86" t="s">
        <v>13</v>
      </c>
      <c r="X86">
        <v>35.112000000000002</v>
      </c>
      <c r="Y86">
        <v>127.57256972152</v>
      </c>
      <c r="Z86">
        <v>20.137982267959998</v>
      </c>
    </row>
    <row r="87" spans="1:26">
      <c r="A87">
        <v>201912</v>
      </c>
      <c r="B87" t="s">
        <v>14</v>
      </c>
      <c r="C87">
        <v>24.504496302</v>
      </c>
      <c r="D87">
        <v>3.7353840740000002</v>
      </c>
      <c r="E87" s="156">
        <v>7.2910000000000004</v>
      </c>
      <c r="H87">
        <v>201912</v>
      </c>
      <c r="I87" t="s">
        <v>14</v>
      </c>
      <c r="J87">
        <v>18.562000000000001</v>
      </c>
      <c r="K87">
        <v>43.073114893250001</v>
      </c>
      <c r="L87">
        <v>8.0718779024800007</v>
      </c>
      <c r="O87">
        <v>201912</v>
      </c>
      <c r="P87" t="s">
        <v>10</v>
      </c>
      <c r="Q87">
        <v>67.052306790000003</v>
      </c>
      <c r="R87">
        <v>8.2625955560000008</v>
      </c>
      <c r="S87" s="156">
        <v>8.1240000000000006</v>
      </c>
      <c r="V87">
        <v>201912</v>
      </c>
      <c r="W87" t="s">
        <v>14</v>
      </c>
      <c r="X87">
        <v>18.562000000000001</v>
      </c>
      <c r="Y87">
        <v>43.073114893250001</v>
      </c>
      <c r="Z87">
        <v>8.0718779024800007</v>
      </c>
    </row>
    <row r="88" spans="1:26">
      <c r="A88">
        <v>202001</v>
      </c>
      <c r="B88" t="s">
        <v>14</v>
      </c>
      <c r="C88">
        <v>18.32272858</v>
      </c>
      <c r="D88">
        <v>2.8071895900000001</v>
      </c>
      <c r="E88" s="156">
        <v>6.3689999999999998</v>
      </c>
      <c r="H88">
        <v>202001</v>
      </c>
      <c r="J88">
        <v>3.359</v>
      </c>
      <c r="K88">
        <v>40.274878585689997</v>
      </c>
      <c r="L88">
        <v>3.48223749308</v>
      </c>
      <c r="O88">
        <v>202001</v>
      </c>
      <c r="P88" t="s">
        <v>13</v>
      </c>
      <c r="Q88">
        <v>59.860462202000001</v>
      </c>
      <c r="R88">
        <v>8.1720459539999997</v>
      </c>
      <c r="S88" s="156">
        <v>13.478999999999999</v>
      </c>
      <c r="V88">
        <v>202001</v>
      </c>
      <c r="X88">
        <v>3.359</v>
      </c>
      <c r="Y88">
        <v>40.274878585689997</v>
      </c>
      <c r="Z88">
        <v>3.48223749308</v>
      </c>
    </row>
    <row r="89" spans="1:26">
      <c r="A89">
        <v>202001</v>
      </c>
      <c r="C89">
        <v>7.0562252780000003</v>
      </c>
      <c r="D89">
        <v>0.60731246000000005</v>
      </c>
      <c r="E89" s="156">
        <v>0.73499999999999999</v>
      </c>
      <c r="H89">
        <v>202001</v>
      </c>
      <c r="I89" t="s">
        <v>9</v>
      </c>
      <c r="J89">
        <v>13.645</v>
      </c>
      <c r="K89">
        <v>88.600941330089995</v>
      </c>
      <c r="L89">
        <v>9.9605823284500001</v>
      </c>
      <c r="O89">
        <v>202001</v>
      </c>
      <c r="P89" t="s">
        <v>10</v>
      </c>
      <c r="Q89">
        <v>72.586090236000004</v>
      </c>
      <c r="R89">
        <v>8.6780321919999999</v>
      </c>
      <c r="S89" s="156">
        <v>8.6660000000000004</v>
      </c>
      <c r="V89">
        <v>202001</v>
      </c>
      <c r="W89" t="s">
        <v>9</v>
      </c>
      <c r="X89">
        <v>13.645</v>
      </c>
      <c r="Y89">
        <v>88.600941330089995</v>
      </c>
      <c r="Z89">
        <v>9.9605823284500001</v>
      </c>
    </row>
    <row r="90" spans="1:26">
      <c r="A90">
        <v>202001</v>
      </c>
      <c r="B90" t="s">
        <v>12</v>
      </c>
      <c r="C90">
        <v>93.990132799999998</v>
      </c>
      <c r="D90">
        <v>11.796997212000001</v>
      </c>
      <c r="E90" s="156">
        <v>15.06</v>
      </c>
      <c r="H90">
        <v>202001</v>
      </c>
      <c r="I90" t="s">
        <v>13</v>
      </c>
      <c r="J90">
        <v>30.1</v>
      </c>
      <c r="K90">
        <v>116.10614925821</v>
      </c>
      <c r="L90">
        <v>16.907259863090001</v>
      </c>
      <c r="O90">
        <v>202001</v>
      </c>
      <c r="P90" t="s">
        <v>14</v>
      </c>
      <c r="Q90">
        <v>18.073917626</v>
      </c>
      <c r="R90">
        <v>2.7727001320000002</v>
      </c>
      <c r="S90" s="156">
        <v>6.3689999999999998</v>
      </c>
      <c r="V90">
        <v>202001</v>
      </c>
      <c r="W90" t="s">
        <v>13</v>
      </c>
      <c r="X90">
        <v>30.1</v>
      </c>
      <c r="Y90">
        <v>116.10614925821</v>
      </c>
      <c r="Z90">
        <v>16.907259863090001</v>
      </c>
    </row>
    <row r="91" spans="1:26">
      <c r="A91">
        <v>202001</v>
      </c>
      <c r="B91" t="s">
        <v>10</v>
      </c>
      <c r="C91">
        <v>73.992911489999997</v>
      </c>
      <c r="D91">
        <v>8.8351903200000006</v>
      </c>
      <c r="E91" s="156">
        <v>8.6660000000000004</v>
      </c>
      <c r="H91">
        <v>202001</v>
      </c>
      <c r="I91" t="s">
        <v>10</v>
      </c>
      <c r="J91">
        <v>24.44</v>
      </c>
      <c r="K91">
        <v>166.40246892644001</v>
      </c>
      <c r="L91">
        <v>17.904245844710001</v>
      </c>
      <c r="O91">
        <v>202001</v>
      </c>
      <c r="P91" t="s">
        <v>12</v>
      </c>
      <c r="Q91">
        <v>92.488777795999994</v>
      </c>
      <c r="R91">
        <v>11.646319258</v>
      </c>
      <c r="S91" s="156">
        <v>15.06</v>
      </c>
      <c r="V91">
        <v>202001</v>
      </c>
      <c r="W91" t="s">
        <v>10</v>
      </c>
      <c r="X91">
        <v>24.44</v>
      </c>
      <c r="Y91">
        <v>166.40246892644001</v>
      </c>
      <c r="Z91">
        <v>17.904245844710001</v>
      </c>
    </row>
    <row r="92" spans="1:26">
      <c r="A92">
        <v>202001</v>
      </c>
      <c r="B92" t="s">
        <v>13</v>
      </c>
      <c r="C92">
        <v>61.451920807999997</v>
      </c>
      <c r="D92">
        <v>8.3144385540000005</v>
      </c>
      <c r="E92" s="156">
        <v>13.478999999999999</v>
      </c>
      <c r="H92">
        <v>202001</v>
      </c>
      <c r="I92" t="s">
        <v>14</v>
      </c>
      <c r="J92">
        <v>14.45</v>
      </c>
      <c r="K92">
        <v>35.136737823959997</v>
      </c>
      <c r="L92">
        <v>6.1646118527100002</v>
      </c>
      <c r="O92">
        <v>202001</v>
      </c>
      <c r="Q92">
        <v>6.9995556859999999</v>
      </c>
      <c r="R92">
        <v>0.60121962399999995</v>
      </c>
      <c r="S92" s="156">
        <v>0.73499999999999999</v>
      </c>
      <c r="V92">
        <v>202001</v>
      </c>
      <c r="W92" t="s">
        <v>14</v>
      </c>
      <c r="X92">
        <v>14.45</v>
      </c>
      <c r="Y92">
        <v>35.136737823959997</v>
      </c>
      <c r="Z92">
        <v>6.1646118527100002</v>
      </c>
    </row>
    <row r="93" spans="1:26">
      <c r="A93">
        <v>202001</v>
      </c>
      <c r="B93" t="s">
        <v>9</v>
      </c>
      <c r="C93">
        <v>28.156898785999999</v>
      </c>
      <c r="D93">
        <v>3.7382609699999998</v>
      </c>
      <c r="E93" s="156">
        <v>3.427</v>
      </c>
      <c r="H93">
        <v>202001</v>
      </c>
      <c r="I93" t="s">
        <v>12</v>
      </c>
      <c r="J93">
        <v>34.137999999999998</v>
      </c>
      <c r="K93">
        <v>172.15877215755</v>
      </c>
      <c r="L93">
        <v>22.383313694630001</v>
      </c>
      <c r="O93">
        <v>202001</v>
      </c>
      <c r="P93" t="s">
        <v>11</v>
      </c>
      <c r="Q93">
        <v>73.076401934000003</v>
      </c>
      <c r="R93">
        <v>8.1725696600000006</v>
      </c>
      <c r="S93" s="156">
        <v>8.9550000000000001</v>
      </c>
      <c r="V93">
        <v>202001</v>
      </c>
      <c r="W93" t="s">
        <v>12</v>
      </c>
      <c r="X93">
        <v>34.137999999999998</v>
      </c>
      <c r="Y93">
        <v>172.15877215755</v>
      </c>
      <c r="Z93">
        <v>22.383313694630001</v>
      </c>
    </row>
    <row r="94" spans="1:26">
      <c r="A94">
        <v>202001</v>
      </c>
      <c r="B94" t="s">
        <v>11</v>
      </c>
      <c r="C94">
        <v>73.929289875999999</v>
      </c>
      <c r="D94">
        <v>8.2843745319999993</v>
      </c>
      <c r="E94" s="156">
        <v>8.9550000000000001</v>
      </c>
      <c r="H94">
        <v>202001</v>
      </c>
      <c r="I94" t="s">
        <v>11</v>
      </c>
      <c r="J94">
        <v>22.57</v>
      </c>
      <c r="K94">
        <v>132.45926999474</v>
      </c>
      <c r="L94">
        <v>15.65323923986</v>
      </c>
      <c r="O94">
        <v>202001</v>
      </c>
      <c r="P94" t="s">
        <v>9</v>
      </c>
      <c r="Q94">
        <v>27.398611052</v>
      </c>
      <c r="R94">
        <v>3.6606676139999998</v>
      </c>
      <c r="S94" s="156">
        <v>3.427</v>
      </c>
      <c r="V94">
        <v>202001</v>
      </c>
      <c r="W94" t="s">
        <v>11</v>
      </c>
      <c r="X94">
        <v>22.57</v>
      </c>
      <c r="Y94">
        <v>132.45926999474</v>
      </c>
      <c r="Z94">
        <v>15.65323923986</v>
      </c>
    </row>
    <row r="95" spans="1:26">
      <c r="A95">
        <v>202002</v>
      </c>
      <c r="B95" t="s">
        <v>11</v>
      </c>
      <c r="C95">
        <v>65.543984227999999</v>
      </c>
      <c r="D95">
        <v>7.6581936300000004</v>
      </c>
      <c r="E95" s="156">
        <v>8.6129999999999995</v>
      </c>
      <c r="H95">
        <v>202002</v>
      </c>
      <c r="J95">
        <v>3.016</v>
      </c>
      <c r="K95">
        <v>38.413373140490002</v>
      </c>
      <c r="L95">
        <v>3.2386927824699998</v>
      </c>
      <c r="O95">
        <v>202002</v>
      </c>
      <c r="P95" t="s">
        <v>9</v>
      </c>
      <c r="Q95">
        <v>28.79683211</v>
      </c>
      <c r="R95">
        <v>3.7308048500000002</v>
      </c>
      <c r="S95" s="156">
        <v>3.5230000000000001</v>
      </c>
      <c r="V95">
        <v>202002</v>
      </c>
      <c r="X95">
        <v>3.016</v>
      </c>
      <c r="Y95">
        <v>38.413373140490002</v>
      </c>
      <c r="Z95">
        <v>3.2386927824699998</v>
      </c>
    </row>
    <row r="96" spans="1:26">
      <c r="A96">
        <v>202002</v>
      </c>
      <c r="B96" t="s">
        <v>9</v>
      </c>
      <c r="C96">
        <v>29.120161698</v>
      </c>
      <c r="D96">
        <v>3.768478762</v>
      </c>
      <c r="E96" s="156">
        <v>3.5230000000000001</v>
      </c>
      <c r="H96">
        <v>202002</v>
      </c>
      <c r="I96" t="s">
        <v>9</v>
      </c>
      <c r="J96">
        <v>14.39</v>
      </c>
      <c r="K96">
        <v>83.93387620579</v>
      </c>
      <c r="L96">
        <v>10.653998924690001</v>
      </c>
      <c r="O96">
        <v>202002</v>
      </c>
      <c r="P96" t="s">
        <v>13</v>
      </c>
      <c r="Q96">
        <v>55.536343506000001</v>
      </c>
      <c r="R96">
        <v>7.4730836539999999</v>
      </c>
      <c r="S96" s="156">
        <v>12.53</v>
      </c>
      <c r="V96">
        <v>202002</v>
      </c>
      <c r="W96" t="s">
        <v>9</v>
      </c>
      <c r="X96">
        <v>14.39</v>
      </c>
      <c r="Y96">
        <v>83.93387620579</v>
      </c>
      <c r="Z96">
        <v>10.653998924690001</v>
      </c>
    </row>
    <row r="97" spans="1:26">
      <c r="A97">
        <v>202002</v>
      </c>
      <c r="B97" t="s">
        <v>10</v>
      </c>
      <c r="C97">
        <v>74.353212606</v>
      </c>
      <c r="D97">
        <v>8.2531146339999992</v>
      </c>
      <c r="E97" s="156">
        <v>8.2330000000000005</v>
      </c>
      <c r="H97">
        <v>202002</v>
      </c>
      <c r="I97" t="s">
        <v>14</v>
      </c>
      <c r="J97">
        <v>14.371</v>
      </c>
      <c r="K97">
        <v>32.07976781464</v>
      </c>
      <c r="L97">
        <v>5.8738912266299996</v>
      </c>
      <c r="O97">
        <v>202002</v>
      </c>
      <c r="P97" t="s">
        <v>11</v>
      </c>
      <c r="Q97">
        <v>64.338579543999998</v>
      </c>
      <c r="R97">
        <v>7.553483978</v>
      </c>
      <c r="S97" s="156">
        <v>8.6129999999999995</v>
      </c>
      <c r="V97">
        <v>202002</v>
      </c>
      <c r="W97" t="s">
        <v>14</v>
      </c>
      <c r="X97">
        <v>14.371</v>
      </c>
      <c r="Y97">
        <v>32.07976781464</v>
      </c>
      <c r="Z97">
        <v>5.8738912266299996</v>
      </c>
    </row>
    <row r="98" spans="1:26">
      <c r="A98">
        <v>202002</v>
      </c>
      <c r="C98">
        <v>5.1404959300000002</v>
      </c>
      <c r="D98">
        <v>0.46516169800000001</v>
      </c>
      <c r="E98" s="156">
        <v>0.56000000000000005</v>
      </c>
      <c r="H98">
        <v>202002</v>
      </c>
      <c r="I98" t="s">
        <v>12</v>
      </c>
      <c r="J98">
        <v>35.195999999999998</v>
      </c>
      <c r="K98">
        <v>158.71696310587001</v>
      </c>
      <c r="L98">
        <v>22.75195383682</v>
      </c>
      <c r="O98">
        <v>202002</v>
      </c>
      <c r="P98" t="s">
        <v>14</v>
      </c>
      <c r="Q98">
        <v>15.809922887999999</v>
      </c>
      <c r="R98">
        <v>2.3826912280000001</v>
      </c>
      <c r="S98" s="156">
        <v>5.7469999999999999</v>
      </c>
      <c r="V98">
        <v>202002</v>
      </c>
      <c r="W98" t="s">
        <v>12</v>
      </c>
      <c r="X98">
        <v>35.195999999999998</v>
      </c>
      <c r="Y98">
        <v>158.71696310587001</v>
      </c>
      <c r="Z98">
        <v>22.75195383682</v>
      </c>
    </row>
    <row r="99" spans="1:26">
      <c r="A99">
        <v>202002</v>
      </c>
      <c r="B99" t="s">
        <v>13</v>
      </c>
      <c r="C99">
        <v>56.735634621999999</v>
      </c>
      <c r="D99">
        <v>7.581590426</v>
      </c>
      <c r="E99" s="156">
        <v>12.53</v>
      </c>
      <c r="H99">
        <v>202002</v>
      </c>
      <c r="I99" t="s">
        <v>11</v>
      </c>
      <c r="J99">
        <v>23.47</v>
      </c>
      <c r="K99">
        <v>127.91119522311</v>
      </c>
      <c r="L99">
        <v>16.561022581100001</v>
      </c>
      <c r="O99">
        <v>202002</v>
      </c>
      <c r="P99" t="s">
        <v>12</v>
      </c>
      <c r="Q99">
        <v>80.596101320000002</v>
      </c>
      <c r="R99">
        <v>10.418258986</v>
      </c>
      <c r="S99" s="156">
        <v>14.15</v>
      </c>
      <c r="V99">
        <v>202002</v>
      </c>
      <c r="W99" t="s">
        <v>11</v>
      </c>
      <c r="X99">
        <v>23.47</v>
      </c>
      <c r="Y99">
        <v>127.91119522311</v>
      </c>
      <c r="Z99">
        <v>16.561022581100001</v>
      </c>
    </row>
    <row r="100" spans="1:26">
      <c r="A100">
        <v>202002</v>
      </c>
      <c r="B100" t="s">
        <v>12</v>
      </c>
      <c r="C100">
        <v>82.160817080000001</v>
      </c>
      <c r="D100">
        <v>10.569786212</v>
      </c>
      <c r="E100" s="156">
        <v>14.15</v>
      </c>
      <c r="H100">
        <v>202002</v>
      </c>
      <c r="I100" t="s">
        <v>10</v>
      </c>
      <c r="J100">
        <v>25.175000000000001</v>
      </c>
      <c r="K100">
        <v>158.21625395332001</v>
      </c>
      <c r="L100">
        <v>18.632465016379999</v>
      </c>
      <c r="O100">
        <v>202002</v>
      </c>
      <c r="P100" t="s">
        <v>10</v>
      </c>
      <c r="Q100">
        <v>72.466486962000005</v>
      </c>
      <c r="R100">
        <v>8.1051504820000009</v>
      </c>
      <c r="S100" s="156">
        <v>8.2330000000000005</v>
      </c>
      <c r="V100">
        <v>202002</v>
      </c>
      <c r="W100" t="s">
        <v>10</v>
      </c>
      <c r="X100">
        <v>25.175000000000001</v>
      </c>
      <c r="Y100">
        <v>158.21625395332001</v>
      </c>
      <c r="Z100">
        <v>18.632465016379999</v>
      </c>
    </row>
    <row r="101" spans="1:26">
      <c r="A101">
        <v>202002</v>
      </c>
      <c r="B101" t="s">
        <v>14</v>
      </c>
      <c r="C101">
        <v>16.082375322000001</v>
      </c>
      <c r="D101">
        <v>2.4068719500000002</v>
      </c>
      <c r="E101" s="156">
        <v>5.7469999999999999</v>
      </c>
      <c r="H101">
        <v>202002</v>
      </c>
      <c r="I101" t="s">
        <v>13</v>
      </c>
      <c r="J101">
        <v>30.908999999999999</v>
      </c>
      <c r="K101">
        <v>113.75974565483</v>
      </c>
      <c r="L101">
        <v>17.302855524790001</v>
      </c>
      <c r="O101">
        <v>202002</v>
      </c>
      <c r="Q101">
        <v>4.4290005780000001</v>
      </c>
      <c r="R101">
        <v>0.44290980000000002</v>
      </c>
      <c r="S101" s="156">
        <v>0.56000000000000005</v>
      </c>
      <c r="V101">
        <v>202002</v>
      </c>
      <c r="W101" t="s">
        <v>13</v>
      </c>
      <c r="X101">
        <v>30.908999999999999</v>
      </c>
      <c r="Y101">
        <v>113.75974565483</v>
      </c>
      <c r="Z101">
        <v>17.302855524790001</v>
      </c>
    </row>
    <row r="102" spans="1:26">
      <c r="A102">
        <v>202003</v>
      </c>
      <c r="B102" t="s">
        <v>13</v>
      </c>
      <c r="C102">
        <v>53.455300659999999</v>
      </c>
      <c r="D102">
        <v>6.8839820520000004</v>
      </c>
      <c r="E102" s="156">
        <v>11.67</v>
      </c>
      <c r="H102">
        <v>202003</v>
      </c>
      <c r="I102" t="s">
        <v>11</v>
      </c>
      <c r="J102">
        <v>18.792999999999999</v>
      </c>
      <c r="K102">
        <v>87.298335565170007</v>
      </c>
      <c r="L102">
        <v>11.174690758780001</v>
      </c>
      <c r="O102">
        <v>202003</v>
      </c>
      <c r="P102" t="s">
        <v>11</v>
      </c>
      <c r="Q102">
        <v>59.986392909999999</v>
      </c>
      <c r="R102">
        <v>7.2381467239999999</v>
      </c>
      <c r="S102" s="156">
        <v>8.2129999999999992</v>
      </c>
      <c r="V102">
        <v>202003</v>
      </c>
      <c r="W102" t="s">
        <v>11</v>
      </c>
      <c r="X102">
        <v>18.792999999999999</v>
      </c>
      <c r="Y102">
        <v>87.298335565170007</v>
      </c>
      <c r="Z102">
        <v>11.174690758780001</v>
      </c>
    </row>
    <row r="103" spans="1:26">
      <c r="A103">
        <v>202003</v>
      </c>
      <c r="B103" t="s">
        <v>10</v>
      </c>
      <c r="C103">
        <v>66.233955875999996</v>
      </c>
      <c r="D103">
        <v>7.6485163439999999</v>
      </c>
      <c r="E103" s="156">
        <v>7.7649999999999997</v>
      </c>
      <c r="H103">
        <v>202003</v>
      </c>
      <c r="I103" t="s">
        <v>9</v>
      </c>
      <c r="J103">
        <v>10.835000000000001</v>
      </c>
      <c r="K103">
        <v>48.894404514309997</v>
      </c>
      <c r="L103">
        <v>6.3948469032100004</v>
      </c>
      <c r="O103">
        <v>202003</v>
      </c>
      <c r="P103" t="s">
        <v>14</v>
      </c>
      <c r="Q103">
        <v>12.631173228</v>
      </c>
      <c r="R103">
        <v>1.9418115220000001</v>
      </c>
      <c r="S103" s="156">
        <v>4.9050000000000002</v>
      </c>
      <c r="V103">
        <v>202003</v>
      </c>
      <c r="W103" t="s">
        <v>9</v>
      </c>
      <c r="X103">
        <v>10.835000000000001</v>
      </c>
      <c r="Y103">
        <v>48.894404514309997</v>
      </c>
      <c r="Z103">
        <v>6.3948469032100004</v>
      </c>
    </row>
    <row r="104" spans="1:26">
      <c r="A104">
        <v>202003</v>
      </c>
      <c r="B104" t="s">
        <v>11</v>
      </c>
      <c r="C104">
        <v>60.708043490000001</v>
      </c>
      <c r="D104">
        <v>7.3251981180000003</v>
      </c>
      <c r="E104" s="156">
        <v>8.2129999999999992</v>
      </c>
      <c r="H104">
        <v>202003</v>
      </c>
      <c r="I104" t="s">
        <v>14</v>
      </c>
      <c r="J104">
        <v>11.098000000000001</v>
      </c>
      <c r="K104">
        <v>24.68783054247</v>
      </c>
      <c r="L104">
        <v>4.3454350309000001</v>
      </c>
      <c r="O104">
        <v>202003</v>
      </c>
      <c r="P104" t="s">
        <v>9</v>
      </c>
      <c r="Q104">
        <v>26.596044708000001</v>
      </c>
      <c r="R104">
        <v>3.28256265</v>
      </c>
      <c r="S104" s="156">
        <v>3.2170000000000001</v>
      </c>
      <c r="V104">
        <v>202003</v>
      </c>
      <c r="W104" t="s">
        <v>14</v>
      </c>
      <c r="X104">
        <v>11.098000000000001</v>
      </c>
      <c r="Y104">
        <v>24.68783054247</v>
      </c>
      <c r="Z104">
        <v>4.3454350309000001</v>
      </c>
    </row>
    <row r="105" spans="1:26">
      <c r="A105">
        <v>202003</v>
      </c>
      <c r="B105" t="s">
        <v>14</v>
      </c>
      <c r="C105">
        <v>13.010391808</v>
      </c>
      <c r="D105">
        <v>1.9669420179999999</v>
      </c>
      <c r="E105" s="156">
        <v>4.9050000000000002</v>
      </c>
      <c r="H105">
        <v>202003</v>
      </c>
      <c r="I105" t="s">
        <v>13</v>
      </c>
      <c r="J105">
        <v>25.344000000000001</v>
      </c>
      <c r="K105">
        <v>82.633320075010005</v>
      </c>
      <c r="L105">
        <v>12.493671987780001</v>
      </c>
      <c r="O105">
        <v>202003</v>
      </c>
      <c r="P105" t="s">
        <v>13</v>
      </c>
      <c r="Q105">
        <v>52.629059890000001</v>
      </c>
      <c r="R105">
        <v>6.8075268539999998</v>
      </c>
      <c r="S105" s="156">
        <v>11.67</v>
      </c>
      <c r="V105">
        <v>202003</v>
      </c>
      <c r="W105" t="s">
        <v>13</v>
      </c>
      <c r="X105">
        <v>25.344000000000001</v>
      </c>
      <c r="Y105">
        <v>82.633320075010005</v>
      </c>
      <c r="Z105">
        <v>12.493671987780001</v>
      </c>
    </row>
    <row r="106" spans="1:26">
      <c r="A106">
        <v>202003</v>
      </c>
      <c r="C106">
        <v>3.1966257179999999</v>
      </c>
      <c r="D106">
        <v>0.39402489400000001</v>
      </c>
      <c r="E106" s="156">
        <v>0.49099999999999999</v>
      </c>
      <c r="H106">
        <v>202003</v>
      </c>
      <c r="I106" t="s">
        <v>12</v>
      </c>
      <c r="J106">
        <v>28.765000000000001</v>
      </c>
      <c r="K106">
        <v>105.84106546864</v>
      </c>
      <c r="L106">
        <v>15.71721512839</v>
      </c>
      <c r="O106">
        <v>202003</v>
      </c>
      <c r="Q106">
        <v>3.1246940780000001</v>
      </c>
      <c r="R106">
        <v>0.384206824</v>
      </c>
      <c r="S106" s="156">
        <v>0.49099999999999999</v>
      </c>
      <c r="V106">
        <v>202003</v>
      </c>
      <c r="W106" t="s">
        <v>12</v>
      </c>
      <c r="X106">
        <v>28.765000000000001</v>
      </c>
      <c r="Y106">
        <v>105.84106546864</v>
      </c>
      <c r="Z106">
        <v>15.71721512839</v>
      </c>
    </row>
    <row r="107" spans="1:26">
      <c r="A107">
        <v>202003</v>
      </c>
      <c r="B107" t="s">
        <v>12</v>
      </c>
      <c r="C107">
        <v>74.059446694000002</v>
      </c>
      <c r="D107">
        <v>9.5285036200000004</v>
      </c>
      <c r="E107" s="156">
        <v>13.481999999999999</v>
      </c>
      <c r="H107">
        <v>202003</v>
      </c>
      <c r="I107" t="s">
        <v>10</v>
      </c>
      <c r="J107">
        <v>19.709</v>
      </c>
      <c r="K107">
        <v>101.19447188981999</v>
      </c>
      <c r="L107">
        <v>12.13786067999</v>
      </c>
      <c r="O107">
        <v>202003</v>
      </c>
      <c r="P107" t="s">
        <v>12</v>
      </c>
      <c r="Q107">
        <v>73.065519047999999</v>
      </c>
      <c r="R107">
        <v>9.4231772219999996</v>
      </c>
      <c r="S107" s="156">
        <v>13.481999999999999</v>
      </c>
      <c r="V107">
        <v>202003</v>
      </c>
      <c r="W107" t="s">
        <v>10</v>
      </c>
      <c r="X107">
        <v>19.709</v>
      </c>
      <c r="Y107">
        <v>101.19447188981999</v>
      </c>
      <c r="Z107">
        <v>12.13786067999</v>
      </c>
    </row>
    <row r="108" spans="1:26">
      <c r="A108">
        <v>202003</v>
      </c>
      <c r="B108" t="s">
        <v>9</v>
      </c>
      <c r="C108">
        <v>27.00609833</v>
      </c>
      <c r="D108">
        <v>3.3210664919999999</v>
      </c>
      <c r="E108" s="156">
        <v>3.2170000000000001</v>
      </c>
      <c r="H108">
        <v>202003</v>
      </c>
      <c r="J108">
        <v>2.206</v>
      </c>
      <c r="K108">
        <v>21.650479622270002</v>
      </c>
      <c r="L108">
        <v>2.0166758325299998</v>
      </c>
      <c r="O108">
        <v>202003</v>
      </c>
      <c r="P108" t="s">
        <v>10</v>
      </c>
      <c r="Q108">
        <v>64.982321092000007</v>
      </c>
      <c r="R108">
        <v>7.5437583699999999</v>
      </c>
      <c r="S108" s="156">
        <v>7.7649999999999997</v>
      </c>
      <c r="V108">
        <v>202003</v>
      </c>
      <c r="X108">
        <v>2.206</v>
      </c>
      <c r="Y108">
        <v>21.650479622270002</v>
      </c>
      <c r="Z108">
        <v>2.0166758325299998</v>
      </c>
    </row>
    <row r="109" spans="1:26">
      <c r="A109">
        <v>202004</v>
      </c>
      <c r="B109" t="s">
        <v>12</v>
      </c>
      <c r="C109">
        <v>31.818019272000001</v>
      </c>
      <c r="D109">
        <v>4.0437788360000004</v>
      </c>
      <c r="E109" s="156">
        <v>6.7880000000000003</v>
      </c>
      <c r="H109">
        <v>202004</v>
      </c>
      <c r="I109" t="s">
        <v>12</v>
      </c>
      <c r="J109">
        <v>11.266999999999999</v>
      </c>
      <c r="K109">
        <v>33.17442052901</v>
      </c>
      <c r="L109">
        <v>5.0614962946900004</v>
      </c>
      <c r="O109">
        <v>202004</v>
      </c>
      <c r="P109" t="s">
        <v>12</v>
      </c>
      <c r="Q109">
        <v>26.594359214000001</v>
      </c>
      <c r="R109">
        <v>3.3604962920000001</v>
      </c>
      <c r="S109" s="156">
        <v>6.7880000000000003</v>
      </c>
      <c r="V109">
        <v>202004</v>
      </c>
      <c r="W109" t="s">
        <v>12</v>
      </c>
      <c r="X109">
        <v>11.266999999999999</v>
      </c>
      <c r="Y109">
        <v>33.17442052901</v>
      </c>
      <c r="Z109">
        <v>5.0614962946900004</v>
      </c>
    </row>
    <row r="110" spans="1:26">
      <c r="A110">
        <v>202004</v>
      </c>
      <c r="B110" t="s">
        <v>13</v>
      </c>
      <c r="C110">
        <v>22.633407362</v>
      </c>
      <c r="D110">
        <v>3.1993046199999999</v>
      </c>
      <c r="E110" s="156">
        <v>6.1920000000000002</v>
      </c>
      <c r="H110">
        <v>202004</v>
      </c>
      <c r="I110" t="s">
        <v>10</v>
      </c>
      <c r="J110">
        <v>6.6710000000000003</v>
      </c>
      <c r="K110">
        <v>26.16750435949</v>
      </c>
      <c r="L110">
        <v>3.4021818794100001</v>
      </c>
      <c r="O110">
        <v>202004</v>
      </c>
      <c r="P110" t="s">
        <v>10</v>
      </c>
      <c r="Q110">
        <v>18.748341155999999</v>
      </c>
      <c r="R110">
        <v>2.1176354380000002</v>
      </c>
      <c r="S110" s="156">
        <v>3.145</v>
      </c>
      <c r="V110">
        <v>202004</v>
      </c>
      <c r="W110" t="s">
        <v>10</v>
      </c>
      <c r="X110">
        <v>6.6710000000000003</v>
      </c>
      <c r="Y110">
        <v>26.16750435949</v>
      </c>
      <c r="Z110">
        <v>3.4021818794100001</v>
      </c>
    </row>
    <row r="111" spans="1:26">
      <c r="A111">
        <v>202004</v>
      </c>
      <c r="B111" t="s">
        <v>11</v>
      </c>
      <c r="C111">
        <v>17.467659611999999</v>
      </c>
      <c r="D111">
        <v>2.3602440840000001</v>
      </c>
      <c r="E111" s="156">
        <v>3.629</v>
      </c>
      <c r="H111">
        <v>202004</v>
      </c>
      <c r="I111" t="s">
        <v>14</v>
      </c>
      <c r="J111">
        <v>5.399</v>
      </c>
      <c r="K111">
        <v>11.139279718399999</v>
      </c>
      <c r="L111">
        <v>1.9569568576</v>
      </c>
      <c r="O111">
        <v>202004</v>
      </c>
      <c r="Q111">
        <v>4.8890969999999999E-2</v>
      </c>
      <c r="R111">
        <v>6.6727499999999999E-3</v>
      </c>
      <c r="S111" s="156">
        <v>6.0000000000000001E-3</v>
      </c>
      <c r="V111">
        <v>202004</v>
      </c>
      <c r="W111" t="s">
        <v>14</v>
      </c>
      <c r="X111">
        <v>5.399</v>
      </c>
      <c r="Y111">
        <v>11.139279718399999</v>
      </c>
      <c r="Z111">
        <v>1.9569568576</v>
      </c>
    </row>
    <row r="112" spans="1:26">
      <c r="A112">
        <v>202004</v>
      </c>
      <c r="B112" t="s">
        <v>9</v>
      </c>
      <c r="C112">
        <v>10.105532706</v>
      </c>
      <c r="D112">
        <v>1.1450372360000001</v>
      </c>
      <c r="E112" s="156">
        <v>1.2290000000000001</v>
      </c>
      <c r="H112">
        <v>202004</v>
      </c>
      <c r="J112">
        <v>1.4E-2</v>
      </c>
      <c r="K112">
        <v>0.35596874000000001</v>
      </c>
      <c r="L112">
        <v>2.6248259999999999E-2</v>
      </c>
      <c r="O112">
        <v>202004</v>
      </c>
      <c r="P112" t="s">
        <v>14</v>
      </c>
      <c r="Q112">
        <v>7.5332028439999998</v>
      </c>
      <c r="R112">
        <v>1.1117995039999999</v>
      </c>
      <c r="S112" s="156">
        <v>3.1549999999999998</v>
      </c>
      <c r="V112">
        <v>202004</v>
      </c>
      <c r="X112">
        <v>1.4E-2</v>
      </c>
      <c r="Y112">
        <v>0.35596874000000001</v>
      </c>
      <c r="Z112">
        <v>2.6248259999999999E-2</v>
      </c>
    </row>
    <row r="113" spans="1:26">
      <c r="A113">
        <v>202004</v>
      </c>
      <c r="B113" t="s">
        <v>10</v>
      </c>
      <c r="C113">
        <v>22.234972089999999</v>
      </c>
      <c r="D113">
        <v>2.555046098</v>
      </c>
      <c r="E113" s="156">
        <v>3.145</v>
      </c>
      <c r="H113">
        <v>202004</v>
      </c>
      <c r="I113" t="s">
        <v>11</v>
      </c>
      <c r="J113">
        <v>6.875</v>
      </c>
      <c r="K113">
        <v>24.551304456890001</v>
      </c>
      <c r="L113">
        <v>3.4220590035499998</v>
      </c>
      <c r="O113">
        <v>202004</v>
      </c>
      <c r="P113" t="s">
        <v>13</v>
      </c>
      <c r="Q113">
        <v>18.455593409999999</v>
      </c>
      <c r="R113">
        <v>2.6330058799999998</v>
      </c>
      <c r="S113" s="156">
        <v>6.1920000000000002</v>
      </c>
      <c r="V113">
        <v>202004</v>
      </c>
      <c r="W113" t="s">
        <v>11</v>
      </c>
      <c r="X113">
        <v>6.875</v>
      </c>
      <c r="Y113">
        <v>24.551304456890001</v>
      </c>
      <c r="Z113">
        <v>3.4220590035499998</v>
      </c>
    </row>
    <row r="114" spans="1:26">
      <c r="A114">
        <v>202004</v>
      </c>
      <c r="B114" t="s">
        <v>14</v>
      </c>
      <c r="C114">
        <v>9.434173672</v>
      </c>
      <c r="D114">
        <v>1.3603296540000001</v>
      </c>
      <c r="E114" s="156">
        <v>3.1549999999999998</v>
      </c>
      <c r="H114">
        <v>202004</v>
      </c>
      <c r="I114" t="s">
        <v>9</v>
      </c>
      <c r="J114">
        <v>3.7429999999999999</v>
      </c>
      <c r="K114">
        <v>12.539228230799999</v>
      </c>
      <c r="L114">
        <v>1.7854116685999999</v>
      </c>
      <c r="O114">
        <v>202004</v>
      </c>
      <c r="P114" t="s">
        <v>11</v>
      </c>
      <c r="Q114">
        <v>14.681810936</v>
      </c>
      <c r="R114">
        <v>1.9685872579999999</v>
      </c>
      <c r="S114" s="156">
        <v>3.629</v>
      </c>
      <c r="V114">
        <v>202004</v>
      </c>
      <c r="W114" t="s">
        <v>9</v>
      </c>
      <c r="X114">
        <v>3.7429999999999999</v>
      </c>
      <c r="Y114">
        <v>12.539228230799999</v>
      </c>
      <c r="Z114">
        <v>1.7854116685999999</v>
      </c>
    </row>
    <row r="115" spans="1:26">
      <c r="A115">
        <v>202004</v>
      </c>
      <c r="C115">
        <v>4.9124769999999998E-2</v>
      </c>
      <c r="D115">
        <v>6.7896500000000004E-3</v>
      </c>
      <c r="E115" s="156">
        <v>6.0000000000000001E-3</v>
      </c>
      <c r="H115">
        <v>202004</v>
      </c>
      <c r="I115" t="s">
        <v>13</v>
      </c>
      <c r="J115">
        <v>10.733000000000001</v>
      </c>
      <c r="K115">
        <v>28.287977643200001</v>
      </c>
      <c r="L115">
        <v>4.5404230866899997</v>
      </c>
      <c r="O115">
        <v>202004</v>
      </c>
      <c r="P115" t="s">
        <v>9</v>
      </c>
      <c r="Q115">
        <v>8.6260506299999999</v>
      </c>
      <c r="R115">
        <v>0.91098732800000004</v>
      </c>
      <c r="S115" s="156">
        <v>1.2290000000000001</v>
      </c>
      <c r="V115">
        <v>202004</v>
      </c>
      <c r="W115" t="s">
        <v>13</v>
      </c>
      <c r="X115">
        <v>10.733000000000001</v>
      </c>
      <c r="Y115">
        <v>28.287977643200001</v>
      </c>
      <c r="Z115">
        <v>4.5404230866899997</v>
      </c>
    </row>
    <row r="116" spans="1:26">
      <c r="A116">
        <v>202005</v>
      </c>
      <c r="B116" t="s">
        <v>10</v>
      </c>
      <c r="C116">
        <v>27.281745336</v>
      </c>
      <c r="D116">
        <v>2.8613888420000002</v>
      </c>
      <c r="E116" s="156">
        <v>3.26</v>
      </c>
      <c r="H116">
        <v>202005</v>
      </c>
      <c r="I116" t="s">
        <v>13</v>
      </c>
      <c r="J116">
        <v>14.316000000000001</v>
      </c>
      <c r="K116">
        <v>57.23666779186</v>
      </c>
      <c r="L116">
        <v>8.1087597733300001</v>
      </c>
      <c r="O116">
        <v>202005</v>
      </c>
      <c r="P116" t="s">
        <v>10</v>
      </c>
      <c r="Q116">
        <v>26.918940855999999</v>
      </c>
      <c r="R116">
        <v>2.825563024</v>
      </c>
      <c r="S116" s="156">
        <v>3.26</v>
      </c>
      <c r="V116">
        <v>202005</v>
      </c>
      <c r="W116" t="s">
        <v>13</v>
      </c>
      <c r="X116">
        <v>14.316000000000001</v>
      </c>
      <c r="Y116">
        <v>57.23666779186</v>
      </c>
      <c r="Z116">
        <v>8.1087597733300001</v>
      </c>
    </row>
    <row r="117" spans="1:26">
      <c r="A117">
        <v>202005</v>
      </c>
      <c r="B117" t="s">
        <v>11</v>
      </c>
      <c r="C117">
        <v>21.12978257</v>
      </c>
      <c r="D117">
        <v>2.552646142</v>
      </c>
      <c r="E117" s="156">
        <v>3.633</v>
      </c>
      <c r="H117">
        <v>202005</v>
      </c>
      <c r="I117" t="s">
        <v>9</v>
      </c>
      <c r="J117">
        <v>4.6340000000000003</v>
      </c>
      <c r="K117">
        <v>27.282477044410001</v>
      </c>
      <c r="L117">
        <v>3.5752830766399999</v>
      </c>
      <c r="O117">
        <v>202005</v>
      </c>
      <c r="Q117">
        <v>0.25542506999999998</v>
      </c>
      <c r="R117">
        <v>2.6426519999999998E-2</v>
      </c>
      <c r="S117" s="156">
        <v>0.03</v>
      </c>
      <c r="V117">
        <v>202005</v>
      </c>
      <c r="W117" t="s">
        <v>9</v>
      </c>
      <c r="X117">
        <v>4.6340000000000003</v>
      </c>
      <c r="Y117">
        <v>27.282477044410001</v>
      </c>
      <c r="Z117">
        <v>3.5752830766399999</v>
      </c>
    </row>
    <row r="118" spans="1:26">
      <c r="A118">
        <v>202005</v>
      </c>
      <c r="B118" t="s">
        <v>14</v>
      </c>
      <c r="C118">
        <v>13.064395726000001</v>
      </c>
      <c r="D118">
        <v>1.850822094</v>
      </c>
      <c r="E118" s="156">
        <v>4.3090000000000002</v>
      </c>
      <c r="H118">
        <v>202005</v>
      </c>
      <c r="J118">
        <v>8.3000000000000004E-2</v>
      </c>
      <c r="K118">
        <v>0.67944333999999995</v>
      </c>
      <c r="L118">
        <v>8.3034659999999996E-2</v>
      </c>
      <c r="O118">
        <v>202005</v>
      </c>
      <c r="P118" t="s">
        <v>14</v>
      </c>
      <c r="Q118">
        <v>12.916740752000001</v>
      </c>
      <c r="R118">
        <v>1.832604696</v>
      </c>
      <c r="S118" s="156">
        <v>4.3090000000000002</v>
      </c>
      <c r="V118">
        <v>202005</v>
      </c>
      <c r="X118">
        <v>8.3000000000000004E-2</v>
      </c>
      <c r="Y118">
        <v>0.67944333999999995</v>
      </c>
      <c r="Z118">
        <v>8.3034659999999996E-2</v>
      </c>
    </row>
    <row r="119" spans="1:26">
      <c r="A119">
        <v>202005</v>
      </c>
      <c r="B119" t="s">
        <v>12</v>
      </c>
      <c r="C119">
        <v>33.851517884000003</v>
      </c>
      <c r="D119">
        <v>4.3915589199999996</v>
      </c>
      <c r="E119" s="156">
        <v>6.9340000000000002</v>
      </c>
      <c r="H119">
        <v>202005</v>
      </c>
      <c r="I119" t="s">
        <v>12</v>
      </c>
      <c r="J119">
        <v>12.304</v>
      </c>
      <c r="K119">
        <v>55.655194372010001</v>
      </c>
      <c r="L119">
        <v>7.6568736673300002</v>
      </c>
      <c r="O119">
        <v>202005</v>
      </c>
      <c r="P119" t="s">
        <v>11</v>
      </c>
      <c r="Q119">
        <v>20.739452918000001</v>
      </c>
      <c r="R119">
        <v>2.5194437079999998</v>
      </c>
      <c r="S119" s="156">
        <v>3.633</v>
      </c>
      <c r="V119">
        <v>202005</v>
      </c>
      <c r="W119" t="s">
        <v>12</v>
      </c>
      <c r="X119">
        <v>12.304</v>
      </c>
      <c r="Y119">
        <v>55.655194372010001</v>
      </c>
      <c r="Z119">
        <v>7.6568736673300002</v>
      </c>
    </row>
    <row r="120" spans="1:26">
      <c r="A120">
        <v>202005</v>
      </c>
      <c r="B120" t="s">
        <v>9</v>
      </c>
      <c r="C120">
        <v>9.7579002779999993</v>
      </c>
      <c r="D120">
        <v>1.2692305399999999</v>
      </c>
      <c r="E120" s="156">
        <v>1.482</v>
      </c>
      <c r="H120">
        <v>202005</v>
      </c>
      <c r="I120" t="s">
        <v>14</v>
      </c>
      <c r="J120">
        <v>8.1929999999999996</v>
      </c>
      <c r="K120">
        <v>24.596380299980002</v>
      </c>
      <c r="L120">
        <v>3.7294580229399998</v>
      </c>
      <c r="O120">
        <v>202005</v>
      </c>
      <c r="P120" t="s">
        <v>13</v>
      </c>
      <c r="Q120">
        <v>35.236680532000001</v>
      </c>
      <c r="R120">
        <v>4.622206448</v>
      </c>
      <c r="S120" s="156">
        <v>8.3130000000000006</v>
      </c>
      <c r="V120">
        <v>202005</v>
      </c>
      <c r="W120" t="s">
        <v>14</v>
      </c>
      <c r="X120">
        <v>8.1929999999999996</v>
      </c>
      <c r="Y120">
        <v>24.596380299980002</v>
      </c>
      <c r="Z120">
        <v>3.7294580229399998</v>
      </c>
    </row>
    <row r="121" spans="1:26">
      <c r="A121">
        <v>202005</v>
      </c>
      <c r="B121" t="s">
        <v>13</v>
      </c>
      <c r="C121">
        <v>36.371037534000003</v>
      </c>
      <c r="D121">
        <v>4.6973673580000002</v>
      </c>
      <c r="E121" s="156">
        <v>8.3130000000000006</v>
      </c>
      <c r="H121">
        <v>202005</v>
      </c>
      <c r="I121" t="s">
        <v>10</v>
      </c>
      <c r="J121">
        <v>7.6929999999999996</v>
      </c>
      <c r="K121">
        <v>48.624729369519997</v>
      </c>
      <c r="L121">
        <v>6.0710339632199997</v>
      </c>
      <c r="O121">
        <v>202005</v>
      </c>
      <c r="P121" t="s">
        <v>9</v>
      </c>
      <c r="Q121">
        <v>9.7272318799999997</v>
      </c>
      <c r="R121">
        <v>1.2609447920000001</v>
      </c>
      <c r="S121" s="156">
        <v>1.482</v>
      </c>
      <c r="V121">
        <v>202005</v>
      </c>
      <c r="W121" t="s">
        <v>10</v>
      </c>
      <c r="X121">
        <v>7.6929999999999996</v>
      </c>
      <c r="Y121">
        <v>48.624729369519997</v>
      </c>
      <c r="Z121">
        <v>6.0710339632199997</v>
      </c>
    </row>
    <row r="122" spans="1:26">
      <c r="A122">
        <v>202005</v>
      </c>
      <c r="C122">
        <v>0.25652912999999999</v>
      </c>
      <c r="D122">
        <v>2.664453E-2</v>
      </c>
      <c r="E122" s="156">
        <v>0.03</v>
      </c>
      <c r="H122">
        <v>202005</v>
      </c>
      <c r="I122" t="s">
        <v>11</v>
      </c>
      <c r="J122">
        <v>7.1470000000000002</v>
      </c>
      <c r="K122">
        <v>41.50436816773</v>
      </c>
      <c r="L122">
        <v>5.16140081088</v>
      </c>
      <c r="O122">
        <v>202005</v>
      </c>
      <c r="P122" t="s">
        <v>12</v>
      </c>
      <c r="Q122">
        <v>33.265945377999998</v>
      </c>
      <c r="R122">
        <v>4.3391942999999999</v>
      </c>
      <c r="S122" s="156">
        <v>6.9340000000000002</v>
      </c>
      <c r="V122">
        <v>202005</v>
      </c>
      <c r="W122" t="s">
        <v>11</v>
      </c>
      <c r="X122">
        <v>7.1470000000000002</v>
      </c>
      <c r="Y122">
        <v>41.50436816773</v>
      </c>
      <c r="Z122">
        <v>5.16140081088</v>
      </c>
    </row>
    <row r="123" spans="1:26">
      <c r="A123">
        <v>202006</v>
      </c>
      <c r="B123" t="s">
        <v>14</v>
      </c>
      <c r="C123">
        <v>11.871165444000001</v>
      </c>
      <c r="D123">
        <v>1.5818853719999999</v>
      </c>
      <c r="E123" s="156">
        <v>3.4590000000000001</v>
      </c>
      <c r="H123">
        <v>202006</v>
      </c>
      <c r="I123" t="s">
        <v>12</v>
      </c>
      <c r="J123">
        <v>13.506</v>
      </c>
      <c r="K123">
        <v>60.303305903030001</v>
      </c>
      <c r="L123">
        <v>8.7755196448900001</v>
      </c>
      <c r="O123">
        <v>202006</v>
      </c>
      <c r="P123" t="s">
        <v>9</v>
      </c>
      <c r="Q123">
        <v>13.560495683999999</v>
      </c>
      <c r="R123">
        <v>1.5801275859999999</v>
      </c>
      <c r="S123" s="156">
        <v>1.7050000000000001</v>
      </c>
      <c r="V123">
        <v>202006</v>
      </c>
      <c r="W123" t="s">
        <v>12</v>
      </c>
      <c r="X123">
        <v>13.506</v>
      </c>
      <c r="Y123">
        <v>60.303305903030001</v>
      </c>
      <c r="Z123">
        <v>8.7755196448900001</v>
      </c>
    </row>
    <row r="124" spans="1:26">
      <c r="A124">
        <v>202006</v>
      </c>
      <c r="B124" t="s">
        <v>10</v>
      </c>
      <c r="C124">
        <v>31.111554546000001</v>
      </c>
      <c r="D124">
        <v>3.5494956659999999</v>
      </c>
      <c r="E124" s="156">
        <v>3.8809999999999998</v>
      </c>
      <c r="H124">
        <v>202006</v>
      </c>
      <c r="I124" t="s">
        <v>14</v>
      </c>
      <c r="J124">
        <v>7.5720000000000001</v>
      </c>
      <c r="K124">
        <v>23.032826310059999</v>
      </c>
      <c r="L124">
        <v>3.5518579583399998</v>
      </c>
      <c r="O124">
        <v>202006</v>
      </c>
      <c r="Q124">
        <v>0.45991183000000002</v>
      </c>
      <c r="R124">
        <v>5.6301440000000001E-2</v>
      </c>
      <c r="S124" s="156">
        <v>6.4000000000000001E-2</v>
      </c>
      <c r="V124">
        <v>202006</v>
      </c>
      <c r="W124" t="s">
        <v>14</v>
      </c>
      <c r="X124">
        <v>7.5720000000000001</v>
      </c>
      <c r="Y124">
        <v>23.032826310059999</v>
      </c>
      <c r="Z124">
        <v>3.5518579583399998</v>
      </c>
    </row>
    <row r="125" spans="1:26">
      <c r="A125">
        <v>202006</v>
      </c>
      <c r="B125" t="s">
        <v>12</v>
      </c>
      <c r="C125">
        <v>39.159934098000001</v>
      </c>
      <c r="D125">
        <v>4.8579627580000002</v>
      </c>
      <c r="E125" s="156">
        <v>6.7350000000000003</v>
      </c>
      <c r="H125">
        <v>202006</v>
      </c>
      <c r="I125" t="s">
        <v>11</v>
      </c>
      <c r="J125">
        <v>8.6150000000000002</v>
      </c>
      <c r="K125">
        <v>46.888527710120002</v>
      </c>
      <c r="L125">
        <v>6.3474187503400001</v>
      </c>
      <c r="O125">
        <v>202006</v>
      </c>
      <c r="P125" t="s">
        <v>13</v>
      </c>
      <c r="Q125">
        <v>33.497833342</v>
      </c>
      <c r="R125">
        <v>4.0454050119999998</v>
      </c>
      <c r="S125" s="156">
        <v>7.1029999999999998</v>
      </c>
      <c r="V125">
        <v>202006</v>
      </c>
      <c r="W125" t="s">
        <v>11</v>
      </c>
      <c r="X125">
        <v>8.6150000000000002</v>
      </c>
      <c r="Y125">
        <v>46.888527710120002</v>
      </c>
      <c r="Z125">
        <v>6.3474187503400001</v>
      </c>
    </row>
    <row r="126" spans="1:26">
      <c r="A126">
        <v>202006</v>
      </c>
      <c r="B126" t="s">
        <v>9</v>
      </c>
      <c r="C126">
        <v>14.002392054</v>
      </c>
      <c r="D126">
        <v>1.6378135620000001</v>
      </c>
      <c r="E126" s="156">
        <v>1.7050000000000001</v>
      </c>
      <c r="H126">
        <v>202006</v>
      </c>
      <c r="J126">
        <v>0.254</v>
      </c>
      <c r="K126">
        <v>2.7542397900000002</v>
      </c>
      <c r="L126">
        <v>0.28294435000000001</v>
      </c>
      <c r="O126">
        <v>202006</v>
      </c>
      <c r="P126" t="s">
        <v>12</v>
      </c>
      <c r="Q126">
        <v>37.099435792000001</v>
      </c>
      <c r="R126">
        <v>4.6357296100000003</v>
      </c>
      <c r="S126" s="156">
        <v>6.7350000000000003</v>
      </c>
      <c r="V126">
        <v>202006</v>
      </c>
      <c r="X126">
        <v>0.254</v>
      </c>
      <c r="Y126">
        <v>2.7542397900000002</v>
      </c>
      <c r="Z126">
        <v>0.28294435000000001</v>
      </c>
    </row>
    <row r="127" spans="1:26">
      <c r="A127">
        <v>202006</v>
      </c>
      <c r="B127" t="s">
        <v>13</v>
      </c>
      <c r="C127">
        <v>34.702198899999999</v>
      </c>
      <c r="D127">
        <v>4.2100717420000002</v>
      </c>
      <c r="E127" s="156">
        <v>7.1029999999999998</v>
      </c>
      <c r="H127">
        <v>202006</v>
      </c>
      <c r="I127" t="s">
        <v>10</v>
      </c>
      <c r="J127">
        <v>9.4860000000000007</v>
      </c>
      <c r="K127">
        <v>58.884801307079996</v>
      </c>
      <c r="L127">
        <v>7.4333495271999999</v>
      </c>
      <c r="O127">
        <v>202006</v>
      </c>
      <c r="P127" t="s">
        <v>10</v>
      </c>
      <c r="Q127">
        <v>29.304493382</v>
      </c>
      <c r="R127">
        <v>3.4014778560000001</v>
      </c>
      <c r="S127" s="156">
        <v>3.8809999999999998</v>
      </c>
      <c r="V127">
        <v>202006</v>
      </c>
      <c r="W127" t="s">
        <v>10</v>
      </c>
      <c r="X127">
        <v>9.4860000000000007</v>
      </c>
      <c r="Y127">
        <v>58.884801307079996</v>
      </c>
      <c r="Z127">
        <v>7.4333495271999999</v>
      </c>
    </row>
    <row r="128" spans="1:26">
      <c r="A128">
        <v>202006</v>
      </c>
      <c r="B128" t="s">
        <v>11</v>
      </c>
      <c r="C128">
        <v>23.415339666000001</v>
      </c>
      <c r="D128">
        <v>2.9791480539999999</v>
      </c>
      <c r="E128" s="156">
        <v>3.9009999999999998</v>
      </c>
      <c r="H128">
        <v>202006</v>
      </c>
      <c r="I128" t="s">
        <v>9</v>
      </c>
      <c r="J128">
        <v>5.8760000000000003</v>
      </c>
      <c r="K128">
        <v>37.259474917589998</v>
      </c>
      <c r="L128">
        <v>4.7437145244299996</v>
      </c>
      <c r="O128">
        <v>202006</v>
      </c>
      <c r="P128" t="s">
        <v>11</v>
      </c>
      <c r="Q128">
        <v>22.463332099999999</v>
      </c>
      <c r="R128">
        <v>2.8570537759999999</v>
      </c>
      <c r="S128" s="156">
        <v>3.9009999999999998</v>
      </c>
      <c r="V128">
        <v>202006</v>
      </c>
      <c r="W128" t="s">
        <v>9</v>
      </c>
      <c r="X128">
        <v>5.8760000000000003</v>
      </c>
      <c r="Y128">
        <v>37.259474917589998</v>
      </c>
      <c r="Z128">
        <v>4.7437145244299996</v>
      </c>
    </row>
    <row r="129" spans="1:26">
      <c r="A129">
        <v>202006</v>
      </c>
      <c r="C129">
        <v>0.49498987</v>
      </c>
      <c r="D129">
        <v>6.1248860000000002E-2</v>
      </c>
      <c r="E129" s="156">
        <v>6.4000000000000001E-2</v>
      </c>
      <c r="H129">
        <v>202006</v>
      </c>
      <c r="I129" t="s">
        <v>13</v>
      </c>
      <c r="J129">
        <v>13.558</v>
      </c>
      <c r="K129">
        <v>54.238887596200001</v>
      </c>
      <c r="L129">
        <v>7.7426990135200002</v>
      </c>
      <c r="O129">
        <v>202006</v>
      </c>
      <c r="P129" t="s">
        <v>14</v>
      </c>
      <c r="Q129">
        <v>11.237343431999999</v>
      </c>
      <c r="R129">
        <v>1.499594978</v>
      </c>
      <c r="S129" s="156">
        <v>3.4590000000000001</v>
      </c>
      <c r="V129">
        <v>202006</v>
      </c>
      <c r="W129" t="s">
        <v>13</v>
      </c>
      <c r="X129">
        <v>13.558</v>
      </c>
      <c r="Y129">
        <v>54.238887596200001</v>
      </c>
      <c r="Z129">
        <v>7.7426990135200002</v>
      </c>
    </row>
    <row r="130" spans="1:26">
      <c r="A130">
        <v>202007</v>
      </c>
      <c r="B130" t="s">
        <v>12</v>
      </c>
      <c r="C130">
        <v>39.950789671999999</v>
      </c>
      <c r="D130">
        <v>5.4106478979999997</v>
      </c>
      <c r="E130" s="156">
        <v>7.5119999999999996</v>
      </c>
      <c r="H130">
        <v>202007</v>
      </c>
      <c r="I130" t="s">
        <v>13</v>
      </c>
      <c r="J130">
        <v>13.532</v>
      </c>
      <c r="K130">
        <v>44.280612301520001</v>
      </c>
      <c r="L130">
        <v>7.4309216663199997</v>
      </c>
      <c r="O130">
        <v>202007</v>
      </c>
      <c r="P130" t="s">
        <v>9</v>
      </c>
      <c r="Q130">
        <v>23.959491942</v>
      </c>
      <c r="R130">
        <v>2.7704874259999999</v>
      </c>
      <c r="S130" s="156">
        <v>2.452</v>
      </c>
      <c r="V130">
        <v>202007</v>
      </c>
      <c r="W130" t="s">
        <v>13</v>
      </c>
      <c r="X130">
        <v>13.532</v>
      </c>
      <c r="Y130">
        <v>44.280612301520001</v>
      </c>
      <c r="Z130">
        <v>7.4309216663199997</v>
      </c>
    </row>
    <row r="131" spans="1:26">
      <c r="A131">
        <v>202007</v>
      </c>
      <c r="B131" t="s">
        <v>10</v>
      </c>
      <c r="C131">
        <v>44.151503724000001</v>
      </c>
      <c r="D131">
        <v>4.9486753080000003</v>
      </c>
      <c r="E131" s="156">
        <v>4.9790000000000001</v>
      </c>
      <c r="H131">
        <v>202007</v>
      </c>
      <c r="I131" t="s">
        <v>14</v>
      </c>
      <c r="J131">
        <v>6.8630000000000004</v>
      </c>
      <c r="K131">
        <v>19.476241703340001</v>
      </c>
      <c r="L131">
        <v>3.1347790304699998</v>
      </c>
      <c r="O131">
        <v>202007</v>
      </c>
      <c r="P131" t="s">
        <v>14</v>
      </c>
      <c r="Q131">
        <v>9.2498281959999993</v>
      </c>
      <c r="R131">
        <v>1.2415742860000001</v>
      </c>
      <c r="S131" s="156">
        <v>2.6640000000000001</v>
      </c>
      <c r="V131">
        <v>202007</v>
      </c>
      <c r="W131" t="s">
        <v>14</v>
      </c>
      <c r="X131">
        <v>6.8630000000000004</v>
      </c>
      <c r="Y131">
        <v>19.476241703340001</v>
      </c>
      <c r="Z131">
        <v>3.1347790304699998</v>
      </c>
    </row>
    <row r="132" spans="1:26">
      <c r="A132">
        <v>202007</v>
      </c>
      <c r="B132" t="s">
        <v>14</v>
      </c>
      <c r="C132">
        <v>9.5837172299999995</v>
      </c>
      <c r="D132">
        <v>1.2744680799999999</v>
      </c>
      <c r="E132" s="156">
        <v>2.6640000000000001</v>
      </c>
      <c r="H132">
        <v>202007</v>
      </c>
      <c r="I132" t="s">
        <v>12</v>
      </c>
      <c r="J132">
        <v>15.637</v>
      </c>
      <c r="K132">
        <v>72.881986455260005</v>
      </c>
      <c r="L132">
        <v>10.473162723890001</v>
      </c>
      <c r="O132">
        <v>202007</v>
      </c>
      <c r="Q132">
        <v>0.83212853799999997</v>
      </c>
      <c r="R132">
        <v>9.9765114000000002E-2</v>
      </c>
      <c r="S132" s="156">
        <v>9.7000000000000003E-2</v>
      </c>
      <c r="V132">
        <v>202007</v>
      </c>
      <c r="W132" t="s">
        <v>12</v>
      </c>
      <c r="X132">
        <v>15.637</v>
      </c>
      <c r="Y132">
        <v>72.881986455260005</v>
      </c>
      <c r="Z132">
        <v>10.473162723890001</v>
      </c>
    </row>
    <row r="133" spans="1:26">
      <c r="A133">
        <v>202007</v>
      </c>
      <c r="B133" t="s">
        <v>9</v>
      </c>
      <c r="C133">
        <v>24.509641460000001</v>
      </c>
      <c r="D133">
        <v>2.8135288979999999</v>
      </c>
      <c r="E133" s="156">
        <v>2.452</v>
      </c>
      <c r="H133">
        <v>202007</v>
      </c>
      <c r="J133">
        <v>0.38400000000000001</v>
      </c>
      <c r="K133">
        <v>4.2303992807200004</v>
      </c>
      <c r="L133">
        <v>0.47044518256000001</v>
      </c>
      <c r="O133">
        <v>202007</v>
      </c>
      <c r="P133" t="s">
        <v>12</v>
      </c>
      <c r="Q133">
        <v>39.250395324000003</v>
      </c>
      <c r="R133">
        <v>5.3305141000000003</v>
      </c>
      <c r="S133" s="156">
        <v>7.5119999999999996</v>
      </c>
      <c r="V133">
        <v>202007</v>
      </c>
      <c r="X133">
        <v>0.38400000000000001</v>
      </c>
      <c r="Y133">
        <v>4.2303992807200004</v>
      </c>
      <c r="Z133">
        <v>0.47044518256000001</v>
      </c>
    </row>
    <row r="134" spans="1:26">
      <c r="A134">
        <v>202007</v>
      </c>
      <c r="B134" t="s">
        <v>11</v>
      </c>
      <c r="C134">
        <v>39.534579817999997</v>
      </c>
      <c r="D134">
        <v>4.3651445860000004</v>
      </c>
      <c r="E134" s="156">
        <v>4.95</v>
      </c>
      <c r="H134">
        <v>202007</v>
      </c>
      <c r="I134" t="s">
        <v>9</v>
      </c>
      <c r="J134">
        <v>8.5150000000000006</v>
      </c>
      <c r="K134">
        <v>65.177049328620001</v>
      </c>
      <c r="L134">
        <v>7.7720829804599996</v>
      </c>
      <c r="O134">
        <v>202007</v>
      </c>
      <c r="P134" t="s">
        <v>11</v>
      </c>
      <c r="Q134">
        <v>38.905018517999999</v>
      </c>
      <c r="R134">
        <v>4.2920368240000002</v>
      </c>
      <c r="S134" s="156">
        <v>4.95</v>
      </c>
      <c r="V134">
        <v>202007</v>
      </c>
      <c r="W134" t="s">
        <v>9</v>
      </c>
      <c r="X134">
        <v>8.5150000000000006</v>
      </c>
      <c r="Y134">
        <v>65.177049328620001</v>
      </c>
      <c r="Z134">
        <v>7.7720829804599996</v>
      </c>
    </row>
    <row r="135" spans="1:26">
      <c r="A135">
        <v>202007</v>
      </c>
      <c r="B135" t="s">
        <v>13</v>
      </c>
      <c r="C135">
        <v>26.620651030000001</v>
      </c>
      <c r="D135">
        <v>3.6335161340000002</v>
      </c>
      <c r="E135" s="156">
        <v>6.2569999999999997</v>
      </c>
      <c r="H135">
        <v>202007</v>
      </c>
      <c r="I135" t="s">
        <v>10</v>
      </c>
      <c r="J135">
        <v>13.353999999999999</v>
      </c>
      <c r="K135">
        <v>100.05735072764</v>
      </c>
      <c r="L135">
        <v>11.98511204936</v>
      </c>
      <c r="O135">
        <v>202007</v>
      </c>
      <c r="P135" t="s">
        <v>13</v>
      </c>
      <c r="Q135">
        <v>25.967741568000001</v>
      </c>
      <c r="R135">
        <v>3.5694550039999999</v>
      </c>
      <c r="S135" s="156">
        <v>6.2569999999999997</v>
      </c>
      <c r="V135">
        <v>202007</v>
      </c>
      <c r="W135" t="s">
        <v>10</v>
      </c>
      <c r="X135">
        <v>13.353999999999999</v>
      </c>
      <c r="Y135">
        <v>100.05735072764</v>
      </c>
      <c r="Z135">
        <v>11.98511204936</v>
      </c>
    </row>
    <row r="136" spans="1:26">
      <c r="A136">
        <v>202007</v>
      </c>
      <c r="C136">
        <v>0.91267061800000004</v>
      </c>
      <c r="D136">
        <v>0.103780894</v>
      </c>
      <c r="E136" s="156">
        <v>9.7000000000000003E-2</v>
      </c>
      <c r="H136">
        <v>202007</v>
      </c>
      <c r="I136" t="s">
        <v>11</v>
      </c>
      <c r="J136">
        <v>11.442</v>
      </c>
      <c r="K136">
        <v>65.901495173970005</v>
      </c>
      <c r="L136">
        <v>9.0893769183199993</v>
      </c>
      <c r="O136">
        <v>202007</v>
      </c>
      <c r="P136" t="s">
        <v>10</v>
      </c>
      <c r="Q136">
        <v>42.601661544000002</v>
      </c>
      <c r="R136">
        <v>4.8461474019999997</v>
      </c>
      <c r="S136" s="156">
        <v>4.9790000000000001</v>
      </c>
      <c r="V136">
        <v>202007</v>
      </c>
      <c r="W136" t="s">
        <v>11</v>
      </c>
      <c r="X136">
        <v>11.442</v>
      </c>
      <c r="Y136">
        <v>65.901495173970005</v>
      </c>
      <c r="Z136">
        <v>9.0893769183199993</v>
      </c>
    </row>
    <row r="137" spans="1:26">
      <c r="A137">
        <v>202008</v>
      </c>
      <c r="B137" t="s">
        <v>12</v>
      </c>
      <c r="C137">
        <v>27.184270812000001</v>
      </c>
      <c r="D137">
        <v>3.3566619539999998</v>
      </c>
      <c r="E137" s="156">
        <v>5.1189999999999998</v>
      </c>
      <c r="H137">
        <v>202008</v>
      </c>
      <c r="I137" t="s">
        <v>13</v>
      </c>
      <c r="J137">
        <v>12.510999999999999</v>
      </c>
      <c r="K137">
        <v>41.523031829499999</v>
      </c>
      <c r="L137">
        <v>6.8715233943699996</v>
      </c>
      <c r="O137">
        <v>202008</v>
      </c>
      <c r="Q137">
        <v>0.35031617999999998</v>
      </c>
      <c r="R137">
        <v>3.3688650000000001E-2</v>
      </c>
      <c r="S137" s="156">
        <v>2.9000000000000001E-2</v>
      </c>
      <c r="V137">
        <v>202008</v>
      </c>
      <c r="W137" t="s">
        <v>13</v>
      </c>
      <c r="X137">
        <v>12.510999999999999</v>
      </c>
      <c r="Y137">
        <v>41.523031829499999</v>
      </c>
      <c r="Z137">
        <v>6.8715233943699996</v>
      </c>
    </row>
    <row r="138" spans="1:26">
      <c r="A138">
        <v>202008</v>
      </c>
      <c r="C138">
        <v>0.36025217999999998</v>
      </c>
      <c r="D138">
        <v>3.5344649999999998E-2</v>
      </c>
      <c r="E138" s="156">
        <v>2.9000000000000001E-2</v>
      </c>
      <c r="H138">
        <v>202008</v>
      </c>
      <c r="I138" t="s">
        <v>9</v>
      </c>
      <c r="J138">
        <v>9.3650000000000002</v>
      </c>
      <c r="K138">
        <v>84.33479278451</v>
      </c>
      <c r="L138">
        <v>8.8657529692299999</v>
      </c>
      <c r="O138">
        <v>202008</v>
      </c>
      <c r="P138" t="s">
        <v>11</v>
      </c>
      <c r="Q138">
        <v>22.459308753999998</v>
      </c>
      <c r="R138">
        <v>2.516216644</v>
      </c>
      <c r="S138" s="156">
        <v>3.3879999999999999</v>
      </c>
      <c r="V138">
        <v>202008</v>
      </c>
      <c r="W138" t="s">
        <v>9</v>
      </c>
      <c r="X138">
        <v>9.3650000000000002</v>
      </c>
      <c r="Y138">
        <v>84.33479278451</v>
      </c>
      <c r="Z138">
        <v>8.8657529692299999</v>
      </c>
    </row>
    <row r="139" spans="1:26">
      <c r="A139">
        <v>202008</v>
      </c>
      <c r="B139" t="s">
        <v>9</v>
      </c>
      <c r="C139">
        <v>12.300874148</v>
      </c>
      <c r="D139">
        <v>1.632416176</v>
      </c>
      <c r="E139" s="156">
        <v>1.597</v>
      </c>
      <c r="H139">
        <v>202008</v>
      </c>
      <c r="I139" t="s">
        <v>11</v>
      </c>
      <c r="J139">
        <v>12.069000000000001</v>
      </c>
      <c r="K139">
        <v>72.859298901949998</v>
      </c>
      <c r="L139">
        <v>9.2822051113700006</v>
      </c>
      <c r="O139">
        <v>202008</v>
      </c>
      <c r="P139" t="s">
        <v>9</v>
      </c>
      <c r="Q139">
        <v>11.390441883999999</v>
      </c>
      <c r="R139">
        <v>1.544739198</v>
      </c>
      <c r="S139" s="156">
        <v>1.597</v>
      </c>
      <c r="V139">
        <v>202008</v>
      </c>
      <c r="W139" t="s">
        <v>11</v>
      </c>
      <c r="X139">
        <v>12.069000000000001</v>
      </c>
      <c r="Y139">
        <v>72.859298901949998</v>
      </c>
      <c r="Z139">
        <v>9.2822051113700006</v>
      </c>
    </row>
    <row r="140" spans="1:26">
      <c r="A140">
        <v>202008</v>
      </c>
      <c r="B140" t="s">
        <v>14</v>
      </c>
      <c r="C140">
        <v>2.966536976</v>
      </c>
      <c r="D140">
        <v>0.45878722</v>
      </c>
      <c r="E140" s="156">
        <v>1.1220000000000001</v>
      </c>
      <c r="H140">
        <v>202008</v>
      </c>
      <c r="I140" t="s">
        <v>10</v>
      </c>
      <c r="J140">
        <v>14.49</v>
      </c>
      <c r="K140">
        <v>109.71439528588</v>
      </c>
      <c r="L140">
        <v>12.554827563830001</v>
      </c>
      <c r="O140">
        <v>202008</v>
      </c>
      <c r="P140" t="s">
        <v>14</v>
      </c>
      <c r="Q140">
        <v>2.8593076860000002</v>
      </c>
      <c r="R140">
        <v>0.44613911000000001</v>
      </c>
      <c r="S140" s="156">
        <v>1.1220000000000001</v>
      </c>
      <c r="V140">
        <v>202008</v>
      </c>
      <c r="W140" t="s">
        <v>10</v>
      </c>
      <c r="X140">
        <v>14.49</v>
      </c>
      <c r="Y140">
        <v>109.71439528588</v>
      </c>
      <c r="Z140">
        <v>12.554827563830001</v>
      </c>
    </row>
    <row r="141" spans="1:26">
      <c r="A141">
        <v>202008</v>
      </c>
      <c r="B141" t="s">
        <v>11</v>
      </c>
      <c r="C141">
        <v>23.467788146</v>
      </c>
      <c r="D141">
        <v>2.6129909859999998</v>
      </c>
      <c r="E141" s="156">
        <v>3.3879999999999999</v>
      </c>
      <c r="H141">
        <v>202008</v>
      </c>
      <c r="I141" t="s">
        <v>12</v>
      </c>
      <c r="J141">
        <v>16.242999999999999</v>
      </c>
      <c r="K141">
        <v>74.892745963099998</v>
      </c>
      <c r="L141">
        <v>10.73079848121</v>
      </c>
      <c r="O141">
        <v>202008</v>
      </c>
      <c r="P141" t="s">
        <v>12</v>
      </c>
      <c r="Q141">
        <v>26.055011575999998</v>
      </c>
      <c r="R141">
        <v>3.2418546140000002</v>
      </c>
      <c r="S141" s="156">
        <v>5.1189999999999998</v>
      </c>
      <c r="V141">
        <v>202008</v>
      </c>
      <c r="W141" t="s">
        <v>12</v>
      </c>
      <c r="X141">
        <v>16.242999999999999</v>
      </c>
      <c r="Y141">
        <v>74.892745963099998</v>
      </c>
      <c r="Z141">
        <v>10.73079848121</v>
      </c>
    </row>
    <row r="142" spans="1:26">
      <c r="A142">
        <v>202008</v>
      </c>
      <c r="B142" t="s">
        <v>10</v>
      </c>
      <c r="C142">
        <v>28.471525022000002</v>
      </c>
      <c r="D142">
        <v>3.2749461279999998</v>
      </c>
      <c r="E142" s="156">
        <v>3.4390000000000001</v>
      </c>
      <c r="H142">
        <v>202008</v>
      </c>
      <c r="J142">
        <v>0.65200000000000002</v>
      </c>
      <c r="K142">
        <v>9.6903517650000008</v>
      </c>
      <c r="L142">
        <v>0.84583536250000002</v>
      </c>
      <c r="O142">
        <v>202008</v>
      </c>
      <c r="P142" t="s">
        <v>13</v>
      </c>
      <c r="Q142">
        <v>14.694553552</v>
      </c>
      <c r="R142">
        <v>1.9650518640000001</v>
      </c>
      <c r="S142" s="156">
        <v>3.863</v>
      </c>
      <c r="V142">
        <v>202008</v>
      </c>
      <c r="X142">
        <v>0.65200000000000002</v>
      </c>
      <c r="Y142">
        <v>9.6903517650000008</v>
      </c>
      <c r="Z142">
        <v>0.84583536250000002</v>
      </c>
    </row>
    <row r="143" spans="1:26">
      <c r="A143">
        <v>202008</v>
      </c>
      <c r="B143" t="s">
        <v>13</v>
      </c>
      <c r="C143">
        <v>15.397898723999999</v>
      </c>
      <c r="D143">
        <v>2.0413118620000001</v>
      </c>
      <c r="E143" s="156">
        <v>3.863</v>
      </c>
      <c r="H143">
        <v>202008</v>
      </c>
      <c r="I143" t="s">
        <v>14</v>
      </c>
      <c r="J143">
        <v>4.5149999999999997</v>
      </c>
      <c r="K143">
        <v>11.82906304766</v>
      </c>
      <c r="L143">
        <v>1.98747360338</v>
      </c>
      <c r="O143">
        <v>202008</v>
      </c>
      <c r="P143" t="s">
        <v>10</v>
      </c>
      <c r="Q143">
        <v>27.165979858</v>
      </c>
      <c r="R143">
        <v>3.1340151440000001</v>
      </c>
      <c r="S143" s="156">
        <v>3.4390000000000001</v>
      </c>
      <c r="V143">
        <v>202008</v>
      </c>
      <c r="W143" t="s">
        <v>14</v>
      </c>
      <c r="X143">
        <v>4.5149999999999997</v>
      </c>
      <c r="Y143">
        <v>11.82906304766</v>
      </c>
      <c r="Z143">
        <v>1.98747360338</v>
      </c>
    </row>
    <row r="144" spans="1:26">
      <c r="A144">
        <v>202009</v>
      </c>
      <c r="B144" t="s">
        <v>9</v>
      </c>
      <c r="C144">
        <v>20.017712534000001</v>
      </c>
      <c r="D144">
        <v>2.432642016</v>
      </c>
      <c r="E144" s="156">
        <v>2.157</v>
      </c>
      <c r="H144">
        <v>202009</v>
      </c>
      <c r="I144" t="s">
        <v>12</v>
      </c>
      <c r="J144">
        <v>19.491</v>
      </c>
      <c r="K144">
        <v>90.266755997849998</v>
      </c>
      <c r="L144">
        <v>12.77199278965</v>
      </c>
      <c r="O144">
        <v>202009</v>
      </c>
      <c r="P144" t="s">
        <v>11</v>
      </c>
      <c r="Q144">
        <v>16.342059402</v>
      </c>
      <c r="R144">
        <v>2.1024051039999998</v>
      </c>
      <c r="S144" s="156">
        <v>2.8940000000000001</v>
      </c>
      <c r="V144">
        <v>202009</v>
      </c>
      <c r="W144" t="s">
        <v>12</v>
      </c>
      <c r="X144">
        <v>19.491</v>
      </c>
      <c r="Y144">
        <v>90.266755997849998</v>
      </c>
      <c r="Z144">
        <v>12.77199278965</v>
      </c>
    </row>
    <row r="145" spans="1:26">
      <c r="A145">
        <v>202009</v>
      </c>
      <c r="C145">
        <v>1.801885738</v>
      </c>
      <c r="D145">
        <v>0.241967616</v>
      </c>
      <c r="E145" s="156">
        <v>0.16900000000000001</v>
      </c>
      <c r="H145">
        <v>202009</v>
      </c>
      <c r="I145" t="s">
        <v>11</v>
      </c>
      <c r="J145">
        <v>8.9009999999999998</v>
      </c>
      <c r="K145">
        <v>56.774537118360001</v>
      </c>
      <c r="L145">
        <v>6.8980172479600004</v>
      </c>
      <c r="O145">
        <v>202009</v>
      </c>
      <c r="P145" t="s">
        <v>10</v>
      </c>
      <c r="Q145">
        <v>24.783617425999999</v>
      </c>
      <c r="R145">
        <v>2.8057827139999998</v>
      </c>
      <c r="S145" s="156">
        <v>3.2429999999999999</v>
      </c>
      <c r="V145">
        <v>202009</v>
      </c>
      <c r="W145" t="s">
        <v>11</v>
      </c>
      <c r="X145">
        <v>8.9009999999999998</v>
      </c>
      <c r="Y145">
        <v>56.774537118360001</v>
      </c>
      <c r="Z145">
        <v>6.8980172479600004</v>
      </c>
    </row>
    <row r="146" spans="1:26">
      <c r="A146">
        <v>202009</v>
      </c>
      <c r="B146" t="s">
        <v>13</v>
      </c>
      <c r="C146">
        <v>27.488019571999999</v>
      </c>
      <c r="D146">
        <v>3.7045976559999998</v>
      </c>
      <c r="E146" s="156">
        <v>5.7309999999999999</v>
      </c>
      <c r="H146">
        <v>202009</v>
      </c>
      <c r="I146" t="s">
        <v>13</v>
      </c>
      <c r="J146">
        <v>14.436999999999999</v>
      </c>
      <c r="K146">
        <v>43.684816132160002</v>
      </c>
      <c r="L146">
        <v>7.7252664023199999</v>
      </c>
      <c r="O146">
        <v>202009</v>
      </c>
      <c r="Q146">
        <v>1.371104238</v>
      </c>
      <c r="R146">
        <v>0.18607918600000001</v>
      </c>
      <c r="S146" s="156">
        <v>0.16900000000000001</v>
      </c>
      <c r="V146">
        <v>202009</v>
      </c>
      <c r="W146" t="s">
        <v>13</v>
      </c>
      <c r="X146">
        <v>14.436999999999999</v>
      </c>
      <c r="Y146">
        <v>43.684816132160002</v>
      </c>
      <c r="Z146">
        <v>7.7252664023199999</v>
      </c>
    </row>
    <row r="147" spans="1:26">
      <c r="A147">
        <v>202009</v>
      </c>
      <c r="B147" t="s">
        <v>11</v>
      </c>
      <c r="C147">
        <v>19.862502652</v>
      </c>
      <c r="D147">
        <v>2.5600907080000002</v>
      </c>
      <c r="E147" s="156">
        <v>2.8940000000000001</v>
      </c>
      <c r="H147">
        <v>202009</v>
      </c>
      <c r="I147" t="s">
        <v>14</v>
      </c>
      <c r="J147">
        <v>7.133</v>
      </c>
      <c r="K147">
        <v>17.183332864240001</v>
      </c>
      <c r="L147">
        <v>3.1557728031700001</v>
      </c>
      <c r="O147">
        <v>202009</v>
      </c>
      <c r="P147" t="s">
        <v>9</v>
      </c>
      <c r="Q147">
        <v>16.370407132</v>
      </c>
      <c r="R147">
        <v>1.9881649379999999</v>
      </c>
      <c r="S147" s="156">
        <v>2.157</v>
      </c>
      <c r="V147">
        <v>202009</v>
      </c>
      <c r="W147" t="s">
        <v>14</v>
      </c>
      <c r="X147">
        <v>7.133</v>
      </c>
      <c r="Y147">
        <v>17.183332864240001</v>
      </c>
      <c r="Z147">
        <v>3.1557728031700001</v>
      </c>
    </row>
    <row r="148" spans="1:26">
      <c r="A148">
        <v>202009</v>
      </c>
      <c r="B148" t="s">
        <v>14</v>
      </c>
      <c r="C148">
        <v>10.627072761999999</v>
      </c>
      <c r="D148">
        <v>1.4696313620000001</v>
      </c>
      <c r="E148" s="156">
        <v>2.7810000000000001</v>
      </c>
      <c r="H148">
        <v>202009</v>
      </c>
      <c r="J148">
        <v>0.92400000000000004</v>
      </c>
      <c r="K148">
        <v>14.36954013834</v>
      </c>
      <c r="L148">
        <v>1.2248822827800001</v>
      </c>
      <c r="O148">
        <v>202009</v>
      </c>
      <c r="P148" t="s">
        <v>12</v>
      </c>
      <c r="Q148">
        <v>35.278145098000003</v>
      </c>
      <c r="R148">
        <v>4.6128473159999999</v>
      </c>
      <c r="S148" s="156">
        <v>7.0220000000000002</v>
      </c>
      <c r="V148">
        <v>202009</v>
      </c>
      <c r="X148">
        <v>0.92400000000000004</v>
      </c>
      <c r="Y148">
        <v>14.36954013834</v>
      </c>
      <c r="Z148">
        <v>1.2248822827800001</v>
      </c>
    </row>
    <row r="149" spans="1:26">
      <c r="A149">
        <v>202009</v>
      </c>
      <c r="B149" t="s">
        <v>10</v>
      </c>
      <c r="C149">
        <v>29.747726201999999</v>
      </c>
      <c r="D149">
        <v>3.3908332319999999</v>
      </c>
      <c r="E149" s="156">
        <v>3.2429999999999999</v>
      </c>
      <c r="H149">
        <v>202009</v>
      </c>
      <c r="I149" t="s">
        <v>9</v>
      </c>
      <c r="J149">
        <v>10.039999999999999</v>
      </c>
      <c r="K149">
        <v>86.727721056050001</v>
      </c>
      <c r="L149">
        <v>9.7469460057100008</v>
      </c>
      <c r="O149">
        <v>202009</v>
      </c>
      <c r="P149" t="s">
        <v>14</v>
      </c>
      <c r="Q149">
        <v>8.7201769440000003</v>
      </c>
      <c r="R149">
        <v>1.235124178</v>
      </c>
      <c r="S149" s="156">
        <v>2.7810000000000001</v>
      </c>
      <c r="V149">
        <v>202009</v>
      </c>
      <c r="W149" t="s">
        <v>9</v>
      </c>
      <c r="X149">
        <v>10.039999999999999</v>
      </c>
      <c r="Y149">
        <v>86.727721056050001</v>
      </c>
      <c r="Z149">
        <v>9.7469460057100008</v>
      </c>
    </row>
    <row r="150" spans="1:26">
      <c r="A150">
        <v>202009</v>
      </c>
      <c r="B150" t="s">
        <v>12</v>
      </c>
      <c r="C150">
        <v>43.853305083999999</v>
      </c>
      <c r="D150">
        <v>5.6578469739999999</v>
      </c>
      <c r="E150" s="156">
        <v>7.0220000000000002</v>
      </c>
      <c r="H150">
        <v>202009</v>
      </c>
      <c r="I150" t="s">
        <v>10</v>
      </c>
      <c r="J150">
        <v>12.547000000000001</v>
      </c>
      <c r="K150">
        <v>99.110315851289997</v>
      </c>
      <c r="L150">
        <v>10.82662103074</v>
      </c>
      <c r="O150">
        <v>202009</v>
      </c>
      <c r="P150" t="s">
        <v>13</v>
      </c>
      <c r="Q150">
        <v>22.959653432</v>
      </c>
      <c r="R150">
        <v>3.100499772</v>
      </c>
      <c r="S150" s="156">
        <v>5.7309999999999999</v>
      </c>
      <c r="V150">
        <v>202009</v>
      </c>
      <c r="W150" t="s">
        <v>10</v>
      </c>
      <c r="X150">
        <v>12.547000000000001</v>
      </c>
      <c r="Y150">
        <v>99.110315851289997</v>
      </c>
      <c r="Z150">
        <v>10.82662103074</v>
      </c>
    </row>
    <row r="151" spans="1:26">
      <c r="A151">
        <v>202010</v>
      </c>
      <c r="B151" t="s">
        <v>13</v>
      </c>
      <c r="C151">
        <v>26.489227054000001</v>
      </c>
      <c r="D151">
        <v>3.7975082219999998</v>
      </c>
      <c r="E151" s="156">
        <v>6.6909999999999998</v>
      </c>
      <c r="H151">
        <v>202010</v>
      </c>
      <c r="I151" t="s">
        <v>12</v>
      </c>
      <c r="J151">
        <v>20.9</v>
      </c>
      <c r="K151">
        <v>106.77077544165</v>
      </c>
      <c r="L151">
        <v>14.002920142160001</v>
      </c>
      <c r="O151">
        <v>202010</v>
      </c>
      <c r="Q151">
        <v>1.779924606</v>
      </c>
      <c r="R151">
        <v>0.20394826999999999</v>
      </c>
      <c r="S151" s="156">
        <v>0.28199999999999997</v>
      </c>
      <c r="V151">
        <v>202010</v>
      </c>
      <c r="W151" t="s">
        <v>12</v>
      </c>
      <c r="X151">
        <v>20.9</v>
      </c>
      <c r="Y151">
        <v>106.77077544165</v>
      </c>
      <c r="Z151">
        <v>14.002920142160001</v>
      </c>
    </row>
    <row r="152" spans="1:26">
      <c r="A152">
        <v>202010</v>
      </c>
      <c r="B152" t="s">
        <v>14</v>
      </c>
      <c r="C152">
        <v>8.1149781020000002</v>
      </c>
      <c r="D152">
        <v>1.3469265319999999</v>
      </c>
      <c r="E152" s="156">
        <v>3.056</v>
      </c>
      <c r="H152">
        <v>202010</v>
      </c>
      <c r="I152" t="s">
        <v>14</v>
      </c>
      <c r="J152">
        <v>7.0140000000000002</v>
      </c>
      <c r="K152">
        <v>15.770526022769999</v>
      </c>
      <c r="L152">
        <v>2.9850731472000001</v>
      </c>
      <c r="O152">
        <v>202010</v>
      </c>
      <c r="P152" t="s">
        <v>12</v>
      </c>
      <c r="Q152">
        <v>43.966289109999998</v>
      </c>
      <c r="R152">
        <v>5.7024946740000004</v>
      </c>
      <c r="S152" s="156">
        <v>8.5229999999999997</v>
      </c>
      <c r="V152">
        <v>202010</v>
      </c>
      <c r="W152" t="s">
        <v>14</v>
      </c>
      <c r="X152">
        <v>7.0140000000000002</v>
      </c>
      <c r="Y152">
        <v>15.770526022769999</v>
      </c>
      <c r="Z152">
        <v>2.9850731472000001</v>
      </c>
    </row>
    <row r="153" spans="1:26">
      <c r="A153">
        <v>202010</v>
      </c>
      <c r="C153">
        <v>1.818828452</v>
      </c>
      <c r="D153">
        <v>0.21273025400000001</v>
      </c>
      <c r="E153" s="156">
        <v>0.28199999999999997</v>
      </c>
      <c r="H153">
        <v>202010</v>
      </c>
      <c r="I153" t="s">
        <v>11</v>
      </c>
      <c r="J153">
        <v>9.5419999999999998</v>
      </c>
      <c r="K153">
        <v>63.287273197239998</v>
      </c>
      <c r="L153">
        <v>7.3158658867600002</v>
      </c>
      <c r="O153">
        <v>202010</v>
      </c>
      <c r="P153" t="s">
        <v>14</v>
      </c>
      <c r="Q153">
        <v>7.8372648920000003</v>
      </c>
      <c r="R153">
        <v>1.29705344</v>
      </c>
      <c r="S153" s="156">
        <v>3.056</v>
      </c>
      <c r="V153">
        <v>202010</v>
      </c>
      <c r="W153" t="s">
        <v>11</v>
      </c>
      <c r="X153">
        <v>9.5419999999999998</v>
      </c>
      <c r="Y153">
        <v>63.287273197239998</v>
      </c>
      <c r="Z153">
        <v>7.3158658867600002</v>
      </c>
    </row>
    <row r="154" spans="1:26">
      <c r="A154">
        <v>202010</v>
      </c>
      <c r="B154" t="s">
        <v>9</v>
      </c>
      <c r="C154">
        <v>22.651318222</v>
      </c>
      <c r="D154">
        <v>2.7798525399999998</v>
      </c>
      <c r="E154" s="156">
        <v>2.7949999999999999</v>
      </c>
      <c r="H154">
        <v>202010</v>
      </c>
      <c r="I154" t="s">
        <v>13</v>
      </c>
      <c r="J154">
        <v>14.68</v>
      </c>
      <c r="K154">
        <v>44.986762813719999</v>
      </c>
      <c r="L154">
        <v>7.8456184817799999</v>
      </c>
      <c r="O154">
        <v>202010</v>
      </c>
      <c r="P154" t="s">
        <v>13</v>
      </c>
      <c r="Q154">
        <v>25.135834303999999</v>
      </c>
      <c r="R154">
        <v>3.6202708299999999</v>
      </c>
      <c r="S154" s="156">
        <v>6.6909999999999998</v>
      </c>
      <c r="V154">
        <v>202010</v>
      </c>
      <c r="W154" t="s">
        <v>13</v>
      </c>
      <c r="X154">
        <v>14.68</v>
      </c>
      <c r="Y154">
        <v>44.986762813719999</v>
      </c>
      <c r="Z154">
        <v>7.8456184817799999</v>
      </c>
    </row>
    <row r="155" spans="1:26">
      <c r="A155">
        <v>202010</v>
      </c>
      <c r="B155" t="s">
        <v>12</v>
      </c>
      <c r="C155">
        <v>46.915888375999998</v>
      </c>
      <c r="D155">
        <v>5.9861602779999998</v>
      </c>
      <c r="E155" s="156">
        <v>8.5229999999999997</v>
      </c>
      <c r="H155">
        <v>202010</v>
      </c>
      <c r="J155">
        <v>1.1679999999999999</v>
      </c>
      <c r="K155">
        <v>12.115863690159999</v>
      </c>
      <c r="L155">
        <v>1.20147385027</v>
      </c>
      <c r="O155">
        <v>202010</v>
      </c>
      <c r="P155" t="s">
        <v>9</v>
      </c>
      <c r="Q155">
        <v>21.644605356</v>
      </c>
      <c r="R155">
        <v>2.6336275179999999</v>
      </c>
      <c r="S155" s="156">
        <v>2.7949999999999999</v>
      </c>
      <c r="V155">
        <v>202010</v>
      </c>
      <c r="X155">
        <v>1.1679999999999999</v>
      </c>
      <c r="Y155">
        <v>12.115863690159999</v>
      </c>
      <c r="Z155">
        <v>1.20147385027</v>
      </c>
    </row>
    <row r="156" spans="1:26">
      <c r="A156">
        <v>202010</v>
      </c>
      <c r="B156" t="s">
        <v>11</v>
      </c>
      <c r="C156">
        <v>22.376069967999999</v>
      </c>
      <c r="D156">
        <v>2.8807992979999999</v>
      </c>
      <c r="E156" s="156">
        <v>3.5470000000000002</v>
      </c>
      <c r="H156">
        <v>202010</v>
      </c>
      <c r="I156" t="s">
        <v>10</v>
      </c>
      <c r="J156">
        <v>13.824999999999999</v>
      </c>
      <c r="K156">
        <v>105.75551681639</v>
      </c>
      <c r="L156">
        <v>11.919393386179999</v>
      </c>
      <c r="O156">
        <v>202010</v>
      </c>
      <c r="P156" t="s">
        <v>11</v>
      </c>
      <c r="Q156">
        <v>21.115838117999999</v>
      </c>
      <c r="R156">
        <v>2.73453335</v>
      </c>
      <c r="S156" s="156">
        <v>3.5470000000000002</v>
      </c>
      <c r="V156">
        <v>202010</v>
      </c>
      <c r="W156" t="s">
        <v>10</v>
      </c>
      <c r="X156">
        <v>13.824999999999999</v>
      </c>
      <c r="Y156">
        <v>105.75551681639</v>
      </c>
      <c r="Z156">
        <v>11.919393386179999</v>
      </c>
    </row>
    <row r="157" spans="1:26">
      <c r="A157">
        <v>202010</v>
      </c>
      <c r="B157" t="s">
        <v>10</v>
      </c>
      <c r="C157">
        <v>30.906249922000001</v>
      </c>
      <c r="D157">
        <v>3.8023076900000001</v>
      </c>
      <c r="E157" s="156">
        <v>4.1779999999999999</v>
      </c>
      <c r="H157">
        <v>202010</v>
      </c>
      <c r="I157" t="s">
        <v>9</v>
      </c>
      <c r="J157">
        <v>11.28</v>
      </c>
      <c r="K157">
        <v>98.307373610529993</v>
      </c>
      <c r="L157">
        <v>10.926071186070001</v>
      </c>
      <c r="O157">
        <v>202010</v>
      </c>
      <c r="P157" t="s">
        <v>10</v>
      </c>
      <c r="Q157">
        <v>29.466037537999998</v>
      </c>
      <c r="R157">
        <v>3.6247993059999999</v>
      </c>
      <c r="S157" s="156">
        <v>4.1779999999999999</v>
      </c>
      <c r="V157">
        <v>202010</v>
      </c>
      <c r="W157" t="s">
        <v>9</v>
      </c>
      <c r="X157">
        <v>11.28</v>
      </c>
      <c r="Y157">
        <v>98.307373610529993</v>
      </c>
      <c r="Z157">
        <v>10.926071186070001</v>
      </c>
    </row>
    <row r="158" spans="1:26">
      <c r="A158">
        <v>202011</v>
      </c>
      <c r="B158" t="s">
        <v>13</v>
      </c>
      <c r="C158">
        <v>24.947912903999999</v>
      </c>
      <c r="D158">
        <v>3.662891482</v>
      </c>
      <c r="E158" s="156">
        <v>6.4619999999999997</v>
      </c>
      <c r="H158">
        <v>202011</v>
      </c>
      <c r="J158">
        <v>0.997</v>
      </c>
      <c r="K158">
        <v>10.91138706552</v>
      </c>
      <c r="L158">
        <v>1.0849680471900001</v>
      </c>
      <c r="O158">
        <v>202011</v>
      </c>
      <c r="P158" t="s">
        <v>10</v>
      </c>
      <c r="Q158">
        <v>29.391620256</v>
      </c>
      <c r="R158">
        <v>3.7370642460000001</v>
      </c>
      <c r="S158" s="156">
        <v>4.359</v>
      </c>
      <c r="V158">
        <v>202011</v>
      </c>
      <c r="X158">
        <v>0.997</v>
      </c>
      <c r="Y158">
        <v>10.91138706552</v>
      </c>
      <c r="Z158">
        <v>1.0849680471900001</v>
      </c>
    </row>
    <row r="159" spans="1:26">
      <c r="A159">
        <v>202011</v>
      </c>
      <c r="B159" t="s">
        <v>12</v>
      </c>
      <c r="C159">
        <v>51.157722196000002</v>
      </c>
      <c r="D159">
        <v>6.1931922200000002</v>
      </c>
      <c r="E159" s="156">
        <v>8.9060000000000006</v>
      </c>
      <c r="H159">
        <v>202011</v>
      </c>
      <c r="I159" t="s">
        <v>14</v>
      </c>
      <c r="J159">
        <v>6.1230000000000002</v>
      </c>
      <c r="K159">
        <v>12.215923296650001</v>
      </c>
      <c r="L159">
        <v>2.4288260321599999</v>
      </c>
      <c r="O159">
        <v>202011</v>
      </c>
      <c r="P159" t="s">
        <v>12</v>
      </c>
      <c r="Q159">
        <v>49.755662934</v>
      </c>
      <c r="R159">
        <v>6.0960549000000004</v>
      </c>
      <c r="S159" s="156">
        <v>8.9060000000000006</v>
      </c>
      <c r="V159">
        <v>202011</v>
      </c>
      <c r="W159" t="s">
        <v>14</v>
      </c>
      <c r="X159">
        <v>6.1230000000000002</v>
      </c>
      <c r="Y159">
        <v>12.215923296650001</v>
      </c>
      <c r="Z159">
        <v>2.4288260321599999</v>
      </c>
    </row>
    <row r="160" spans="1:26">
      <c r="A160">
        <v>202011</v>
      </c>
      <c r="B160" t="s">
        <v>14</v>
      </c>
      <c r="C160">
        <v>7.8231879119999999</v>
      </c>
      <c r="D160">
        <v>1.237323392</v>
      </c>
      <c r="E160" s="156">
        <v>2.7709999999999999</v>
      </c>
      <c r="H160">
        <v>202011</v>
      </c>
      <c r="I160" t="s">
        <v>12</v>
      </c>
      <c r="J160">
        <v>20.800999999999998</v>
      </c>
      <c r="K160">
        <v>94.86866705525</v>
      </c>
      <c r="L160">
        <v>13.45444189096</v>
      </c>
      <c r="O160">
        <v>202011</v>
      </c>
      <c r="P160" t="s">
        <v>13</v>
      </c>
      <c r="Q160">
        <v>24.497819276000001</v>
      </c>
      <c r="R160">
        <v>3.6098324320000001</v>
      </c>
      <c r="S160" s="156">
        <v>6.4619999999999997</v>
      </c>
      <c r="V160">
        <v>202011</v>
      </c>
      <c r="W160" t="s">
        <v>12</v>
      </c>
      <c r="X160">
        <v>20.800999999999998</v>
      </c>
      <c r="Y160">
        <v>94.86866705525</v>
      </c>
      <c r="Z160">
        <v>13.45444189096</v>
      </c>
    </row>
    <row r="161" spans="1:26">
      <c r="A161">
        <v>202011</v>
      </c>
      <c r="B161" t="s">
        <v>11</v>
      </c>
      <c r="C161">
        <v>22.392240833999999</v>
      </c>
      <c r="D161">
        <v>2.7764961399999999</v>
      </c>
      <c r="E161" s="156">
        <v>3.5619999999999998</v>
      </c>
      <c r="H161">
        <v>202011</v>
      </c>
      <c r="I161" t="s">
        <v>9</v>
      </c>
      <c r="J161">
        <v>11.664</v>
      </c>
      <c r="K161">
        <v>103.72623592316999</v>
      </c>
      <c r="L161">
        <v>11.438769026139999</v>
      </c>
      <c r="O161">
        <v>202011</v>
      </c>
      <c r="Q161">
        <v>1.2359232659999999</v>
      </c>
      <c r="R161">
        <v>0.10506554799999999</v>
      </c>
      <c r="S161" s="156">
        <v>0.152</v>
      </c>
      <c r="V161">
        <v>202011</v>
      </c>
      <c r="W161" t="s">
        <v>9</v>
      </c>
      <c r="X161">
        <v>11.664</v>
      </c>
      <c r="Y161">
        <v>103.72623592316999</v>
      </c>
      <c r="Z161">
        <v>11.438769026139999</v>
      </c>
    </row>
    <row r="162" spans="1:26">
      <c r="A162">
        <v>202011</v>
      </c>
      <c r="C162">
        <v>1.2494334300000001</v>
      </c>
      <c r="D162">
        <v>0.106457992</v>
      </c>
      <c r="E162" s="156">
        <v>0.152</v>
      </c>
      <c r="H162">
        <v>202011</v>
      </c>
      <c r="I162" t="s">
        <v>10</v>
      </c>
      <c r="J162">
        <v>13.59</v>
      </c>
      <c r="K162">
        <v>101.24062974301</v>
      </c>
      <c r="L162">
        <v>11.403454612999999</v>
      </c>
      <c r="O162">
        <v>202011</v>
      </c>
      <c r="P162" t="s">
        <v>9</v>
      </c>
      <c r="Q162">
        <v>23.214503703999998</v>
      </c>
      <c r="R162">
        <v>2.8342777479999999</v>
      </c>
      <c r="S162" s="156">
        <v>3.0070000000000001</v>
      </c>
      <c r="V162">
        <v>202011</v>
      </c>
      <c r="W162" t="s">
        <v>10</v>
      </c>
      <c r="X162">
        <v>13.59</v>
      </c>
      <c r="Y162">
        <v>101.24062974301</v>
      </c>
      <c r="Z162">
        <v>11.403454612999999</v>
      </c>
    </row>
    <row r="163" spans="1:26">
      <c r="A163">
        <v>202011</v>
      </c>
      <c r="B163" t="s">
        <v>10</v>
      </c>
      <c r="C163">
        <v>30.420030017999999</v>
      </c>
      <c r="D163">
        <v>3.8152498600000002</v>
      </c>
      <c r="E163" s="156">
        <v>4.359</v>
      </c>
      <c r="H163">
        <v>202011</v>
      </c>
      <c r="I163" t="s">
        <v>13</v>
      </c>
      <c r="J163">
        <v>13.602</v>
      </c>
      <c r="K163">
        <v>38.821942417290003</v>
      </c>
      <c r="L163">
        <v>6.9815614952100002</v>
      </c>
      <c r="O163">
        <v>202011</v>
      </c>
      <c r="P163" t="s">
        <v>11</v>
      </c>
      <c r="Q163">
        <v>21.867734970000001</v>
      </c>
      <c r="R163">
        <v>2.727274548</v>
      </c>
      <c r="S163" s="156">
        <v>3.5619999999999998</v>
      </c>
      <c r="V163">
        <v>202011</v>
      </c>
      <c r="W163" t="s">
        <v>13</v>
      </c>
      <c r="X163">
        <v>13.602</v>
      </c>
      <c r="Y163">
        <v>38.821942417290003</v>
      </c>
      <c r="Z163">
        <v>6.9815614952100002</v>
      </c>
    </row>
    <row r="164" spans="1:26">
      <c r="A164">
        <v>202011</v>
      </c>
      <c r="B164" t="s">
        <v>9</v>
      </c>
      <c r="C164">
        <v>23.677427997999999</v>
      </c>
      <c r="D164">
        <v>2.8825171140000001</v>
      </c>
      <c r="E164" s="156">
        <v>3.0070000000000001</v>
      </c>
      <c r="H164">
        <v>202011</v>
      </c>
      <c r="I164" t="s">
        <v>11</v>
      </c>
      <c r="J164">
        <v>9.407</v>
      </c>
      <c r="K164">
        <v>52.910114797890003</v>
      </c>
      <c r="L164">
        <v>6.8085617266099998</v>
      </c>
      <c r="O164">
        <v>202011</v>
      </c>
      <c r="P164" t="s">
        <v>14</v>
      </c>
      <c r="Q164">
        <v>7.5796043519999996</v>
      </c>
      <c r="R164">
        <v>1.217557832</v>
      </c>
      <c r="S164" s="156">
        <v>2.7709999999999999</v>
      </c>
      <c r="V164">
        <v>202011</v>
      </c>
      <c r="W164" t="s">
        <v>11</v>
      </c>
      <c r="X164">
        <v>9.407</v>
      </c>
      <c r="Y164">
        <v>52.910114797890003</v>
      </c>
      <c r="Z164">
        <v>6.8085617266099998</v>
      </c>
    </row>
    <row r="165" spans="1:26">
      <c r="A165">
        <v>202012</v>
      </c>
      <c r="B165" t="s">
        <v>11</v>
      </c>
      <c r="C165">
        <v>35.902957332</v>
      </c>
      <c r="D165">
        <v>4.3392994319999998</v>
      </c>
      <c r="E165" s="156">
        <v>4.6360000000000001</v>
      </c>
      <c r="H165">
        <v>202012</v>
      </c>
      <c r="I165" t="s">
        <v>13</v>
      </c>
      <c r="J165">
        <v>14.930999999999999</v>
      </c>
      <c r="K165">
        <v>45.823411279950001</v>
      </c>
      <c r="L165">
        <v>8.0289959587300004</v>
      </c>
      <c r="O165">
        <v>202012</v>
      </c>
      <c r="Q165">
        <v>1.710705548</v>
      </c>
      <c r="R165">
        <v>0.27071298399999999</v>
      </c>
      <c r="S165" s="156">
        <v>0.41899999999999998</v>
      </c>
      <c r="V165">
        <v>202012</v>
      </c>
      <c r="W165" t="s">
        <v>13</v>
      </c>
      <c r="X165">
        <v>14.930999999999999</v>
      </c>
      <c r="Y165">
        <v>45.823411279950001</v>
      </c>
      <c r="Z165">
        <v>8.0289959587300004</v>
      </c>
    </row>
    <row r="166" spans="1:26">
      <c r="A166">
        <v>202012</v>
      </c>
      <c r="B166" t="s">
        <v>12</v>
      </c>
      <c r="C166">
        <v>61.135817054</v>
      </c>
      <c r="D166">
        <v>8.3838186260000001</v>
      </c>
      <c r="E166" s="156">
        <v>11.044</v>
      </c>
      <c r="H166">
        <v>202012</v>
      </c>
      <c r="I166" t="s">
        <v>9</v>
      </c>
      <c r="J166">
        <v>13.691000000000001</v>
      </c>
      <c r="K166">
        <v>136.17967095443001</v>
      </c>
      <c r="L166">
        <v>14.181166408919999</v>
      </c>
      <c r="O166">
        <v>202012</v>
      </c>
      <c r="P166" t="s">
        <v>13</v>
      </c>
      <c r="Q166">
        <v>31.470254954000001</v>
      </c>
      <c r="R166">
        <v>4.4511524280000003</v>
      </c>
      <c r="S166" s="156">
        <v>7.1689999999999996</v>
      </c>
      <c r="V166">
        <v>202012</v>
      </c>
      <c r="W166" t="s">
        <v>9</v>
      </c>
      <c r="X166">
        <v>13.691000000000001</v>
      </c>
      <c r="Y166">
        <v>136.17967095443001</v>
      </c>
      <c r="Z166">
        <v>14.181166408919999</v>
      </c>
    </row>
    <row r="167" spans="1:26">
      <c r="A167">
        <v>202012</v>
      </c>
      <c r="B167" t="s">
        <v>13</v>
      </c>
      <c r="C167">
        <v>31.946469</v>
      </c>
      <c r="D167">
        <v>4.5129697379999998</v>
      </c>
      <c r="E167" s="156">
        <v>7.1689999999999996</v>
      </c>
      <c r="H167">
        <v>202012</v>
      </c>
      <c r="I167" t="s">
        <v>12</v>
      </c>
      <c r="J167">
        <v>24.797999999999998</v>
      </c>
      <c r="K167">
        <v>111.09596230005</v>
      </c>
      <c r="L167">
        <v>16.350248615720002</v>
      </c>
      <c r="O167">
        <v>202012</v>
      </c>
      <c r="P167" t="s">
        <v>11</v>
      </c>
      <c r="Q167">
        <v>35.173176980000001</v>
      </c>
      <c r="R167">
        <v>4.2549592340000002</v>
      </c>
      <c r="S167" s="156">
        <v>4.6360000000000001</v>
      </c>
      <c r="V167">
        <v>202012</v>
      </c>
      <c r="W167" t="s">
        <v>12</v>
      </c>
      <c r="X167">
        <v>24.797999999999998</v>
      </c>
      <c r="Y167">
        <v>111.09596230005</v>
      </c>
      <c r="Z167">
        <v>16.350248615720002</v>
      </c>
    </row>
    <row r="168" spans="1:26">
      <c r="A168">
        <v>202012</v>
      </c>
      <c r="C168">
        <v>1.725463556</v>
      </c>
      <c r="D168">
        <v>0.27247468800000002</v>
      </c>
      <c r="E168" s="156">
        <v>0.41899999999999998</v>
      </c>
      <c r="H168">
        <v>202012</v>
      </c>
      <c r="I168" t="s">
        <v>10</v>
      </c>
      <c r="J168">
        <v>16.672000000000001</v>
      </c>
      <c r="K168">
        <v>135.76360112651</v>
      </c>
      <c r="L168">
        <v>14.867634980029999</v>
      </c>
      <c r="O168">
        <v>202012</v>
      </c>
      <c r="P168" t="s">
        <v>9</v>
      </c>
      <c r="Q168">
        <v>37.775977122</v>
      </c>
      <c r="R168">
        <v>4.3542018520000001</v>
      </c>
      <c r="S168" s="156">
        <v>3.8650000000000002</v>
      </c>
      <c r="V168">
        <v>202012</v>
      </c>
      <c r="W168" t="s">
        <v>10</v>
      </c>
      <c r="X168">
        <v>16.672000000000001</v>
      </c>
      <c r="Y168">
        <v>135.76360112651</v>
      </c>
      <c r="Z168">
        <v>14.867634980029999</v>
      </c>
    </row>
    <row r="169" spans="1:26">
      <c r="A169">
        <v>202012</v>
      </c>
      <c r="B169" t="s">
        <v>9</v>
      </c>
      <c r="C169">
        <v>38.625485937999997</v>
      </c>
      <c r="D169">
        <v>4.4472785100000003</v>
      </c>
      <c r="E169" s="156">
        <v>3.8650000000000002</v>
      </c>
      <c r="H169">
        <v>202012</v>
      </c>
      <c r="I169" t="s">
        <v>14</v>
      </c>
      <c r="J169">
        <v>6.22</v>
      </c>
      <c r="K169">
        <v>13.11566729211</v>
      </c>
      <c r="L169">
        <v>2.6624314295899998</v>
      </c>
      <c r="O169">
        <v>202012</v>
      </c>
      <c r="P169" t="s">
        <v>12</v>
      </c>
      <c r="Q169">
        <v>59.785201892000003</v>
      </c>
      <c r="R169">
        <v>8.2287118620000008</v>
      </c>
      <c r="S169" s="156">
        <v>11.044</v>
      </c>
      <c r="V169">
        <v>202012</v>
      </c>
      <c r="W169" t="s">
        <v>14</v>
      </c>
      <c r="X169">
        <v>6.22</v>
      </c>
      <c r="Y169">
        <v>13.11566729211</v>
      </c>
      <c r="Z169">
        <v>2.6624314295899998</v>
      </c>
    </row>
    <row r="170" spans="1:26">
      <c r="A170">
        <v>202012</v>
      </c>
      <c r="B170" t="s">
        <v>10</v>
      </c>
      <c r="C170">
        <v>45.592071324000003</v>
      </c>
      <c r="D170">
        <v>5.6516538479999996</v>
      </c>
      <c r="E170" s="156">
        <v>5.6689999999999996</v>
      </c>
      <c r="H170">
        <v>202012</v>
      </c>
      <c r="I170" t="s">
        <v>11</v>
      </c>
      <c r="J170">
        <v>11.669</v>
      </c>
      <c r="K170">
        <v>74.793585557079993</v>
      </c>
      <c r="L170">
        <v>9.3886921354300004</v>
      </c>
      <c r="O170">
        <v>202012</v>
      </c>
      <c r="P170" t="s">
        <v>14</v>
      </c>
      <c r="Q170">
        <v>9.2966521100000001</v>
      </c>
      <c r="R170">
        <v>1.40874079</v>
      </c>
      <c r="S170" s="156">
        <v>2.8149999999999999</v>
      </c>
      <c r="V170">
        <v>202012</v>
      </c>
      <c r="W170" t="s">
        <v>11</v>
      </c>
      <c r="X170">
        <v>11.669</v>
      </c>
      <c r="Y170">
        <v>74.793585557079993</v>
      </c>
      <c r="Z170">
        <v>9.3886921354300004</v>
      </c>
    </row>
    <row r="171" spans="1:26">
      <c r="A171">
        <v>202012</v>
      </c>
      <c r="B171" t="s">
        <v>14</v>
      </c>
      <c r="C171">
        <v>9.5780173600000005</v>
      </c>
      <c r="D171">
        <v>1.4425926819999999</v>
      </c>
      <c r="E171" s="156">
        <v>2.8149999999999999</v>
      </c>
      <c r="H171">
        <v>202012</v>
      </c>
      <c r="J171">
        <v>1.923</v>
      </c>
      <c r="K171">
        <v>14.058034181569999</v>
      </c>
      <c r="L171">
        <v>1.65230716088</v>
      </c>
      <c r="O171">
        <v>202012</v>
      </c>
      <c r="P171" t="s">
        <v>10</v>
      </c>
      <c r="Q171">
        <v>44.781324382000001</v>
      </c>
      <c r="R171">
        <v>5.5675437280000004</v>
      </c>
      <c r="S171" s="156">
        <v>5.6689999999999996</v>
      </c>
      <c r="V171">
        <v>202012</v>
      </c>
      <c r="X171">
        <v>1.923</v>
      </c>
      <c r="Y171">
        <v>14.058034181569999</v>
      </c>
      <c r="Z171">
        <v>1.65230716088</v>
      </c>
    </row>
    <row r="172" spans="1:26">
      <c r="A172">
        <v>202101</v>
      </c>
      <c r="B172" t="s">
        <v>11</v>
      </c>
      <c r="C172">
        <v>35.245971886</v>
      </c>
      <c r="D172">
        <v>4.09616954</v>
      </c>
      <c r="E172" s="156">
        <v>4.1669999999999998</v>
      </c>
      <c r="H172">
        <v>202101</v>
      </c>
      <c r="I172" t="s">
        <v>12</v>
      </c>
      <c r="J172">
        <v>21.45</v>
      </c>
      <c r="K172">
        <v>95.80124791419</v>
      </c>
      <c r="L172">
        <v>13.944544404329999</v>
      </c>
      <c r="O172">
        <v>202101</v>
      </c>
      <c r="P172" t="s">
        <v>11</v>
      </c>
      <c r="Q172">
        <v>27.43176201</v>
      </c>
      <c r="R172">
        <v>3.3928024159999999</v>
      </c>
      <c r="S172" s="156">
        <v>4.2160000000000002</v>
      </c>
      <c r="V172">
        <v>202101</v>
      </c>
      <c r="W172" t="s">
        <v>11</v>
      </c>
      <c r="X172">
        <v>9.2970000000000006</v>
      </c>
      <c r="Y172">
        <v>51.12204566066</v>
      </c>
      <c r="Z172">
        <v>6.7983715635099999</v>
      </c>
    </row>
    <row r="173" spans="1:26">
      <c r="A173">
        <v>202101</v>
      </c>
      <c r="C173">
        <v>3.317612982</v>
      </c>
      <c r="D173">
        <v>0.31303520200000001</v>
      </c>
      <c r="E173" s="156">
        <v>0.33200000000000002</v>
      </c>
      <c r="H173">
        <v>202101</v>
      </c>
      <c r="I173" t="s">
        <v>9</v>
      </c>
      <c r="J173">
        <v>10.771000000000001</v>
      </c>
      <c r="K173">
        <v>95.606901257000004</v>
      </c>
      <c r="L173">
        <v>10.47426158144</v>
      </c>
      <c r="O173">
        <v>202101</v>
      </c>
      <c r="P173" t="s">
        <v>13</v>
      </c>
      <c r="Q173">
        <v>24.750937537999999</v>
      </c>
      <c r="R173">
        <v>3.546367424</v>
      </c>
      <c r="S173" s="156">
        <v>6.343</v>
      </c>
      <c r="V173">
        <v>202101</v>
      </c>
      <c r="W173" t="s">
        <v>13</v>
      </c>
      <c r="X173">
        <v>12.132</v>
      </c>
      <c r="Y173">
        <v>35.086009354390001</v>
      </c>
      <c r="Z173">
        <v>6.2558371257500003</v>
      </c>
    </row>
    <row r="174" spans="1:26">
      <c r="A174">
        <v>202101</v>
      </c>
      <c r="B174" t="s">
        <v>9</v>
      </c>
      <c r="C174">
        <v>34.690098165999999</v>
      </c>
      <c r="D174">
        <v>4.1279785699999998</v>
      </c>
      <c r="E174" s="156">
        <v>3.3730000000000002</v>
      </c>
      <c r="H174">
        <v>202101</v>
      </c>
      <c r="I174" t="s">
        <v>13</v>
      </c>
      <c r="J174">
        <v>12.784000000000001</v>
      </c>
      <c r="K174">
        <v>39.458835468609998</v>
      </c>
      <c r="L174">
        <v>6.5841215701999998</v>
      </c>
      <c r="O174">
        <v>202101</v>
      </c>
      <c r="P174" t="s">
        <v>12</v>
      </c>
      <c r="Q174">
        <v>48.085572824000003</v>
      </c>
      <c r="R174">
        <v>6.6320570779999999</v>
      </c>
      <c r="S174" s="156">
        <v>9.8390000000000004</v>
      </c>
      <c r="V174">
        <v>202101</v>
      </c>
      <c r="W174" t="s">
        <v>12</v>
      </c>
      <c r="X174">
        <v>20.187999999999999</v>
      </c>
      <c r="Y174">
        <v>92.050195893129995</v>
      </c>
      <c r="Z174">
        <v>12.917838113149999</v>
      </c>
    </row>
    <row r="175" spans="1:26">
      <c r="A175">
        <v>202101</v>
      </c>
      <c r="B175" t="s">
        <v>12</v>
      </c>
      <c r="C175">
        <v>62.462669144000003</v>
      </c>
      <c r="D175">
        <v>8.5440007300000005</v>
      </c>
      <c r="E175" s="156">
        <v>10.618</v>
      </c>
      <c r="H175">
        <v>202101</v>
      </c>
      <c r="J175">
        <v>1.6240000000000001</v>
      </c>
      <c r="K175">
        <v>11.3586049936</v>
      </c>
      <c r="L175">
        <v>1.3718104795399999</v>
      </c>
      <c r="O175">
        <v>202101</v>
      </c>
      <c r="Q175">
        <v>8.306556552</v>
      </c>
      <c r="R175">
        <v>0.88138002599999998</v>
      </c>
      <c r="S175" s="156">
        <v>1.2370000000000001</v>
      </c>
      <c r="V175">
        <v>202101</v>
      </c>
      <c r="W175" t="s">
        <v>14</v>
      </c>
      <c r="X175">
        <v>5.0949999999999998</v>
      </c>
      <c r="Y175">
        <v>10.891521547190001</v>
      </c>
      <c r="Z175">
        <v>2.0957155744999998</v>
      </c>
    </row>
    <row r="176" spans="1:26">
      <c r="A176">
        <v>202101</v>
      </c>
      <c r="B176" t="s">
        <v>13</v>
      </c>
      <c r="C176">
        <v>28.393367502</v>
      </c>
      <c r="D176">
        <v>4.31008046</v>
      </c>
      <c r="E176" s="156">
        <v>6.7190000000000003</v>
      </c>
      <c r="H176">
        <v>202101</v>
      </c>
      <c r="I176" t="s">
        <v>10</v>
      </c>
      <c r="J176">
        <v>13.113</v>
      </c>
      <c r="K176">
        <v>92.384221335160007</v>
      </c>
      <c r="L176">
        <v>10.976937918160001</v>
      </c>
      <c r="O176">
        <v>202101</v>
      </c>
      <c r="P176" t="s">
        <v>10</v>
      </c>
      <c r="Q176">
        <v>39.865542769999998</v>
      </c>
      <c r="R176">
        <v>4.7251613399999997</v>
      </c>
      <c r="S176" s="156">
        <v>5.1420000000000003</v>
      </c>
      <c r="V176">
        <v>202101</v>
      </c>
      <c r="W176" t="s">
        <v>10</v>
      </c>
      <c r="X176">
        <v>13.218</v>
      </c>
      <c r="Y176">
        <v>95.974908233950003</v>
      </c>
      <c r="Z176">
        <v>11.14932516443</v>
      </c>
    </row>
    <row r="177" spans="1:26">
      <c r="A177">
        <v>202101</v>
      </c>
      <c r="B177" t="s">
        <v>10</v>
      </c>
      <c r="C177">
        <v>42.982691699999997</v>
      </c>
      <c r="D177">
        <v>5.2919966599999997</v>
      </c>
      <c r="E177" s="156">
        <v>5.0599999999999996</v>
      </c>
      <c r="H177">
        <v>202101</v>
      </c>
      <c r="I177" t="s">
        <v>11</v>
      </c>
      <c r="J177">
        <v>9.5980000000000008</v>
      </c>
      <c r="K177">
        <v>56.859609156680001</v>
      </c>
      <c r="L177">
        <v>7.20291854319</v>
      </c>
      <c r="O177">
        <v>202101</v>
      </c>
      <c r="P177" t="s">
        <v>14</v>
      </c>
      <c r="Q177">
        <v>6.9521769200000003</v>
      </c>
      <c r="R177">
        <v>1.1031433239999999</v>
      </c>
      <c r="S177" s="156">
        <v>2.4780000000000002</v>
      </c>
      <c r="V177">
        <v>202101</v>
      </c>
      <c r="X177">
        <v>3.82</v>
      </c>
      <c r="Y177">
        <v>23.871826568389999</v>
      </c>
      <c r="Z177">
        <v>2.9622721416500002</v>
      </c>
    </row>
    <row r="178" spans="1:26">
      <c r="A178">
        <v>202101</v>
      </c>
      <c r="B178" t="s">
        <v>14</v>
      </c>
      <c r="C178">
        <v>8.8995352620000006</v>
      </c>
      <c r="D178">
        <v>1.3862104980000001</v>
      </c>
      <c r="E178" s="156">
        <v>2.5659999999999998</v>
      </c>
      <c r="H178">
        <v>202101</v>
      </c>
      <c r="I178" t="s">
        <v>14</v>
      </c>
      <c r="J178">
        <v>5.2439999999999998</v>
      </c>
      <c r="K178">
        <v>10.01543375284</v>
      </c>
      <c r="L178">
        <v>2.1190429424500001</v>
      </c>
      <c r="O178">
        <v>202101</v>
      </c>
      <c r="P178" t="s">
        <v>9</v>
      </c>
      <c r="Q178">
        <v>30.957940495999999</v>
      </c>
      <c r="R178">
        <v>3.7465435039999999</v>
      </c>
      <c r="S178" s="156">
        <v>3.58</v>
      </c>
      <c r="V178">
        <v>202101</v>
      </c>
      <c r="W178" t="s">
        <v>9</v>
      </c>
      <c r="X178">
        <v>10.834</v>
      </c>
      <c r="Y178">
        <v>92.488346620369995</v>
      </c>
      <c r="Z178">
        <v>10.494277756320001</v>
      </c>
    </row>
    <row r="179" spans="1:26">
      <c r="A179">
        <v>202102</v>
      </c>
      <c r="B179" t="s">
        <v>11</v>
      </c>
      <c r="C179">
        <v>27.105097078</v>
      </c>
      <c r="D179">
        <v>3.2810853440000001</v>
      </c>
      <c r="E179" s="156">
        <v>3.5880000000000001</v>
      </c>
      <c r="H179">
        <v>202102</v>
      </c>
      <c r="I179" t="s">
        <v>9</v>
      </c>
      <c r="J179">
        <v>9.0389999999999997</v>
      </c>
      <c r="K179">
        <v>66.414911702340007</v>
      </c>
      <c r="L179">
        <v>8.5173481612100002</v>
      </c>
      <c r="O179">
        <v>202102</v>
      </c>
      <c r="P179" t="s">
        <v>10</v>
      </c>
      <c r="Q179">
        <v>32.645025466</v>
      </c>
      <c r="R179">
        <v>3.8318011599999999</v>
      </c>
      <c r="S179" s="156">
        <v>4.0279999999999996</v>
      </c>
      <c r="V179">
        <v>202102</v>
      </c>
      <c r="W179" t="s">
        <v>10</v>
      </c>
      <c r="X179">
        <v>10.654</v>
      </c>
      <c r="Y179">
        <v>74.638199766140005</v>
      </c>
      <c r="Z179">
        <v>8.7866006506699996</v>
      </c>
    </row>
    <row r="180" spans="1:26">
      <c r="A180">
        <v>202102</v>
      </c>
      <c r="C180">
        <v>4.2988803080000002</v>
      </c>
      <c r="D180">
        <v>0.27331730799999998</v>
      </c>
      <c r="E180" s="156">
        <v>0.24</v>
      </c>
      <c r="H180">
        <v>202102</v>
      </c>
      <c r="I180" t="s">
        <v>14</v>
      </c>
      <c r="J180">
        <v>3.794</v>
      </c>
      <c r="K180">
        <v>8.4697829518199992</v>
      </c>
      <c r="L180">
        <v>1.59043721881</v>
      </c>
      <c r="O180">
        <v>202102</v>
      </c>
      <c r="Q180">
        <v>3.64891466</v>
      </c>
      <c r="R180">
        <v>0.23078648600000001</v>
      </c>
      <c r="S180" s="156">
        <v>0.23300000000000001</v>
      </c>
      <c r="V180">
        <v>202102</v>
      </c>
      <c r="X180">
        <v>1.216</v>
      </c>
      <c r="Y180">
        <v>6.3384398278500003</v>
      </c>
      <c r="Z180">
        <v>0.86947949315999995</v>
      </c>
    </row>
    <row r="181" spans="1:26">
      <c r="A181">
        <v>202102</v>
      </c>
      <c r="B181" t="s">
        <v>13</v>
      </c>
      <c r="C181">
        <v>22.787333950000001</v>
      </c>
      <c r="D181">
        <v>3.16077268</v>
      </c>
      <c r="E181" s="156">
        <v>5.3070000000000004</v>
      </c>
      <c r="H181">
        <v>202102</v>
      </c>
      <c r="I181" t="s">
        <v>11</v>
      </c>
      <c r="J181">
        <v>8.3539999999999992</v>
      </c>
      <c r="K181">
        <v>46.631726261460003</v>
      </c>
      <c r="L181">
        <v>5.9278866238300001</v>
      </c>
      <c r="O181">
        <v>202102</v>
      </c>
      <c r="P181" t="s">
        <v>13</v>
      </c>
      <c r="Q181">
        <v>23.361296807999999</v>
      </c>
      <c r="R181">
        <v>3.301396204</v>
      </c>
      <c r="S181" s="156">
        <v>5.6319999999999997</v>
      </c>
      <c r="V181">
        <v>202102</v>
      </c>
      <c r="W181" t="s">
        <v>13</v>
      </c>
      <c r="X181">
        <v>10.818</v>
      </c>
      <c r="Y181">
        <v>31.09772046694</v>
      </c>
      <c r="Z181">
        <v>5.4436306492900002</v>
      </c>
    </row>
    <row r="182" spans="1:26">
      <c r="A182">
        <v>202102</v>
      </c>
      <c r="B182" t="s">
        <v>14</v>
      </c>
      <c r="C182">
        <v>5.7776522979999996</v>
      </c>
      <c r="D182">
        <v>0.89167312799999998</v>
      </c>
      <c r="E182" s="156">
        <v>1.819</v>
      </c>
      <c r="H182">
        <v>202102</v>
      </c>
      <c r="I182" t="s">
        <v>13</v>
      </c>
      <c r="J182">
        <v>10.106999999999999</v>
      </c>
      <c r="K182">
        <v>28.2113106479</v>
      </c>
      <c r="L182">
        <v>4.9858931554000003</v>
      </c>
      <c r="O182">
        <v>202102</v>
      </c>
      <c r="P182" t="s">
        <v>11</v>
      </c>
      <c r="Q182">
        <v>22.843259580000002</v>
      </c>
      <c r="R182">
        <v>2.8487818900000001</v>
      </c>
      <c r="S182" s="156">
        <v>3.468</v>
      </c>
      <c r="V182">
        <v>202102</v>
      </c>
      <c r="W182" t="s">
        <v>11</v>
      </c>
      <c r="X182">
        <v>8.1340000000000003</v>
      </c>
      <c r="Y182">
        <v>41.735266309799997</v>
      </c>
      <c r="Z182">
        <v>5.6133904213300001</v>
      </c>
    </row>
    <row r="183" spans="1:26">
      <c r="A183">
        <v>202102</v>
      </c>
      <c r="B183" t="s">
        <v>12</v>
      </c>
      <c r="C183">
        <v>51.347513604</v>
      </c>
      <c r="D183">
        <v>6.5285792420000002</v>
      </c>
      <c r="E183" s="156">
        <v>8.76</v>
      </c>
      <c r="H183">
        <v>202102</v>
      </c>
      <c r="J183">
        <v>1.2609999999999999</v>
      </c>
      <c r="K183">
        <v>6.5983787878499998</v>
      </c>
      <c r="L183">
        <v>0.90800717316000001</v>
      </c>
      <c r="O183">
        <v>202102</v>
      </c>
      <c r="P183" t="s">
        <v>14</v>
      </c>
      <c r="Q183">
        <v>8.5528397940000005</v>
      </c>
      <c r="R183">
        <v>1.0550415959999999</v>
      </c>
      <c r="S183" s="156">
        <v>2.0139999999999998</v>
      </c>
      <c r="V183">
        <v>202102</v>
      </c>
      <c r="W183" t="s">
        <v>12</v>
      </c>
      <c r="X183">
        <v>18.312000000000001</v>
      </c>
      <c r="Y183">
        <v>79.303359431269996</v>
      </c>
      <c r="Z183">
        <v>11.45407052739</v>
      </c>
    </row>
    <row r="184" spans="1:26">
      <c r="A184">
        <v>202102</v>
      </c>
      <c r="B184" t="s">
        <v>9</v>
      </c>
      <c r="C184">
        <v>29.069873026</v>
      </c>
      <c r="D184">
        <v>3.4486121359999999</v>
      </c>
      <c r="E184" s="156">
        <v>3.0019999999999998</v>
      </c>
      <c r="H184">
        <v>202102</v>
      </c>
      <c r="I184" t="s">
        <v>10</v>
      </c>
      <c r="J184">
        <v>10.992000000000001</v>
      </c>
      <c r="K184">
        <v>72.853398782529993</v>
      </c>
      <c r="L184">
        <v>8.9263345066700008</v>
      </c>
      <c r="O184">
        <v>202102</v>
      </c>
      <c r="P184" t="s">
        <v>12</v>
      </c>
      <c r="Q184">
        <v>49.099520267999999</v>
      </c>
      <c r="R184">
        <v>6.3692069260000004</v>
      </c>
      <c r="S184" s="156">
        <v>8.9060000000000006</v>
      </c>
      <c r="V184">
        <v>202102</v>
      </c>
      <c r="W184" t="s">
        <v>14</v>
      </c>
      <c r="X184">
        <v>4.1120000000000001</v>
      </c>
      <c r="Y184">
        <v>9.6744833578199998</v>
      </c>
      <c r="Z184">
        <v>1.80031043881</v>
      </c>
    </row>
    <row r="185" spans="1:26">
      <c r="A185">
        <v>202102</v>
      </c>
      <c r="B185" t="s">
        <v>10</v>
      </c>
      <c r="C185">
        <v>36.474709246000003</v>
      </c>
      <c r="D185">
        <v>4.2551919160000002</v>
      </c>
      <c r="E185" s="156">
        <v>4.2519999999999998</v>
      </c>
      <c r="H185">
        <v>202102</v>
      </c>
      <c r="I185" t="s">
        <v>12</v>
      </c>
      <c r="J185">
        <v>17.835999999999999</v>
      </c>
      <c r="K185">
        <v>73.918627974380001</v>
      </c>
      <c r="L185">
        <v>10.872051022040001</v>
      </c>
      <c r="O185">
        <v>202102</v>
      </c>
      <c r="P185" t="s">
        <v>9</v>
      </c>
      <c r="Q185">
        <v>24.613015405999999</v>
      </c>
      <c r="R185">
        <v>2.9002734220000002</v>
      </c>
      <c r="S185" s="156">
        <v>2.6869999999999998</v>
      </c>
      <c r="V185">
        <v>202102</v>
      </c>
      <c r="W185" t="s">
        <v>9</v>
      </c>
      <c r="X185">
        <v>8.1370000000000005</v>
      </c>
      <c r="Y185">
        <v>60.310667948460001</v>
      </c>
      <c r="Z185">
        <v>7.7604756804699999</v>
      </c>
    </row>
    <row r="186" spans="1:26">
      <c r="A186">
        <v>202103</v>
      </c>
      <c r="B186" t="s">
        <v>9</v>
      </c>
      <c r="C186">
        <v>50.402987596000003</v>
      </c>
      <c r="D186">
        <v>5.7573349540000001</v>
      </c>
      <c r="E186" s="156">
        <v>3.835</v>
      </c>
      <c r="H186">
        <v>202103</v>
      </c>
      <c r="I186" t="s">
        <v>11</v>
      </c>
      <c r="J186">
        <v>10.978999999999999</v>
      </c>
      <c r="K186">
        <v>73.961432672010005</v>
      </c>
      <c r="L186">
        <v>9.46225484052</v>
      </c>
      <c r="O186">
        <v>202103</v>
      </c>
      <c r="P186" t="s">
        <v>13</v>
      </c>
      <c r="Q186">
        <v>29.743933525999999</v>
      </c>
      <c r="R186">
        <v>3.8567305680000001</v>
      </c>
      <c r="S186" s="156">
        <v>6.0140000000000002</v>
      </c>
      <c r="V186">
        <v>202103</v>
      </c>
      <c r="W186" t="s">
        <v>10</v>
      </c>
      <c r="X186">
        <v>16.007000000000001</v>
      </c>
      <c r="Y186">
        <v>122.90397934839</v>
      </c>
      <c r="Z186">
        <v>15.40840531497</v>
      </c>
    </row>
    <row r="187" spans="1:26">
      <c r="A187">
        <v>202103</v>
      </c>
      <c r="C187">
        <v>4.5233643560000001</v>
      </c>
      <c r="D187">
        <v>0.57370150799999997</v>
      </c>
      <c r="E187" s="156">
        <v>0.67</v>
      </c>
      <c r="H187">
        <v>202103</v>
      </c>
      <c r="I187" t="s">
        <v>9</v>
      </c>
      <c r="J187">
        <v>12.215</v>
      </c>
      <c r="K187">
        <v>113.01142377777001</v>
      </c>
      <c r="L187">
        <v>13.58580114612</v>
      </c>
      <c r="O187">
        <v>202103</v>
      </c>
      <c r="P187" t="s">
        <v>10</v>
      </c>
      <c r="Q187">
        <v>54.660095603999999</v>
      </c>
      <c r="R187">
        <v>6.2083864960000001</v>
      </c>
      <c r="S187" s="156">
        <v>5.6790000000000003</v>
      </c>
      <c r="V187">
        <v>202103</v>
      </c>
      <c r="W187" t="s">
        <v>13</v>
      </c>
      <c r="X187">
        <v>12.981999999999999</v>
      </c>
      <c r="Y187">
        <v>46.208349205440001</v>
      </c>
      <c r="Z187">
        <v>7.4011007925000003</v>
      </c>
    </row>
    <row r="188" spans="1:26">
      <c r="A188">
        <v>202103</v>
      </c>
      <c r="B188" t="s">
        <v>14</v>
      </c>
      <c r="C188">
        <v>10.718705313999999</v>
      </c>
      <c r="D188">
        <v>1.5084565599999999</v>
      </c>
      <c r="E188" s="156">
        <v>2.488</v>
      </c>
      <c r="H188">
        <v>202103</v>
      </c>
      <c r="I188" t="s">
        <v>13</v>
      </c>
      <c r="J188">
        <v>14.635</v>
      </c>
      <c r="K188">
        <v>50.97265458423</v>
      </c>
      <c r="L188">
        <v>8.5531693518399994</v>
      </c>
      <c r="O188">
        <v>202103</v>
      </c>
      <c r="P188" t="s">
        <v>12</v>
      </c>
      <c r="Q188">
        <v>65.193423408000001</v>
      </c>
      <c r="R188">
        <v>8.2023300599999995</v>
      </c>
      <c r="S188" s="156">
        <v>10.284000000000001</v>
      </c>
      <c r="V188">
        <v>202103</v>
      </c>
      <c r="W188" t="s">
        <v>12</v>
      </c>
      <c r="X188">
        <v>23.094000000000001</v>
      </c>
      <c r="Y188">
        <v>101.46491029342</v>
      </c>
      <c r="Z188">
        <v>15.84498856666</v>
      </c>
    </row>
    <row r="189" spans="1:26">
      <c r="A189">
        <v>202103</v>
      </c>
      <c r="B189" t="s">
        <v>11</v>
      </c>
      <c r="C189">
        <v>45.834131159999998</v>
      </c>
      <c r="D189">
        <v>5.0327267439999996</v>
      </c>
      <c r="E189" s="156">
        <v>4.3810000000000002</v>
      </c>
      <c r="H189">
        <v>202103</v>
      </c>
      <c r="J189">
        <v>2.7080000000000002</v>
      </c>
      <c r="K189">
        <v>15.8515744819</v>
      </c>
      <c r="L189">
        <v>2.0238872220799999</v>
      </c>
      <c r="O189">
        <v>202103</v>
      </c>
      <c r="P189" t="s">
        <v>11</v>
      </c>
      <c r="Q189">
        <v>37.327693193999998</v>
      </c>
      <c r="R189">
        <v>4.3597407419999996</v>
      </c>
      <c r="S189" s="156">
        <v>4.5880000000000001</v>
      </c>
      <c r="V189">
        <v>202103</v>
      </c>
      <c r="W189" t="s">
        <v>11</v>
      </c>
      <c r="X189">
        <v>11.189</v>
      </c>
      <c r="Y189">
        <v>70.305131835810002</v>
      </c>
      <c r="Z189">
        <v>9.3930621559900001</v>
      </c>
    </row>
    <row r="190" spans="1:26">
      <c r="A190">
        <v>202103</v>
      </c>
      <c r="B190" t="s">
        <v>12</v>
      </c>
      <c r="C190">
        <v>82.071111188000003</v>
      </c>
      <c r="D190">
        <v>9.8878350479999995</v>
      </c>
      <c r="E190" s="156">
        <v>10.176</v>
      </c>
      <c r="H190">
        <v>202103</v>
      </c>
      <c r="I190" t="s">
        <v>10</v>
      </c>
      <c r="J190">
        <v>15.315</v>
      </c>
      <c r="K190">
        <v>124.72581652798</v>
      </c>
      <c r="L190">
        <v>15.26255592429</v>
      </c>
      <c r="O190">
        <v>202103</v>
      </c>
      <c r="Q190">
        <v>3.8317443340000001</v>
      </c>
      <c r="R190">
        <v>0.48102162599999998</v>
      </c>
      <c r="S190" s="156">
        <v>0.71499999999999997</v>
      </c>
      <c r="V190">
        <v>202103</v>
      </c>
      <c r="X190">
        <v>2.8370000000000002</v>
      </c>
      <c r="Y190">
        <v>16.69691528585</v>
      </c>
      <c r="Z190">
        <v>2.1254187067300001</v>
      </c>
    </row>
    <row r="191" spans="1:26">
      <c r="A191">
        <v>202103</v>
      </c>
      <c r="B191" t="s">
        <v>13</v>
      </c>
      <c r="C191">
        <v>39.618246065999998</v>
      </c>
      <c r="D191">
        <v>5.2506241820000001</v>
      </c>
      <c r="E191" s="156">
        <v>6.7649999999999997</v>
      </c>
      <c r="H191">
        <v>202103</v>
      </c>
      <c r="I191" t="s">
        <v>14</v>
      </c>
      <c r="J191">
        <v>5.5780000000000003</v>
      </c>
      <c r="K191">
        <v>14.039155776479999</v>
      </c>
      <c r="L191">
        <v>2.5802658487999999</v>
      </c>
      <c r="O191">
        <v>202103</v>
      </c>
      <c r="P191" t="s">
        <v>9</v>
      </c>
      <c r="Q191">
        <v>46.151639742</v>
      </c>
      <c r="R191">
        <v>5.5365562160000001</v>
      </c>
      <c r="S191" s="156">
        <v>4.4480000000000004</v>
      </c>
      <c r="V191">
        <v>202103</v>
      </c>
      <c r="W191" t="s">
        <v>9</v>
      </c>
      <c r="X191">
        <v>14.329000000000001</v>
      </c>
      <c r="Y191">
        <v>131.53331461581999</v>
      </c>
      <c r="Z191">
        <v>15.803741937250001</v>
      </c>
    </row>
    <row r="192" spans="1:26">
      <c r="A192">
        <v>202103</v>
      </c>
      <c r="B192" t="s">
        <v>10</v>
      </c>
      <c r="C192">
        <v>61.187153107999997</v>
      </c>
      <c r="D192">
        <v>7.2322327939999997</v>
      </c>
      <c r="E192" s="156">
        <v>5.5179999999999998</v>
      </c>
      <c r="H192">
        <v>202103</v>
      </c>
      <c r="I192" t="s">
        <v>12</v>
      </c>
      <c r="J192">
        <v>23.687000000000001</v>
      </c>
      <c r="K192">
        <v>108.36461863004</v>
      </c>
      <c r="L192">
        <v>16.669181838450001</v>
      </c>
      <c r="O192">
        <v>202103</v>
      </c>
      <c r="P192" t="s">
        <v>14</v>
      </c>
      <c r="Q192">
        <v>8.1077770680000008</v>
      </c>
      <c r="R192">
        <v>1.154466242</v>
      </c>
      <c r="S192" s="156">
        <v>2.105</v>
      </c>
      <c r="V192">
        <v>202103</v>
      </c>
      <c r="W192" t="s">
        <v>14</v>
      </c>
      <c r="X192">
        <v>4.6790000000000003</v>
      </c>
      <c r="Y192">
        <v>11.81407586568</v>
      </c>
      <c r="Z192">
        <v>2.1603986979999998</v>
      </c>
    </row>
    <row r="193" spans="1:26">
      <c r="A193">
        <v>202104</v>
      </c>
      <c r="C193">
        <v>2.769109684</v>
      </c>
      <c r="D193">
        <v>0.40167949600000002</v>
      </c>
      <c r="E193" s="156">
        <v>0.48199999999999998</v>
      </c>
      <c r="H193">
        <v>202104</v>
      </c>
      <c r="I193" t="s">
        <v>14</v>
      </c>
      <c r="J193">
        <v>4.0030000000000001</v>
      </c>
      <c r="K193">
        <v>10.28186728327</v>
      </c>
      <c r="L193">
        <v>1.8066356754399999</v>
      </c>
      <c r="O193">
        <v>202104</v>
      </c>
      <c r="P193" t="s">
        <v>14</v>
      </c>
      <c r="Q193">
        <v>5.1460767980000002</v>
      </c>
      <c r="R193">
        <v>0.74604654400000003</v>
      </c>
      <c r="S193" s="156">
        <v>1.6220000000000001</v>
      </c>
      <c r="V193">
        <v>202104</v>
      </c>
      <c r="X193">
        <v>2.2360000000000002</v>
      </c>
      <c r="Y193">
        <v>10.420686804700001</v>
      </c>
      <c r="Z193">
        <v>1.48875526777</v>
      </c>
    </row>
    <row r="194" spans="1:26">
      <c r="A194">
        <v>202104</v>
      </c>
      <c r="B194" t="s">
        <v>12</v>
      </c>
      <c r="C194">
        <v>67.213342987999994</v>
      </c>
      <c r="D194">
        <v>8.0378581239999995</v>
      </c>
      <c r="E194" s="156">
        <v>9.0220000000000002</v>
      </c>
      <c r="H194">
        <v>202104</v>
      </c>
      <c r="I194" t="s">
        <v>12</v>
      </c>
      <c r="J194">
        <v>22.253</v>
      </c>
      <c r="K194">
        <v>88.510315321389996</v>
      </c>
      <c r="L194">
        <v>14.0095893014</v>
      </c>
      <c r="O194">
        <v>202104</v>
      </c>
      <c r="Q194">
        <v>2.6539409219999999</v>
      </c>
      <c r="R194">
        <v>0.363452198</v>
      </c>
      <c r="S194" s="156">
        <v>0.53100000000000003</v>
      </c>
      <c r="V194">
        <v>202104</v>
      </c>
      <c r="W194" t="s">
        <v>14</v>
      </c>
      <c r="X194">
        <v>3.4910000000000001</v>
      </c>
      <c r="Y194">
        <v>7.8575309563899998</v>
      </c>
      <c r="Z194">
        <v>1.4936398362200001</v>
      </c>
    </row>
    <row r="195" spans="1:26">
      <c r="A195">
        <v>202104</v>
      </c>
      <c r="B195" t="s">
        <v>10</v>
      </c>
      <c r="C195">
        <v>51.388139326000001</v>
      </c>
      <c r="D195">
        <v>5.9062697139999996</v>
      </c>
      <c r="E195" s="156">
        <v>4.7939999999999996</v>
      </c>
      <c r="H195">
        <v>202104</v>
      </c>
      <c r="I195" t="s">
        <v>13</v>
      </c>
      <c r="J195">
        <v>12.683</v>
      </c>
      <c r="K195">
        <v>37.653391175640003</v>
      </c>
      <c r="L195">
        <v>6.5940553607499997</v>
      </c>
      <c r="O195">
        <v>202104</v>
      </c>
      <c r="P195" t="s">
        <v>10</v>
      </c>
      <c r="Q195">
        <v>43.530581603999998</v>
      </c>
      <c r="R195">
        <v>5.2458203660000002</v>
      </c>
      <c r="S195" s="156">
        <v>5.0999999999999996</v>
      </c>
      <c r="V195">
        <v>202104</v>
      </c>
      <c r="W195" t="s">
        <v>11</v>
      </c>
      <c r="X195">
        <v>10.407999999999999</v>
      </c>
      <c r="Y195">
        <v>53.416675011599999</v>
      </c>
      <c r="Z195">
        <v>7.4601115066399997</v>
      </c>
    </row>
    <row r="196" spans="1:26">
      <c r="A196">
        <v>202104</v>
      </c>
      <c r="B196" t="s">
        <v>13</v>
      </c>
      <c r="C196">
        <v>27.081406132000001</v>
      </c>
      <c r="D196">
        <v>3.8064287819999998</v>
      </c>
      <c r="E196" s="156">
        <v>5.58</v>
      </c>
      <c r="H196">
        <v>202104</v>
      </c>
      <c r="I196" t="s">
        <v>11</v>
      </c>
      <c r="J196">
        <v>10.291</v>
      </c>
      <c r="K196">
        <v>52.902157079189998</v>
      </c>
      <c r="L196">
        <v>7.4356381063299999</v>
      </c>
      <c r="O196">
        <v>202104</v>
      </c>
      <c r="P196" t="s">
        <v>9</v>
      </c>
      <c r="Q196">
        <v>37.860674629999998</v>
      </c>
      <c r="R196">
        <v>4.3258436199999997</v>
      </c>
      <c r="S196" s="156">
        <v>3.6539999999999999</v>
      </c>
      <c r="V196">
        <v>202104</v>
      </c>
      <c r="W196" t="s">
        <v>9</v>
      </c>
      <c r="X196">
        <v>11.917999999999999</v>
      </c>
      <c r="Y196">
        <v>92.447131445310006</v>
      </c>
      <c r="Z196">
        <v>11.414842643249999</v>
      </c>
    </row>
    <row r="197" spans="1:26">
      <c r="A197">
        <v>202104</v>
      </c>
      <c r="B197" t="s">
        <v>9</v>
      </c>
      <c r="C197">
        <v>38.636596466</v>
      </c>
      <c r="D197">
        <v>4.4650007159999996</v>
      </c>
      <c r="E197" s="156">
        <v>3.19</v>
      </c>
      <c r="H197">
        <v>202104</v>
      </c>
      <c r="I197" t="s">
        <v>9</v>
      </c>
      <c r="J197">
        <v>10.202999999999999</v>
      </c>
      <c r="K197">
        <v>76.313740229570001</v>
      </c>
      <c r="L197">
        <v>9.6656996062499996</v>
      </c>
      <c r="O197">
        <v>202104</v>
      </c>
      <c r="P197" t="s">
        <v>11</v>
      </c>
      <c r="Q197">
        <v>31.027984986</v>
      </c>
      <c r="R197">
        <v>3.699961794</v>
      </c>
      <c r="S197" s="156">
        <v>4.0529999999999999</v>
      </c>
      <c r="V197">
        <v>202104</v>
      </c>
      <c r="W197" t="s">
        <v>10</v>
      </c>
      <c r="X197">
        <v>14.741</v>
      </c>
      <c r="Y197">
        <v>92.880517440739993</v>
      </c>
      <c r="Z197">
        <v>12.22484631214</v>
      </c>
    </row>
    <row r="198" spans="1:26">
      <c r="A198">
        <v>202104</v>
      </c>
      <c r="B198" t="s">
        <v>11</v>
      </c>
      <c r="C198">
        <v>35.152955956</v>
      </c>
      <c r="D198">
        <v>4.3102790119999996</v>
      </c>
      <c r="E198" s="156">
        <v>3.996</v>
      </c>
      <c r="H198">
        <v>202104</v>
      </c>
      <c r="I198" t="s">
        <v>10</v>
      </c>
      <c r="J198">
        <v>13.821999999999999</v>
      </c>
      <c r="K198">
        <v>95.505840839879994</v>
      </c>
      <c r="L198">
        <v>11.897753199849999</v>
      </c>
      <c r="O198">
        <v>202104</v>
      </c>
      <c r="P198" t="s">
        <v>13</v>
      </c>
      <c r="Q198">
        <v>21.643123635999999</v>
      </c>
      <c r="R198">
        <v>3.0237541179999998</v>
      </c>
      <c r="S198" s="156">
        <v>5.0430000000000001</v>
      </c>
      <c r="V198">
        <v>202104</v>
      </c>
      <c r="W198" t="s">
        <v>12</v>
      </c>
      <c r="X198">
        <v>21.254000000000001</v>
      </c>
      <c r="Y198">
        <v>80.439231498669997</v>
      </c>
      <c r="Z198">
        <v>12.971465513169999</v>
      </c>
    </row>
    <row r="199" spans="1:26">
      <c r="A199">
        <v>202104</v>
      </c>
      <c r="B199" t="s">
        <v>14</v>
      </c>
      <c r="C199">
        <v>7.0273277299999997</v>
      </c>
      <c r="D199">
        <v>1.0016740900000001</v>
      </c>
      <c r="E199" s="156">
        <v>1.83</v>
      </c>
      <c r="H199">
        <v>202104</v>
      </c>
      <c r="J199">
        <v>2.0760000000000001</v>
      </c>
      <c r="K199">
        <v>9.7259865948200002</v>
      </c>
      <c r="L199">
        <v>1.40225686783</v>
      </c>
      <c r="O199">
        <v>202104</v>
      </c>
      <c r="P199" t="s">
        <v>12</v>
      </c>
      <c r="Q199">
        <v>50.663049954000002</v>
      </c>
      <c r="R199">
        <v>6.3329203500000002</v>
      </c>
      <c r="S199" s="156">
        <v>8.891</v>
      </c>
      <c r="V199">
        <v>202104</v>
      </c>
      <c r="W199" t="s">
        <v>13</v>
      </c>
      <c r="X199">
        <v>11.282999999999999</v>
      </c>
      <c r="Y199">
        <v>33.431525366350002</v>
      </c>
      <c r="Z199">
        <v>5.7579670386600004</v>
      </c>
    </row>
    <row r="200" spans="1:26">
      <c r="A200">
        <v>202105</v>
      </c>
      <c r="B200" t="s">
        <v>13</v>
      </c>
      <c r="C200">
        <v>30.509571426000001</v>
      </c>
      <c r="D200">
        <v>4.1808858820000001</v>
      </c>
      <c r="E200" s="156">
        <v>6.2439999999999998</v>
      </c>
      <c r="H200">
        <v>202105</v>
      </c>
      <c r="I200" t="s">
        <v>10</v>
      </c>
      <c r="J200">
        <v>14.851000000000001</v>
      </c>
      <c r="K200">
        <v>98.352764938999997</v>
      </c>
      <c r="L200">
        <v>12.516721419970001</v>
      </c>
      <c r="O200">
        <v>202105</v>
      </c>
      <c r="P200" t="s">
        <v>12</v>
      </c>
      <c r="Q200">
        <v>52.632189861999997</v>
      </c>
      <c r="R200">
        <v>7.0539105280000003</v>
      </c>
      <c r="S200" s="156">
        <v>9.5890000000000004</v>
      </c>
      <c r="V200">
        <v>202105</v>
      </c>
      <c r="W200" t="s">
        <v>10</v>
      </c>
      <c r="X200">
        <v>16.372</v>
      </c>
      <c r="Y200">
        <v>109.0836844645</v>
      </c>
      <c r="Z200">
        <v>13.914736678280001</v>
      </c>
    </row>
    <row r="201" spans="1:26">
      <c r="A201">
        <v>202105</v>
      </c>
      <c r="B201" t="s">
        <v>11</v>
      </c>
      <c r="C201">
        <v>27.971869934000001</v>
      </c>
      <c r="D201">
        <v>3.5447909000000002</v>
      </c>
      <c r="E201" s="156">
        <v>3.9980000000000002</v>
      </c>
      <c r="H201">
        <v>202105</v>
      </c>
      <c r="I201" t="s">
        <v>9</v>
      </c>
      <c r="J201">
        <v>11.603</v>
      </c>
      <c r="K201">
        <v>84.083542308760002</v>
      </c>
      <c r="L201">
        <v>10.61940253835</v>
      </c>
      <c r="O201">
        <v>202105</v>
      </c>
      <c r="P201" t="s">
        <v>10</v>
      </c>
      <c r="Q201">
        <v>44.473301913999997</v>
      </c>
      <c r="R201">
        <v>5.5474774560000002</v>
      </c>
      <c r="S201" s="156">
        <v>5.4290000000000003</v>
      </c>
      <c r="V201">
        <v>202105</v>
      </c>
      <c r="W201" t="s">
        <v>12</v>
      </c>
      <c r="X201">
        <v>23.009</v>
      </c>
      <c r="Y201">
        <v>82.508309157989999</v>
      </c>
      <c r="Z201">
        <v>14.058529998699999</v>
      </c>
    </row>
    <row r="202" spans="1:26">
      <c r="A202">
        <v>202105</v>
      </c>
      <c r="B202" t="s">
        <v>12</v>
      </c>
      <c r="C202">
        <v>59.526038370000002</v>
      </c>
      <c r="D202">
        <v>7.7862335160000002</v>
      </c>
      <c r="E202" s="156">
        <v>9.9809999999999999</v>
      </c>
      <c r="H202">
        <v>202105</v>
      </c>
      <c r="I202" t="s">
        <v>13</v>
      </c>
      <c r="J202">
        <v>14.295999999999999</v>
      </c>
      <c r="K202">
        <v>41.117511371790002</v>
      </c>
      <c r="L202">
        <v>7.4315788527800004</v>
      </c>
      <c r="O202">
        <v>202105</v>
      </c>
      <c r="P202" t="s">
        <v>14</v>
      </c>
      <c r="Q202">
        <v>6.0802893840000003</v>
      </c>
      <c r="R202">
        <v>0.83371880399999998</v>
      </c>
      <c r="S202" s="156">
        <v>1.724</v>
      </c>
      <c r="V202">
        <v>202105</v>
      </c>
      <c r="W202" t="s">
        <v>9</v>
      </c>
      <c r="X202">
        <v>14.071</v>
      </c>
      <c r="Y202">
        <v>103.86273407026999</v>
      </c>
      <c r="Z202">
        <v>12.950489692750001</v>
      </c>
    </row>
    <row r="203" spans="1:26">
      <c r="A203">
        <v>202105</v>
      </c>
      <c r="B203" t="s">
        <v>10</v>
      </c>
      <c r="C203">
        <v>45.537663178000003</v>
      </c>
      <c r="D203">
        <v>5.2634775420000004</v>
      </c>
      <c r="E203" s="156">
        <v>4.7670000000000003</v>
      </c>
      <c r="H203">
        <v>202105</v>
      </c>
      <c r="J203">
        <v>3.552</v>
      </c>
      <c r="K203">
        <v>18.372908124350001</v>
      </c>
      <c r="L203">
        <v>2.4892765934100001</v>
      </c>
      <c r="O203">
        <v>202105</v>
      </c>
      <c r="P203" t="s">
        <v>9</v>
      </c>
      <c r="Q203">
        <v>43.308198064000003</v>
      </c>
      <c r="R203">
        <v>4.9638244059999996</v>
      </c>
      <c r="S203" s="156">
        <v>4.0270000000000001</v>
      </c>
      <c r="V203">
        <v>202105</v>
      </c>
      <c r="X203">
        <v>3.782</v>
      </c>
      <c r="Y203">
        <v>19.199509383790001</v>
      </c>
      <c r="Z203">
        <v>2.6149887681299999</v>
      </c>
    </row>
    <row r="204" spans="1:26">
      <c r="A204">
        <v>202105</v>
      </c>
      <c r="B204" t="s">
        <v>9</v>
      </c>
      <c r="C204">
        <v>32.186895409999998</v>
      </c>
      <c r="D204">
        <v>4.038945826</v>
      </c>
      <c r="E204" s="156">
        <v>3.371</v>
      </c>
      <c r="H204">
        <v>202105</v>
      </c>
      <c r="I204" t="s">
        <v>14</v>
      </c>
      <c r="J204">
        <v>4.7060000000000004</v>
      </c>
      <c r="K204">
        <v>9.8540536639200003</v>
      </c>
      <c r="L204">
        <v>2.0197195343200001</v>
      </c>
      <c r="O204">
        <v>202105</v>
      </c>
      <c r="Q204">
        <v>4.4069730900000001</v>
      </c>
      <c r="R204">
        <v>0.65342488200000004</v>
      </c>
      <c r="S204" s="156">
        <v>1.0449999999999999</v>
      </c>
      <c r="V204">
        <v>202105</v>
      </c>
      <c r="W204" t="s">
        <v>14</v>
      </c>
      <c r="X204">
        <v>3.8479999999999999</v>
      </c>
      <c r="Y204">
        <v>7.1060946747999996</v>
      </c>
      <c r="Z204">
        <v>1.5303060448000001</v>
      </c>
    </row>
    <row r="205" spans="1:26">
      <c r="A205">
        <v>202105</v>
      </c>
      <c r="B205" t="s">
        <v>14</v>
      </c>
      <c r="C205">
        <v>8.4380898240000004</v>
      </c>
      <c r="D205">
        <v>1.10275558</v>
      </c>
      <c r="E205" s="156">
        <v>2.125</v>
      </c>
      <c r="H205">
        <v>202105</v>
      </c>
      <c r="I205" t="s">
        <v>11</v>
      </c>
      <c r="J205">
        <v>10.851000000000001</v>
      </c>
      <c r="K205">
        <v>59.105995094900003</v>
      </c>
      <c r="L205">
        <v>8.1750487319400005</v>
      </c>
      <c r="O205">
        <v>202105</v>
      </c>
      <c r="P205" t="s">
        <v>13</v>
      </c>
      <c r="Q205">
        <v>23.628843274000001</v>
      </c>
      <c r="R205">
        <v>3.357593702</v>
      </c>
      <c r="S205" s="156">
        <v>5.4329999999999998</v>
      </c>
      <c r="V205">
        <v>202105</v>
      </c>
      <c r="W205" t="s">
        <v>13</v>
      </c>
      <c r="X205">
        <v>12.257</v>
      </c>
      <c r="Y205">
        <v>31.98681699039</v>
      </c>
      <c r="Z205">
        <v>6.12891638322</v>
      </c>
    </row>
    <row r="206" spans="1:26">
      <c r="A206">
        <v>202105</v>
      </c>
      <c r="C206">
        <v>4.1132419819999999</v>
      </c>
      <c r="D206">
        <v>0.61414902199999999</v>
      </c>
      <c r="E206" s="156">
        <v>0.97399999999999998</v>
      </c>
      <c r="H206">
        <v>202105</v>
      </c>
      <c r="I206" t="s">
        <v>12</v>
      </c>
      <c r="J206">
        <v>24.643999999999998</v>
      </c>
      <c r="K206">
        <v>98.483251212509998</v>
      </c>
      <c r="L206">
        <v>15.97676404053</v>
      </c>
      <c r="O206">
        <v>202105</v>
      </c>
      <c r="P206" t="s">
        <v>11</v>
      </c>
      <c r="Q206">
        <v>30.627157803999999</v>
      </c>
      <c r="R206">
        <v>3.785380054</v>
      </c>
      <c r="S206" s="156">
        <v>4.2130000000000001</v>
      </c>
      <c r="V206">
        <v>202105</v>
      </c>
      <c r="W206" t="s">
        <v>11</v>
      </c>
      <c r="X206">
        <v>11.164</v>
      </c>
      <c r="Y206">
        <v>55.622877973489999</v>
      </c>
      <c r="Z206">
        <v>8.0305441454200004</v>
      </c>
    </row>
    <row r="207" spans="1:26">
      <c r="A207">
        <v>202106</v>
      </c>
      <c r="B207" t="s">
        <v>10</v>
      </c>
      <c r="C207">
        <v>46.431103630000003</v>
      </c>
      <c r="D207">
        <v>5.2085681660000001</v>
      </c>
      <c r="E207" s="156">
        <v>4.5069999999999997</v>
      </c>
      <c r="H207">
        <v>202106</v>
      </c>
      <c r="J207">
        <v>3.0739999999999998</v>
      </c>
      <c r="K207">
        <v>16.43543928403</v>
      </c>
      <c r="L207">
        <v>2.2873029598899999</v>
      </c>
      <c r="O207">
        <v>202106</v>
      </c>
      <c r="P207" t="s">
        <v>10</v>
      </c>
      <c r="Q207">
        <v>35.203376792</v>
      </c>
      <c r="R207">
        <v>4.3814303219999999</v>
      </c>
      <c r="S207" s="156">
        <v>4.5170000000000003</v>
      </c>
      <c r="V207">
        <v>202106</v>
      </c>
      <c r="W207" t="s">
        <v>10</v>
      </c>
      <c r="X207">
        <v>16.998000000000001</v>
      </c>
      <c r="Y207">
        <v>94.147923189739998</v>
      </c>
      <c r="Z207">
        <v>13.416150427250001</v>
      </c>
    </row>
    <row r="208" spans="1:26">
      <c r="A208">
        <v>202106</v>
      </c>
      <c r="B208" t="s">
        <v>14</v>
      </c>
      <c r="C208">
        <v>7.8549740000000003</v>
      </c>
      <c r="D208">
        <v>1.1363611140000001</v>
      </c>
      <c r="E208" s="156">
        <v>2.048</v>
      </c>
      <c r="H208">
        <v>202106</v>
      </c>
      <c r="I208" t="s">
        <v>13</v>
      </c>
      <c r="J208">
        <v>16.213000000000001</v>
      </c>
      <c r="K208">
        <v>49.394813213509998</v>
      </c>
      <c r="L208">
        <v>8.7840333810099995</v>
      </c>
      <c r="O208">
        <v>202106</v>
      </c>
      <c r="P208" t="s">
        <v>12</v>
      </c>
      <c r="Q208">
        <v>62.487852676000003</v>
      </c>
      <c r="R208">
        <v>8.4719314019999992</v>
      </c>
      <c r="S208" s="156">
        <v>10.32</v>
      </c>
      <c r="V208">
        <v>202106</v>
      </c>
      <c r="W208" t="s">
        <v>12</v>
      </c>
      <c r="X208">
        <v>25.35</v>
      </c>
      <c r="Y208">
        <v>89.232577228300002</v>
      </c>
      <c r="Z208">
        <v>15.36785258746</v>
      </c>
    </row>
    <row r="209" spans="1:26">
      <c r="A209">
        <v>202106</v>
      </c>
      <c r="B209" t="s">
        <v>9</v>
      </c>
      <c r="C209">
        <v>28.644233268000001</v>
      </c>
      <c r="D209">
        <v>3.9684614300000001</v>
      </c>
      <c r="E209" s="156">
        <v>3.1629999999999998</v>
      </c>
      <c r="H209">
        <v>202106</v>
      </c>
      <c r="I209" t="s">
        <v>11</v>
      </c>
      <c r="J209">
        <v>11.372</v>
      </c>
      <c r="K209">
        <v>50.299782647729998</v>
      </c>
      <c r="L209">
        <v>8.0982061433299997</v>
      </c>
      <c r="O209">
        <v>202106</v>
      </c>
      <c r="P209" t="s">
        <v>11</v>
      </c>
      <c r="Q209">
        <v>33.206194908000001</v>
      </c>
      <c r="R209">
        <v>3.91079518</v>
      </c>
      <c r="S209" s="156">
        <v>4.0540000000000003</v>
      </c>
      <c r="V209">
        <v>202106</v>
      </c>
      <c r="W209" t="s">
        <v>11</v>
      </c>
      <c r="X209">
        <v>11.975</v>
      </c>
      <c r="Y209">
        <v>56.23614929443</v>
      </c>
      <c r="Z209">
        <v>8.6772436014699998</v>
      </c>
    </row>
    <row r="210" spans="1:26">
      <c r="A210">
        <v>202106</v>
      </c>
      <c r="B210" t="s">
        <v>11</v>
      </c>
      <c r="C210">
        <v>28.152205076000001</v>
      </c>
      <c r="D210">
        <v>3.61638189</v>
      </c>
      <c r="E210" s="156">
        <v>3.8220000000000001</v>
      </c>
      <c r="H210">
        <v>202106</v>
      </c>
      <c r="I210" t="s">
        <v>14</v>
      </c>
      <c r="J210">
        <v>4.7850000000000001</v>
      </c>
      <c r="K210">
        <v>10.12443670989</v>
      </c>
      <c r="L210">
        <v>2.0359090019599999</v>
      </c>
      <c r="O210">
        <v>202106</v>
      </c>
      <c r="P210" t="s">
        <v>14</v>
      </c>
      <c r="Q210">
        <v>9.3793371659999991</v>
      </c>
      <c r="R210">
        <v>1.2579532980000001</v>
      </c>
      <c r="S210" s="156">
        <v>2.2330000000000001</v>
      </c>
      <c r="V210">
        <v>202106</v>
      </c>
      <c r="W210" t="s">
        <v>9</v>
      </c>
      <c r="X210">
        <v>14.394</v>
      </c>
      <c r="Y210">
        <v>104.24886452728001</v>
      </c>
      <c r="Z210">
        <v>13.2851320928</v>
      </c>
    </row>
    <row r="211" spans="1:26">
      <c r="A211">
        <v>202106</v>
      </c>
      <c r="C211">
        <v>3.5566617979999999</v>
      </c>
      <c r="D211">
        <v>0.40756553400000001</v>
      </c>
      <c r="E211" s="156">
        <v>0.57799999999999996</v>
      </c>
      <c r="H211">
        <v>202106</v>
      </c>
      <c r="I211" t="s">
        <v>12</v>
      </c>
      <c r="J211">
        <v>27.248999999999999</v>
      </c>
      <c r="K211">
        <v>108.94701300897999</v>
      </c>
      <c r="L211">
        <v>17.53577903295</v>
      </c>
      <c r="O211">
        <v>202106</v>
      </c>
      <c r="P211" t="s">
        <v>9</v>
      </c>
      <c r="Q211">
        <v>20.370703777999999</v>
      </c>
      <c r="R211">
        <v>2.6742404999999998</v>
      </c>
      <c r="S211" s="156">
        <v>2.718</v>
      </c>
      <c r="V211">
        <v>202106</v>
      </c>
      <c r="W211" t="s">
        <v>14</v>
      </c>
      <c r="X211">
        <v>3.86</v>
      </c>
      <c r="Y211">
        <v>6.9698921199999999</v>
      </c>
      <c r="Z211">
        <v>1.51679904</v>
      </c>
    </row>
    <row r="212" spans="1:26">
      <c r="A212">
        <v>202106</v>
      </c>
      <c r="B212" t="s">
        <v>13</v>
      </c>
      <c r="C212">
        <v>29.446743263999998</v>
      </c>
      <c r="D212">
        <v>4.3167335580000001</v>
      </c>
      <c r="E212" s="156">
        <v>6.5469999999999997</v>
      </c>
      <c r="H212">
        <v>202106</v>
      </c>
      <c r="I212" t="s">
        <v>10</v>
      </c>
      <c r="J212">
        <v>14.98</v>
      </c>
      <c r="K212">
        <v>83.185752000359997</v>
      </c>
      <c r="L212">
        <v>11.967781802439999</v>
      </c>
      <c r="O212">
        <v>202106</v>
      </c>
      <c r="P212" t="s">
        <v>13</v>
      </c>
      <c r="Q212">
        <v>31.479528687999998</v>
      </c>
      <c r="R212">
        <v>4.4919758559999998</v>
      </c>
      <c r="S212" s="156">
        <v>6.734</v>
      </c>
      <c r="V212">
        <v>202106</v>
      </c>
      <c r="W212" t="s">
        <v>13</v>
      </c>
      <c r="X212">
        <v>13.45</v>
      </c>
      <c r="Y212">
        <v>34.490155108110002</v>
      </c>
      <c r="Z212">
        <v>6.7278496968999999</v>
      </c>
    </row>
    <row r="213" spans="1:26">
      <c r="A213">
        <v>202106</v>
      </c>
      <c r="B213" t="s">
        <v>12</v>
      </c>
      <c r="C213">
        <v>60.252566913999999</v>
      </c>
      <c r="D213">
        <v>8.0739376600000003</v>
      </c>
      <c r="E213" s="156">
        <v>9.9420000000000002</v>
      </c>
      <c r="H213">
        <v>202106</v>
      </c>
      <c r="I213" t="s">
        <v>9</v>
      </c>
      <c r="J213">
        <v>11.779</v>
      </c>
      <c r="K213">
        <v>84.946681343310004</v>
      </c>
      <c r="L213">
        <v>10.80420505283</v>
      </c>
      <c r="O213">
        <v>202106</v>
      </c>
      <c r="Q213">
        <v>0.21090899799999999</v>
      </c>
      <c r="R213">
        <v>2.2018194000000001E-2</v>
      </c>
      <c r="S213" s="156">
        <v>3.1E-2</v>
      </c>
      <c r="V213">
        <v>202106</v>
      </c>
      <c r="X213">
        <v>3.4249999999999998</v>
      </c>
      <c r="Y213">
        <v>18.008356739949999</v>
      </c>
      <c r="Z213">
        <v>2.52218992853</v>
      </c>
    </row>
    <row r="214" spans="1:26">
      <c r="A214">
        <v>202107</v>
      </c>
      <c r="B214" t="s">
        <v>9</v>
      </c>
      <c r="C214">
        <v>9.9819233399999998</v>
      </c>
      <c r="D214">
        <v>1.5751961619999999</v>
      </c>
      <c r="E214" s="156">
        <v>1.3240000000000001</v>
      </c>
      <c r="H214">
        <v>202107</v>
      </c>
      <c r="I214" t="s">
        <v>10</v>
      </c>
      <c r="J214">
        <v>4.1319999999999997</v>
      </c>
      <c r="K214">
        <v>16.97588618368</v>
      </c>
      <c r="L214">
        <v>2.46032986133</v>
      </c>
      <c r="O214">
        <v>202107</v>
      </c>
      <c r="P214" t="s">
        <v>9</v>
      </c>
      <c r="Q214">
        <v>22.759434840000001</v>
      </c>
      <c r="R214">
        <v>3.0415531599999999</v>
      </c>
      <c r="S214" s="156">
        <v>2.7229999999999999</v>
      </c>
      <c r="V214">
        <v>202107</v>
      </c>
      <c r="W214" t="s">
        <v>9</v>
      </c>
      <c r="X214">
        <v>14.427</v>
      </c>
      <c r="Y214">
        <v>115.73026704172</v>
      </c>
      <c r="Z214">
        <v>13.5701670012</v>
      </c>
    </row>
    <row r="215" spans="1:26">
      <c r="A215">
        <v>202107</v>
      </c>
      <c r="B215" t="s">
        <v>11</v>
      </c>
      <c r="C215">
        <v>10.379760492000001</v>
      </c>
      <c r="D215">
        <v>1.3209912319999999</v>
      </c>
      <c r="E215" s="156">
        <v>1.5169999999999999</v>
      </c>
      <c r="H215">
        <v>202107</v>
      </c>
      <c r="I215" t="s">
        <v>12</v>
      </c>
      <c r="J215">
        <v>6.109</v>
      </c>
      <c r="K215">
        <v>14.642002274519999</v>
      </c>
      <c r="L215">
        <v>2.5483942342799999</v>
      </c>
      <c r="O215">
        <v>202107</v>
      </c>
      <c r="P215" t="s">
        <v>11</v>
      </c>
      <c r="Q215">
        <v>33.217048519999999</v>
      </c>
      <c r="R215">
        <v>4.3886469200000002</v>
      </c>
      <c r="S215" s="156">
        <v>4.2240000000000002</v>
      </c>
      <c r="V215">
        <v>202107</v>
      </c>
      <c r="W215" t="s">
        <v>11</v>
      </c>
      <c r="X215">
        <v>13.387</v>
      </c>
      <c r="Y215">
        <v>81.809823196609997</v>
      </c>
      <c r="Z215">
        <v>11.07187999618</v>
      </c>
    </row>
    <row r="216" spans="1:26">
      <c r="A216">
        <v>202107</v>
      </c>
      <c r="B216" t="s">
        <v>13</v>
      </c>
      <c r="C216">
        <v>7.7997634839999996</v>
      </c>
      <c r="D216">
        <v>1.136840106</v>
      </c>
      <c r="E216" s="156">
        <v>2.1379999999999999</v>
      </c>
      <c r="H216">
        <v>202107</v>
      </c>
      <c r="I216" t="s">
        <v>14</v>
      </c>
      <c r="J216">
        <v>0.94099999999999995</v>
      </c>
      <c r="K216">
        <v>1.3146919907400001</v>
      </c>
      <c r="L216">
        <v>0.31147342358000002</v>
      </c>
      <c r="O216">
        <v>202107</v>
      </c>
      <c r="P216" t="s">
        <v>13</v>
      </c>
      <c r="Q216">
        <v>41.154832620000001</v>
      </c>
      <c r="R216">
        <v>5.4123351299999998</v>
      </c>
      <c r="S216" s="156">
        <v>7.0590000000000002</v>
      </c>
      <c r="V216">
        <v>202107</v>
      </c>
      <c r="W216" t="s">
        <v>13</v>
      </c>
      <c r="X216">
        <v>15.077</v>
      </c>
      <c r="Y216">
        <v>53.140215154259998</v>
      </c>
      <c r="Z216">
        <v>9.0488702673100008</v>
      </c>
    </row>
    <row r="217" spans="1:26">
      <c r="A217">
        <v>202107</v>
      </c>
      <c r="B217" t="s">
        <v>14</v>
      </c>
      <c r="C217">
        <v>1.4156340780000001</v>
      </c>
      <c r="D217">
        <v>0.23516925</v>
      </c>
      <c r="E217" s="156">
        <v>0.59899999999999998</v>
      </c>
      <c r="H217">
        <v>202107</v>
      </c>
      <c r="J217">
        <v>0.155</v>
      </c>
      <c r="K217">
        <v>0.92691106000000001</v>
      </c>
      <c r="L217">
        <v>0.108163</v>
      </c>
      <c r="O217">
        <v>202107</v>
      </c>
      <c r="P217" t="s">
        <v>14</v>
      </c>
      <c r="Q217">
        <v>11.32890295</v>
      </c>
      <c r="R217">
        <v>1.47214427</v>
      </c>
      <c r="S217" s="156">
        <v>2.3079999999999998</v>
      </c>
      <c r="V217">
        <v>202107</v>
      </c>
      <c r="W217" t="s">
        <v>14</v>
      </c>
      <c r="X217">
        <v>4.4370000000000003</v>
      </c>
      <c r="Y217">
        <v>11.41586971538</v>
      </c>
      <c r="Z217">
        <v>2.2910623168600002</v>
      </c>
    </row>
    <row r="218" spans="1:26">
      <c r="A218">
        <v>202107</v>
      </c>
      <c r="B218" t="s">
        <v>10</v>
      </c>
      <c r="C218">
        <v>13.479990600000001</v>
      </c>
      <c r="D218">
        <v>1.8186292420000001</v>
      </c>
      <c r="E218" s="156">
        <v>1.968</v>
      </c>
      <c r="H218">
        <v>202107</v>
      </c>
      <c r="I218" t="s">
        <v>13</v>
      </c>
      <c r="J218">
        <v>3.3210000000000002</v>
      </c>
      <c r="K218">
        <v>6.2094885187199997</v>
      </c>
      <c r="L218">
        <v>1.1748520816800001</v>
      </c>
      <c r="O218">
        <v>202107</v>
      </c>
      <c r="P218" t="s">
        <v>12</v>
      </c>
      <c r="Q218">
        <v>72.120727849999994</v>
      </c>
      <c r="R218">
        <v>9.9233186599999996</v>
      </c>
      <c r="S218" s="156">
        <v>11.053000000000001</v>
      </c>
      <c r="V218">
        <v>202107</v>
      </c>
      <c r="W218" t="s">
        <v>10</v>
      </c>
      <c r="X218">
        <v>18.442</v>
      </c>
      <c r="Y218">
        <v>132.50922047636001</v>
      </c>
      <c r="Z218">
        <v>16.444325279520001</v>
      </c>
    </row>
    <row r="219" spans="1:26">
      <c r="A219">
        <v>202107</v>
      </c>
      <c r="B219" t="s">
        <v>12</v>
      </c>
      <c r="C219">
        <v>16.020755694000002</v>
      </c>
      <c r="D219">
        <v>2.3990578560000002</v>
      </c>
      <c r="E219" s="156">
        <v>3.7189999999999999</v>
      </c>
      <c r="H219">
        <v>202107</v>
      </c>
      <c r="I219" t="s">
        <v>9</v>
      </c>
      <c r="J219">
        <v>3.294</v>
      </c>
      <c r="K219">
        <v>18.432419809390002</v>
      </c>
      <c r="L219">
        <v>2.3792060570800002</v>
      </c>
      <c r="O219">
        <v>202107</v>
      </c>
      <c r="P219" t="s">
        <v>10</v>
      </c>
      <c r="Q219">
        <v>43.786690370000002</v>
      </c>
      <c r="R219">
        <v>5.3408705699999999</v>
      </c>
      <c r="S219" s="156">
        <v>4.7720000000000002</v>
      </c>
      <c r="V219">
        <v>202107</v>
      </c>
      <c r="W219" t="s">
        <v>12</v>
      </c>
      <c r="X219">
        <v>28.021000000000001</v>
      </c>
      <c r="Y219">
        <v>125.88713632954</v>
      </c>
      <c r="Z219">
        <v>19.748608746910001</v>
      </c>
    </row>
    <row r="220" spans="1:26">
      <c r="A220">
        <v>202107</v>
      </c>
      <c r="C220">
        <v>7.9954923999999997E-2</v>
      </c>
      <c r="D220">
        <v>1.217093E-2</v>
      </c>
      <c r="E220" s="156">
        <v>2.3E-2</v>
      </c>
      <c r="H220">
        <v>202107</v>
      </c>
      <c r="I220" t="s">
        <v>11</v>
      </c>
      <c r="J220">
        <v>3.0990000000000002</v>
      </c>
      <c r="K220">
        <v>8.6411628647400001</v>
      </c>
      <c r="L220">
        <v>1.46365803022</v>
      </c>
      <c r="O220">
        <v>202107</v>
      </c>
      <c r="Q220">
        <v>2.97168E-3</v>
      </c>
      <c r="R220">
        <v>1.1987600000000001E-3</v>
      </c>
      <c r="S220" s="156">
        <v>2E-3</v>
      </c>
      <c r="V220">
        <v>202107</v>
      </c>
      <c r="X220">
        <v>4.2000000000000003E-2</v>
      </c>
      <c r="Y220">
        <v>0.46804655000000001</v>
      </c>
      <c r="Z220">
        <v>4.2369129999999998E-2</v>
      </c>
    </row>
    <row r="221" spans="1:26">
      <c r="O221">
        <v>202108</v>
      </c>
      <c r="P221" t="s">
        <v>9</v>
      </c>
      <c r="Q221">
        <v>23.116263780000001</v>
      </c>
      <c r="R221">
        <v>2.8302566499999999</v>
      </c>
      <c r="S221" s="156">
        <v>2.4430000000000001</v>
      </c>
      <c r="V221">
        <v>202108</v>
      </c>
      <c r="W221" t="s">
        <v>9</v>
      </c>
      <c r="X221">
        <v>12.946</v>
      </c>
      <c r="Y221">
        <v>109.06769000731001</v>
      </c>
      <c r="Z221">
        <v>12.651955865330001</v>
      </c>
    </row>
    <row r="222" spans="1:26">
      <c r="O222">
        <v>202108</v>
      </c>
      <c r="P222" t="s">
        <v>14</v>
      </c>
      <c r="Q222">
        <v>14.670904569999999</v>
      </c>
      <c r="R222">
        <v>2.0542395199999999</v>
      </c>
      <c r="S222" s="156">
        <v>3.21</v>
      </c>
      <c r="V222">
        <v>202108</v>
      </c>
      <c r="W222" t="s">
        <v>14</v>
      </c>
      <c r="X222">
        <v>5.6269999999999998</v>
      </c>
      <c r="Y222">
        <v>17.182569305419999</v>
      </c>
      <c r="Z222">
        <v>3.1786318867399999</v>
      </c>
    </row>
    <row r="223" spans="1:26">
      <c r="O223">
        <v>202108</v>
      </c>
      <c r="P223" t="s">
        <v>13</v>
      </c>
      <c r="Q223">
        <v>52.099454100000003</v>
      </c>
      <c r="R223">
        <v>6.8164585799999999</v>
      </c>
      <c r="S223" s="156">
        <v>8.4450000000000003</v>
      </c>
      <c r="V223">
        <v>202108</v>
      </c>
      <c r="W223" t="s">
        <v>13</v>
      </c>
      <c r="X223">
        <v>17.068999999999999</v>
      </c>
      <c r="Y223">
        <v>62.026775883589998</v>
      </c>
      <c r="Z223">
        <v>10.777352033570001</v>
      </c>
    </row>
    <row r="224" spans="1:26">
      <c r="O224">
        <v>202108</v>
      </c>
      <c r="Q224">
        <v>3.1258000000000002E-3</v>
      </c>
      <c r="R224">
        <v>5.6289999999999997E-4</v>
      </c>
      <c r="S224" s="156">
        <v>1E-3</v>
      </c>
      <c r="V224">
        <v>202108</v>
      </c>
      <c r="X224">
        <v>0.04</v>
      </c>
      <c r="Y224">
        <v>0.36099346999999998</v>
      </c>
      <c r="Z224">
        <v>3.2952389999999998E-2</v>
      </c>
    </row>
    <row r="225" spans="15:26">
      <c r="O225">
        <v>202108</v>
      </c>
      <c r="P225" t="s">
        <v>12</v>
      </c>
      <c r="Q225">
        <v>86.632925510000007</v>
      </c>
      <c r="R225">
        <v>11.390969330000001</v>
      </c>
      <c r="S225" s="156">
        <v>11.898</v>
      </c>
      <c r="V225">
        <v>202108</v>
      </c>
      <c r="W225" t="s">
        <v>12</v>
      </c>
      <c r="X225">
        <v>29.617000000000001</v>
      </c>
      <c r="Y225">
        <v>142.33051425975</v>
      </c>
      <c r="Z225">
        <v>21.870974719220001</v>
      </c>
    </row>
    <row r="226" spans="15:26">
      <c r="O226">
        <v>202108</v>
      </c>
      <c r="P226" t="s">
        <v>10</v>
      </c>
      <c r="Q226">
        <v>46.482875049999997</v>
      </c>
      <c r="R226">
        <v>5.5751529299999998</v>
      </c>
      <c r="S226" s="156">
        <v>4.7370000000000001</v>
      </c>
      <c r="V226">
        <v>202108</v>
      </c>
      <c r="W226" t="s">
        <v>10</v>
      </c>
      <c r="X226">
        <v>17.248000000000001</v>
      </c>
      <c r="Y226">
        <v>128.40854078733</v>
      </c>
      <c r="Z226">
        <v>15.92613484024</v>
      </c>
    </row>
    <row r="227" spans="15:26">
      <c r="O227">
        <v>202108</v>
      </c>
      <c r="P227" t="s">
        <v>11</v>
      </c>
      <c r="Q227">
        <v>37.869192910000002</v>
      </c>
      <c r="R227">
        <v>4.7439185899999998</v>
      </c>
      <c r="S227" s="156">
        <v>4.3869999999999996</v>
      </c>
      <c r="V227">
        <v>202108</v>
      </c>
      <c r="W227" t="s">
        <v>11</v>
      </c>
      <c r="X227">
        <v>13.143000000000001</v>
      </c>
      <c r="Y227">
        <v>85.764023408460005</v>
      </c>
      <c r="Z227">
        <v>11.13544889684</v>
      </c>
    </row>
    <row r="228" spans="15:26">
      <c r="O228">
        <v>202109</v>
      </c>
      <c r="P228" t="s">
        <v>14</v>
      </c>
      <c r="Q228">
        <v>6.2069482599999999</v>
      </c>
      <c r="R228">
        <v>0.95560758000000001</v>
      </c>
      <c r="S228" s="156">
        <v>1.91</v>
      </c>
      <c r="V228">
        <v>202109</v>
      </c>
      <c r="W228" t="s">
        <v>13</v>
      </c>
      <c r="X228">
        <v>15.218999999999999</v>
      </c>
      <c r="Y228">
        <v>46.632852507609996</v>
      </c>
      <c r="Z228">
        <v>8.5322126533899993</v>
      </c>
    </row>
    <row r="229" spans="15:26">
      <c r="O229">
        <v>202109</v>
      </c>
      <c r="P229" t="s">
        <v>13</v>
      </c>
      <c r="Q229">
        <v>25.863712230000001</v>
      </c>
      <c r="R229">
        <v>3.6682843799999998</v>
      </c>
      <c r="S229" s="156">
        <v>5.9509999999999996</v>
      </c>
      <c r="V229">
        <v>202109</v>
      </c>
      <c r="W229" t="s">
        <v>14</v>
      </c>
      <c r="X229">
        <v>4.4720000000000004</v>
      </c>
      <c r="Y229">
        <v>9.6749411577900002</v>
      </c>
      <c r="Z229">
        <v>2.05979418077</v>
      </c>
    </row>
    <row r="230" spans="15:26">
      <c r="O230">
        <v>202109</v>
      </c>
      <c r="P230" t="s">
        <v>9</v>
      </c>
      <c r="Q230">
        <v>35.687634959999997</v>
      </c>
      <c r="R230">
        <v>4.2055575300000001</v>
      </c>
      <c r="S230" s="156">
        <v>3.3919999999999999</v>
      </c>
      <c r="V230">
        <v>202109</v>
      </c>
      <c r="W230" t="s">
        <v>9</v>
      </c>
      <c r="X230">
        <v>14.081</v>
      </c>
      <c r="Y230">
        <v>119.27757275747</v>
      </c>
      <c r="Z230">
        <v>14.61218723158</v>
      </c>
    </row>
    <row r="231" spans="15:26">
      <c r="O231">
        <v>202109</v>
      </c>
      <c r="P231" t="s">
        <v>12</v>
      </c>
      <c r="Q231">
        <v>58.953061290000001</v>
      </c>
      <c r="R231">
        <v>7.5292455900000004</v>
      </c>
      <c r="S231" s="156">
        <v>9.875</v>
      </c>
      <c r="V231">
        <v>202109</v>
      </c>
      <c r="W231" t="s">
        <v>11</v>
      </c>
      <c r="X231">
        <v>13.031000000000001</v>
      </c>
      <c r="Y231">
        <v>75.167330327879995</v>
      </c>
      <c r="Z231">
        <v>10.54003043949</v>
      </c>
    </row>
    <row r="232" spans="15:26">
      <c r="O232">
        <v>202109</v>
      </c>
      <c r="P232" t="s">
        <v>11</v>
      </c>
      <c r="Q232">
        <v>34.72963859</v>
      </c>
      <c r="R232">
        <v>3.8777695599999999</v>
      </c>
      <c r="S232" s="156">
        <v>4.12</v>
      </c>
      <c r="V232">
        <v>202109</v>
      </c>
      <c r="W232" t="s">
        <v>12</v>
      </c>
      <c r="X232">
        <v>28.672999999999998</v>
      </c>
      <c r="Y232">
        <v>122.09153316850001</v>
      </c>
      <c r="Z232">
        <v>19.579766316610002</v>
      </c>
    </row>
    <row r="233" spans="15:26">
      <c r="O233">
        <v>202109</v>
      </c>
      <c r="P233" t="s">
        <v>10</v>
      </c>
      <c r="Q233">
        <v>53.463987950000003</v>
      </c>
      <c r="R233">
        <v>5.9428553099999997</v>
      </c>
      <c r="S233" s="156">
        <v>5.2240000000000002</v>
      </c>
      <c r="V233">
        <v>202109</v>
      </c>
      <c r="W233" t="s">
        <v>10</v>
      </c>
      <c r="X233">
        <v>17.556000000000001</v>
      </c>
      <c r="Y233">
        <v>128.4744559719</v>
      </c>
      <c r="Z233">
        <v>16.187945683510002</v>
      </c>
    </row>
    <row r="234" spans="15:26">
      <c r="O234">
        <v>202109</v>
      </c>
      <c r="Q234">
        <v>5.8042308800000004</v>
      </c>
      <c r="R234">
        <v>0.55674058000000004</v>
      </c>
      <c r="S234" s="156">
        <v>0.74299999999999999</v>
      </c>
      <c r="V234">
        <v>202109</v>
      </c>
      <c r="X234">
        <v>4.04</v>
      </c>
      <c r="Y234">
        <v>21.57753727815</v>
      </c>
      <c r="Z234">
        <v>2.9515661655000001</v>
      </c>
    </row>
    <row r="235" spans="15:26">
      <c r="O235">
        <v>202110</v>
      </c>
      <c r="P235" t="s">
        <v>13</v>
      </c>
      <c r="Q235">
        <v>23.15646851</v>
      </c>
      <c r="R235">
        <v>3.36178277</v>
      </c>
      <c r="S235" s="156">
        <v>5.6539999999999999</v>
      </c>
      <c r="V235">
        <v>202110</v>
      </c>
      <c r="W235" t="s">
        <v>13</v>
      </c>
      <c r="X235">
        <v>15.134</v>
      </c>
      <c r="Y235">
        <v>45.377925086659999</v>
      </c>
      <c r="Z235">
        <v>8.3206962748300004</v>
      </c>
    </row>
    <row r="236" spans="15:26">
      <c r="O236">
        <v>202110</v>
      </c>
      <c r="Q236">
        <v>13.531780149999999</v>
      </c>
      <c r="R236">
        <v>1.5641730199999999</v>
      </c>
      <c r="S236" s="156">
        <v>2.2530000000000001</v>
      </c>
      <c r="V236">
        <v>202110</v>
      </c>
      <c r="X236">
        <v>9.7550000000000008</v>
      </c>
      <c r="Y236">
        <v>45.402214044040001</v>
      </c>
      <c r="Z236">
        <v>6.4532349052800004</v>
      </c>
    </row>
    <row r="237" spans="15:26">
      <c r="O237">
        <v>202110</v>
      </c>
      <c r="P237" t="s">
        <v>12</v>
      </c>
      <c r="Q237">
        <v>57.417295379999999</v>
      </c>
      <c r="R237">
        <v>7.4498307500000003</v>
      </c>
      <c r="S237" s="156">
        <v>9.9770000000000003</v>
      </c>
      <c r="V237">
        <v>202110</v>
      </c>
      <c r="W237" t="s">
        <v>12</v>
      </c>
      <c r="X237">
        <v>29.972000000000001</v>
      </c>
      <c r="Y237">
        <v>132.42167210463001</v>
      </c>
      <c r="Z237">
        <v>21.05323353775</v>
      </c>
    </row>
    <row r="238" spans="15:26">
      <c r="O238">
        <v>202110</v>
      </c>
      <c r="P238" t="s">
        <v>10</v>
      </c>
      <c r="Q238">
        <v>54.011233939999997</v>
      </c>
      <c r="R238">
        <v>5.8315000499999998</v>
      </c>
      <c r="S238" s="156">
        <v>5.1609999999999996</v>
      </c>
      <c r="V238">
        <v>202110</v>
      </c>
      <c r="W238" t="s">
        <v>10</v>
      </c>
      <c r="X238">
        <v>18.765000000000001</v>
      </c>
      <c r="Y238">
        <v>130.99183051841001</v>
      </c>
      <c r="Z238">
        <v>17.229269731559999</v>
      </c>
    </row>
    <row r="239" spans="15:26">
      <c r="O239">
        <v>202110</v>
      </c>
      <c r="P239" t="s">
        <v>9</v>
      </c>
      <c r="Q239">
        <v>41.195714379999998</v>
      </c>
      <c r="R239">
        <v>4.8589325299999997</v>
      </c>
      <c r="S239" s="156">
        <v>3.69</v>
      </c>
      <c r="V239">
        <v>202110</v>
      </c>
      <c r="W239" t="s">
        <v>14</v>
      </c>
      <c r="X239">
        <v>4.2720000000000002</v>
      </c>
      <c r="Y239">
        <v>9.1273479535999993</v>
      </c>
      <c r="Z239">
        <v>1.8468791332600001</v>
      </c>
    </row>
    <row r="240" spans="15:26">
      <c r="O240">
        <v>202110</v>
      </c>
      <c r="P240" t="s">
        <v>14</v>
      </c>
      <c r="Q240">
        <v>5.16133357</v>
      </c>
      <c r="R240">
        <v>0.76388283000000001</v>
      </c>
      <c r="S240" s="156">
        <v>1.625</v>
      </c>
      <c r="V240">
        <v>202110</v>
      </c>
      <c r="W240" t="s">
        <v>9</v>
      </c>
      <c r="X240">
        <v>15.234999999999999</v>
      </c>
      <c r="Y240">
        <v>120.20428243242</v>
      </c>
      <c r="Z240">
        <v>15.72894404176</v>
      </c>
    </row>
    <row r="241" spans="15:26">
      <c r="O241">
        <v>202110</v>
      </c>
      <c r="P241" t="s">
        <v>11</v>
      </c>
      <c r="Q241">
        <v>35.293241780000002</v>
      </c>
      <c r="R241">
        <v>3.9451765000000001</v>
      </c>
      <c r="S241" s="156">
        <v>4.093</v>
      </c>
      <c r="V241">
        <v>202110</v>
      </c>
      <c r="W241" t="s">
        <v>11</v>
      </c>
      <c r="X241">
        <v>13.706</v>
      </c>
      <c r="Y241">
        <v>79.529683450429999</v>
      </c>
      <c r="Z241">
        <v>11.165962095719999</v>
      </c>
    </row>
    <row r="242" spans="15:26">
      <c r="O242">
        <v>202111</v>
      </c>
      <c r="P242" t="s">
        <v>14</v>
      </c>
      <c r="Q242">
        <v>5.0961012099999996</v>
      </c>
      <c r="R242">
        <v>0.76070283000000005</v>
      </c>
      <c r="S242" s="156">
        <v>1.486</v>
      </c>
      <c r="V242">
        <v>202111</v>
      </c>
      <c r="W242" t="s">
        <v>14</v>
      </c>
      <c r="X242">
        <v>3.222</v>
      </c>
      <c r="Y242">
        <v>6.3274876230599997</v>
      </c>
      <c r="Z242">
        <v>1.3515569486500001</v>
      </c>
    </row>
    <row r="243" spans="15:26">
      <c r="O243">
        <v>202111</v>
      </c>
      <c r="P243" t="s">
        <v>9</v>
      </c>
      <c r="Q243">
        <v>67.642118539999998</v>
      </c>
      <c r="R243">
        <v>7.7727320300000002</v>
      </c>
      <c r="S243" s="156">
        <v>5.6859999999999999</v>
      </c>
      <c r="V243">
        <v>202111</v>
      </c>
      <c r="W243" t="s">
        <v>9</v>
      </c>
      <c r="X243">
        <v>17.446000000000002</v>
      </c>
      <c r="Y243">
        <v>155.94487675434999</v>
      </c>
      <c r="Z243">
        <v>18.6455284814</v>
      </c>
    </row>
    <row r="244" spans="15:26">
      <c r="O244">
        <v>202111</v>
      </c>
      <c r="P244" t="s">
        <v>10</v>
      </c>
      <c r="Q244">
        <v>83.863975890000006</v>
      </c>
      <c r="R244">
        <v>9.2920863499999999</v>
      </c>
      <c r="S244" s="156">
        <v>7.3520000000000003</v>
      </c>
      <c r="V244">
        <v>202111</v>
      </c>
      <c r="W244" t="s">
        <v>10</v>
      </c>
      <c r="X244">
        <v>19.78</v>
      </c>
      <c r="Y244">
        <v>157.24109766317</v>
      </c>
      <c r="Z244">
        <v>19.022541667670001</v>
      </c>
    </row>
    <row r="245" spans="15:26">
      <c r="O245">
        <v>202111</v>
      </c>
      <c r="Q245">
        <v>16.986938120000001</v>
      </c>
      <c r="R245">
        <v>1.86018645</v>
      </c>
      <c r="S245" s="156">
        <v>2.4969999999999999</v>
      </c>
      <c r="V245">
        <v>202111</v>
      </c>
      <c r="X245">
        <v>8.1210000000000004</v>
      </c>
      <c r="Y245">
        <v>42.736732458890003</v>
      </c>
      <c r="Z245">
        <v>5.6934944023299998</v>
      </c>
    </row>
    <row r="246" spans="15:26">
      <c r="O246">
        <v>202111</v>
      </c>
      <c r="P246" t="s">
        <v>13</v>
      </c>
      <c r="Q246">
        <v>28.949551719999999</v>
      </c>
      <c r="R246">
        <v>3.92789952</v>
      </c>
      <c r="S246" s="156">
        <v>5.8869999999999996</v>
      </c>
      <c r="V246">
        <v>202111</v>
      </c>
      <c r="W246" t="s">
        <v>13</v>
      </c>
      <c r="X246">
        <v>12.645</v>
      </c>
      <c r="Y246">
        <v>34.85977729276</v>
      </c>
      <c r="Z246">
        <v>6.6858191675</v>
      </c>
    </row>
    <row r="247" spans="15:26">
      <c r="O247">
        <v>202111</v>
      </c>
      <c r="P247" t="s">
        <v>11</v>
      </c>
      <c r="Q247">
        <v>48.065006799999999</v>
      </c>
      <c r="R247">
        <v>5.8104548500000002</v>
      </c>
      <c r="S247" s="156">
        <v>5.58</v>
      </c>
      <c r="V247">
        <v>202111</v>
      </c>
      <c r="W247" t="s">
        <v>11</v>
      </c>
      <c r="X247">
        <v>14.068</v>
      </c>
      <c r="Y247">
        <v>88.758624111580005</v>
      </c>
      <c r="Z247">
        <v>11.83997105592</v>
      </c>
    </row>
    <row r="248" spans="15:26">
      <c r="O248">
        <v>202111</v>
      </c>
      <c r="P248" t="s">
        <v>12</v>
      </c>
      <c r="Q248">
        <v>78.902441519999996</v>
      </c>
      <c r="R248">
        <v>9.9828164200000007</v>
      </c>
      <c r="S248" s="156">
        <v>11.847</v>
      </c>
      <c r="V248">
        <v>202111</v>
      </c>
      <c r="W248" t="s">
        <v>12</v>
      </c>
      <c r="X248">
        <v>28.074000000000002</v>
      </c>
      <c r="Y248">
        <v>117.51712888138999</v>
      </c>
      <c r="Z248">
        <v>18.73086446932</v>
      </c>
    </row>
    <row r="249" spans="15:26">
      <c r="O249">
        <v>202112</v>
      </c>
      <c r="P249" t="s">
        <v>10</v>
      </c>
      <c r="Q249">
        <v>75.877982290000006</v>
      </c>
      <c r="R249">
        <v>8.4086940800000001</v>
      </c>
      <c r="S249" s="156">
        <v>7.0519999999999996</v>
      </c>
      <c r="V249">
        <v>202112</v>
      </c>
      <c r="W249" t="s">
        <v>11</v>
      </c>
      <c r="X249">
        <v>17.472999999999999</v>
      </c>
      <c r="Y249">
        <v>100.87263777754001</v>
      </c>
      <c r="Z249">
        <v>14.96342351725</v>
      </c>
    </row>
    <row r="250" spans="15:26">
      <c r="O250">
        <v>202112</v>
      </c>
      <c r="P250" t="s">
        <v>9</v>
      </c>
      <c r="Q250">
        <v>60.820001859999998</v>
      </c>
      <c r="R250">
        <v>7.2804197400000001</v>
      </c>
      <c r="S250" s="156">
        <v>5.2939999999999996</v>
      </c>
      <c r="V250">
        <v>202112</v>
      </c>
      <c r="W250" t="s">
        <v>14</v>
      </c>
      <c r="X250">
        <v>4.0919999999999996</v>
      </c>
      <c r="Y250">
        <v>9.5184542948399997</v>
      </c>
      <c r="Z250">
        <v>1.9805086380800001</v>
      </c>
    </row>
    <row r="251" spans="15:26">
      <c r="O251">
        <v>202112</v>
      </c>
      <c r="P251" t="s">
        <v>11</v>
      </c>
      <c r="Q251">
        <v>47.329151160000002</v>
      </c>
      <c r="R251">
        <v>5.8020399600000001</v>
      </c>
      <c r="S251" s="156">
        <v>5.45</v>
      </c>
      <c r="V251">
        <v>202112</v>
      </c>
      <c r="W251" t="s">
        <v>9</v>
      </c>
      <c r="X251">
        <v>21.407</v>
      </c>
      <c r="Y251">
        <v>183.45846579498999</v>
      </c>
      <c r="Z251">
        <v>22.891809519319999</v>
      </c>
    </row>
    <row r="252" spans="15:26">
      <c r="O252">
        <v>202112</v>
      </c>
      <c r="P252" t="s">
        <v>14</v>
      </c>
      <c r="Q252">
        <v>5.9217426299999998</v>
      </c>
      <c r="R252">
        <v>0.82618433999999996</v>
      </c>
      <c r="S252" s="156">
        <v>1.528</v>
      </c>
      <c r="V252">
        <v>202112</v>
      </c>
      <c r="W252" t="s">
        <v>10</v>
      </c>
      <c r="X252">
        <v>24.352</v>
      </c>
      <c r="Y252">
        <v>166.17333139946001</v>
      </c>
      <c r="Z252">
        <v>23.295502526250001</v>
      </c>
    </row>
    <row r="253" spans="15:26">
      <c r="O253">
        <v>202112</v>
      </c>
      <c r="Q253">
        <v>16.855831290000001</v>
      </c>
      <c r="R253">
        <v>2.08164141</v>
      </c>
      <c r="S253" s="156">
        <v>3.32</v>
      </c>
      <c r="V253">
        <v>202112</v>
      </c>
      <c r="X253">
        <v>12.798</v>
      </c>
      <c r="Y253">
        <v>58.313148035280001</v>
      </c>
      <c r="Z253">
        <v>8.5290595618000005</v>
      </c>
    </row>
    <row r="254" spans="15:26">
      <c r="O254">
        <v>202112</v>
      </c>
      <c r="P254" t="s">
        <v>13</v>
      </c>
      <c r="Q254">
        <v>28.691954849999998</v>
      </c>
      <c r="R254">
        <v>3.8492464900000001</v>
      </c>
      <c r="S254" s="156">
        <v>5.8330000000000002</v>
      </c>
      <c r="V254">
        <v>202112</v>
      </c>
      <c r="W254" t="s">
        <v>13</v>
      </c>
      <c r="X254">
        <v>15.513999999999999</v>
      </c>
      <c r="Y254">
        <v>49.253173052859999</v>
      </c>
      <c r="Z254">
        <v>9.0734221810799998</v>
      </c>
    </row>
    <row r="255" spans="15:26">
      <c r="O255">
        <v>202112</v>
      </c>
      <c r="P255" t="s">
        <v>12</v>
      </c>
      <c r="Q255">
        <v>71.657039119999993</v>
      </c>
      <c r="R255">
        <v>9.5592620200000002</v>
      </c>
      <c r="S255" s="156">
        <v>11.63</v>
      </c>
      <c r="V255">
        <v>202112</v>
      </c>
      <c r="W255" t="s">
        <v>12</v>
      </c>
      <c r="X255">
        <v>34.491999999999997</v>
      </c>
      <c r="Y255">
        <v>142.39266870628001</v>
      </c>
      <c r="Z255">
        <v>24.620107019710002</v>
      </c>
    </row>
    <row r="256" spans="15:26">
      <c r="O256">
        <v>202201</v>
      </c>
      <c r="P256" t="s">
        <v>11</v>
      </c>
      <c r="Q256">
        <v>55.593206250000001</v>
      </c>
      <c r="R256">
        <v>6.0579905199999997</v>
      </c>
      <c r="S256" s="156">
        <v>5.9290000000000003</v>
      </c>
      <c r="V256">
        <v>202201</v>
      </c>
      <c r="W256" t="s">
        <v>11</v>
      </c>
      <c r="X256">
        <v>13.891999999999999</v>
      </c>
      <c r="Y256">
        <v>77.591168341379998</v>
      </c>
      <c r="Z256">
        <v>11.0221525542</v>
      </c>
    </row>
    <row r="257" spans="15:26">
      <c r="O257">
        <v>202201</v>
      </c>
      <c r="P257" t="s">
        <v>13</v>
      </c>
      <c r="Q257">
        <v>27.257445400000002</v>
      </c>
      <c r="R257">
        <v>3.8685378899999998</v>
      </c>
      <c r="S257" s="156">
        <v>6.1639999999999997</v>
      </c>
      <c r="V257">
        <v>202201</v>
      </c>
      <c r="W257" t="s">
        <v>13</v>
      </c>
      <c r="X257">
        <v>12.353</v>
      </c>
      <c r="Y257">
        <v>36.658828589679999</v>
      </c>
      <c r="Z257">
        <v>6.5020292184899997</v>
      </c>
    </row>
    <row r="258" spans="15:26">
      <c r="O258">
        <v>202201</v>
      </c>
      <c r="P258" t="s">
        <v>9</v>
      </c>
      <c r="Q258">
        <v>69.548865989999996</v>
      </c>
      <c r="R258">
        <v>7.4435417199999998</v>
      </c>
      <c r="S258" s="156">
        <v>5.66</v>
      </c>
      <c r="V258">
        <v>202201</v>
      </c>
      <c r="W258" t="s">
        <v>9</v>
      </c>
      <c r="X258">
        <v>16.544</v>
      </c>
      <c r="Y258">
        <v>137.75945248786999</v>
      </c>
      <c r="Z258">
        <v>17.065807795720001</v>
      </c>
    </row>
    <row r="259" spans="15:26">
      <c r="O259">
        <v>202201</v>
      </c>
      <c r="P259" t="s">
        <v>10</v>
      </c>
      <c r="Q259">
        <v>82.543720680000007</v>
      </c>
      <c r="R259">
        <v>9.1903633199999994</v>
      </c>
      <c r="S259" s="156">
        <v>7.6859999999999999</v>
      </c>
      <c r="V259">
        <v>202201</v>
      </c>
      <c r="W259" t="s">
        <v>10</v>
      </c>
      <c r="X259">
        <v>19.050999999999998</v>
      </c>
      <c r="Y259">
        <v>145.25519352290999</v>
      </c>
      <c r="Z259">
        <v>17.85888963919</v>
      </c>
    </row>
    <row r="260" spans="15:26">
      <c r="O260">
        <v>202201</v>
      </c>
      <c r="Q260">
        <v>17.879993209999999</v>
      </c>
      <c r="R260">
        <v>2.0928249399999999</v>
      </c>
      <c r="S260" s="156">
        <v>3.7109999999999999</v>
      </c>
      <c r="V260">
        <v>202201</v>
      </c>
      <c r="X260">
        <v>9.0139999999999993</v>
      </c>
      <c r="Y260">
        <v>43.305849599109997</v>
      </c>
      <c r="Z260">
        <v>5.6922501153300002</v>
      </c>
    </row>
    <row r="261" spans="15:26">
      <c r="O261">
        <v>202201</v>
      </c>
      <c r="P261" t="s">
        <v>12</v>
      </c>
      <c r="Q261">
        <v>75.317518899999996</v>
      </c>
      <c r="R261">
        <v>10.04279565</v>
      </c>
      <c r="S261" s="156">
        <v>12.66</v>
      </c>
      <c r="V261">
        <v>202201</v>
      </c>
      <c r="W261" t="s">
        <v>12</v>
      </c>
      <c r="X261">
        <v>27.783000000000001</v>
      </c>
      <c r="Y261">
        <v>106.8290824538</v>
      </c>
      <c r="Z261">
        <v>17.7916708618</v>
      </c>
    </row>
    <row r="262" spans="15:26">
      <c r="O262">
        <v>202201</v>
      </c>
      <c r="P262" t="s">
        <v>14</v>
      </c>
      <c r="Q262">
        <v>5.4453843099999997</v>
      </c>
      <c r="R262">
        <v>0.81349424000000004</v>
      </c>
      <c r="S262" s="156">
        <v>1.6</v>
      </c>
      <c r="V262">
        <v>202201</v>
      </c>
      <c r="W262" t="s">
        <v>14</v>
      </c>
      <c r="X262">
        <v>3.0630000000000002</v>
      </c>
      <c r="Y262">
        <v>6.3144388921800001</v>
      </c>
      <c r="Z262">
        <v>1.29911526044</v>
      </c>
    </row>
    <row r="263" spans="15:26">
      <c r="O263">
        <v>202202</v>
      </c>
      <c r="P263" t="s">
        <v>13</v>
      </c>
      <c r="Q263">
        <v>31.826640149999999</v>
      </c>
      <c r="R263">
        <v>4.4158774300000001</v>
      </c>
      <c r="S263" s="156">
        <v>6.7759999999999998</v>
      </c>
      <c r="V263">
        <v>202202</v>
      </c>
      <c r="W263" t="s">
        <v>13</v>
      </c>
      <c r="X263">
        <v>14.763</v>
      </c>
      <c r="Y263">
        <v>43.217543185309999</v>
      </c>
      <c r="Z263">
        <v>7.9306589470500004</v>
      </c>
    </row>
    <row r="264" spans="15:26">
      <c r="O264">
        <v>202202</v>
      </c>
      <c r="P264" t="s">
        <v>10</v>
      </c>
      <c r="Q264">
        <v>85.372883099999996</v>
      </c>
      <c r="R264">
        <v>9.2090690899999998</v>
      </c>
      <c r="S264" s="156">
        <v>7.5990000000000002</v>
      </c>
      <c r="V264">
        <v>202202</v>
      </c>
      <c r="W264" t="s">
        <v>10</v>
      </c>
      <c r="X264">
        <v>21.683</v>
      </c>
      <c r="Y264">
        <v>153.94152015572999</v>
      </c>
      <c r="Z264">
        <v>20.073239321180001</v>
      </c>
    </row>
    <row r="265" spans="15:26">
      <c r="O265">
        <v>202202</v>
      </c>
      <c r="P265" t="s">
        <v>11</v>
      </c>
      <c r="Q265">
        <v>52.93276788</v>
      </c>
      <c r="R265">
        <v>6.4266552600000004</v>
      </c>
      <c r="S265" s="156">
        <v>6.2409999999999997</v>
      </c>
      <c r="V265">
        <v>202202</v>
      </c>
      <c r="W265" t="s">
        <v>11</v>
      </c>
      <c r="X265">
        <v>15.972</v>
      </c>
      <c r="Y265">
        <v>93.679106610350004</v>
      </c>
      <c r="Z265">
        <v>13.19166168025</v>
      </c>
    </row>
    <row r="266" spans="15:26">
      <c r="O266">
        <v>202202</v>
      </c>
      <c r="P266" t="s">
        <v>14</v>
      </c>
      <c r="Q266">
        <v>6.4901329900000002</v>
      </c>
      <c r="R266">
        <v>0.84678547999999998</v>
      </c>
      <c r="S266" s="156">
        <v>1.6890000000000001</v>
      </c>
      <c r="V266">
        <v>202202</v>
      </c>
      <c r="W266" t="s">
        <v>14</v>
      </c>
      <c r="X266">
        <v>3.5609999999999999</v>
      </c>
      <c r="Y266">
        <v>7.8086369836299996</v>
      </c>
      <c r="Z266">
        <v>1.64566255556</v>
      </c>
    </row>
    <row r="267" spans="15:26">
      <c r="O267">
        <v>202202</v>
      </c>
      <c r="P267" t="s">
        <v>9</v>
      </c>
      <c r="Q267">
        <v>72.020065059999993</v>
      </c>
      <c r="R267">
        <v>8.5989040400000007</v>
      </c>
      <c r="S267" s="156">
        <v>6.31</v>
      </c>
      <c r="V267">
        <v>202202</v>
      </c>
      <c r="W267" t="s">
        <v>9</v>
      </c>
      <c r="X267">
        <v>19.530999999999999</v>
      </c>
      <c r="Y267">
        <v>157.1123802745</v>
      </c>
      <c r="Z267">
        <v>20.140655574549999</v>
      </c>
    </row>
    <row r="268" spans="15:26">
      <c r="O268">
        <v>202202</v>
      </c>
      <c r="Q268">
        <v>14.728043639999999</v>
      </c>
      <c r="R268">
        <v>1.7662836799999999</v>
      </c>
      <c r="S268" s="156">
        <v>2.8849999999999998</v>
      </c>
      <c r="V268">
        <v>202202</v>
      </c>
      <c r="X268">
        <v>9.4320000000000004</v>
      </c>
      <c r="Y268">
        <v>42.187960944769998</v>
      </c>
      <c r="Z268">
        <v>6.0238720749399999</v>
      </c>
    </row>
    <row r="269" spans="15:26">
      <c r="O269">
        <v>202202</v>
      </c>
      <c r="P269" t="s">
        <v>12</v>
      </c>
      <c r="Q269">
        <v>87.604543359999994</v>
      </c>
      <c r="R269">
        <v>11.00583846</v>
      </c>
      <c r="S269" s="156">
        <v>13.221</v>
      </c>
      <c r="V269">
        <v>202202</v>
      </c>
      <c r="W269" t="s">
        <v>12</v>
      </c>
      <c r="X269">
        <v>32.287999999999997</v>
      </c>
      <c r="Y269">
        <v>137.05478653746999</v>
      </c>
      <c r="Z269">
        <v>22.153410480960002</v>
      </c>
    </row>
    <row r="270" spans="15:26">
      <c r="O270">
        <v>202203</v>
      </c>
      <c r="P270" t="s">
        <v>10</v>
      </c>
      <c r="Q270">
        <v>114.51630738</v>
      </c>
      <c r="R270">
        <v>11.902898009999999</v>
      </c>
      <c r="S270" s="156">
        <v>8.9760000000000009</v>
      </c>
      <c r="V270">
        <v>202202</v>
      </c>
      <c r="W270" t="s">
        <v>60</v>
      </c>
      <c r="X270">
        <v>0.434</v>
      </c>
      <c r="Y270">
        <v>9.8903850000000002</v>
      </c>
      <c r="Z270">
        <v>0.65935900000000003</v>
      </c>
    </row>
    <row r="271" spans="15:26">
      <c r="O271">
        <v>202203</v>
      </c>
      <c r="P271" t="s">
        <v>13</v>
      </c>
      <c r="Q271">
        <v>41.902551699999997</v>
      </c>
      <c r="R271">
        <v>5.6679146500000002</v>
      </c>
      <c r="S271" s="156">
        <v>7.9710000000000001</v>
      </c>
      <c r="V271">
        <v>202203</v>
      </c>
      <c r="W271" t="s">
        <v>10</v>
      </c>
      <c r="X271">
        <v>24.616</v>
      </c>
      <c r="Y271">
        <v>180.02087759995001</v>
      </c>
      <c r="Z271">
        <v>24.27360451741</v>
      </c>
    </row>
    <row r="272" spans="15:26">
      <c r="O272">
        <v>202203</v>
      </c>
      <c r="P272" t="s">
        <v>14</v>
      </c>
      <c r="Q272">
        <v>9.2983347500000004</v>
      </c>
      <c r="R272">
        <v>1.2379212799999999</v>
      </c>
      <c r="S272" s="156">
        <v>2.0070000000000001</v>
      </c>
      <c r="V272">
        <v>202203</v>
      </c>
      <c r="W272" t="s">
        <v>13</v>
      </c>
      <c r="X272">
        <v>17.158999999999999</v>
      </c>
      <c r="Y272">
        <v>52.54245285431</v>
      </c>
      <c r="Z272">
        <v>9.9191884908300008</v>
      </c>
    </row>
    <row r="273" spans="15:26">
      <c r="O273">
        <v>202203</v>
      </c>
      <c r="P273" t="s">
        <v>11</v>
      </c>
      <c r="Q273">
        <v>67.554286660000002</v>
      </c>
      <c r="R273">
        <v>7.6109136199999998</v>
      </c>
      <c r="S273" s="156">
        <v>7.0419999999999998</v>
      </c>
      <c r="V273">
        <v>202203</v>
      </c>
      <c r="W273" t="s">
        <v>9</v>
      </c>
      <c r="X273">
        <v>22.658999999999999</v>
      </c>
      <c r="Y273">
        <v>197.35867144085</v>
      </c>
      <c r="Z273">
        <v>25.00512365733</v>
      </c>
    </row>
    <row r="274" spans="15:26">
      <c r="O274">
        <v>202203</v>
      </c>
      <c r="P274" t="s">
        <v>12</v>
      </c>
      <c r="Q274">
        <v>111.65455421999999</v>
      </c>
      <c r="R274">
        <v>13.747344740000001</v>
      </c>
      <c r="S274" s="156">
        <v>15.237</v>
      </c>
      <c r="V274">
        <v>202203</v>
      </c>
      <c r="X274">
        <v>11.071</v>
      </c>
      <c r="Y274">
        <v>53.795947022119996</v>
      </c>
      <c r="Z274">
        <v>7.7792641574800001</v>
      </c>
    </row>
    <row r="275" spans="15:26">
      <c r="O275">
        <v>202203</v>
      </c>
      <c r="P275" t="s">
        <v>9</v>
      </c>
      <c r="Q275">
        <v>92.335388069999993</v>
      </c>
      <c r="R275">
        <v>10.367659550000001</v>
      </c>
      <c r="S275" s="156">
        <v>7.1210000000000004</v>
      </c>
      <c r="V275">
        <v>202203</v>
      </c>
      <c r="W275" t="s">
        <v>14</v>
      </c>
      <c r="X275">
        <v>4.3819999999999997</v>
      </c>
      <c r="Y275">
        <v>11.57534583262</v>
      </c>
      <c r="Z275">
        <v>2.1728414089100001</v>
      </c>
    </row>
    <row r="276" spans="15:26">
      <c r="O276">
        <v>202203</v>
      </c>
      <c r="Q276">
        <v>20.596046050000002</v>
      </c>
      <c r="R276">
        <v>2.21314353</v>
      </c>
      <c r="S276" s="156">
        <v>3.2519999999999998</v>
      </c>
      <c r="V276">
        <v>202203</v>
      </c>
      <c r="W276" t="s">
        <v>11</v>
      </c>
      <c r="X276">
        <v>17.957000000000001</v>
      </c>
      <c r="Y276">
        <v>110.78697633447</v>
      </c>
      <c r="Z276">
        <v>15.828624336720001</v>
      </c>
    </row>
    <row r="277" spans="15:26">
      <c r="O277">
        <v>202204</v>
      </c>
      <c r="P277" t="s">
        <v>10</v>
      </c>
      <c r="Q277">
        <v>94.406257190000005</v>
      </c>
      <c r="R277">
        <v>10.39224819</v>
      </c>
      <c r="S277" s="156">
        <v>8.6620000000000008</v>
      </c>
      <c r="V277">
        <v>202203</v>
      </c>
      <c r="W277" t="s">
        <v>12</v>
      </c>
      <c r="X277">
        <v>36.277999999999999</v>
      </c>
      <c r="Y277">
        <v>165.37332275596</v>
      </c>
      <c r="Z277">
        <v>26.742635573459999</v>
      </c>
    </row>
    <row r="278" spans="15:26">
      <c r="O278">
        <v>202204</v>
      </c>
      <c r="P278" t="s">
        <v>9</v>
      </c>
      <c r="Q278">
        <v>89.648658519999998</v>
      </c>
      <c r="R278">
        <v>10.295005270000001</v>
      </c>
      <c r="S278" s="156">
        <v>7.4420000000000002</v>
      </c>
      <c r="V278">
        <v>202204</v>
      </c>
      <c r="W278" t="s">
        <v>10</v>
      </c>
      <c r="X278">
        <v>24.155000000000001</v>
      </c>
      <c r="Y278">
        <v>164.39970205722</v>
      </c>
      <c r="Z278">
        <v>22.208798567830002</v>
      </c>
    </row>
    <row r="279" spans="15:26">
      <c r="O279">
        <v>202204</v>
      </c>
      <c r="P279" t="s">
        <v>12</v>
      </c>
      <c r="Q279">
        <v>100.09432953</v>
      </c>
      <c r="R279">
        <v>12.58392184</v>
      </c>
      <c r="S279" s="156">
        <v>14.86</v>
      </c>
      <c r="V279">
        <v>202204</v>
      </c>
      <c r="W279" t="s">
        <v>12</v>
      </c>
      <c r="X279">
        <v>35.121000000000002</v>
      </c>
      <c r="Y279">
        <v>151.68079592632</v>
      </c>
      <c r="Z279">
        <v>24.466731685189998</v>
      </c>
    </row>
    <row r="280" spans="15:26">
      <c r="O280">
        <v>202204</v>
      </c>
      <c r="P280" t="s">
        <v>13</v>
      </c>
      <c r="Q280">
        <v>40.132760650000002</v>
      </c>
      <c r="R280">
        <v>5.4050782899999996</v>
      </c>
      <c r="S280" s="156">
        <v>7.96</v>
      </c>
      <c r="V280">
        <v>202204</v>
      </c>
      <c r="W280" t="s">
        <v>14</v>
      </c>
      <c r="X280">
        <v>4.5030000000000001</v>
      </c>
      <c r="Y280">
        <v>11.35032612016</v>
      </c>
      <c r="Z280">
        <v>2.20357652628</v>
      </c>
    </row>
    <row r="281" spans="15:26">
      <c r="O281">
        <v>202204</v>
      </c>
      <c r="P281" t="s">
        <v>14</v>
      </c>
      <c r="Q281">
        <v>9.0829876499999997</v>
      </c>
      <c r="R281">
        <v>1.2538745</v>
      </c>
      <c r="S281" s="156">
        <v>2.1070000000000002</v>
      </c>
      <c r="V281">
        <v>202204</v>
      </c>
      <c r="X281">
        <v>10.266</v>
      </c>
      <c r="Y281">
        <v>49.472559275889999</v>
      </c>
      <c r="Z281">
        <v>7.1056686509700002</v>
      </c>
    </row>
    <row r="282" spans="15:26">
      <c r="O282">
        <v>202204</v>
      </c>
      <c r="Q282">
        <v>18.64610412</v>
      </c>
      <c r="R282">
        <v>2.1407154199999998</v>
      </c>
      <c r="S282" s="156">
        <v>3.133</v>
      </c>
      <c r="V282">
        <v>202204</v>
      </c>
      <c r="W282" t="s">
        <v>11</v>
      </c>
      <c r="X282">
        <v>17.41</v>
      </c>
      <c r="Y282">
        <v>97.252937781930001</v>
      </c>
      <c r="Z282">
        <v>14.02799084396</v>
      </c>
    </row>
    <row r="283" spans="15:26">
      <c r="O283">
        <v>202204</v>
      </c>
      <c r="P283" t="s">
        <v>11</v>
      </c>
      <c r="Q283">
        <v>69.068492419999998</v>
      </c>
      <c r="R283">
        <v>7.6222823599999998</v>
      </c>
      <c r="S283" s="156">
        <v>6.9</v>
      </c>
      <c r="V283">
        <v>202204</v>
      </c>
      <c r="W283" t="s">
        <v>9</v>
      </c>
      <c r="X283">
        <v>22.468</v>
      </c>
      <c r="Y283">
        <v>175.79056410388</v>
      </c>
      <c r="Z283">
        <v>23.0370162824</v>
      </c>
    </row>
    <row r="284" spans="15:26">
      <c r="O284">
        <v>202205</v>
      </c>
      <c r="P284" t="s">
        <v>12</v>
      </c>
      <c r="Q284">
        <v>98.981806759999998</v>
      </c>
      <c r="R284">
        <v>12.46739859</v>
      </c>
      <c r="S284" s="156">
        <v>15.241</v>
      </c>
      <c r="V284">
        <v>202204</v>
      </c>
      <c r="W284" t="s">
        <v>13</v>
      </c>
      <c r="X284">
        <v>16.756</v>
      </c>
      <c r="Y284">
        <v>49.92317919501</v>
      </c>
      <c r="Z284">
        <v>9.3668159831299995</v>
      </c>
    </row>
    <row r="285" spans="15:26">
      <c r="O285">
        <v>202205</v>
      </c>
      <c r="P285" t="s">
        <v>9</v>
      </c>
      <c r="Q285">
        <v>85.517929039999999</v>
      </c>
      <c r="R285">
        <v>9.7758457500000002</v>
      </c>
      <c r="S285" s="156">
        <v>7.4269999999999996</v>
      </c>
      <c r="V285">
        <v>202205</v>
      </c>
      <c r="W285" t="s">
        <v>9</v>
      </c>
      <c r="X285">
        <v>25.986999999999998</v>
      </c>
      <c r="Y285">
        <v>247.52219653201001</v>
      </c>
      <c r="Z285">
        <v>28.705395567330001</v>
      </c>
    </row>
    <row r="286" spans="15:26">
      <c r="O286">
        <v>202205</v>
      </c>
      <c r="P286" t="s">
        <v>14</v>
      </c>
      <c r="Q286">
        <v>8.2945343600000001</v>
      </c>
      <c r="R286">
        <v>1.1607441300000001</v>
      </c>
      <c r="S286" s="156">
        <v>2.1070000000000002</v>
      </c>
      <c r="V286">
        <v>202205</v>
      </c>
      <c r="W286" t="s">
        <v>10</v>
      </c>
      <c r="X286">
        <v>26.777999999999999</v>
      </c>
      <c r="Y286">
        <v>208.60225510625</v>
      </c>
      <c r="Z286">
        <v>25.723716451360001</v>
      </c>
    </row>
    <row r="287" spans="15:26">
      <c r="O287">
        <v>202205</v>
      </c>
      <c r="P287" t="s">
        <v>10</v>
      </c>
      <c r="Q287">
        <v>94.932317139999995</v>
      </c>
      <c r="R287">
        <v>10.305340770000001</v>
      </c>
      <c r="S287" s="156">
        <v>8.9450000000000003</v>
      </c>
      <c r="V287">
        <v>202205</v>
      </c>
      <c r="W287" t="s">
        <v>13</v>
      </c>
      <c r="X287">
        <v>17.719000000000001</v>
      </c>
      <c r="Y287">
        <v>58.24381385425</v>
      </c>
      <c r="Z287">
        <v>10.48003954931</v>
      </c>
    </row>
    <row r="288" spans="15:26">
      <c r="O288">
        <v>202205</v>
      </c>
      <c r="Q288">
        <v>16.393237200000002</v>
      </c>
      <c r="R288">
        <v>1.8250421299999999</v>
      </c>
      <c r="S288" s="156">
        <v>2.75</v>
      </c>
      <c r="V288">
        <v>202205</v>
      </c>
      <c r="W288" t="s">
        <v>11</v>
      </c>
      <c r="X288">
        <v>19.140999999999998</v>
      </c>
      <c r="Y288">
        <v>118.24024927882</v>
      </c>
      <c r="Z288">
        <v>16.351009491069998</v>
      </c>
    </row>
    <row r="289" spans="15:26">
      <c r="O289">
        <v>202205</v>
      </c>
      <c r="P289" t="s">
        <v>11</v>
      </c>
      <c r="Q289">
        <v>61.5362863</v>
      </c>
      <c r="R289">
        <v>7.1401173199999999</v>
      </c>
      <c r="S289" s="156">
        <v>6.9240000000000004</v>
      </c>
      <c r="V289">
        <v>202205</v>
      </c>
      <c r="W289" t="s">
        <v>12</v>
      </c>
      <c r="X289">
        <v>38.075000000000003</v>
      </c>
      <c r="Y289">
        <v>173.18512924677</v>
      </c>
      <c r="Z289">
        <v>27.193268583870001</v>
      </c>
    </row>
    <row r="290" spans="15:26">
      <c r="O290">
        <v>202205</v>
      </c>
      <c r="P290" t="s">
        <v>13</v>
      </c>
      <c r="Q290">
        <v>40.60154533</v>
      </c>
      <c r="R290">
        <v>5.5168962400000003</v>
      </c>
      <c r="S290" s="156">
        <v>8.2230000000000008</v>
      </c>
      <c r="V290">
        <v>202205</v>
      </c>
      <c r="W290" t="s">
        <v>14</v>
      </c>
      <c r="X290">
        <v>4.6749999999999998</v>
      </c>
      <c r="Y290">
        <v>12.537643829829999</v>
      </c>
      <c r="Z290">
        <v>2.3094936011599998</v>
      </c>
    </row>
    <row r="291" spans="15:26">
      <c r="O291">
        <v>202206</v>
      </c>
      <c r="P291" t="s">
        <v>10</v>
      </c>
      <c r="Q291">
        <v>94.500088657999996</v>
      </c>
      <c r="R291">
        <v>10.118299950000001</v>
      </c>
      <c r="S291" s="156">
        <v>8.4730000000000008</v>
      </c>
      <c r="V291">
        <v>202205</v>
      </c>
      <c r="X291">
        <v>9.9</v>
      </c>
      <c r="Y291">
        <v>49.960953994210001</v>
      </c>
      <c r="Z291">
        <v>6.9881492413900004</v>
      </c>
    </row>
    <row r="292" spans="15:26">
      <c r="O292">
        <v>202206</v>
      </c>
      <c r="P292" t="s">
        <v>12</v>
      </c>
      <c r="Q292">
        <v>104.66848102599999</v>
      </c>
      <c r="R292">
        <v>13.504776978000001</v>
      </c>
      <c r="S292" s="156">
        <v>15.97</v>
      </c>
      <c r="V292">
        <v>202206</v>
      </c>
      <c r="W292" t="s">
        <v>12</v>
      </c>
      <c r="X292">
        <v>38.874000000000002</v>
      </c>
      <c r="Y292">
        <v>176.84595030983999</v>
      </c>
      <c r="Z292">
        <v>27.210825000940002</v>
      </c>
    </row>
    <row r="293" spans="15:26">
      <c r="O293">
        <v>202206</v>
      </c>
      <c r="P293" t="s">
        <v>11</v>
      </c>
      <c r="Q293">
        <v>58.327784635999997</v>
      </c>
      <c r="R293">
        <v>6.9861785340000004</v>
      </c>
      <c r="S293" s="156">
        <v>6.907</v>
      </c>
      <c r="V293">
        <v>202206</v>
      </c>
      <c r="W293" t="s">
        <v>10</v>
      </c>
      <c r="X293">
        <v>25.18</v>
      </c>
      <c r="Y293">
        <v>199.79101448378</v>
      </c>
      <c r="Z293">
        <v>24.640051879230001</v>
      </c>
    </row>
    <row r="294" spans="15:26">
      <c r="O294">
        <v>202206</v>
      </c>
      <c r="P294" t="s">
        <v>14</v>
      </c>
      <c r="Q294">
        <v>12.304444302</v>
      </c>
      <c r="R294">
        <v>1.736384514</v>
      </c>
      <c r="S294" s="156">
        <v>2.8889999999999998</v>
      </c>
      <c r="V294">
        <v>202206</v>
      </c>
      <c r="W294" t="s">
        <v>11</v>
      </c>
      <c r="X294">
        <v>18.613</v>
      </c>
      <c r="Y294">
        <v>111.02621629758001</v>
      </c>
      <c r="Z294">
        <v>15.7660258943</v>
      </c>
    </row>
    <row r="295" spans="15:26">
      <c r="O295">
        <v>202206</v>
      </c>
      <c r="P295" t="s">
        <v>9</v>
      </c>
      <c r="Q295">
        <v>78.526718564000006</v>
      </c>
      <c r="R295">
        <v>9.0151037299999999</v>
      </c>
      <c r="S295" s="156">
        <v>6.5940000000000003</v>
      </c>
      <c r="V295">
        <v>202206</v>
      </c>
      <c r="W295" t="s">
        <v>14</v>
      </c>
      <c r="X295">
        <v>6.0359999999999996</v>
      </c>
      <c r="Y295">
        <v>15.71710676134</v>
      </c>
      <c r="Z295">
        <v>2.9974625230499998</v>
      </c>
    </row>
    <row r="296" spans="15:26">
      <c r="O296">
        <v>202206</v>
      </c>
      <c r="P296" t="s">
        <v>13</v>
      </c>
      <c r="Q296">
        <v>48.026161928000001</v>
      </c>
      <c r="R296">
        <v>6.5865304279999997</v>
      </c>
      <c r="S296" s="156">
        <v>9.4090000000000007</v>
      </c>
      <c r="V296">
        <v>202206</v>
      </c>
      <c r="W296" t="s">
        <v>9</v>
      </c>
      <c r="X296">
        <v>23.361999999999998</v>
      </c>
      <c r="Y296">
        <v>227.50783455243001</v>
      </c>
      <c r="Z296">
        <v>25.749391657499999</v>
      </c>
    </row>
    <row r="297" spans="15:26">
      <c r="O297">
        <v>202206</v>
      </c>
      <c r="Q297">
        <v>4.6616057140000002</v>
      </c>
      <c r="R297">
        <v>0.52819399199999995</v>
      </c>
      <c r="S297" s="156">
        <v>0.80600000000000005</v>
      </c>
      <c r="V297">
        <v>202206</v>
      </c>
      <c r="W297" t="s">
        <v>13</v>
      </c>
      <c r="X297">
        <v>20.03</v>
      </c>
      <c r="Y297">
        <v>62.223274167459998</v>
      </c>
      <c r="Z297">
        <v>11.498563535760001</v>
      </c>
    </row>
    <row r="298" spans="15:26">
      <c r="O298" s="149">
        <v>202207</v>
      </c>
      <c r="P298" s="149" t="s">
        <v>11</v>
      </c>
      <c r="Q298" s="149">
        <v>57.745544639999999</v>
      </c>
      <c r="R298" s="149">
        <v>7.0924931520000003</v>
      </c>
      <c r="S298" s="374">
        <v>6.6950000000000003</v>
      </c>
      <c r="V298">
        <v>202206</v>
      </c>
      <c r="X298">
        <v>4.0209999999999999</v>
      </c>
      <c r="Y298">
        <v>28.304574239400001</v>
      </c>
      <c r="Z298">
        <v>3.2589642035400002</v>
      </c>
    </row>
    <row r="299" spans="15:26">
      <c r="O299" s="149">
        <v>202207</v>
      </c>
      <c r="P299" s="149" t="s">
        <v>14</v>
      </c>
      <c r="Q299" s="149">
        <v>8.2492286499999992</v>
      </c>
      <c r="R299" s="149">
        <v>1.2155123219999999</v>
      </c>
      <c r="S299" s="374">
        <v>2.3719999999999999</v>
      </c>
      <c r="V299">
        <v>202207</v>
      </c>
      <c r="W299" t="s">
        <v>14</v>
      </c>
      <c r="X299">
        <v>6.0110000000000001</v>
      </c>
      <c r="Y299">
        <v>13.264919623540001</v>
      </c>
      <c r="Z299">
        <v>2.7576996878900002</v>
      </c>
    </row>
    <row r="300" spans="15:26">
      <c r="O300" s="149">
        <v>202207</v>
      </c>
      <c r="P300" s="149" t="s">
        <v>12</v>
      </c>
      <c r="Q300" s="149">
        <v>107.3979945</v>
      </c>
      <c r="R300" s="149">
        <v>13.405139734</v>
      </c>
      <c r="S300" s="374">
        <v>14.981</v>
      </c>
      <c r="V300">
        <v>202207</v>
      </c>
      <c r="X300">
        <v>4.0449999999999999</v>
      </c>
      <c r="Y300">
        <v>29.474624310740001</v>
      </c>
      <c r="Z300">
        <v>3.44727095492</v>
      </c>
    </row>
    <row r="301" spans="15:26">
      <c r="O301" s="149">
        <v>202207</v>
      </c>
      <c r="P301" s="149"/>
      <c r="Q301" s="149">
        <v>12.823829462000001</v>
      </c>
      <c r="R301" s="149">
        <v>1.559262548</v>
      </c>
      <c r="S301" s="374">
        <v>2.19</v>
      </c>
      <c r="V301">
        <v>202207</v>
      </c>
      <c r="W301" t="s">
        <v>10</v>
      </c>
      <c r="X301">
        <v>25.024000000000001</v>
      </c>
      <c r="Y301">
        <v>209.99373406132</v>
      </c>
      <c r="Z301">
        <v>25.546678017440001</v>
      </c>
    </row>
    <row r="302" spans="15:26">
      <c r="O302" s="149">
        <v>202207</v>
      </c>
      <c r="P302" s="149" t="s">
        <v>10</v>
      </c>
      <c r="Q302" s="149">
        <v>96.069534493999996</v>
      </c>
      <c r="R302" s="149">
        <v>10.652375188000001</v>
      </c>
      <c r="S302" s="374">
        <v>8.2919999999999998</v>
      </c>
      <c r="V302">
        <v>202207</v>
      </c>
      <c r="W302" t="s">
        <v>11</v>
      </c>
      <c r="X302">
        <v>18.456</v>
      </c>
      <c r="Y302">
        <v>112.65145625368</v>
      </c>
      <c r="Z302">
        <v>15.77554769518</v>
      </c>
    </row>
    <row r="303" spans="15:26">
      <c r="O303" s="149">
        <v>202207</v>
      </c>
      <c r="P303" s="149" t="s">
        <v>9</v>
      </c>
      <c r="Q303" s="149">
        <v>81.581508794000001</v>
      </c>
      <c r="R303" s="149">
        <v>9.6897091900000003</v>
      </c>
      <c r="S303" s="374">
        <v>6.5789999999999997</v>
      </c>
      <c r="V303">
        <v>202207</v>
      </c>
      <c r="W303" t="s">
        <v>12</v>
      </c>
      <c r="X303">
        <v>38.854999999999997</v>
      </c>
      <c r="Y303">
        <v>177.49737217278999</v>
      </c>
      <c r="Z303">
        <v>27.90387369159</v>
      </c>
    </row>
    <row r="304" spans="15:26">
      <c r="O304" s="149">
        <v>202207</v>
      </c>
      <c r="P304" s="149" t="s">
        <v>13</v>
      </c>
      <c r="Q304" s="149">
        <v>44.025377132000003</v>
      </c>
      <c r="R304" s="149">
        <v>6.0130658820000003</v>
      </c>
      <c r="S304" s="382">
        <v>8.3870000000000005</v>
      </c>
      <c r="V304">
        <v>202207</v>
      </c>
      <c r="W304" t="s">
        <v>9</v>
      </c>
      <c r="X304">
        <v>23.25</v>
      </c>
      <c r="Y304">
        <v>229.34896614939001</v>
      </c>
      <c r="Z304">
        <v>27.34955250026</v>
      </c>
    </row>
    <row r="305" spans="14:26">
      <c r="O305" s="149">
        <v>202208</v>
      </c>
      <c r="P305" s="149" t="s">
        <v>10</v>
      </c>
      <c r="Q305" s="149">
        <v>107.65978368</v>
      </c>
      <c r="R305" s="149">
        <v>11.620298906</v>
      </c>
      <c r="S305" s="374">
        <v>8.8390000000000004</v>
      </c>
      <c r="V305">
        <v>202207</v>
      </c>
      <c r="W305" t="s">
        <v>13</v>
      </c>
      <c r="X305">
        <v>20.25</v>
      </c>
      <c r="Y305">
        <v>64.49506598955</v>
      </c>
      <c r="Z305">
        <v>11.569508078189999</v>
      </c>
    </row>
    <row r="306" spans="14:26">
      <c r="N306" t="s">
        <v>31</v>
      </c>
      <c r="O306" s="149">
        <v>202208</v>
      </c>
      <c r="P306" s="149"/>
      <c r="Q306" s="149">
        <v>13.447759998</v>
      </c>
      <c r="R306" s="149">
        <v>1.6912595420000001</v>
      </c>
      <c r="S306" s="374">
        <v>2.2559999999999998</v>
      </c>
      <c r="V306">
        <v>202208</v>
      </c>
      <c r="W306" t="s">
        <v>10</v>
      </c>
      <c r="X306">
        <v>24.683</v>
      </c>
      <c r="Y306">
        <v>217.38281273672001</v>
      </c>
      <c r="Z306">
        <v>25.963825477370001</v>
      </c>
    </row>
    <row r="307" spans="14:26">
      <c r="O307" s="149">
        <v>202208</v>
      </c>
      <c r="P307" s="149" t="s">
        <v>13</v>
      </c>
      <c r="Q307" s="149">
        <v>45.902111140000002</v>
      </c>
      <c r="R307" s="149">
        <v>6.4950495620000002</v>
      </c>
      <c r="S307" s="374">
        <v>9.0589999999999993</v>
      </c>
      <c r="V307">
        <v>202208</v>
      </c>
      <c r="X307">
        <v>7.87</v>
      </c>
      <c r="Y307">
        <v>62.398103843949997</v>
      </c>
      <c r="Z307">
        <v>6.9151217967300003</v>
      </c>
    </row>
    <row r="308" spans="14:26">
      <c r="O308" s="149">
        <v>202208</v>
      </c>
      <c r="P308" s="149" t="s">
        <v>12</v>
      </c>
      <c r="Q308" s="149">
        <v>114.091592304</v>
      </c>
      <c r="R308" s="149">
        <v>14.603506425999999</v>
      </c>
      <c r="S308" s="374">
        <v>16.135999999999999</v>
      </c>
      <c r="V308">
        <v>202208</v>
      </c>
      <c r="W308" t="s">
        <v>12</v>
      </c>
      <c r="X308">
        <v>36.703000000000003</v>
      </c>
      <c r="Y308">
        <v>183.40491449938</v>
      </c>
      <c r="Z308">
        <v>27.398111012889999</v>
      </c>
    </row>
    <row r="309" spans="14:26">
      <c r="O309" s="149">
        <v>202208</v>
      </c>
      <c r="P309" s="149" t="s">
        <v>14</v>
      </c>
      <c r="Q309" s="149">
        <v>8.4680566339999999</v>
      </c>
      <c r="R309" s="149">
        <v>1.2548808300000001</v>
      </c>
      <c r="S309" s="374">
        <v>2.2229999999999999</v>
      </c>
      <c r="V309">
        <v>202208</v>
      </c>
      <c r="W309" t="s">
        <v>13</v>
      </c>
      <c r="X309">
        <v>18.152000000000001</v>
      </c>
      <c r="Y309">
        <v>58.582469927459996</v>
      </c>
      <c r="Z309">
        <v>10.59637158118</v>
      </c>
    </row>
    <row r="310" spans="14:26">
      <c r="O310" s="149">
        <v>202208</v>
      </c>
      <c r="P310" s="149" t="s">
        <v>11</v>
      </c>
      <c r="Q310" s="149">
        <v>68.573854294</v>
      </c>
      <c r="R310" s="149">
        <v>7.8568876919999999</v>
      </c>
      <c r="S310" s="374">
        <v>7.181</v>
      </c>
      <c r="V310">
        <v>202208</v>
      </c>
      <c r="W310" t="s">
        <v>14</v>
      </c>
      <c r="X310">
        <v>4.4809999999999999</v>
      </c>
      <c r="Y310">
        <v>10.42381757751</v>
      </c>
      <c r="Z310">
        <v>2.0593777415400001</v>
      </c>
    </row>
    <row r="311" spans="14:26">
      <c r="O311" s="149">
        <v>202208</v>
      </c>
      <c r="P311" s="149" t="s">
        <v>9</v>
      </c>
      <c r="Q311" s="149">
        <v>90.145154132000002</v>
      </c>
      <c r="R311" s="149">
        <v>10.507849972000001</v>
      </c>
      <c r="S311" s="374">
        <v>6.9569999999999999</v>
      </c>
      <c r="V311">
        <v>202208</v>
      </c>
      <c r="W311" t="s">
        <v>11</v>
      </c>
      <c r="X311">
        <v>17.888000000000002</v>
      </c>
      <c r="Y311">
        <v>114.23061155622</v>
      </c>
      <c r="Z311">
        <v>15.74082278483</v>
      </c>
    </row>
    <row r="312" spans="14:26">
      <c r="O312" s="149">
        <v>202209</v>
      </c>
      <c r="P312" s="149" t="s">
        <v>14</v>
      </c>
      <c r="Q312" s="149">
        <v>6.5535729839999997</v>
      </c>
      <c r="R312" s="149">
        <v>0.95006154799999998</v>
      </c>
      <c r="S312" s="374">
        <v>1.8440000000000001</v>
      </c>
      <c r="V312">
        <v>202208</v>
      </c>
      <c r="W312" t="s">
        <v>9</v>
      </c>
      <c r="X312">
        <v>22.821000000000002</v>
      </c>
      <c r="Y312">
        <v>233.37625685704</v>
      </c>
      <c r="Z312">
        <v>26.88493861117</v>
      </c>
    </row>
    <row r="313" spans="14:26">
      <c r="O313" s="149">
        <v>202209</v>
      </c>
      <c r="P313" s="149" t="s">
        <v>9</v>
      </c>
      <c r="Q313" s="149">
        <v>79.954743496000006</v>
      </c>
      <c r="R313" s="149">
        <v>9.3175967540000002</v>
      </c>
      <c r="S313" s="374">
        <v>6.9720000000000004</v>
      </c>
      <c r="V313">
        <v>202209</v>
      </c>
      <c r="W313" t="s">
        <v>14</v>
      </c>
      <c r="X313">
        <v>3.9169999999999998</v>
      </c>
      <c r="Y313">
        <v>9.9794456521099999</v>
      </c>
      <c r="Z313">
        <v>1.9223485193500001</v>
      </c>
    </row>
    <row r="314" spans="14:26">
      <c r="O314" s="149">
        <v>202209</v>
      </c>
      <c r="P314" s="149"/>
      <c r="Q314" s="149">
        <v>12.3529544</v>
      </c>
      <c r="R314" s="149">
        <v>1.4533644139999999</v>
      </c>
      <c r="S314" s="374">
        <v>1.966</v>
      </c>
      <c r="V314">
        <v>202209</v>
      </c>
      <c r="W314" t="s">
        <v>13</v>
      </c>
      <c r="X314">
        <v>16.481000000000002</v>
      </c>
      <c r="Y314">
        <v>49.156458236550002</v>
      </c>
      <c r="Z314">
        <v>9.07712149336</v>
      </c>
    </row>
    <row r="315" spans="14:26">
      <c r="O315" s="149">
        <v>202209</v>
      </c>
      <c r="P315" s="149" t="s">
        <v>12</v>
      </c>
      <c r="Q315" s="149">
        <v>96.865403016000002</v>
      </c>
      <c r="R315" s="149">
        <v>12.193449314</v>
      </c>
      <c r="S315" s="374">
        <v>14.804</v>
      </c>
      <c r="V315">
        <v>202209</v>
      </c>
      <c r="W315" t="s">
        <v>11</v>
      </c>
      <c r="X315">
        <v>17.137</v>
      </c>
      <c r="Y315">
        <v>108.71671999738</v>
      </c>
      <c r="Z315">
        <v>14.289695993820001</v>
      </c>
    </row>
    <row r="316" spans="14:26">
      <c r="O316" s="149">
        <v>202209</v>
      </c>
      <c r="P316" s="149" t="s">
        <v>13</v>
      </c>
      <c r="Q316" s="149">
        <v>36.250298913999998</v>
      </c>
      <c r="R316" s="149">
        <v>5.2161368240000003</v>
      </c>
      <c r="S316" s="374">
        <v>8.0589999999999993</v>
      </c>
      <c r="V316">
        <v>202209</v>
      </c>
      <c r="W316" t="s">
        <v>9</v>
      </c>
      <c r="X316">
        <v>23.254999999999999</v>
      </c>
      <c r="Y316">
        <v>227.81145844727001</v>
      </c>
      <c r="Z316">
        <v>27.053900988580001</v>
      </c>
    </row>
    <row r="317" spans="14:26">
      <c r="O317" s="149">
        <v>202209</v>
      </c>
      <c r="P317" s="149" t="s">
        <v>10</v>
      </c>
      <c r="Q317" s="149">
        <v>87.682990447999998</v>
      </c>
      <c r="R317" s="149">
        <v>10.289281616</v>
      </c>
      <c r="S317" s="374">
        <v>8.8149999999999995</v>
      </c>
      <c r="V317">
        <v>202209</v>
      </c>
      <c r="X317">
        <v>6.9290000000000003</v>
      </c>
      <c r="Y317">
        <v>54.56754761909</v>
      </c>
      <c r="Z317">
        <v>6.2489467775699996</v>
      </c>
    </row>
    <row r="318" spans="14:26">
      <c r="O318" s="149">
        <v>202209</v>
      </c>
      <c r="P318" s="149" t="s">
        <v>11</v>
      </c>
      <c r="Q318" s="149">
        <v>60.733003783999997</v>
      </c>
      <c r="R318" s="149">
        <v>6.9081904160000001</v>
      </c>
      <c r="S318" s="374">
        <v>6.9889999999999999</v>
      </c>
      <c r="V318">
        <v>202209</v>
      </c>
      <c r="W318" t="s">
        <v>12</v>
      </c>
      <c r="X318">
        <v>33.753999999999998</v>
      </c>
      <c r="Y318">
        <v>160.85924274049</v>
      </c>
      <c r="Z318">
        <v>24.052951036290001</v>
      </c>
    </row>
    <row r="319" spans="14:26">
      <c r="O319">
        <v>202210</v>
      </c>
      <c r="P319" t="s">
        <v>13</v>
      </c>
      <c r="Q319">
        <v>38.516388614</v>
      </c>
      <c r="R319">
        <v>5.6050880440000004</v>
      </c>
      <c r="S319" s="156">
        <v>8.6530000000000005</v>
      </c>
      <c r="V319">
        <v>202209</v>
      </c>
      <c r="W319" t="s">
        <v>10</v>
      </c>
      <c r="X319">
        <v>23.988</v>
      </c>
      <c r="Y319">
        <v>194.87423598334999</v>
      </c>
      <c r="Z319">
        <v>23.635427759839999</v>
      </c>
    </row>
    <row r="320" spans="14:26">
      <c r="O320">
        <v>202210</v>
      </c>
      <c r="P320" t="s">
        <v>10</v>
      </c>
      <c r="Q320">
        <v>89.107440371999999</v>
      </c>
      <c r="R320">
        <v>9.8684451360000001</v>
      </c>
      <c r="S320" s="156">
        <v>8.3239999999999998</v>
      </c>
      <c r="V320">
        <v>202210</v>
      </c>
      <c r="W320" t="s">
        <v>10</v>
      </c>
      <c r="X320">
        <v>25.010999999999999</v>
      </c>
      <c r="Y320">
        <v>226.07059621944001</v>
      </c>
      <c r="Z320">
        <v>26.005396907030001</v>
      </c>
    </row>
    <row r="321" spans="15:26">
      <c r="O321">
        <v>202210</v>
      </c>
      <c r="Q321">
        <v>14.952594213999999</v>
      </c>
      <c r="R321">
        <v>1.622804288</v>
      </c>
      <c r="S321" s="156">
        <v>2.1139999999999999</v>
      </c>
      <c r="V321">
        <v>202210</v>
      </c>
      <c r="W321" t="s">
        <v>13</v>
      </c>
      <c r="X321">
        <v>18.555</v>
      </c>
      <c r="Y321">
        <v>66.381560267479998</v>
      </c>
      <c r="Z321">
        <v>10.999869897849999</v>
      </c>
    </row>
    <row r="322" spans="15:26">
      <c r="O322">
        <v>202210</v>
      </c>
      <c r="P322" t="s">
        <v>14</v>
      </c>
      <c r="Q322">
        <v>7.05618459</v>
      </c>
      <c r="R322">
        <v>0.95660785800000003</v>
      </c>
      <c r="S322" s="156">
        <v>1.6319999999999999</v>
      </c>
      <c r="V322">
        <v>202210</v>
      </c>
      <c r="X322">
        <v>7.61</v>
      </c>
      <c r="Y322">
        <v>68.102411117179997</v>
      </c>
      <c r="Z322">
        <v>7.0262615081400002</v>
      </c>
    </row>
    <row r="323" spans="15:26">
      <c r="O323">
        <v>202210</v>
      </c>
      <c r="P323" t="s">
        <v>11</v>
      </c>
      <c r="Q323">
        <v>61.497794096</v>
      </c>
      <c r="R323" s="13">
        <f>6.984543026+4.3</f>
        <v>11.284543026</v>
      </c>
      <c r="S323" s="156">
        <v>6.8090000000000002</v>
      </c>
      <c r="V323">
        <v>202210</v>
      </c>
      <c r="W323" t="s">
        <v>14</v>
      </c>
      <c r="X323">
        <v>3.056</v>
      </c>
      <c r="Y323">
        <v>8.3313512976700004</v>
      </c>
      <c r="Z323">
        <v>1.52074767267</v>
      </c>
    </row>
    <row r="324" spans="15:26">
      <c r="O324">
        <v>202210</v>
      </c>
      <c r="P324" t="s">
        <v>9</v>
      </c>
      <c r="Q324">
        <v>80.516183839999997</v>
      </c>
      <c r="R324">
        <v>8.8083248820000009</v>
      </c>
      <c r="S324" s="156">
        <f>6.414+2</f>
        <v>8.4139999999999997</v>
      </c>
      <c r="V324">
        <v>202210</v>
      </c>
      <c r="W324" t="s">
        <v>11</v>
      </c>
      <c r="X324">
        <v>18.184999999999999</v>
      </c>
      <c r="Y324">
        <v>129.87463067146999</v>
      </c>
      <c r="Z324">
        <v>16.25709134961</v>
      </c>
    </row>
    <row r="325" spans="15:26">
      <c r="O325">
        <v>202210</v>
      </c>
      <c r="P325" t="s">
        <v>12</v>
      </c>
      <c r="Q325">
        <v>91.646496118000002</v>
      </c>
      <c r="R325">
        <v>11.917499716</v>
      </c>
      <c r="S325" s="156">
        <v>15.138</v>
      </c>
      <c r="V325">
        <v>202210</v>
      </c>
      <c r="W325" t="s">
        <v>9</v>
      </c>
      <c r="X325">
        <v>24.146000000000001</v>
      </c>
      <c r="Y325">
        <v>257.83524575087</v>
      </c>
      <c r="Z325">
        <v>28.532143984600001</v>
      </c>
    </row>
    <row r="326" spans="15:26">
      <c r="O326" s="149">
        <v>202211</v>
      </c>
      <c r="P326" s="149" t="s">
        <v>11</v>
      </c>
      <c r="Q326" s="149">
        <v>66.640283461999999</v>
      </c>
      <c r="R326" s="149">
        <v>7.2008051899999996</v>
      </c>
      <c r="S326" s="374">
        <v>6.4249999999999998</v>
      </c>
      <c r="V326">
        <v>202210</v>
      </c>
      <c r="W326" t="s">
        <v>12</v>
      </c>
      <c r="X326">
        <v>36.655000000000001</v>
      </c>
      <c r="Y326">
        <v>169.09114637994</v>
      </c>
      <c r="Z326">
        <v>25.946247952530001</v>
      </c>
    </row>
    <row r="327" spans="15:26">
      <c r="O327" s="149">
        <v>202211</v>
      </c>
      <c r="P327" s="149" t="s">
        <v>14</v>
      </c>
      <c r="Q327" s="149">
        <v>14.879331016</v>
      </c>
      <c r="R327" s="149">
        <v>1.9270711739999999</v>
      </c>
      <c r="S327" s="374">
        <v>2.97</v>
      </c>
      <c r="U327"/>
      <c r="V327">
        <v>202211</v>
      </c>
      <c r="W327" t="s">
        <v>13</v>
      </c>
      <c r="X327">
        <v>18.954999999999998</v>
      </c>
      <c r="Y327">
        <v>62.85729532733</v>
      </c>
      <c r="Z327">
        <v>11.42886409386</v>
      </c>
    </row>
    <row r="328" spans="15:26">
      <c r="O328" s="149">
        <v>202211</v>
      </c>
      <c r="P328" s="149" t="s">
        <v>12</v>
      </c>
      <c r="Q328" s="149">
        <v>105.329105222</v>
      </c>
      <c r="R328" s="149">
        <v>12.99202871</v>
      </c>
      <c r="S328" s="374">
        <v>14.712999999999999</v>
      </c>
      <c r="U328"/>
      <c r="V328">
        <v>202211</v>
      </c>
      <c r="X328">
        <v>7.8479999999999999</v>
      </c>
      <c r="Y328">
        <v>65.197111578679994</v>
      </c>
      <c r="Z328">
        <v>7.2338720136300001</v>
      </c>
    </row>
    <row r="329" spans="15:26">
      <c r="O329" s="149">
        <v>202211</v>
      </c>
      <c r="P329" s="149"/>
      <c r="Q329" s="149">
        <v>20.875188481999999</v>
      </c>
      <c r="R329" s="149">
        <v>2.0666365959999999</v>
      </c>
      <c r="S329" s="374">
        <v>2.484</v>
      </c>
      <c r="U329"/>
      <c r="V329">
        <v>202211</v>
      </c>
      <c r="W329" t="s">
        <v>9</v>
      </c>
      <c r="X329">
        <v>21.786000000000001</v>
      </c>
      <c r="Y329">
        <v>227.07202290394</v>
      </c>
      <c r="Z329">
        <v>25.936448112680001</v>
      </c>
    </row>
    <row r="330" spans="15:26">
      <c r="O330" s="149">
        <v>202211</v>
      </c>
      <c r="P330" s="149" t="s">
        <v>13</v>
      </c>
      <c r="Q330" s="149">
        <v>52.874924946</v>
      </c>
      <c r="R330" s="149">
        <v>6.8667573480000001</v>
      </c>
      <c r="S330" s="374">
        <v>9.3949999999999996</v>
      </c>
      <c r="U330"/>
      <c r="V330">
        <v>202211</v>
      </c>
      <c r="W330" t="s">
        <v>11</v>
      </c>
      <c r="X330">
        <v>15.891999999999999</v>
      </c>
      <c r="Y330">
        <v>113.87049504239</v>
      </c>
      <c r="Z330">
        <v>14.498307175120001</v>
      </c>
    </row>
    <row r="331" spans="15:26">
      <c r="O331" s="149">
        <v>202211</v>
      </c>
      <c r="P331" s="149" t="s">
        <v>10</v>
      </c>
      <c r="Q331" s="149">
        <v>100.76069371200001</v>
      </c>
      <c r="R331" s="149">
        <v>10.668722239999999</v>
      </c>
      <c r="S331" s="374">
        <v>8.0839999999999996</v>
      </c>
      <c r="U331"/>
      <c r="V331">
        <v>202211</v>
      </c>
      <c r="W331" t="s">
        <v>14</v>
      </c>
      <c r="X331">
        <v>5.7169999999999996</v>
      </c>
      <c r="Y331">
        <v>17.408912187209999</v>
      </c>
      <c r="Z331">
        <v>3.1997855094999998</v>
      </c>
    </row>
    <row r="332" spans="15:26">
      <c r="O332" s="149">
        <v>202211</v>
      </c>
      <c r="P332" s="149" t="s">
        <v>9</v>
      </c>
      <c r="Q332" s="149">
        <v>80.392823546000002</v>
      </c>
      <c r="R332" s="149">
        <v>9.1065042399999996</v>
      </c>
      <c r="S332" s="374">
        <v>6.4340000000000002</v>
      </c>
      <c r="U332"/>
      <c r="V332">
        <v>202211</v>
      </c>
      <c r="W332" t="s">
        <v>12</v>
      </c>
      <c r="X332">
        <v>33.491999999999997</v>
      </c>
      <c r="Y332">
        <v>163.15202301791001</v>
      </c>
      <c r="Z332">
        <v>24.910788528929999</v>
      </c>
    </row>
    <row r="333" spans="15:26">
      <c r="O333">
        <v>202212</v>
      </c>
      <c r="P333" t="s">
        <v>10</v>
      </c>
      <c r="Q333">
        <v>87.734885751999997</v>
      </c>
      <c r="R333">
        <v>10.365912760000001</v>
      </c>
      <c r="S333" s="156">
        <v>8.2799999999999994</v>
      </c>
      <c r="U333"/>
      <c r="V333">
        <v>202211</v>
      </c>
      <c r="W333" t="s">
        <v>10</v>
      </c>
      <c r="X333">
        <v>22.67</v>
      </c>
      <c r="Y333">
        <v>204.95574856195</v>
      </c>
      <c r="Z333">
        <v>23.993628636459999</v>
      </c>
    </row>
    <row r="334" spans="15:26">
      <c r="O334">
        <v>202212</v>
      </c>
      <c r="P334" t="s">
        <v>11</v>
      </c>
      <c r="Q334">
        <v>75.831565444000006</v>
      </c>
      <c r="R334">
        <v>8.2670860659999992</v>
      </c>
      <c r="S334" s="156">
        <v>7.4749999999999996</v>
      </c>
      <c r="V334">
        <v>202212</v>
      </c>
      <c r="W334" t="s">
        <v>11</v>
      </c>
      <c r="X334">
        <v>21.515000000000001</v>
      </c>
      <c r="Y334">
        <v>132.16748092934</v>
      </c>
      <c r="Z334">
        <v>18.84230009018</v>
      </c>
    </row>
    <row r="335" spans="15:26">
      <c r="O335">
        <v>202212</v>
      </c>
      <c r="P335" t="s">
        <v>13</v>
      </c>
      <c r="Q335">
        <v>48.345986912000001</v>
      </c>
      <c r="R335">
        <v>6.5664570820000003</v>
      </c>
      <c r="S335" s="156">
        <v>8.4860000000000007</v>
      </c>
      <c r="U335" s="156" t="s">
        <v>31</v>
      </c>
      <c r="V335">
        <v>202212</v>
      </c>
      <c r="X335">
        <v>8.4179999999999993</v>
      </c>
      <c r="Y335">
        <v>68.713587848939994</v>
      </c>
      <c r="Z335">
        <v>7.6587221591199999</v>
      </c>
    </row>
    <row r="336" spans="15:26">
      <c r="O336">
        <v>202212</v>
      </c>
      <c r="Q336">
        <v>20.139166169999999</v>
      </c>
      <c r="R336">
        <v>1.9208690799999999</v>
      </c>
      <c r="S336" s="156">
        <v>2.3029999999999999</v>
      </c>
      <c r="V336">
        <v>202212</v>
      </c>
      <c r="W336" t="s">
        <v>12</v>
      </c>
      <c r="X336">
        <v>43.790999999999997</v>
      </c>
      <c r="Y336">
        <v>215.12284922313</v>
      </c>
      <c r="Z336">
        <v>33.132713156309997</v>
      </c>
    </row>
    <row r="337" spans="15:32">
      <c r="O337">
        <v>202212</v>
      </c>
      <c r="P337" t="s">
        <v>12</v>
      </c>
      <c r="Q337">
        <v>134.31818420799999</v>
      </c>
      <c r="R337">
        <v>15.710120160000001</v>
      </c>
      <c r="S337" s="156">
        <v>17.088999999999999</v>
      </c>
      <c r="V337">
        <v>202212</v>
      </c>
      <c r="W337" t="s">
        <v>9</v>
      </c>
      <c r="X337">
        <v>23.125</v>
      </c>
      <c r="Y337">
        <v>248.23035498620001</v>
      </c>
      <c r="Z337">
        <v>27.722281975510001</v>
      </c>
    </row>
    <row r="338" spans="15:32">
      <c r="O338">
        <v>202212</v>
      </c>
      <c r="P338" t="s">
        <v>9</v>
      </c>
      <c r="Q338">
        <v>69.891767892000004</v>
      </c>
      <c r="R338">
        <v>8.2727565740000006</v>
      </c>
      <c r="S338" s="156">
        <v>5.931</v>
      </c>
      <c r="V338">
        <v>202212</v>
      </c>
      <c r="W338" t="s">
        <v>10</v>
      </c>
      <c r="X338">
        <v>26.635999999999999</v>
      </c>
      <c r="Y338">
        <v>226.47822501279001</v>
      </c>
      <c r="Z338">
        <v>27.873394820190001</v>
      </c>
    </row>
    <row r="339" spans="15:32">
      <c r="O339">
        <v>202212</v>
      </c>
      <c r="P339" t="s">
        <v>14</v>
      </c>
      <c r="Q339">
        <v>11.816016257999999</v>
      </c>
      <c r="R339">
        <v>1.5548593500000001</v>
      </c>
      <c r="S339" s="156">
        <v>2.0299999999999998</v>
      </c>
      <c r="V339">
        <v>202212</v>
      </c>
      <c r="W339" t="s">
        <v>13</v>
      </c>
      <c r="X339">
        <v>18.568000000000001</v>
      </c>
      <c r="Y339">
        <v>71.67283209192</v>
      </c>
      <c r="Z339">
        <v>12.233964262200001</v>
      </c>
    </row>
    <row r="340" spans="15:32">
      <c r="O340">
        <v>202301</v>
      </c>
      <c r="P340" t="s">
        <v>12</v>
      </c>
      <c r="Q340">
        <v>128.137476964</v>
      </c>
      <c r="R340">
        <v>14.847794666</v>
      </c>
      <c r="S340">
        <v>16.042999999999999</v>
      </c>
      <c r="V340">
        <v>202212</v>
      </c>
      <c r="W340" t="s">
        <v>14</v>
      </c>
      <c r="X340">
        <v>4.3529999999999998</v>
      </c>
      <c r="Y340">
        <v>13.46947934262</v>
      </c>
      <c r="Z340">
        <v>2.5888429560300001</v>
      </c>
    </row>
    <row r="341" spans="15:32">
      <c r="O341">
        <v>202301</v>
      </c>
      <c r="P341" t="s">
        <v>9</v>
      </c>
      <c r="Q341">
        <v>86.449585204000002</v>
      </c>
      <c r="R341">
        <v>10.607572266</v>
      </c>
      <c r="S341">
        <v>7.5549999999999997</v>
      </c>
      <c r="V341" s="389">
        <v>202301</v>
      </c>
      <c r="W341" s="389" t="s">
        <v>12</v>
      </c>
      <c r="X341" s="389">
        <v>33.899000000000001</v>
      </c>
      <c r="Y341" s="389">
        <v>174.32165488963</v>
      </c>
      <c r="Z341" s="389">
        <v>24.987400037650001</v>
      </c>
      <c r="AB341" s="389"/>
      <c r="AC341" s="389"/>
      <c r="AD341" s="389"/>
      <c r="AE341" s="389"/>
      <c r="AF341" s="389"/>
    </row>
    <row r="342" spans="15:32">
      <c r="O342">
        <v>202301</v>
      </c>
      <c r="P342" t="s">
        <v>10</v>
      </c>
      <c r="Q342">
        <v>100.16999515800001</v>
      </c>
      <c r="R342">
        <v>10.870763910000001</v>
      </c>
      <c r="S342">
        <v>8.6359999999999992</v>
      </c>
      <c r="V342" s="389">
        <v>202301</v>
      </c>
      <c r="W342" s="389" t="s">
        <v>10</v>
      </c>
      <c r="X342" s="389">
        <v>22.349</v>
      </c>
      <c r="Y342" s="389">
        <v>197.34006035006999</v>
      </c>
      <c r="Z342" s="389">
        <v>23.149335536300001</v>
      </c>
      <c r="AB342" s="389"/>
      <c r="AC342" s="389"/>
      <c r="AD342" s="389"/>
      <c r="AE342" s="389"/>
      <c r="AF342" s="389"/>
    </row>
    <row r="343" spans="15:32">
      <c r="O343">
        <v>202301</v>
      </c>
      <c r="P343" t="s">
        <v>13</v>
      </c>
      <c r="Q343">
        <v>51.481353433999999</v>
      </c>
      <c r="R343">
        <v>7.0705114680000003</v>
      </c>
      <c r="S343">
        <v>9.4269999999999996</v>
      </c>
      <c r="V343" s="389">
        <v>202301</v>
      </c>
      <c r="W343" s="389"/>
      <c r="X343" s="389">
        <v>6.992</v>
      </c>
      <c r="Y343" s="389">
        <v>70.437768977649995</v>
      </c>
      <c r="Z343" s="389">
        <v>6.8873238139800002</v>
      </c>
      <c r="AB343" s="389"/>
      <c r="AC343" s="389"/>
      <c r="AD343" s="389"/>
      <c r="AE343" s="389"/>
      <c r="AF343" s="389"/>
    </row>
    <row r="344" spans="15:32">
      <c r="O344">
        <v>202301</v>
      </c>
      <c r="Q344">
        <v>18.678559883999998</v>
      </c>
      <c r="R344">
        <v>1.86170949</v>
      </c>
      <c r="S344">
        <v>2.2599999999999998</v>
      </c>
      <c r="V344" s="389">
        <v>202301</v>
      </c>
      <c r="W344" s="389" t="s">
        <v>9</v>
      </c>
      <c r="X344" s="389">
        <v>22.068000000000001</v>
      </c>
      <c r="Y344" s="389">
        <v>235.89210323317999</v>
      </c>
      <c r="Z344" s="389">
        <v>26.142787471969999</v>
      </c>
      <c r="AB344" s="389"/>
      <c r="AC344" s="389"/>
      <c r="AD344" s="389"/>
      <c r="AE344" s="389"/>
      <c r="AF344" s="389"/>
    </row>
    <row r="345" spans="15:32">
      <c r="O345">
        <v>202301</v>
      </c>
      <c r="P345" t="s">
        <v>14</v>
      </c>
      <c r="Q345">
        <v>15.58914497</v>
      </c>
      <c r="R345">
        <v>1.9666150339999999</v>
      </c>
      <c r="S345">
        <v>2.5299999999999998</v>
      </c>
      <c r="V345" s="389">
        <v>202301</v>
      </c>
      <c r="W345" s="389" t="s">
        <v>13</v>
      </c>
      <c r="X345" s="389">
        <v>17.513999999999999</v>
      </c>
      <c r="Y345" s="389">
        <v>63.253906937460002</v>
      </c>
      <c r="Z345" s="389">
        <v>10.71081898341</v>
      </c>
      <c r="AB345" s="389"/>
      <c r="AC345" s="389"/>
      <c r="AD345" s="389"/>
      <c r="AE345" s="389"/>
      <c r="AF345" s="389"/>
    </row>
    <row r="346" spans="15:32">
      <c r="O346">
        <v>202301</v>
      </c>
      <c r="P346" t="s">
        <v>11</v>
      </c>
      <c r="Q346">
        <v>62.889201663999998</v>
      </c>
      <c r="R346">
        <v>7.5548142839999999</v>
      </c>
      <c r="S346">
        <v>7.0389999999999997</v>
      </c>
      <c r="V346" s="389">
        <v>202301</v>
      </c>
      <c r="W346" s="389" t="s">
        <v>11</v>
      </c>
      <c r="X346" s="389">
        <v>16.161000000000001</v>
      </c>
      <c r="Y346" s="389">
        <v>105.89036253723999</v>
      </c>
      <c r="Z346" s="389">
        <v>13.908399045039999</v>
      </c>
      <c r="AB346" s="389"/>
      <c r="AC346" s="389"/>
      <c r="AD346" s="389"/>
      <c r="AE346" s="389"/>
      <c r="AF346" s="389"/>
    </row>
    <row r="347" spans="15:32">
      <c r="O347">
        <v>202302</v>
      </c>
      <c r="P347" s="353"/>
      <c r="Q347">
        <v>24.550066848</v>
      </c>
      <c r="R347">
        <v>2.2101007880000001</v>
      </c>
      <c r="S347" s="188">
        <v>2.4239999999999999</v>
      </c>
      <c r="V347" s="389">
        <v>202301</v>
      </c>
      <c r="W347" s="389" t="s">
        <v>14</v>
      </c>
      <c r="X347" s="389">
        <v>4.6289999999999996</v>
      </c>
      <c r="Y347" s="389">
        <v>16.197449353370001</v>
      </c>
      <c r="Z347" s="389">
        <v>2.6108302873200002</v>
      </c>
      <c r="AB347" s="389"/>
      <c r="AC347" s="389"/>
      <c r="AD347" s="389"/>
      <c r="AE347" s="389"/>
      <c r="AF347" s="389"/>
    </row>
    <row r="348" spans="15:32">
      <c r="O348">
        <v>202302</v>
      </c>
      <c r="P348" s="353" t="s">
        <v>10</v>
      </c>
      <c r="Q348">
        <v>117.839545176</v>
      </c>
      <c r="R348">
        <v>13.821012489999999</v>
      </c>
      <c r="S348" s="188">
        <v>12.682</v>
      </c>
      <c r="V348">
        <v>202302</v>
      </c>
      <c r="X348">
        <v>7.3140000000000001</v>
      </c>
      <c r="Y348">
        <v>81.139434705650004</v>
      </c>
      <c r="Z348">
        <v>7.5307191358700001</v>
      </c>
    </row>
    <row r="349" spans="15:32">
      <c r="O349">
        <v>202302</v>
      </c>
      <c r="P349" s="353" t="s">
        <v>14</v>
      </c>
      <c r="Q349">
        <v>19.964330606000001</v>
      </c>
      <c r="R349">
        <v>2.1490416539999999</v>
      </c>
      <c r="S349" s="188">
        <v>3.1920000000000002</v>
      </c>
      <c r="V349">
        <v>202302</v>
      </c>
      <c r="W349" t="s">
        <v>9</v>
      </c>
      <c r="X349">
        <v>26.105</v>
      </c>
      <c r="Y349">
        <v>284.84216158291002</v>
      </c>
      <c r="Z349">
        <v>30.022929919180001</v>
      </c>
      <c r="AC349" s="353"/>
    </row>
    <row r="350" spans="15:32">
      <c r="O350">
        <v>202302</v>
      </c>
      <c r="P350" s="353" t="s">
        <v>9</v>
      </c>
      <c r="Q350">
        <v>96.393605707999996</v>
      </c>
      <c r="R350">
        <v>12.475431073999999</v>
      </c>
      <c r="S350" s="188">
        <v>9.6709999999999994</v>
      </c>
      <c r="V350">
        <v>202302</v>
      </c>
      <c r="W350" t="s">
        <v>13</v>
      </c>
      <c r="X350">
        <v>11.618</v>
      </c>
      <c r="Y350">
        <v>65.658913386069997</v>
      </c>
      <c r="Z350">
        <v>7.9223463599999997</v>
      </c>
      <c r="AC350" s="353"/>
    </row>
    <row r="351" spans="15:32">
      <c r="O351">
        <v>202302</v>
      </c>
      <c r="P351" s="353" t="s">
        <v>13</v>
      </c>
      <c r="Q351">
        <v>40.301563295999998</v>
      </c>
      <c r="R351">
        <v>4.2342032239999998</v>
      </c>
      <c r="S351" s="188">
        <v>5.4669999999999996</v>
      </c>
      <c r="V351">
        <v>202302</v>
      </c>
      <c r="W351" t="s">
        <v>10</v>
      </c>
      <c r="X351">
        <v>32.11</v>
      </c>
      <c r="Y351">
        <v>295.35891557526998</v>
      </c>
      <c r="Z351">
        <v>32.020342492860003</v>
      </c>
      <c r="AC351" s="353"/>
    </row>
    <row r="352" spans="15:32">
      <c r="O352">
        <v>202302</v>
      </c>
      <c r="P352" s="353" t="s">
        <v>11</v>
      </c>
      <c r="Q352">
        <v>83.371383144000006</v>
      </c>
      <c r="R352">
        <v>9.4389599059999991</v>
      </c>
      <c r="S352" s="188">
        <v>10.276</v>
      </c>
      <c r="V352">
        <v>202302</v>
      </c>
      <c r="W352" t="s">
        <v>14</v>
      </c>
      <c r="X352">
        <v>7.1920000000000002</v>
      </c>
      <c r="Y352">
        <v>28.822606274959998</v>
      </c>
      <c r="Z352">
        <v>4.0755855948199997</v>
      </c>
      <c r="AC352" s="353"/>
    </row>
    <row r="353" spans="15:29">
      <c r="O353">
        <v>202302</v>
      </c>
      <c r="P353" s="353" t="s">
        <v>12</v>
      </c>
      <c r="Q353">
        <v>64.443851199999997</v>
      </c>
      <c r="R353">
        <v>6.961951698</v>
      </c>
      <c r="S353" s="188">
        <v>8.3390000000000004</v>
      </c>
      <c r="V353">
        <v>202302</v>
      </c>
      <c r="W353" t="s">
        <v>11</v>
      </c>
      <c r="X353">
        <v>23.065999999999999</v>
      </c>
      <c r="Y353">
        <v>184.90983950822999</v>
      </c>
      <c r="Z353">
        <v>20.19011509221</v>
      </c>
      <c r="AC353" s="353"/>
    </row>
    <row r="354" spans="15:29">
      <c r="O354">
        <v>202303</v>
      </c>
      <c r="P354" s="353" t="s">
        <v>11</v>
      </c>
      <c r="Q354">
        <v>96.553578250000001</v>
      </c>
      <c r="R354">
        <v>10.563898086</v>
      </c>
      <c r="S354" s="156">
        <v>10.744</v>
      </c>
      <c r="V354">
        <v>202302</v>
      </c>
      <c r="W354" t="s">
        <v>12</v>
      </c>
      <c r="X354">
        <v>19.004999999999999</v>
      </c>
      <c r="Y354">
        <v>117.82689900648001</v>
      </c>
      <c r="Z354">
        <v>14.39187337097</v>
      </c>
      <c r="AC354" s="353"/>
    </row>
    <row r="355" spans="15:29">
      <c r="O355">
        <v>202303</v>
      </c>
      <c r="P355" s="353"/>
      <c r="Q355">
        <v>20.268915836000001</v>
      </c>
      <c r="R355">
        <v>2.1086373300000001</v>
      </c>
      <c r="S355" s="156">
        <v>2.371</v>
      </c>
      <c r="V355">
        <v>202303</v>
      </c>
      <c r="W355" t="s">
        <v>12</v>
      </c>
      <c r="X355">
        <v>21.363</v>
      </c>
      <c r="Y355">
        <v>146.85713858380001</v>
      </c>
      <c r="Z355">
        <v>17.173308771510001</v>
      </c>
      <c r="AC355" s="353"/>
    </row>
    <row r="356" spans="15:29">
      <c r="O356">
        <v>202303</v>
      </c>
      <c r="P356" s="353" t="s">
        <v>13</v>
      </c>
      <c r="Q356">
        <v>45.583831170000003</v>
      </c>
      <c r="R356">
        <v>4.6322523520000001</v>
      </c>
      <c r="S356">
        <v>5.6210000000000004</v>
      </c>
      <c r="V356">
        <v>202303</v>
      </c>
      <c r="W356" t="s">
        <v>11</v>
      </c>
      <c r="X356">
        <v>26.117999999999999</v>
      </c>
      <c r="Y356">
        <v>238.16256570064999</v>
      </c>
      <c r="Z356">
        <v>24.885419417489999</v>
      </c>
      <c r="AC356" s="353"/>
    </row>
    <row r="357" spans="15:29">
      <c r="O357">
        <v>202303</v>
      </c>
      <c r="P357" s="353" t="s">
        <v>12</v>
      </c>
      <c r="Q357">
        <v>68.060625545999997</v>
      </c>
      <c r="R357">
        <v>7.5744363760000004</v>
      </c>
      <c r="S357" s="156">
        <v>8.7140000000000004</v>
      </c>
      <c r="V357">
        <v>202303</v>
      </c>
      <c r="X357">
        <v>7.827</v>
      </c>
      <c r="Y357">
        <v>103.42224060705</v>
      </c>
      <c r="Z357">
        <v>8.7406449420999994</v>
      </c>
      <c r="AC357" s="353"/>
    </row>
    <row r="358" spans="15:29">
      <c r="O358">
        <v>202303</v>
      </c>
      <c r="P358" s="353" t="s">
        <v>9</v>
      </c>
      <c r="Q358">
        <v>102.350077802</v>
      </c>
      <c r="R358">
        <v>13.207693682</v>
      </c>
      <c r="S358" s="156">
        <v>10.031000000000001</v>
      </c>
      <c r="V358">
        <v>202303</v>
      </c>
      <c r="W358" t="s">
        <v>13</v>
      </c>
      <c r="X358">
        <v>13.058</v>
      </c>
      <c r="Y358">
        <v>74.614814290729996</v>
      </c>
      <c r="Z358">
        <v>9.3497949540699992</v>
      </c>
      <c r="AC358" s="353"/>
    </row>
    <row r="359" spans="15:29">
      <c r="O359">
        <v>202303</v>
      </c>
      <c r="P359" s="353" t="s">
        <v>10</v>
      </c>
      <c r="Q359">
        <v>119.095194896</v>
      </c>
      <c r="R359">
        <v>14.770504984</v>
      </c>
      <c r="S359" s="156">
        <v>13.275</v>
      </c>
      <c r="V359">
        <v>202303</v>
      </c>
      <c r="W359" t="s">
        <v>9</v>
      </c>
      <c r="X359">
        <v>28.497</v>
      </c>
      <c r="Y359">
        <v>369.10642116475998</v>
      </c>
      <c r="Z359">
        <v>36.370618225119998</v>
      </c>
    </row>
    <row r="360" spans="15:29">
      <c r="O360">
        <v>202303</v>
      </c>
      <c r="P360" s="353" t="s">
        <v>14</v>
      </c>
      <c r="Q360">
        <v>18.419296736</v>
      </c>
      <c r="R360">
        <v>2.039124792</v>
      </c>
      <c r="S360">
        <v>3.0950000000000002</v>
      </c>
      <c r="V360">
        <v>202303</v>
      </c>
      <c r="W360" t="s">
        <v>10</v>
      </c>
      <c r="X360">
        <v>35.427</v>
      </c>
      <c r="Y360">
        <v>359.37346455075999</v>
      </c>
      <c r="Z360">
        <v>38.031829058850001</v>
      </c>
    </row>
    <row r="361" spans="15:29">
      <c r="O361">
        <v>202304</v>
      </c>
      <c r="P361" s="353">
        <v>45017</v>
      </c>
      <c r="Q361">
        <v>12.771018379999999</v>
      </c>
      <c r="R361">
        <v>1.4916913999999999</v>
      </c>
      <c r="S361" s="156">
        <v>2.5539999999999998</v>
      </c>
      <c r="V361">
        <v>202303</v>
      </c>
      <c r="W361" t="s">
        <v>14</v>
      </c>
      <c r="X361">
        <v>7.7080000000000002</v>
      </c>
      <c r="Y361">
        <v>32.11067663427</v>
      </c>
      <c r="Z361">
        <v>4.5520190123199997</v>
      </c>
    </row>
    <row r="362" spans="15:29">
      <c r="O362">
        <v>202304</v>
      </c>
      <c r="P362" s="353">
        <v>45018</v>
      </c>
      <c r="Q362">
        <v>7.2532113300000001</v>
      </c>
      <c r="R362">
        <v>0.92932974000000002</v>
      </c>
      <c r="S362" s="156">
        <v>1.7330000000000001</v>
      </c>
      <c r="V362">
        <v>202304</v>
      </c>
      <c r="W362" t="s">
        <v>10</v>
      </c>
      <c r="X362">
        <v>34.423000000000002</v>
      </c>
      <c r="Y362">
        <v>323.71916417451001</v>
      </c>
      <c r="Z362">
        <v>35.012291750540001</v>
      </c>
    </row>
    <row r="363" spans="15:29">
      <c r="O363">
        <v>202304</v>
      </c>
      <c r="P363" s="353">
        <v>45019</v>
      </c>
      <c r="Q363">
        <v>11.031920960000001</v>
      </c>
      <c r="R363">
        <v>1.48147826</v>
      </c>
      <c r="S363" s="156">
        <v>2.423</v>
      </c>
      <c r="V363">
        <v>202304</v>
      </c>
      <c r="W363" t="s">
        <v>9</v>
      </c>
      <c r="X363">
        <v>27.968</v>
      </c>
      <c r="Y363">
        <v>322.17479133363003</v>
      </c>
      <c r="Z363">
        <v>33.616372665349999</v>
      </c>
    </row>
    <row r="364" spans="15:29">
      <c r="O364">
        <v>202304</v>
      </c>
      <c r="P364" s="353">
        <v>45020</v>
      </c>
      <c r="Q364">
        <v>22.539179220000001</v>
      </c>
      <c r="R364">
        <v>2.7184651500000001</v>
      </c>
      <c r="S364" s="156">
        <v>4.1420000000000003</v>
      </c>
      <c r="V364">
        <v>202304</v>
      </c>
      <c r="W364" t="s">
        <v>14</v>
      </c>
      <c r="X364">
        <v>5.3849999999999998</v>
      </c>
      <c r="Y364">
        <v>21.088351452369999</v>
      </c>
      <c r="Z364">
        <v>2.6796746835900001</v>
      </c>
    </row>
    <row r="365" spans="15:29">
      <c r="O365">
        <v>202304</v>
      </c>
      <c r="P365" s="353">
        <v>45021</v>
      </c>
      <c r="Q365">
        <v>18.70211243</v>
      </c>
      <c r="R365">
        <v>2.3637365899999998</v>
      </c>
      <c r="S365" s="156">
        <v>3.605</v>
      </c>
      <c r="V365">
        <v>202304</v>
      </c>
      <c r="W365" t="s">
        <v>13</v>
      </c>
      <c r="X365">
        <v>10.965999999999999</v>
      </c>
      <c r="Y365">
        <v>60.553047265979998</v>
      </c>
      <c r="Z365">
        <v>7.2696739262400003</v>
      </c>
    </row>
    <row r="366" spans="15:29">
      <c r="O366">
        <v>202304</v>
      </c>
      <c r="P366" s="353">
        <v>45022</v>
      </c>
      <c r="Q366">
        <v>9.9759805499999992</v>
      </c>
      <c r="R366">
        <v>1.2167917100000001</v>
      </c>
      <c r="S366" s="156">
        <v>1.9630000000000001</v>
      </c>
      <c r="V366">
        <v>202304</v>
      </c>
      <c r="W366" t="s">
        <v>12</v>
      </c>
      <c r="X366">
        <v>20.324000000000002</v>
      </c>
      <c r="Y366">
        <v>129.45120286074001</v>
      </c>
      <c r="Z366">
        <v>15.26371934392</v>
      </c>
    </row>
    <row r="367" spans="15:29">
      <c r="O367">
        <v>202304</v>
      </c>
      <c r="P367" s="353">
        <v>45023</v>
      </c>
      <c r="Q367">
        <v>6.5300732000000004</v>
      </c>
      <c r="R367">
        <v>0.91776842000000003</v>
      </c>
      <c r="S367" s="156">
        <v>1.4350000000000001</v>
      </c>
      <c r="V367">
        <v>202304</v>
      </c>
      <c r="X367">
        <v>6.4059999999999997</v>
      </c>
      <c r="Y367">
        <v>77.353235775200005</v>
      </c>
      <c r="Z367">
        <v>6.9134773496399999</v>
      </c>
    </row>
    <row r="368" spans="15:29">
      <c r="O368">
        <v>202304</v>
      </c>
      <c r="P368" s="353">
        <v>45024</v>
      </c>
      <c r="Q368">
        <v>8.3399973900000006</v>
      </c>
      <c r="R368">
        <v>1.0006541099999999</v>
      </c>
      <c r="S368" s="156">
        <v>1.59</v>
      </c>
      <c r="V368">
        <v>202304</v>
      </c>
      <c r="W368" t="s">
        <v>11</v>
      </c>
      <c r="X368">
        <v>24.937999999999999</v>
      </c>
      <c r="Y368">
        <v>209.09843268098999</v>
      </c>
      <c r="Z368">
        <v>22.514481228379999</v>
      </c>
    </row>
    <row r="369" spans="15:26">
      <c r="O369">
        <v>202304</v>
      </c>
      <c r="P369" s="353">
        <v>45025</v>
      </c>
      <c r="Q369">
        <v>6.51517737</v>
      </c>
      <c r="R369">
        <v>0.93135166999999996</v>
      </c>
      <c r="S369" s="156">
        <v>1.472</v>
      </c>
      <c r="V369">
        <v>202305</v>
      </c>
      <c r="W369" t="s">
        <v>11</v>
      </c>
      <c r="X369">
        <v>27.373000000000001</v>
      </c>
      <c r="Y369">
        <v>216.83331321895</v>
      </c>
      <c r="Z369">
        <v>24.5585532146</v>
      </c>
    </row>
    <row r="370" spans="15:26">
      <c r="O370">
        <v>202304</v>
      </c>
      <c r="P370" s="353">
        <v>45026</v>
      </c>
      <c r="Q370">
        <v>16.802665609999998</v>
      </c>
      <c r="R370">
        <v>1.7572043500000001</v>
      </c>
      <c r="S370" s="156">
        <v>2.3359999999999999</v>
      </c>
      <c r="V370">
        <v>202305</v>
      </c>
      <c r="W370" t="s">
        <v>12</v>
      </c>
      <c r="X370">
        <v>21.507000000000001</v>
      </c>
      <c r="Y370">
        <v>138.61860739586001</v>
      </c>
      <c r="Z370">
        <v>16.50247432119</v>
      </c>
    </row>
    <row r="371" spans="15:26">
      <c r="O371">
        <v>202304</v>
      </c>
      <c r="P371" s="353">
        <v>45027</v>
      </c>
      <c r="Q371">
        <v>19.788890980000001</v>
      </c>
      <c r="R371">
        <v>2.6397156499999999</v>
      </c>
      <c r="S371" s="156">
        <v>4.4260000000000002</v>
      </c>
      <c r="V371">
        <v>202305</v>
      </c>
      <c r="W371" t="s">
        <v>14</v>
      </c>
      <c r="X371">
        <v>6.2949999999999999</v>
      </c>
      <c r="Y371">
        <v>23.338133286200001</v>
      </c>
      <c r="Z371">
        <v>3.4065836145000001</v>
      </c>
    </row>
    <row r="372" spans="15:26">
      <c r="O372">
        <v>202304</v>
      </c>
      <c r="P372" s="353">
        <v>45028</v>
      </c>
      <c r="Q372">
        <v>19.621802450000001</v>
      </c>
      <c r="R372">
        <v>2.2599245899999998</v>
      </c>
      <c r="S372" s="156">
        <v>3.512</v>
      </c>
      <c r="V372">
        <v>202305</v>
      </c>
      <c r="X372">
        <v>6.4269999999999996</v>
      </c>
      <c r="Y372">
        <v>78.632677440769996</v>
      </c>
      <c r="Z372">
        <v>7.0037216835500002</v>
      </c>
    </row>
    <row r="373" spans="15:26">
      <c r="O373">
        <v>202304</v>
      </c>
      <c r="P373" s="353">
        <v>45029</v>
      </c>
      <c r="Q373">
        <v>13.70811305</v>
      </c>
      <c r="R373">
        <v>1.7094729200000001</v>
      </c>
      <c r="S373" s="156">
        <v>2.839</v>
      </c>
      <c r="V373">
        <v>202305</v>
      </c>
      <c r="W373" t="s">
        <v>10</v>
      </c>
      <c r="X373">
        <v>36.613</v>
      </c>
      <c r="Y373">
        <v>340.15321661727</v>
      </c>
      <c r="Z373">
        <v>37.808184166540002</v>
      </c>
    </row>
    <row r="374" spans="15:26">
      <c r="O374">
        <v>202304</v>
      </c>
      <c r="P374" s="353">
        <v>45030</v>
      </c>
      <c r="Q374">
        <v>11.8370929</v>
      </c>
      <c r="R374">
        <v>1.5693753800000001</v>
      </c>
      <c r="S374" s="156">
        <v>2.6280000000000001</v>
      </c>
      <c r="V374">
        <v>202305</v>
      </c>
      <c r="W374" t="s">
        <v>13</v>
      </c>
      <c r="X374">
        <v>12.417999999999999</v>
      </c>
      <c r="Y374">
        <v>71.708248974360004</v>
      </c>
      <c r="Z374">
        <v>8.7115774397799992</v>
      </c>
    </row>
    <row r="375" spans="15:26">
      <c r="O375">
        <v>202304</v>
      </c>
      <c r="P375" s="353">
        <v>45031</v>
      </c>
      <c r="Q375">
        <v>12.15626754</v>
      </c>
      <c r="R375">
        <v>1.41983485</v>
      </c>
      <c r="S375" s="156">
        <v>2.3610000000000002</v>
      </c>
      <c r="V375">
        <v>202305</v>
      </c>
      <c r="W375" t="s">
        <v>9</v>
      </c>
      <c r="X375">
        <v>26.664999999999999</v>
      </c>
      <c r="Y375">
        <v>294.54053360221002</v>
      </c>
      <c r="Z375">
        <v>31.51597328735</v>
      </c>
    </row>
    <row r="376" spans="15:26">
      <c r="O376">
        <v>202304</v>
      </c>
      <c r="P376" s="353">
        <v>45032</v>
      </c>
      <c r="Q376">
        <v>8.5340697700000003</v>
      </c>
      <c r="R376">
        <v>1.0944238100000001</v>
      </c>
      <c r="S376">
        <v>1.786</v>
      </c>
      <c r="V376">
        <v>202306</v>
      </c>
      <c r="X376">
        <v>6.351</v>
      </c>
      <c r="Y376">
        <v>67.537367470809997</v>
      </c>
      <c r="Z376">
        <v>6.6777027361399997</v>
      </c>
    </row>
    <row r="377" spans="15:26">
      <c r="O377">
        <v>202304</v>
      </c>
      <c r="P377" s="353">
        <v>45033</v>
      </c>
      <c r="Q377">
        <v>13.102663659999999</v>
      </c>
      <c r="R377">
        <v>1.5804161299999999</v>
      </c>
      <c r="S377" s="156">
        <v>2.4769999999999999</v>
      </c>
      <c r="V377">
        <v>202306</v>
      </c>
      <c r="W377" t="s">
        <v>10</v>
      </c>
      <c r="X377">
        <v>34.545000000000002</v>
      </c>
      <c r="Y377">
        <v>282.18136444305998</v>
      </c>
      <c r="Z377">
        <v>33.312668158859999</v>
      </c>
    </row>
    <row r="378" spans="15:26">
      <c r="O378">
        <v>202304</v>
      </c>
      <c r="P378" s="353">
        <v>45034</v>
      </c>
      <c r="Q378">
        <v>19.24679768</v>
      </c>
      <c r="R378">
        <v>2.4968772100000001</v>
      </c>
      <c r="S378" s="156">
        <v>4.1630000000000003</v>
      </c>
      <c r="V378">
        <v>202306</v>
      </c>
      <c r="W378" t="s">
        <v>12</v>
      </c>
      <c r="X378">
        <v>19.094000000000001</v>
      </c>
      <c r="Y378">
        <v>103.70442705059</v>
      </c>
      <c r="Z378">
        <v>13.824174596800001</v>
      </c>
    </row>
    <row r="379" spans="15:26">
      <c r="O379">
        <v>202304</v>
      </c>
      <c r="P379" s="353">
        <v>45035</v>
      </c>
      <c r="Q379">
        <v>14.17775451</v>
      </c>
      <c r="R379">
        <v>1.7596304300000001</v>
      </c>
      <c r="S379" s="156">
        <v>3.0640000000000001</v>
      </c>
      <c r="V379">
        <v>202306</v>
      </c>
      <c r="W379" t="s">
        <v>11</v>
      </c>
      <c r="X379">
        <v>24.853999999999999</v>
      </c>
      <c r="Y379">
        <v>170.50882450943999</v>
      </c>
      <c r="Z379">
        <v>21.12867550672</v>
      </c>
    </row>
    <row r="380" spans="15:26">
      <c r="O380">
        <v>202304</v>
      </c>
      <c r="P380" s="353">
        <v>45036</v>
      </c>
      <c r="Q380">
        <v>18.33809415</v>
      </c>
      <c r="R380">
        <v>1.8690354300000001</v>
      </c>
      <c r="S380" s="156">
        <v>3.165</v>
      </c>
      <c r="V380">
        <v>202306</v>
      </c>
      <c r="W380" t="s">
        <v>9</v>
      </c>
      <c r="X380">
        <v>26.494</v>
      </c>
      <c r="Y380">
        <v>251.83144771696999</v>
      </c>
      <c r="Z380">
        <v>29.601031187730001</v>
      </c>
    </row>
    <row r="381" spans="15:26">
      <c r="O381">
        <v>202304</v>
      </c>
      <c r="P381" s="353">
        <v>45037</v>
      </c>
      <c r="Q381">
        <v>15.67976953</v>
      </c>
      <c r="R381">
        <v>1.9533518999999999</v>
      </c>
      <c r="S381" s="156">
        <v>3.145</v>
      </c>
      <c r="V381">
        <v>202306</v>
      </c>
      <c r="W381" t="s">
        <v>13</v>
      </c>
      <c r="X381">
        <v>10.17</v>
      </c>
      <c r="Y381">
        <v>51.877349581490002</v>
      </c>
      <c r="Z381">
        <v>6.90512969209</v>
      </c>
    </row>
    <row r="382" spans="15:26">
      <c r="O382">
        <v>202304</v>
      </c>
      <c r="P382" s="353">
        <v>45038</v>
      </c>
      <c r="Q382">
        <v>9.0176236299999992</v>
      </c>
      <c r="R382">
        <v>1.1460203499999999</v>
      </c>
      <c r="S382" s="156">
        <v>2.0760000000000001</v>
      </c>
      <c r="V382">
        <v>202306</v>
      </c>
      <c r="W382" t="s">
        <v>14</v>
      </c>
      <c r="X382">
        <v>5.2750000000000004</v>
      </c>
      <c r="Y382">
        <v>20.680353428370001</v>
      </c>
      <c r="Z382">
        <v>3.0455579291600001</v>
      </c>
    </row>
    <row r="383" spans="15:26">
      <c r="O383">
        <v>202304</v>
      </c>
      <c r="P383" s="353">
        <v>45039</v>
      </c>
      <c r="Q383">
        <v>7.2338141599999997</v>
      </c>
      <c r="R383">
        <v>0.96943146000000002</v>
      </c>
      <c r="S383" s="156">
        <v>1.59</v>
      </c>
      <c r="V383">
        <v>202307</v>
      </c>
      <c r="W383" s="353" t="s">
        <v>14</v>
      </c>
      <c r="X383">
        <v>4.0229999999999997</v>
      </c>
      <c r="Y383">
        <v>18.231284714080001</v>
      </c>
      <c r="Z383">
        <v>2.4025417465099999</v>
      </c>
    </row>
    <row r="384" spans="15:26">
      <c r="O384">
        <v>202304</v>
      </c>
      <c r="P384" s="353">
        <v>45040</v>
      </c>
      <c r="Q384">
        <v>9.6878361300000009</v>
      </c>
      <c r="R384">
        <v>1.23592597</v>
      </c>
      <c r="S384" s="156">
        <v>2.0859999999999999</v>
      </c>
      <c r="V384">
        <v>202307</v>
      </c>
      <c r="W384" s="353"/>
      <c r="X384">
        <v>5.476</v>
      </c>
      <c r="Y384">
        <v>61.264312966589998</v>
      </c>
      <c r="Z384">
        <v>6.3544357330799999</v>
      </c>
    </row>
    <row r="385" spans="15:26">
      <c r="O385">
        <v>202304</v>
      </c>
      <c r="P385" s="353">
        <v>45041</v>
      </c>
      <c r="Q385">
        <v>20.535545509999999</v>
      </c>
      <c r="R385">
        <v>2.4591520299999998</v>
      </c>
      <c r="S385" s="156">
        <v>4.101</v>
      </c>
      <c r="V385">
        <v>202307</v>
      </c>
      <c r="W385" s="353" t="s">
        <v>10</v>
      </c>
      <c r="X385">
        <v>35.652000000000001</v>
      </c>
      <c r="Y385">
        <v>305.10116763149</v>
      </c>
      <c r="Z385">
        <v>36.452516398740002</v>
      </c>
    </row>
    <row r="386" spans="15:26">
      <c r="O386">
        <v>202304</v>
      </c>
      <c r="P386" s="353">
        <v>45042</v>
      </c>
      <c r="Q386">
        <v>18.315772930000001</v>
      </c>
      <c r="R386">
        <v>2.0590615400000001</v>
      </c>
      <c r="S386" s="156">
        <v>3.3490000000000002</v>
      </c>
      <c r="V386">
        <v>202307</v>
      </c>
      <c r="W386" s="353" t="s">
        <v>13</v>
      </c>
      <c r="X386">
        <v>8.7949999999999999</v>
      </c>
      <c r="Y386">
        <v>55.266292196469998</v>
      </c>
      <c r="Z386">
        <v>6.5312420042400001</v>
      </c>
    </row>
    <row r="387" spans="15:26">
      <c r="O387">
        <v>202304</v>
      </c>
      <c r="P387" s="353">
        <v>45043</v>
      </c>
      <c r="Q387">
        <v>13.205680709999999</v>
      </c>
      <c r="R387">
        <v>1.5898993400000001</v>
      </c>
      <c r="S387" s="156">
        <v>2.657</v>
      </c>
      <c r="V387">
        <v>202307</v>
      </c>
      <c r="W387" s="353" t="s">
        <v>12</v>
      </c>
      <c r="X387">
        <v>19.032</v>
      </c>
      <c r="Y387">
        <v>112.75305453430001</v>
      </c>
      <c r="Z387">
        <v>14.38658159789</v>
      </c>
    </row>
    <row r="388" spans="15:26">
      <c r="O388">
        <v>202304</v>
      </c>
      <c r="P388" s="353">
        <v>45044</v>
      </c>
      <c r="Q388">
        <v>9.9011008100000009</v>
      </c>
      <c r="R388">
        <v>1.28221002</v>
      </c>
      <c r="S388" s="156">
        <v>2.2389999999999999</v>
      </c>
      <c r="V388">
        <v>202307</v>
      </c>
      <c r="W388" s="353" t="s">
        <v>11</v>
      </c>
      <c r="X388">
        <v>25.212</v>
      </c>
      <c r="Y388">
        <v>182.88604320943</v>
      </c>
      <c r="Z388">
        <v>22.503942785869999</v>
      </c>
    </row>
    <row r="389" spans="15:26">
      <c r="O389">
        <v>202304</v>
      </c>
      <c r="P389" s="353">
        <v>45045</v>
      </c>
      <c r="Q389">
        <v>9.3740663099999999</v>
      </c>
      <c r="R389">
        <v>1.1733749499999999</v>
      </c>
      <c r="S389" s="156">
        <v>2.0760000000000001</v>
      </c>
      <c r="V389">
        <v>202307</v>
      </c>
      <c r="W389" s="353" t="s">
        <v>9</v>
      </c>
      <c r="X389">
        <v>28.797999999999998</v>
      </c>
      <c r="Y389">
        <v>282.47554894348002</v>
      </c>
      <c r="Z389">
        <v>34.125966729589997</v>
      </c>
    </row>
    <row r="390" spans="15:26">
      <c r="O390">
        <v>202304</v>
      </c>
      <c r="P390" s="353">
        <v>45046</v>
      </c>
      <c r="Q390">
        <v>6.3792162399999999</v>
      </c>
      <c r="R390">
        <v>0.85835636000000004</v>
      </c>
      <c r="S390" s="156">
        <v>1.454</v>
      </c>
      <c r="V390">
        <v>202308</v>
      </c>
      <c r="W390" s="353"/>
      <c r="X390">
        <v>5.3940000000000001</v>
      </c>
      <c r="Y390">
        <v>60.981651765240002</v>
      </c>
      <c r="Z390">
        <v>6.2083620708199998</v>
      </c>
    </row>
    <row r="391" spans="15:26">
      <c r="O391">
        <v>202305</v>
      </c>
      <c r="P391" t="s">
        <v>11</v>
      </c>
      <c r="Q391">
        <v>90.364283196000002</v>
      </c>
      <c r="R391">
        <v>10.675517643999999</v>
      </c>
      <c r="S391" s="156">
        <v>11.182</v>
      </c>
      <c r="V391">
        <v>202308</v>
      </c>
      <c r="W391" s="353" t="s">
        <v>10</v>
      </c>
      <c r="X391">
        <v>34.854999999999997</v>
      </c>
      <c r="Y391">
        <v>297.48098528384998</v>
      </c>
      <c r="Z391">
        <v>36.224817442259997</v>
      </c>
    </row>
    <row r="392" spans="15:26">
      <c r="O392">
        <v>202305</v>
      </c>
      <c r="P392" s="353" t="s">
        <v>10</v>
      </c>
      <c r="Q392">
        <v>109.004672656</v>
      </c>
      <c r="R392">
        <v>13.952831961999999</v>
      </c>
      <c r="S392" s="156">
        <v>12.798999999999999</v>
      </c>
      <c r="V392">
        <v>202308</v>
      </c>
      <c r="W392" s="353" t="s">
        <v>12</v>
      </c>
      <c r="X392">
        <v>17.431000000000001</v>
      </c>
      <c r="Y392">
        <v>102.26922383366001</v>
      </c>
      <c r="Z392">
        <v>13.367791391780001</v>
      </c>
    </row>
    <row r="393" spans="15:26">
      <c r="O393">
        <v>202305</v>
      </c>
      <c r="P393" s="353" t="s">
        <v>13</v>
      </c>
      <c r="Q393">
        <v>41.423239893999998</v>
      </c>
      <c r="R393">
        <v>4.4566344200000003</v>
      </c>
      <c r="S393" s="156">
        <v>5.5030000000000001</v>
      </c>
      <c r="V393">
        <v>202308</v>
      </c>
      <c r="W393" s="353" t="s">
        <v>11</v>
      </c>
      <c r="X393">
        <v>23.911999999999999</v>
      </c>
      <c r="Y393">
        <v>188.79607814015</v>
      </c>
      <c r="Z393">
        <v>21.812679371150001</v>
      </c>
    </row>
    <row r="394" spans="15:26">
      <c r="O394">
        <v>202305</v>
      </c>
      <c r="P394" t="s">
        <v>14</v>
      </c>
      <c r="Q394">
        <v>13.664051497999999</v>
      </c>
      <c r="R394">
        <v>1.651845668</v>
      </c>
      <c r="S394">
        <v>2.673</v>
      </c>
      <c r="V394">
        <v>202308</v>
      </c>
      <c r="W394" s="353" t="s">
        <v>9</v>
      </c>
      <c r="X394">
        <v>28.23</v>
      </c>
      <c r="Y394">
        <v>281.04484240388001</v>
      </c>
      <c r="Z394">
        <v>33.510028394789998</v>
      </c>
    </row>
    <row r="395" spans="15:26">
      <c r="O395">
        <v>202305</v>
      </c>
      <c r="P395" t="s">
        <v>12</v>
      </c>
      <c r="Q395">
        <v>54.027691419999996</v>
      </c>
      <c r="R395">
        <v>6.9687270540000004</v>
      </c>
      <c r="S395" s="156">
        <v>8.8279999999999994</v>
      </c>
      <c r="V395">
        <v>202308</v>
      </c>
      <c r="W395" s="353" t="s">
        <v>13</v>
      </c>
      <c r="X395">
        <v>8.641</v>
      </c>
      <c r="Y395">
        <v>50.32660775339</v>
      </c>
      <c r="Z395">
        <v>6.3656065435500002</v>
      </c>
    </row>
    <row r="396" spans="15:26">
      <c r="O396">
        <v>202305</v>
      </c>
      <c r="Q396">
        <v>11.677312078</v>
      </c>
      <c r="R396">
        <v>1.372042126</v>
      </c>
      <c r="S396" s="156">
        <v>1.7829999999999999</v>
      </c>
      <c r="V396">
        <v>202308</v>
      </c>
      <c r="W396" s="353" t="s">
        <v>14</v>
      </c>
      <c r="X396">
        <v>3.9060000000000001</v>
      </c>
      <c r="Y396">
        <v>17.821736411690001</v>
      </c>
      <c r="Z396">
        <v>2.3892016713099999</v>
      </c>
    </row>
    <row r="397" spans="15:26">
      <c r="O397">
        <v>202305</v>
      </c>
      <c r="P397" t="s">
        <v>9</v>
      </c>
      <c r="Q397">
        <v>79.735854927999995</v>
      </c>
      <c r="R397">
        <v>11.039793742000001</v>
      </c>
      <c r="S397" s="156">
        <v>8.5790000000000006</v>
      </c>
      <c r="V397">
        <v>202309</v>
      </c>
      <c r="W397" s="353"/>
      <c r="X397">
        <v>2.3660000000000001</v>
      </c>
      <c r="Y397">
        <v>30.763949691699999</v>
      </c>
      <c r="Z397">
        <v>2.78948797942</v>
      </c>
    </row>
    <row r="398" spans="15:26">
      <c r="O398">
        <v>202306</v>
      </c>
      <c r="Q398">
        <v>19.776785075999999</v>
      </c>
      <c r="R398">
        <v>1.9576861640000001</v>
      </c>
      <c r="S398" s="156">
        <v>2.0030000000000001</v>
      </c>
      <c r="V398">
        <v>202309</v>
      </c>
      <c r="W398" s="353" t="s">
        <v>10</v>
      </c>
      <c r="X398">
        <v>32.317999999999998</v>
      </c>
      <c r="Y398">
        <v>257.08881491331999</v>
      </c>
      <c r="Z398">
        <v>31.207822372190002</v>
      </c>
    </row>
    <row r="399" spans="15:26">
      <c r="O399">
        <v>202306</v>
      </c>
      <c r="P399" t="s">
        <v>10</v>
      </c>
      <c r="Q399">
        <v>140.59506264999999</v>
      </c>
      <c r="R399">
        <v>17.996106562000001</v>
      </c>
      <c r="S399" s="156">
        <v>15.055</v>
      </c>
      <c r="V399">
        <v>202309</v>
      </c>
      <c r="W399" s="353" t="s">
        <v>9</v>
      </c>
      <c r="X399">
        <v>25.817</v>
      </c>
      <c r="Y399">
        <v>245.01320590577001</v>
      </c>
      <c r="Z399">
        <v>29.393683006140002</v>
      </c>
    </row>
    <row r="400" spans="15:26">
      <c r="O400">
        <v>202306</v>
      </c>
      <c r="P400" t="s">
        <v>12</v>
      </c>
      <c r="Q400">
        <v>74.524709528000002</v>
      </c>
      <c r="R400">
        <v>8.5945660880000005</v>
      </c>
      <c r="S400" s="156">
        <v>9.5619999999999994</v>
      </c>
      <c r="V400">
        <v>202309</v>
      </c>
      <c r="W400" t="s">
        <v>12</v>
      </c>
      <c r="X400">
        <v>16.809999999999999</v>
      </c>
      <c r="Y400">
        <v>99.398353479779999</v>
      </c>
      <c r="Z400">
        <v>12.64530006469</v>
      </c>
    </row>
    <row r="401" spans="15:26">
      <c r="O401">
        <v>202306</v>
      </c>
      <c r="P401" t="s">
        <v>11</v>
      </c>
      <c r="Q401">
        <v>105.586138242</v>
      </c>
      <c r="R401">
        <v>13.053694871999999</v>
      </c>
      <c r="S401" s="156">
        <v>12.624000000000001</v>
      </c>
      <c r="V401">
        <v>202309</v>
      </c>
      <c r="W401" t="s">
        <v>13</v>
      </c>
      <c r="X401">
        <v>8.1120000000000001</v>
      </c>
      <c r="Y401">
        <v>54.863904378859999</v>
      </c>
      <c r="Z401">
        <v>6.46246320869</v>
      </c>
    </row>
    <row r="402" spans="15:26">
      <c r="O402">
        <v>202306</v>
      </c>
      <c r="P402" t="s">
        <v>9</v>
      </c>
      <c r="Q402">
        <v>124.01673827400001</v>
      </c>
      <c r="R402">
        <v>16.04670497</v>
      </c>
      <c r="S402" s="156">
        <v>11.112</v>
      </c>
      <c r="V402">
        <v>202309</v>
      </c>
      <c r="W402" t="s">
        <v>14</v>
      </c>
      <c r="X402">
        <v>3.431</v>
      </c>
      <c r="Y402">
        <v>24.622810042299999</v>
      </c>
      <c r="Z402">
        <v>2.4660291238299998</v>
      </c>
    </row>
    <row r="403" spans="15:26">
      <c r="O403">
        <v>202306</v>
      </c>
      <c r="P403" t="s">
        <v>13</v>
      </c>
      <c r="Q403">
        <v>44.807158295999997</v>
      </c>
      <c r="R403">
        <v>4.9277401039999997</v>
      </c>
      <c r="S403" s="156">
        <v>5.6950000000000003</v>
      </c>
      <c r="V403">
        <v>202309</v>
      </c>
      <c r="W403" t="s">
        <v>11</v>
      </c>
      <c r="X403">
        <v>23.760999999999999</v>
      </c>
      <c r="Y403">
        <v>170.28451341452001</v>
      </c>
      <c r="Z403">
        <v>20.710411697430001</v>
      </c>
    </row>
    <row r="404" spans="15:26">
      <c r="O404">
        <v>202306</v>
      </c>
      <c r="P404" t="s">
        <v>14</v>
      </c>
      <c r="Q404">
        <v>20.857513357999999</v>
      </c>
      <c r="R404">
        <v>2.275126722</v>
      </c>
      <c r="S404" s="156">
        <v>2.9860000000000002</v>
      </c>
      <c r="V404">
        <v>202310</v>
      </c>
      <c r="W404" t="s">
        <v>12</v>
      </c>
      <c r="X404">
        <v>15.715999999999999</v>
      </c>
      <c r="Y404">
        <v>96.767330797699998</v>
      </c>
      <c r="Z404">
        <v>11.95453328224</v>
      </c>
    </row>
    <row r="405" spans="15:26">
      <c r="O405">
        <v>202307</v>
      </c>
      <c r="P405" s="353" t="s">
        <v>14</v>
      </c>
      <c r="Q405">
        <v>12.109916838</v>
      </c>
      <c r="R405">
        <v>1.263393556</v>
      </c>
      <c r="S405">
        <v>1.591</v>
      </c>
      <c r="V405">
        <v>202310</v>
      </c>
      <c r="W405" t="s">
        <v>10</v>
      </c>
      <c r="X405">
        <v>33.368000000000002</v>
      </c>
      <c r="Y405">
        <v>304.40296114609998</v>
      </c>
      <c r="Z405">
        <v>33.70103630437</v>
      </c>
    </row>
    <row r="406" spans="15:26">
      <c r="O406">
        <v>202307</v>
      </c>
      <c r="P406" s="353"/>
      <c r="Q406">
        <v>15.42065639</v>
      </c>
      <c r="R406">
        <v>1.6158040840000001</v>
      </c>
      <c r="S406" s="156">
        <v>1.524</v>
      </c>
      <c r="V406">
        <v>202310</v>
      </c>
      <c r="W406" t="s">
        <v>11</v>
      </c>
      <c r="X406">
        <v>23.125</v>
      </c>
      <c r="Y406">
        <v>175.5719272801</v>
      </c>
      <c r="Z406">
        <v>20.49723209275</v>
      </c>
    </row>
    <row r="407" spans="15:26">
      <c r="O407">
        <v>202307</v>
      </c>
      <c r="P407" s="353" t="s">
        <v>10</v>
      </c>
      <c r="Q407">
        <v>121.357536174</v>
      </c>
      <c r="R407">
        <v>14.638208585999999</v>
      </c>
      <c r="S407" s="156">
        <v>12.51</v>
      </c>
      <c r="V407">
        <v>202310</v>
      </c>
      <c r="W407" t="s">
        <v>13</v>
      </c>
      <c r="X407">
        <v>6.5220000000000002</v>
      </c>
      <c r="Y407">
        <v>43.706670895210003</v>
      </c>
      <c r="Z407">
        <v>5.0116437312700004</v>
      </c>
    </row>
    <row r="408" spans="15:26">
      <c r="O408">
        <v>202307</v>
      </c>
      <c r="P408" s="353" t="s">
        <v>11</v>
      </c>
      <c r="Q408">
        <v>89.730897921999997</v>
      </c>
      <c r="R408">
        <v>10.353162230000001</v>
      </c>
      <c r="S408" s="156">
        <v>9.9350000000000005</v>
      </c>
      <c r="V408">
        <v>202310</v>
      </c>
      <c r="W408" t="s">
        <v>9</v>
      </c>
      <c r="X408">
        <v>26.806000000000001</v>
      </c>
      <c r="Y408">
        <v>304.69883960277002</v>
      </c>
      <c r="Z408">
        <v>31.713290006449999</v>
      </c>
    </row>
    <row r="409" spans="15:26">
      <c r="O409">
        <v>202307</v>
      </c>
      <c r="P409" s="353" t="s">
        <v>12</v>
      </c>
      <c r="Q409">
        <v>58.408738853999999</v>
      </c>
      <c r="R409">
        <v>6.8862382719999999</v>
      </c>
      <c r="S409" s="156">
        <v>7.66</v>
      </c>
      <c r="V409">
        <v>202310</v>
      </c>
      <c r="X409">
        <v>3.6059999999999999</v>
      </c>
      <c r="Y409">
        <v>51.290843413479998</v>
      </c>
      <c r="Z409">
        <v>4.4374800817000004</v>
      </c>
    </row>
    <row r="410" spans="15:26">
      <c r="O410">
        <v>202307</v>
      </c>
      <c r="P410" s="353" t="s">
        <v>13</v>
      </c>
      <c r="Q410">
        <v>37.190547334000001</v>
      </c>
      <c r="R410">
        <v>3.5623642360000001</v>
      </c>
      <c r="S410" s="156">
        <v>3.911</v>
      </c>
      <c r="V410">
        <v>202310</v>
      </c>
      <c r="W410" t="s">
        <v>14</v>
      </c>
      <c r="X410">
        <v>2.2879999999999998</v>
      </c>
      <c r="Y410">
        <v>14.06032973183</v>
      </c>
      <c r="Z410">
        <v>1.5436347955800001</v>
      </c>
    </row>
    <row r="411" spans="15:26">
      <c r="O411">
        <v>202307</v>
      </c>
      <c r="P411" s="353" t="s">
        <v>9</v>
      </c>
      <c r="Q411">
        <v>96.156432026000004</v>
      </c>
      <c r="R411">
        <v>12.180165796000001</v>
      </c>
      <c r="S411" s="156">
        <v>8.9610000000000003</v>
      </c>
      <c r="V411">
        <v>202311</v>
      </c>
      <c r="W411" s="353" t="s">
        <v>9</v>
      </c>
      <c r="X411">
        <v>20.606999999999999</v>
      </c>
      <c r="Y411">
        <v>264.71908562439</v>
      </c>
      <c r="Z411" s="156">
        <v>26.864113566570001</v>
      </c>
    </row>
    <row r="412" spans="15:26">
      <c r="O412">
        <v>202308</v>
      </c>
      <c r="P412" s="353"/>
      <c r="Q412">
        <v>21.26797444</v>
      </c>
      <c r="R412">
        <v>1.9490048440000001</v>
      </c>
      <c r="S412" s="156">
        <v>1.5309999999999999</v>
      </c>
      <c r="V412">
        <v>202311</v>
      </c>
      <c r="W412" s="353" t="s">
        <v>13</v>
      </c>
      <c r="X412">
        <v>5.7380000000000004</v>
      </c>
      <c r="Y412">
        <v>34.186663658779999</v>
      </c>
      <c r="Z412" s="156">
        <v>4.1589434441200002</v>
      </c>
    </row>
    <row r="413" spans="15:26">
      <c r="O413">
        <v>202308</v>
      </c>
      <c r="P413" s="353" t="s">
        <v>10</v>
      </c>
      <c r="Q413">
        <v>132.041784202</v>
      </c>
      <c r="R413">
        <v>16.339654242000002</v>
      </c>
      <c r="S413" s="156">
        <v>13.231</v>
      </c>
      <c r="V413">
        <v>202311</v>
      </c>
      <c r="W413" s="353" t="s">
        <v>10</v>
      </c>
      <c r="X413">
        <v>21.867999999999999</v>
      </c>
      <c r="Y413">
        <v>234.96912956086999</v>
      </c>
      <c r="Z413" s="156">
        <v>24.699963915720001</v>
      </c>
    </row>
    <row r="414" spans="15:26">
      <c r="O414">
        <v>202308</v>
      </c>
      <c r="P414" s="353" t="s">
        <v>12</v>
      </c>
      <c r="Q414">
        <v>57.440350899999999</v>
      </c>
      <c r="R414">
        <v>6.7096113739999996</v>
      </c>
      <c r="S414" s="156">
        <v>7.4329999999999998</v>
      </c>
      <c r="V414">
        <v>202311</v>
      </c>
      <c r="W414" t="s">
        <v>14</v>
      </c>
      <c r="X414">
        <v>1.7370000000000001</v>
      </c>
      <c r="Y414">
        <v>8.5031781374099999</v>
      </c>
      <c r="Z414">
        <v>1.22015616913</v>
      </c>
    </row>
    <row r="415" spans="15:26">
      <c r="O415">
        <v>202308</v>
      </c>
      <c r="P415" s="353" t="s">
        <v>11</v>
      </c>
      <c r="Q415">
        <v>99.204117535999998</v>
      </c>
      <c r="R415">
        <v>11.072267454</v>
      </c>
      <c r="S415" s="156">
        <v>10.090999999999999</v>
      </c>
      <c r="V415">
        <v>202311</v>
      </c>
      <c r="W415" t="s">
        <v>12</v>
      </c>
      <c r="X415">
        <v>17.556999999999999</v>
      </c>
      <c r="Y415">
        <v>126.58732178183</v>
      </c>
      <c r="Z415">
        <v>14.721944508150001</v>
      </c>
    </row>
    <row r="416" spans="15:26">
      <c r="O416">
        <v>202308</v>
      </c>
      <c r="P416" s="353" t="s">
        <v>9</v>
      </c>
      <c r="Q416">
        <v>106.741002452</v>
      </c>
      <c r="R416">
        <v>13.893533256</v>
      </c>
      <c r="S416" s="156">
        <v>9.7769999999999992</v>
      </c>
      <c r="V416">
        <v>202311</v>
      </c>
      <c r="W416" t="s">
        <v>11</v>
      </c>
      <c r="X416">
        <v>29.663</v>
      </c>
      <c r="Y416">
        <v>248.23513903067001</v>
      </c>
      <c r="Z416">
        <v>27.622443470059999</v>
      </c>
    </row>
    <row r="417" spans="15:26">
      <c r="O417">
        <v>202308</v>
      </c>
      <c r="P417" s="353" t="s">
        <v>13</v>
      </c>
      <c r="Q417">
        <v>38.755024542000001</v>
      </c>
      <c r="R417">
        <v>3.8432755360000002</v>
      </c>
      <c r="S417" s="156">
        <v>3.9860000000000002</v>
      </c>
      <c r="V417">
        <v>202311</v>
      </c>
      <c r="X417">
        <v>3.5459999999999998</v>
      </c>
      <c r="Y417">
        <v>61.2638361144</v>
      </c>
      <c r="Z417">
        <v>4.8524179900100002</v>
      </c>
    </row>
    <row r="418" spans="15:26">
      <c r="O418">
        <v>202308</v>
      </c>
      <c r="P418" s="353" t="s">
        <v>14</v>
      </c>
      <c r="Q418">
        <v>13.537076062000001</v>
      </c>
      <c r="R418">
        <v>1.3894823439999999</v>
      </c>
      <c r="S418" s="156">
        <v>1.736</v>
      </c>
      <c r="V418">
        <v>202312</v>
      </c>
      <c r="W418" t="s">
        <v>12</v>
      </c>
      <c r="X418">
        <v>9.641</v>
      </c>
      <c r="Y418">
        <v>55.34312481696</v>
      </c>
      <c r="Z418">
        <v>6.7041064457999999</v>
      </c>
    </row>
    <row r="419" spans="15:26">
      <c r="O419">
        <v>202309</v>
      </c>
      <c r="P419" s="353"/>
      <c r="Q419">
        <v>15.566554957999999</v>
      </c>
      <c r="R419">
        <v>1.4838425719999999</v>
      </c>
      <c r="S419" s="156">
        <v>1.452</v>
      </c>
      <c r="V419">
        <v>202312</v>
      </c>
      <c r="W419" t="s">
        <v>14</v>
      </c>
      <c r="X419">
        <v>0.69199999999999995</v>
      </c>
      <c r="Y419">
        <v>3.4160760074100001</v>
      </c>
      <c r="Z419">
        <v>0.44976086285</v>
      </c>
    </row>
    <row r="420" spans="15:26">
      <c r="O420">
        <v>202309</v>
      </c>
      <c r="P420" s="353" t="s">
        <v>10</v>
      </c>
      <c r="Q420">
        <v>96.836462049999994</v>
      </c>
      <c r="R420">
        <v>12.181098424</v>
      </c>
      <c r="S420" s="156">
        <v>11.101000000000001</v>
      </c>
      <c r="V420">
        <v>202312</v>
      </c>
      <c r="W420" t="s">
        <v>9</v>
      </c>
      <c r="X420">
        <v>13.183999999999999</v>
      </c>
      <c r="Y420">
        <v>129.48896849488</v>
      </c>
      <c r="Z420">
        <v>13.624297397319999</v>
      </c>
    </row>
    <row r="421" spans="15:26">
      <c r="O421">
        <v>202309</v>
      </c>
      <c r="P421" s="353" t="s">
        <v>12</v>
      </c>
      <c r="Q421">
        <v>50.599413882</v>
      </c>
      <c r="R421">
        <v>5.8633935839999998</v>
      </c>
      <c r="S421" s="156">
        <v>6.9130000000000003</v>
      </c>
      <c r="V421">
        <v>202312</v>
      </c>
      <c r="W421" t="s">
        <v>11</v>
      </c>
      <c r="X421">
        <v>17.948</v>
      </c>
      <c r="Y421">
        <v>113.51487299185</v>
      </c>
      <c r="Z421">
        <v>13.377696816789999</v>
      </c>
    </row>
    <row r="422" spans="15:26">
      <c r="O422">
        <v>202309</v>
      </c>
      <c r="P422" s="353" t="s">
        <v>9</v>
      </c>
      <c r="Q422">
        <v>83.223932194</v>
      </c>
      <c r="R422">
        <v>10.389827564000001</v>
      </c>
      <c r="S422" s="156">
        <v>8.0830000000000002</v>
      </c>
      <c r="V422">
        <v>202312</v>
      </c>
      <c r="W422" t="s">
        <v>10</v>
      </c>
      <c r="X422">
        <v>13.776999999999999</v>
      </c>
      <c r="Y422">
        <v>112.00264191028</v>
      </c>
      <c r="Z422">
        <v>12.37689030624</v>
      </c>
    </row>
    <row r="423" spans="15:26">
      <c r="O423">
        <v>202309</v>
      </c>
      <c r="P423" s="353" t="s">
        <v>13</v>
      </c>
      <c r="Q423">
        <v>24.671702327999999</v>
      </c>
      <c r="R423">
        <v>2.6368309920000002</v>
      </c>
      <c r="S423" s="156">
        <v>2.9079999999999999</v>
      </c>
      <c r="V423">
        <v>202312</v>
      </c>
      <c r="W423" t="s">
        <v>13</v>
      </c>
      <c r="X423">
        <v>2.4329999999999998</v>
      </c>
      <c r="Y423">
        <v>12.19223199506</v>
      </c>
      <c r="Z423">
        <v>1.55912327341</v>
      </c>
    </row>
    <row r="424" spans="15:26">
      <c r="O424">
        <v>202309</v>
      </c>
      <c r="P424" s="353" t="s">
        <v>14</v>
      </c>
      <c r="Q424">
        <v>6.7760414920000001</v>
      </c>
      <c r="R424">
        <v>0.69525223000000003</v>
      </c>
      <c r="S424" s="156">
        <v>0.92900000000000005</v>
      </c>
      <c r="V424">
        <v>202312</v>
      </c>
      <c r="X424">
        <v>2.4140000000000001</v>
      </c>
      <c r="Y424">
        <v>31.44888465363</v>
      </c>
      <c r="Z424">
        <v>2.5815484978000001</v>
      </c>
    </row>
    <row r="425" spans="15:26">
      <c r="O425">
        <v>202309</v>
      </c>
      <c r="P425" s="353" t="s">
        <v>11</v>
      </c>
      <c r="Q425">
        <v>77.588016518000003</v>
      </c>
      <c r="R425">
        <v>9.2263879959999997</v>
      </c>
      <c r="S425" s="156">
        <v>9.59</v>
      </c>
    </row>
    <row r="426" spans="15:26">
      <c r="O426">
        <v>202310</v>
      </c>
      <c r="P426" s="353" t="s">
        <v>10</v>
      </c>
      <c r="Q426">
        <v>105.822306568</v>
      </c>
      <c r="R426">
        <v>12.694858258</v>
      </c>
      <c r="S426" s="156">
        <v>11.356999999999999</v>
      </c>
    </row>
    <row r="427" spans="15:26">
      <c r="O427">
        <v>202310</v>
      </c>
      <c r="P427" s="353" t="s">
        <v>12</v>
      </c>
      <c r="Q427">
        <v>44.663636122</v>
      </c>
      <c r="R427">
        <v>5.3343766639999997</v>
      </c>
      <c r="S427" s="156">
        <v>6.2679999999999998</v>
      </c>
    </row>
    <row r="428" spans="15:26">
      <c r="O428">
        <v>202310</v>
      </c>
      <c r="P428" s="353" t="s">
        <v>11</v>
      </c>
      <c r="Q428">
        <v>80.163661587999997</v>
      </c>
      <c r="R428">
        <v>9.3233223420000009</v>
      </c>
      <c r="S428" s="156">
        <v>9.4369999999999994</v>
      </c>
    </row>
    <row r="429" spans="15:26">
      <c r="O429">
        <v>202310</v>
      </c>
      <c r="P429" s="353" t="s">
        <v>13</v>
      </c>
      <c r="Q429">
        <v>22.525187039999999</v>
      </c>
      <c r="R429">
        <v>2.5122960839999999</v>
      </c>
      <c r="S429" s="156">
        <v>2.9060000000000001</v>
      </c>
    </row>
    <row r="430" spans="15:26">
      <c r="O430">
        <v>202310</v>
      </c>
      <c r="P430" s="353" t="s">
        <v>9</v>
      </c>
      <c r="Q430">
        <v>89.243099087999994</v>
      </c>
      <c r="R430">
        <v>11.020328694</v>
      </c>
      <c r="S430" s="156">
        <v>8.173</v>
      </c>
    </row>
    <row r="431" spans="15:26">
      <c r="O431">
        <v>202310</v>
      </c>
      <c r="P431" s="353"/>
      <c r="Q431">
        <v>8.3624750839999997</v>
      </c>
      <c r="R431">
        <v>0.88639017399999998</v>
      </c>
      <c r="S431" s="156">
        <v>0.94099999999999995</v>
      </c>
    </row>
    <row r="432" spans="15:26">
      <c r="O432">
        <v>202310</v>
      </c>
      <c r="P432" s="353" t="s">
        <v>14</v>
      </c>
      <c r="Q432">
        <v>9.9942652919999997</v>
      </c>
      <c r="R432">
        <v>0.84357290600000001</v>
      </c>
      <c r="S432" s="156">
        <v>0.94599999999999995</v>
      </c>
    </row>
    <row r="433" spans="15:19">
      <c r="O433">
        <v>202311</v>
      </c>
      <c r="P433" s="353" t="s">
        <v>9</v>
      </c>
      <c r="Q433">
        <v>63.657887793999997</v>
      </c>
      <c r="R433">
        <v>8.4572441180000002</v>
      </c>
      <c r="S433" s="156">
        <v>5.9489999999999998</v>
      </c>
    </row>
    <row r="434" spans="15:19">
      <c r="O434">
        <v>202311</v>
      </c>
      <c r="P434" s="353" t="s">
        <v>13</v>
      </c>
      <c r="Q434">
        <v>19.008462414</v>
      </c>
      <c r="R434">
        <v>2.235333228</v>
      </c>
      <c r="S434" s="156">
        <v>2.5649999999999999</v>
      </c>
    </row>
    <row r="435" spans="15:19">
      <c r="O435">
        <v>202311</v>
      </c>
      <c r="P435" s="353" t="s">
        <v>10</v>
      </c>
      <c r="Q435">
        <v>68.960602343999994</v>
      </c>
      <c r="R435">
        <v>8.658148594</v>
      </c>
      <c r="S435" s="156">
        <v>7.0419999999999998</v>
      </c>
    </row>
    <row r="436" spans="15:19">
      <c r="O436">
        <v>202311</v>
      </c>
      <c r="P436" s="353" t="s">
        <v>14</v>
      </c>
      <c r="Q436">
        <v>6.3390359099999998</v>
      </c>
      <c r="R436">
        <v>0.70119105400000004</v>
      </c>
      <c r="S436" s="156">
        <v>0.77</v>
      </c>
    </row>
    <row r="437" spans="15:19">
      <c r="O437">
        <v>202311</v>
      </c>
      <c r="P437" s="353" t="s">
        <v>12</v>
      </c>
      <c r="Q437">
        <v>56.872252197999998</v>
      </c>
      <c r="R437">
        <v>6.5335633599999996</v>
      </c>
      <c r="S437" s="156">
        <v>7.1310000000000002</v>
      </c>
    </row>
    <row r="438" spans="15:19">
      <c r="O438">
        <v>202311</v>
      </c>
      <c r="P438" s="353" t="s">
        <v>11</v>
      </c>
      <c r="Q438">
        <v>93.513011559999995</v>
      </c>
      <c r="R438">
        <v>11.418105947999999</v>
      </c>
      <c r="S438" s="156">
        <v>11.385</v>
      </c>
    </row>
    <row r="439" spans="15:19">
      <c r="O439">
        <v>202311</v>
      </c>
      <c r="P439" s="353"/>
      <c r="Q439">
        <v>7.9028480139999999</v>
      </c>
      <c r="R439">
        <v>0.83776287800000004</v>
      </c>
      <c r="S439" s="156">
        <v>0.73599999999999999</v>
      </c>
    </row>
    <row r="440" spans="15:19">
      <c r="O440">
        <v>202312</v>
      </c>
      <c r="P440" s="353" t="s">
        <v>12</v>
      </c>
      <c r="Q440">
        <v>5.7732388480000001</v>
      </c>
      <c r="R440">
        <v>0.621363624</v>
      </c>
      <c r="S440" s="156">
        <v>0.98199999999999998</v>
      </c>
    </row>
    <row r="441" spans="15:19">
      <c r="O441">
        <v>202312</v>
      </c>
      <c r="P441" s="353" t="s">
        <v>14</v>
      </c>
      <c r="Q441">
        <v>0.42467527999999999</v>
      </c>
      <c r="R441">
        <v>5.1567639999999998E-2</v>
      </c>
      <c r="S441" s="156">
        <v>9.8000000000000004E-2</v>
      </c>
    </row>
    <row r="442" spans="15:19">
      <c r="O442">
        <v>202312</v>
      </c>
      <c r="P442" t="s">
        <v>9</v>
      </c>
      <c r="Q442">
        <v>5.9276520279999998</v>
      </c>
      <c r="R442">
        <v>0.82351326000000002</v>
      </c>
      <c r="S442" s="156">
        <v>0.90400000000000003</v>
      </c>
    </row>
    <row r="443" spans="15:19">
      <c r="O443">
        <v>202312</v>
      </c>
      <c r="P443" t="s">
        <v>11</v>
      </c>
      <c r="Q443">
        <v>10.077275188</v>
      </c>
      <c r="R443">
        <v>1.11132673</v>
      </c>
      <c r="S443" s="156">
        <v>1.704</v>
      </c>
    </row>
    <row r="444" spans="15:19">
      <c r="O444">
        <v>202312</v>
      </c>
      <c r="P444" t="s">
        <v>10</v>
      </c>
      <c r="Q444">
        <v>6.0620263760000004</v>
      </c>
      <c r="R444">
        <v>0.87203176999999998</v>
      </c>
      <c r="S444" s="156">
        <v>1.1870000000000001</v>
      </c>
    </row>
    <row r="445" spans="15:19">
      <c r="O445">
        <v>202312</v>
      </c>
      <c r="P445" t="s">
        <v>13</v>
      </c>
      <c r="Q445">
        <v>1.0406550779999999</v>
      </c>
      <c r="R445">
        <v>0.12276910000000001</v>
      </c>
      <c r="S445" s="156">
        <v>0.308</v>
      </c>
    </row>
    <row r="446" spans="15:19">
      <c r="O446">
        <v>202312</v>
      </c>
      <c r="Q446">
        <v>13.291018872</v>
      </c>
      <c r="R446">
        <v>1.4914715380000001</v>
      </c>
      <c r="S446" s="156">
        <v>2.37</v>
      </c>
    </row>
  </sheetData>
  <mergeCells count="4">
    <mergeCell ref="A1:E1"/>
    <mergeCell ref="H1:L1"/>
    <mergeCell ref="O1:S1"/>
    <mergeCell ref="V1:Z1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3"/>
  <sheetViews>
    <sheetView showGridLines="0" zoomScale="90" zoomScaleNormal="90" workbookViewId="0">
      <pane ySplit="5" topLeftCell="A6" activePane="bottomLeft" state="frozen"/>
      <selection pane="bottomLeft" activeCell="E50" sqref="E50"/>
    </sheetView>
  </sheetViews>
  <sheetFormatPr baseColWidth="10" defaultColWidth="11.453125" defaultRowHeight="14.5" outlineLevelCol="1"/>
  <cols>
    <col min="1" max="2" width="12" bestFit="1" customWidth="1"/>
    <col min="3" max="3" width="11.26953125" bestFit="1" customWidth="1"/>
    <col min="4" max="4" width="15.26953125" hidden="1" customWidth="1" outlineLevel="1"/>
    <col min="5" max="5" width="11.7265625" bestFit="1" customWidth="1" collapsed="1"/>
    <col min="6" max="6" width="14.26953125" bestFit="1" customWidth="1"/>
    <col min="7" max="7" width="12.453125" bestFit="1" customWidth="1"/>
    <col min="8" max="8" width="9.7265625" bestFit="1" customWidth="1"/>
    <col min="9" max="9" width="4.81640625" style="5" customWidth="1"/>
    <col min="10" max="10" width="11.26953125" bestFit="1" customWidth="1"/>
    <col min="11" max="11" width="12" bestFit="1" customWidth="1"/>
    <col min="12" max="12" width="11.26953125" bestFit="1" customWidth="1"/>
    <col min="13" max="13" width="15.26953125" hidden="1" customWidth="1" outlineLevel="1"/>
    <col min="14" max="14" width="11.7265625" bestFit="1" customWidth="1" collapsed="1"/>
    <col min="15" max="15" width="14.26953125" bestFit="1" customWidth="1"/>
    <col min="16" max="16" width="12.453125" bestFit="1" customWidth="1"/>
    <col min="17" max="17" width="9.7265625" bestFit="1" customWidth="1"/>
    <col min="18" max="18" width="4" customWidth="1"/>
    <col min="19" max="19" width="10" bestFit="1" customWidth="1"/>
  </cols>
  <sheetData>
    <row r="1" spans="1:19" ht="15" thickBot="1">
      <c r="A1" s="706" t="s">
        <v>53</v>
      </c>
      <c r="B1" s="707"/>
      <c r="C1" s="707"/>
      <c r="D1" s="707"/>
      <c r="E1" s="707"/>
      <c r="F1" s="707"/>
      <c r="G1" s="707"/>
      <c r="H1" s="708"/>
      <c r="J1" s="706" t="s">
        <v>61</v>
      </c>
      <c r="K1" s="707"/>
      <c r="L1" s="707"/>
      <c r="M1" s="707"/>
      <c r="N1" s="707"/>
      <c r="O1" s="707"/>
      <c r="P1" s="707"/>
      <c r="Q1" s="708"/>
    </row>
    <row r="2" spans="1:19" ht="6.75" customHeight="1"/>
    <row r="3" spans="1:19">
      <c r="A3" s="13" t="s">
        <v>62</v>
      </c>
      <c r="B3" s="149">
        <v>202107</v>
      </c>
    </row>
    <row r="4" spans="1:19" ht="4.5" customHeight="1"/>
    <row r="5" spans="1:19">
      <c r="A5" s="340" t="s">
        <v>35</v>
      </c>
      <c r="B5" s="340" t="s">
        <v>36</v>
      </c>
      <c r="C5" t="s">
        <v>63</v>
      </c>
      <c r="D5" t="s">
        <v>64</v>
      </c>
      <c r="E5" t="s">
        <v>65</v>
      </c>
      <c r="F5" t="s">
        <v>66</v>
      </c>
      <c r="G5" s="341" t="s">
        <v>67</v>
      </c>
      <c r="H5" s="341" t="s">
        <v>68</v>
      </c>
      <c r="J5" s="340" t="s">
        <v>35</v>
      </c>
      <c r="K5" s="340" t="s">
        <v>36</v>
      </c>
      <c r="L5" t="s">
        <v>63</v>
      </c>
      <c r="M5" t="s">
        <v>64</v>
      </c>
      <c r="N5" t="s">
        <v>65</v>
      </c>
      <c r="O5" t="s">
        <v>66</v>
      </c>
      <c r="P5" s="342" t="s">
        <v>67</v>
      </c>
      <c r="Q5" s="342" t="s">
        <v>68</v>
      </c>
      <c r="S5" s="343" t="s">
        <v>69</v>
      </c>
    </row>
    <row r="6" spans="1:19">
      <c r="A6" s="21">
        <v>201901</v>
      </c>
      <c r="C6" s="155">
        <v>8.0665819997873385</v>
      </c>
      <c r="D6" s="155">
        <v>224.469369492</v>
      </c>
      <c r="E6" s="155">
        <v>27.827073411999997</v>
      </c>
      <c r="F6" s="155">
        <v>38.416999999999994</v>
      </c>
      <c r="G6" s="163">
        <f>IF(A6="","",E6/IF(A6=$B$3,Resumen!#REF!,VLOOKUP(A6,Graf_PowerBI!$A$4:$D$39,3,0)))</f>
        <v>4.4983893194874711E-2</v>
      </c>
      <c r="H6" s="163">
        <f>IF(A6="","",F6/IF(A6=$B$3,Resumen!#REF!,VLOOKUP(A6,Graf_PowerBI!$A$4:$D$39,4,0)))</f>
        <v>6.3723205384882048E-2</v>
      </c>
      <c r="J6">
        <v>201901</v>
      </c>
      <c r="L6" s="155">
        <v>8.0124278087787992</v>
      </c>
      <c r="M6" s="155">
        <v>764.81063635282999</v>
      </c>
      <c r="N6" s="155">
        <v>95.453045519469995</v>
      </c>
      <c r="O6" s="155">
        <v>141.21299999999999</v>
      </c>
      <c r="P6" s="163">
        <f>IF(J6="","",N6/IF(J6=$B$3,Resumen!#REF!,VLOOKUP(J6,Graf_PowerBI!$A$4:$D$39,3,0)))</f>
        <v>0.15430474995339236</v>
      </c>
      <c r="Q6" s="163">
        <f>IF(J6="","",O6/IF(J6=$B$3,Resumen!#REF!,VLOOKUP(J6,Graf_PowerBI!$A$4:$D$39,4,0)))</f>
        <v>0.2342334123438933</v>
      </c>
      <c r="S6" s="215">
        <f>IF(A6="","",P6+G6)</f>
        <v>0.19928864314826705</v>
      </c>
    </row>
    <row r="7" spans="1:19">
      <c r="A7" s="21">
        <v>201902</v>
      </c>
      <c r="C7" s="155">
        <v>8.4662204880730219</v>
      </c>
      <c r="D7" s="155">
        <v>200.98857887200001</v>
      </c>
      <c r="E7" s="155">
        <v>23.740059588000001</v>
      </c>
      <c r="F7" s="155">
        <v>34.643999999999998</v>
      </c>
      <c r="G7" s="163">
        <f>IF(A7="","",E7/IF(A7=$B$3,Resumen!#REF!,VLOOKUP(A7,Graf_PowerBI!$A$4:$D$39,3,0)))</f>
        <v>3.8373598079143804E-2</v>
      </c>
      <c r="H7" s="163">
        <f>IF(A7="","",F7/IF(A7=$B$3,Resumen!#REF!,VLOOKUP(A7,Graf_PowerBI!$A$4:$D$39,4,0)))</f>
        <v>5.7023969028893853E-2</v>
      </c>
      <c r="J7">
        <v>201902</v>
      </c>
      <c r="L7" s="155">
        <v>7.9893945878903452</v>
      </c>
      <c r="M7" s="155">
        <v>784.43349415158991</v>
      </c>
      <c r="N7" s="155">
        <v>98.184347452379996</v>
      </c>
      <c r="O7" s="155">
        <v>144.096</v>
      </c>
      <c r="P7" s="163">
        <f>IF(J7="","",N7/IF(J7=$B$3,Resumen!#REF!,VLOOKUP(J7,Graf_PowerBI!$A$4:$D$39,3,0)))</f>
        <v>0.15870586477824628</v>
      </c>
      <c r="Q7" s="163">
        <f>IF(J7="","",O7/IF(J7=$B$3,Resumen!#REF!,VLOOKUP(J7,Graf_PowerBI!$A$4:$D$39,4,0)))</f>
        <v>0.23718178735675699</v>
      </c>
      <c r="S7" s="215">
        <f t="shared" ref="S7:S70" si="0">IF(A7="","",P7+G7)</f>
        <v>0.19707946285739009</v>
      </c>
    </row>
    <row r="8" spans="1:19">
      <c r="A8" s="21">
        <v>201903</v>
      </c>
      <c r="C8" s="155">
        <v>8.2482376992904918</v>
      </c>
      <c r="D8" s="155">
        <v>201.05887555999999</v>
      </c>
      <c r="E8" s="155">
        <v>24.375979802</v>
      </c>
      <c r="F8" s="155">
        <v>34.954999999999998</v>
      </c>
      <c r="G8" s="163">
        <f>IF(A8="","",E8/IF(A8=$B$3,Resumen!#REF!,VLOOKUP(A8,Graf_PowerBI!$A$4:$D$39,3,0)))</f>
        <v>3.488638897242425E-2</v>
      </c>
      <c r="H8" s="163">
        <f>IF(A8="","",F8/IF(A8=$B$3,Resumen!#REF!,VLOOKUP(A8,Graf_PowerBI!$A$4:$D$39,4,0)))</f>
        <v>5.5917084985010926E-2</v>
      </c>
      <c r="J8">
        <v>201903</v>
      </c>
      <c r="L8" s="155">
        <v>8.0995954684469602</v>
      </c>
      <c r="M8" s="155">
        <v>985.10086730149999</v>
      </c>
      <c r="N8" s="155">
        <v>121.62346516429</v>
      </c>
      <c r="O8" s="155">
        <v>163.298</v>
      </c>
      <c r="P8" s="163">
        <f>IF(J8="","",N8/IF(J8=$B$3,Resumen!#REF!,VLOOKUP(J8,Graf_PowerBI!$A$4:$D$39,3,0)))</f>
        <v>0.1740649421422388</v>
      </c>
      <c r="Q8" s="163">
        <f>IF(J8="","",O8/IF(J8=$B$3,Resumen!#REF!,VLOOKUP(J8,Graf_PowerBI!$A$4:$D$39,4,0)))</f>
        <v>0.26122580872213746</v>
      </c>
      <c r="S8" s="215">
        <f t="shared" si="0"/>
        <v>0.20895133111466305</v>
      </c>
    </row>
    <row r="9" spans="1:19">
      <c r="A9" s="21">
        <v>201904</v>
      </c>
      <c r="C9" s="155">
        <v>7.9840310302697874</v>
      </c>
      <c r="D9" s="155">
        <v>223.89427621800002</v>
      </c>
      <c r="E9" s="155">
        <v>28.042761277999997</v>
      </c>
      <c r="F9" s="155">
        <v>41.129000000000005</v>
      </c>
      <c r="G9" s="163">
        <f>IF(A9="","",E9/IF(A9=$B$3,Resumen!#REF!,VLOOKUP(A9,Graf_PowerBI!$A$4:$D$39,3,0)))</f>
        <v>4.2123078832767759E-2</v>
      </c>
      <c r="H9" s="163">
        <f>IF(A9="","",F9/IF(A9=$B$3,Resumen!#REF!,VLOOKUP(A9,Graf_PowerBI!$A$4:$D$39,4,0)))</f>
        <v>6.5169717923771922E-2</v>
      </c>
      <c r="J9">
        <v>201904</v>
      </c>
      <c r="L9" s="155">
        <v>7.9402952617310643</v>
      </c>
      <c r="M9" s="155">
        <v>846.95053058757992</v>
      </c>
      <c r="N9" s="155">
        <v>106.66486606229</v>
      </c>
      <c r="O9" s="155">
        <v>152.714</v>
      </c>
      <c r="P9" s="163">
        <f>IF(J9="","",N9/IF(J9=$B$3,Resumen!#REF!,VLOOKUP(J9,Graf_PowerBI!$A$4:$D$39,3,0)))</f>
        <v>0.160221474529091</v>
      </c>
      <c r="Q9" s="163">
        <f>IF(J9="","",O9/IF(J9=$B$3,Resumen!#REF!,VLOOKUP(J9,Graf_PowerBI!$A$4:$D$39,4,0)))</f>
        <v>0.24197836813467152</v>
      </c>
      <c r="S9" s="215">
        <f t="shared" si="0"/>
        <v>0.20234455336185875</v>
      </c>
    </row>
    <row r="10" spans="1:19">
      <c r="A10" s="21">
        <v>201905</v>
      </c>
      <c r="C10" s="155">
        <v>7.6532386015559881</v>
      </c>
      <c r="D10" s="155">
        <v>258.41039207799997</v>
      </c>
      <c r="E10" s="155">
        <v>33.764841987999993</v>
      </c>
      <c r="F10" s="155">
        <v>49.01</v>
      </c>
      <c r="G10" s="163">
        <f>IF(A10="","",E10/IF(A10=$B$3,Resumen!#REF!,VLOOKUP(A10,Graf_PowerBI!$A$4:$D$39,3,0)))</f>
        <v>4.6630654308659807E-2</v>
      </c>
      <c r="H10" s="163">
        <f>IF(A10="","",F10/IF(A10=$B$3,Resumen!#REF!,VLOOKUP(A10,Graf_PowerBI!$A$4:$D$39,4,0)))</f>
        <v>7.6164101703396686E-2</v>
      </c>
      <c r="J10">
        <v>201905</v>
      </c>
      <c r="L10" s="155">
        <v>7.6657275856739133</v>
      </c>
      <c r="M10" s="155">
        <v>909.01235424788001</v>
      </c>
      <c r="N10" s="155">
        <v>118.58135370564</v>
      </c>
      <c r="O10" s="155">
        <v>166.45400000000001</v>
      </c>
      <c r="P10" s="163">
        <f>IF(J10="","",N10/IF(J10=$B$3,Resumen!#REF!,VLOOKUP(J10,Graf_PowerBI!$A$4:$D$39,3,0)))</f>
        <v>0.16376579265692418</v>
      </c>
      <c r="Q10" s="163">
        <f>IF(J10="","",O10/IF(J10=$B$3,Resumen!#REF!,VLOOKUP(J10,Graf_PowerBI!$A$4:$D$39,4,0)))</f>
        <v>0.25867821638312982</v>
      </c>
      <c r="S10" s="215">
        <f t="shared" si="0"/>
        <v>0.21039644696558399</v>
      </c>
    </row>
    <row r="11" spans="1:19">
      <c r="A11" s="21">
        <v>201906</v>
      </c>
      <c r="C11" s="155">
        <v>7.8688202607425648</v>
      </c>
      <c r="D11" s="155">
        <v>283.50042851399996</v>
      </c>
      <c r="E11" s="155">
        <v>36.028326880000002</v>
      </c>
      <c r="F11" s="155">
        <v>48.143000000000001</v>
      </c>
      <c r="G11" s="163">
        <f>IF(A11="","",E11/IF(A11=$B$3,Resumen!#REF!,VLOOKUP(A11,Graf_PowerBI!$A$4:$D$39,3,0)))</f>
        <v>5.1922877657104696E-2</v>
      </c>
      <c r="H11" s="163">
        <f>IF(A11="","",F11/IF(A11=$B$3,Resumen!#REF!,VLOOKUP(A11,Graf_PowerBI!$A$4:$D$39,4,0)))</f>
        <v>7.4503316382589529E-2</v>
      </c>
      <c r="J11">
        <v>201906</v>
      </c>
      <c r="L11" s="155">
        <v>7.3464946295861351</v>
      </c>
      <c r="M11" s="155">
        <v>788.10695941870995</v>
      </c>
      <c r="N11" s="155">
        <v>107.27659913407001</v>
      </c>
      <c r="O11" s="155">
        <v>158.69199999999998</v>
      </c>
      <c r="P11" s="163">
        <f>IF(J11="","",N11/IF(J11=$B$3,Resumen!#REF!,VLOOKUP(J11,Graf_PowerBI!$A$4:$D$39,3,0)))</f>
        <v>0.15460361928160071</v>
      </c>
      <c r="Q11" s="163">
        <f>IF(J11="","",O11/IF(J11=$B$3,Resumen!#REF!,VLOOKUP(J11,Graf_PowerBI!$A$4:$D$39,4,0)))</f>
        <v>0.245582541249733</v>
      </c>
      <c r="S11" s="215">
        <f t="shared" si="0"/>
        <v>0.2065264969387054</v>
      </c>
    </row>
    <row r="12" spans="1:19">
      <c r="A12" s="21">
        <v>201907</v>
      </c>
      <c r="C12" s="155">
        <v>7.9088807797342575</v>
      </c>
      <c r="D12" s="155">
        <v>313.09577085399997</v>
      </c>
      <c r="E12" s="155">
        <v>39.587873376000005</v>
      </c>
      <c r="F12" s="155">
        <v>48.533999999999999</v>
      </c>
      <c r="G12" s="163">
        <f>IF(A12="","",E12/IF(A12=$B$3,Resumen!#REF!,VLOOKUP(A12,Graf_PowerBI!$A$4:$D$39,3,0)))</f>
        <v>5.161104820779959E-2</v>
      </c>
      <c r="H12" s="163">
        <f>IF(A12="","",F12/IF(A12=$B$3,Resumen!#REF!,VLOOKUP(A12,Graf_PowerBI!$A$4:$D$39,4,0)))</f>
        <v>7.3776808963759155E-2</v>
      </c>
      <c r="J12">
        <v>201907</v>
      </c>
      <c r="L12" s="155">
        <v>7.5266606875082376</v>
      </c>
      <c r="M12" s="155">
        <v>729.38732207118005</v>
      </c>
      <c r="N12" s="155">
        <v>96.907161403160003</v>
      </c>
      <c r="O12" s="155">
        <v>153.899</v>
      </c>
      <c r="P12" s="163">
        <f>IF(J12="","",N12/IF(J12=$B$3,Resumen!#REF!,VLOOKUP(J12,Graf_PowerBI!$A$4:$D$39,3,0)))</f>
        <v>0.12633869294660408</v>
      </c>
      <c r="Q12" s="163">
        <f>IF(J12="","",O12/IF(J12=$B$3,Resumen!#REF!,VLOOKUP(J12,Graf_PowerBI!$A$4:$D$39,4,0)))</f>
        <v>0.23394274369954199</v>
      </c>
      <c r="S12" s="215">
        <f t="shared" si="0"/>
        <v>0.17794974115440365</v>
      </c>
    </row>
    <row r="13" spans="1:19">
      <c r="A13" s="21">
        <v>201908</v>
      </c>
      <c r="C13" s="155">
        <v>8.2582491342234565</v>
      </c>
      <c r="D13" s="155">
        <v>381.93011977799995</v>
      </c>
      <c r="E13" s="155">
        <v>46.248316510000002</v>
      </c>
      <c r="F13" s="155">
        <v>54.977000000000004</v>
      </c>
      <c r="G13" s="163">
        <f>IF(A13="","",E13/IF(A13=$B$3,Resumen!#REF!,VLOOKUP(A13,Graf_PowerBI!$A$4:$D$39,3,0)))</f>
        <v>6.2575192477610717E-2</v>
      </c>
      <c r="H13" s="163">
        <f>IF(A13="","",F13/IF(A13=$B$3,Resumen!#REF!,VLOOKUP(A13,Graf_PowerBI!$A$4:$D$39,4,0)))</f>
        <v>8.2931825655661789E-2</v>
      </c>
      <c r="J13">
        <v>201908</v>
      </c>
      <c r="L13" s="155">
        <v>7.6151639541923783</v>
      </c>
      <c r="M13" s="155">
        <v>735.87248058387013</v>
      </c>
      <c r="N13" s="155">
        <v>96.632519668699985</v>
      </c>
      <c r="O13" s="155">
        <v>155.76000000000002</v>
      </c>
      <c r="P13" s="163">
        <f>IF(J13="","",N13/IF(J13=$B$3,Resumen!#REF!,VLOOKUP(J13,Graf_PowerBI!$A$4:$D$39,3,0)))</f>
        <v>0.13074634871429192</v>
      </c>
      <c r="Q13" s="163">
        <f>IF(J13="","",O13/IF(J13=$B$3,Resumen!#REF!,VLOOKUP(J13,Graf_PowerBI!$A$4:$D$39,4,0)))</f>
        <v>0.23496118675311278</v>
      </c>
      <c r="S13" s="215">
        <f t="shared" si="0"/>
        <v>0.19332154119190265</v>
      </c>
    </row>
    <row r="14" spans="1:19">
      <c r="A14" s="21">
        <v>201909</v>
      </c>
      <c r="C14" s="155">
        <v>8.1574859868078828</v>
      </c>
      <c r="D14" s="155">
        <v>327.67029823799999</v>
      </c>
      <c r="E14" s="155">
        <v>40.168049171999996</v>
      </c>
      <c r="F14" s="155">
        <v>54.454999999999998</v>
      </c>
      <c r="G14" s="163">
        <f>IF(A14="","",E14/IF(A14=$B$3,Resumen!#REF!,VLOOKUP(A14,Graf_PowerBI!$A$4:$D$39,3,0)))</f>
        <v>5.6628844005179771E-2</v>
      </c>
      <c r="H14" s="163">
        <f>IF(A14="","",F14/IF(A14=$B$3,Resumen!#REF!,VLOOKUP(A14,Graf_PowerBI!$A$4:$D$39,4,0)))</f>
        <v>8.1795950984014834E-2</v>
      </c>
      <c r="J14">
        <v>201909</v>
      </c>
      <c r="L14" s="155">
        <v>7.8572180221428125</v>
      </c>
      <c r="M14" s="155">
        <v>701.57699808995994</v>
      </c>
      <c r="N14" s="155">
        <v>89.290763742690004</v>
      </c>
      <c r="O14" s="155">
        <v>150.56399999999999</v>
      </c>
      <c r="P14" s="163">
        <f>IF(J14="","",N14/IF(J14=$B$3,Resumen!#REF!,VLOOKUP(J14,Graf_PowerBI!$A$4:$D$39,3,0)))</f>
        <v>0.12588195930144522</v>
      </c>
      <c r="Q14" s="163">
        <f>IF(J14="","",O14/IF(J14=$B$3,Resumen!#REF!,VLOOKUP(J14,Graf_PowerBI!$A$4:$D$39,4,0)))</f>
        <v>0.22615968348098814</v>
      </c>
      <c r="S14" s="215">
        <f t="shared" si="0"/>
        <v>0.182510803306625</v>
      </c>
    </row>
    <row r="15" spans="1:19">
      <c r="A15" s="21">
        <v>201910</v>
      </c>
      <c r="C15" s="155">
        <v>8.166217244128438</v>
      </c>
      <c r="D15" s="155">
        <v>336.47509892599999</v>
      </c>
      <c r="E15" s="155">
        <v>41.203299994000005</v>
      </c>
      <c r="F15" s="155">
        <v>55.311999999999998</v>
      </c>
      <c r="G15" s="163">
        <f>IF(A15="","",E15/IF(A15=$B$3,Resumen!#REF!,VLOOKUP(A15,Graf_PowerBI!$A$4:$D$39,3,0)))</f>
        <v>5.4810341636457462E-2</v>
      </c>
      <c r="H15" s="163">
        <f>IF(A15="","",F15/IF(A15=$B$3,Resumen!#REF!,VLOOKUP(A15,Graf_PowerBI!$A$4:$D$39,4,0)))</f>
        <v>8.2250406329974143E-2</v>
      </c>
      <c r="J15">
        <v>201910</v>
      </c>
      <c r="L15" s="155">
        <v>7.7393628289981047</v>
      </c>
      <c r="M15" s="155">
        <v>692.18518647121005</v>
      </c>
      <c r="N15" s="155">
        <v>89.436973270940001</v>
      </c>
      <c r="O15" s="155">
        <v>151.03400000000002</v>
      </c>
      <c r="P15" s="163">
        <f>IF(J15="","",N15/IF(J15=$B$3,Resumen!#REF!,VLOOKUP(J15,Graf_PowerBI!$A$4:$D$39,3,0)))</f>
        <v>0.11897277792372873</v>
      </c>
      <c r="Q15" s="163">
        <f>IF(J15="","",O15/IF(J15=$B$3,Resumen!#REF!,VLOOKUP(J15,Graf_PowerBI!$A$4:$D$39,4,0)))</f>
        <v>0.22459155101318551</v>
      </c>
      <c r="S15" s="215">
        <f t="shared" si="0"/>
        <v>0.17378311956018619</v>
      </c>
    </row>
    <row r="16" spans="1:19">
      <c r="A16" s="21">
        <v>201911</v>
      </c>
      <c r="C16" s="155">
        <v>7.9207204393117303</v>
      </c>
      <c r="D16" s="155">
        <v>363.24190376400003</v>
      </c>
      <c r="E16" s="155">
        <v>45.859705130000002</v>
      </c>
      <c r="F16" s="155">
        <v>54.518999999999998</v>
      </c>
      <c r="G16" s="163">
        <f>IF(A16="","",E16/IF(A16=$B$3,Resumen!#REF!,VLOOKUP(A16,Graf_PowerBI!$A$4:$D$39,3,0)))</f>
        <v>5.8861608462903739E-2</v>
      </c>
      <c r="H16" s="163">
        <f>IF(A16="","",F16/IF(A16=$B$3,Resumen!#REF!,VLOOKUP(A16,Graf_PowerBI!$A$4:$D$39,4,0)))</f>
        <v>8.0870846059253959E-2</v>
      </c>
      <c r="J16">
        <v>201911</v>
      </c>
      <c r="L16" s="155">
        <v>8.5526016326757652</v>
      </c>
      <c r="M16" s="155">
        <v>796.26570959903006</v>
      </c>
      <c r="N16" s="155">
        <v>93.102162803520002</v>
      </c>
      <c r="O16" s="155">
        <v>145.76300000000001</v>
      </c>
      <c r="P16" s="163">
        <f>IF(J16="","",N16/IF(J16=$B$3,Resumen!#REF!,VLOOKUP(J16,Graf_PowerBI!$A$4:$D$39,3,0)))</f>
        <v>0.11949800022602794</v>
      </c>
      <c r="Q16" s="163">
        <f>IF(J16="","",O16/IF(J16=$B$3,Resumen!#REF!,VLOOKUP(J16,Graf_PowerBI!$A$4:$D$39,4,0)))</f>
        <v>0.21621777974898726</v>
      </c>
      <c r="S16" s="215">
        <f t="shared" si="0"/>
        <v>0.17835960868893169</v>
      </c>
    </row>
    <row r="17" spans="1:19">
      <c r="A17" s="21">
        <v>201912</v>
      </c>
      <c r="C17" s="155">
        <v>7.9631879364405496</v>
      </c>
      <c r="D17" s="155">
        <v>420.58069498000003</v>
      </c>
      <c r="E17" s="155">
        <v>52.815618360000002</v>
      </c>
      <c r="F17" s="155">
        <v>56.381</v>
      </c>
      <c r="G17" s="163">
        <f>IF(A17="","",E17/IF(A17=$B$3,Resumen!#REF!,VLOOKUP(A17,Graf_PowerBI!$A$4:$D$39,3,0)))</f>
        <v>6.201476389215068E-2</v>
      </c>
      <c r="H17" s="163">
        <f>IF(A17="","",F17/IF(A17=$B$3,Resumen!#REF!,VLOOKUP(A17,Graf_PowerBI!$A$4:$D$39,4,0)))</f>
        <v>8.3014806351300416E-2</v>
      </c>
      <c r="J17">
        <v>201912</v>
      </c>
      <c r="L17" s="155">
        <v>7.8981925209262744</v>
      </c>
      <c r="M17" s="155">
        <v>899.70260101689007</v>
      </c>
      <c r="N17" s="155">
        <v>113.91246777450999</v>
      </c>
      <c r="O17" s="155">
        <v>167.33100000000002</v>
      </c>
      <c r="P17" s="163">
        <f>IF(J17="","",N17/IF(J17=$B$3,Resumen!#REF!,VLOOKUP(J17,Graf_PowerBI!$A$4:$D$39,3,0)))</f>
        <v>0.13375313993783675</v>
      </c>
      <c r="Q17" s="163">
        <f>IF(J17="","",O17/IF(J17=$B$3,Resumen!#REF!,VLOOKUP(J17,Graf_PowerBI!$A$4:$D$39,4,0)))</f>
        <v>0.24637644883151152</v>
      </c>
      <c r="S17" s="215">
        <f t="shared" si="0"/>
        <v>0.19576790382998743</v>
      </c>
    </row>
    <row r="18" spans="1:19">
      <c r="A18" s="21">
        <v>202001</v>
      </c>
      <c r="C18" s="155">
        <v>8.0412312603529017</v>
      </c>
      <c r="D18" s="155">
        <v>356.90010761799999</v>
      </c>
      <c r="E18" s="155">
        <v>44.383763637999998</v>
      </c>
      <c r="F18" s="155">
        <v>56.690999999999995</v>
      </c>
      <c r="G18" s="163">
        <f>IF(A18="","",E18/IF(A18=$B$3,Resumen!#REF!,VLOOKUP(A18,Graf_PowerBI!$A$4:$D$39,3,0)))</f>
        <v>5.8520594015379179E-2</v>
      </c>
      <c r="H18" s="163">
        <f>IF(A18="","",F18/IF(A18=$B$3,Resumen!#REF!,VLOOKUP(A18,Graf_PowerBI!$A$4:$D$39,4,0)))</f>
        <v>8.3909966741511827E-2</v>
      </c>
      <c r="J18">
        <v>202001</v>
      </c>
      <c r="L18" s="155">
        <v>8.124333292756166</v>
      </c>
      <c r="M18" s="155">
        <v>751.13921807667998</v>
      </c>
      <c r="N18" s="155">
        <v>92.455490316530003</v>
      </c>
      <c r="O18" s="155">
        <v>142.702</v>
      </c>
      <c r="P18" s="163">
        <f>IF(J18="","",N18/IF(J18=$B$3,Resumen!#REF!,VLOOKUP(J18,Graf_PowerBI!$A$4:$D$39,3,0)))</f>
        <v>0.12190381729309069</v>
      </c>
      <c r="Q18" s="163">
        <f>IF(J18="","",O18/IF(J18=$B$3,Resumen!#REF!,VLOOKUP(J18,Graf_PowerBI!$A$4:$D$39,4,0)))</f>
        <v>0.21121730211051529</v>
      </c>
      <c r="S18" s="215">
        <f t="shared" si="0"/>
        <v>0.18042441130846987</v>
      </c>
    </row>
    <row r="19" spans="1:19">
      <c r="A19" s="21">
        <v>202002</v>
      </c>
      <c r="C19" s="155">
        <v>8.0862611102289197</v>
      </c>
      <c r="D19" s="155">
        <v>329.13668148599999</v>
      </c>
      <c r="E19" s="155">
        <v>40.703197312000007</v>
      </c>
      <c r="F19" s="155">
        <v>53.355999999999995</v>
      </c>
      <c r="G19" s="163">
        <f>IF(A19="","",E19/IF(A19=$B$3,Resumen!#REF!,VLOOKUP(A19,Graf_PowerBI!$A$4:$D$39,3,0)))</f>
        <v>5.2241079672069861E-2</v>
      </c>
      <c r="H19" s="163">
        <f>IF(A19="","",F19/IF(A19=$B$3,Resumen!#REF!,VLOOKUP(A19,Graf_PowerBI!$A$4:$D$39,4,0)))</f>
        <v>7.869233503384053E-2</v>
      </c>
      <c r="J19">
        <v>202002</v>
      </c>
      <c r="L19" s="155">
        <v>7.5044158967724108</v>
      </c>
      <c r="M19" s="155">
        <v>713.03117509804997</v>
      </c>
      <c r="N19" s="155">
        <v>95.014879892880003</v>
      </c>
      <c r="O19" s="155">
        <v>146.52699999999999</v>
      </c>
      <c r="P19" s="163">
        <f>IF(J19="","",N19/IF(J19=$B$3,Resumen!#REF!,VLOOKUP(J19,Graf_PowerBI!$A$4:$D$39,3,0)))</f>
        <v>0.12194815735157774</v>
      </c>
      <c r="Q19" s="163">
        <f>IF(J19="","",O19/IF(J19=$B$3,Resumen!#REF!,VLOOKUP(J19,Graf_PowerBI!$A$4:$D$39,4,0)))</f>
        <v>0.21610600074037692</v>
      </c>
      <c r="S19" s="215">
        <f t="shared" si="0"/>
        <v>0.17418923702364761</v>
      </c>
    </row>
    <row r="20" spans="1:19">
      <c r="A20" s="21">
        <v>202003</v>
      </c>
      <c r="C20" s="155">
        <v>8.0303223046991903</v>
      </c>
      <c r="D20" s="155">
        <v>297.66986257600001</v>
      </c>
      <c r="E20" s="155">
        <v>37.068233538000001</v>
      </c>
      <c r="F20" s="155">
        <v>49.742999999999995</v>
      </c>
      <c r="G20" s="163">
        <f>IF(A20="","",E20/IF(A20=$B$3,Resumen!#REF!,VLOOKUP(A20,Graf_PowerBI!$A$4:$D$39,3,0)))</f>
        <v>6.8885159900479831E-2</v>
      </c>
      <c r="H20" s="163">
        <f>IF(A20="","",F20/IF(A20=$B$3,Resumen!#REF!,VLOOKUP(A20,Graf_PowerBI!$A$4:$D$39,4,0)))</f>
        <v>7.7840928651683627E-2</v>
      </c>
      <c r="J20">
        <v>202003</v>
      </c>
      <c r="L20" s="155">
        <v>7.3459395818809625</v>
      </c>
      <c r="M20" s="155">
        <v>472.19990767768996</v>
      </c>
      <c r="N20" s="155">
        <v>64.28039632158</v>
      </c>
      <c r="O20" s="155">
        <v>116.75</v>
      </c>
      <c r="P20" s="163">
        <f>IF(J20="","",N20/IF(J20=$B$3,Resumen!#REF!,VLOOKUP(J20,Graf_PowerBI!$A$4:$D$39,3,0)))</f>
        <v>0.11945444809337853</v>
      </c>
      <c r="Q20" s="163">
        <f>IF(J20="","",O20/IF(J20=$B$3,Resumen!#REF!,VLOOKUP(J20,Graf_PowerBI!$A$4:$D$39,4,0)))</f>
        <v>0.18269763424168353</v>
      </c>
      <c r="S20" s="215">
        <f t="shared" si="0"/>
        <v>0.18833960799385835</v>
      </c>
    </row>
    <row r="21" spans="1:19">
      <c r="A21" s="21">
        <v>202004</v>
      </c>
      <c r="C21" s="155">
        <v>7.7531546647557024</v>
      </c>
      <c r="D21" s="155">
        <v>113.74288948400002</v>
      </c>
      <c r="E21" s="155">
        <v>14.670530178000002</v>
      </c>
      <c r="F21" s="155">
        <v>24.144000000000002</v>
      </c>
      <c r="G21" s="163">
        <f>IF(A21="","",E21/IF(A21=$B$3,Resumen!#REF!,VLOOKUP(A21,Graf_PowerBI!$A$4:$D$39,3,0)))</f>
        <v>5.4631973208537347E-2</v>
      </c>
      <c r="H21" s="163">
        <f>IF(A21="","",F21/IF(A21=$B$3,Resumen!#REF!,VLOOKUP(A21,Graf_PowerBI!$A$4:$D$39,4,0)))</f>
        <v>4.5352342847482463E-2</v>
      </c>
      <c r="J21">
        <v>202004</v>
      </c>
      <c r="L21" s="155">
        <v>6.7450947013127678</v>
      </c>
      <c r="M21" s="155">
        <v>136.21568367779003</v>
      </c>
      <c r="N21" s="155">
        <v>20.194777050539997</v>
      </c>
      <c r="O21" s="155">
        <v>44.701999999999998</v>
      </c>
      <c r="P21" s="163">
        <f>IF(J21="","",N21/IF(J21=$B$3,Resumen!#REF!,VLOOKUP(J21,Graf_PowerBI!$A$4:$D$39,3,0)))</f>
        <v>7.5203861441352049E-2</v>
      </c>
      <c r="Q21" s="163">
        <f>IF(J21="","",O21/IF(J21=$B$3,Resumen!#REF!,VLOOKUP(J21,Graf_PowerBI!$A$4:$D$39,4,0)))</f>
        <v>8.3968705681252517E-2</v>
      </c>
      <c r="S21" s="215">
        <f t="shared" si="0"/>
        <v>0.1298358346498894</v>
      </c>
    </row>
    <row r="22" spans="1:19">
      <c r="A22" s="21">
        <v>202005</v>
      </c>
      <c r="C22" s="155">
        <v>8.0292153557623749</v>
      </c>
      <c r="D22" s="155">
        <v>141.71290845799999</v>
      </c>
      <c r="E22" s="155">
        <v>17.649658425999998</v>
      </c>
      <c r="F22" s="155">
        <v>27.960999999999999</v>
      </c>
      <c r="G22" s="163">
        <f>IF(A22="","",E22/IF(A22=$B$3,Resumen!#REF!,VLOOKUP(A22,Graf_PowerBI!$A$4:$D$39,3,0)))</f>
        <v>4.7451795695529125E-2</v>
      </c>
      <c r="H22" s="163">
        <f>IF(A22="","",F22/IF(A22=$B$3,Resumen!#REF!,VLOOKUP(A22,Graf_PowerBI!$A$4:$D$39,4,0)))</f>
        <v>5.19315775788418E-2</v>
      </c>
      <c r="J22">
        <v>202005</v>
      </c>
      <c r="L22" s="155">
        <v>7.4326883055780986</v>
      </c>
      <c r="M22" s="155">
        <v>255.57926038551003</v>
      </c>
      <c r="N22" s="155">
        <v>34.385843974339998</v>
      </c>
      <c r="O22" s="155">
        <v>54.37</v>
      </c>
      <c r="P22" s="163">
        <f>IF(J22="","",N22/IF(J22=$B$3,Resumen!#REF!,VLOOKUP(J22,Graf_PowerBI!$A$4:$D$39,3,0)))</f>
        <v>9.24476838988047E-2</v>
      </c>
      <c r="Q22" s="163">
        <f>IF(J22="","",O22/IF(J22=$B$3,Resumen!#REF!,VLOOKUP(J22,Graf_PowerBI!$A$4:$D$39,4,0)))</f>
        <v>0.10098064707848892</v>
      </c>
      <c r="S22" s="215">
        <f t="shared" si="0"/>
        <v>0.13989947959433383</v>
      </c>
    </row>
    <row r="23" spans="1:19">
      <c r="A23" s="21">
        <v>202006</v>
      </c>
      <c r="C23" s="155">
        <v>8.1979362480869629</v>
      </c>
      <c r="D23" s="155">
        <v>154.757574578</v>
      </c>
      <c r="E23" s="155">
        <v>18.877626014000001</v>
      </c>
      <c r="F23" s="155">
        <v>26.847999999999999</v>
      </c>
      <c r="G23" s="163">
        <f>IF(A23="","",E23/IF(A23=$B$3,Resumen!#REF!,VLOOKUP(A23,Graf_PowerBI!$A$4:$D$39,3,0)))</f>
        <v>4.4451161022699796E-2</v>
      </c>
      <c r="H23" s="163">
        <f>IF(A23="","",F23/IF(A23=$B$3,Resumen!#REF!,VLOOKUP(A23,Graf_PowerBI!$A$4:$D$39,4,0)))</f>
        <v>4.9501445513009612E-2</v>
      </c>
      <c r="J23">
        <v>202006</v>
      </c>
      <c r="L23" s="155">
        <v>7.2885868706947958</v>
      </c>
      <c r="M23" s="155">
        <v>283.36206353408005</v>
      </c>
      <c r="N23" s="155">
        <v>38.877503768720004</v>
      </c>
      <c r="O23" s="155">
        <v>58.866999999999997</v>
      </c>
      <c r="P23" s="163">
        <f>IF(J23="","",N23/IF(J23=$B$3,Resumen!#REF!,VLOOKUP(J23,Graf_PowerBI!$A$4:$D$39,3,0)))</f>
        <v>9.1544889113830435E-2</v>
      </c>
      <c r="Q23" s="163">
        <f>IF(J23="","",O23/IF(J23=$B$3,Resumen!#REF!,VLOOKUP(J23,Graf_PowerBI!$A$4:$D$39,4,0)))</f>
        <v>0.10853700808307273</v>
      </c>
      <c r="S23" s="215">
        <f t="shared" si="0"/>
        <v>0.13599605013653024</v>
      </c>
    </row>
    <row r="24" spans="1:19">
      <c r="A24" s="21">
        <v>202007</v>
      </c>
      <c r="C24" s="155">
        <v>8.2157654351999199</v>
      </c>
      <c r="D24" s="155">
        <v>185.26355355199999</v>
      </c>
      <c r="E24" s="155">
        <v>22.549761797999999</v>
      </c>
      <c r="F24" s="155">
        <v>28.911000000000001</v>
      </c>
      <c r="G24" s="163">
        <f>IF(A24="","",E24/IF(A24=$B$3,Resumen!#REF!,VLOOKUP(A24,Graf_PowerBI!$A$4:$D$39,3,0)))</f>
        <v>4.2858880504831387E-2</v>
      </c>
      <c r="H24" s="163">
        <f>IF(A24="","",F24/IF(A24=$B$3,Resumen!#REF!,VLOOKUP(A24,Graf_PowerBI!$A$4:$D$39,4,0)))</f>
        <v>5.3389792948580629E-2</v>
      </c>
      <c r="J24">
        <v>202007</v>
      </c>
      <c r="L24" s="155">
        <v>7.3875211970824175</v>
      </c>
      <c r="M24" s="155">
        <v>372.00513497106999</v>
      </c>
      <c r="N24" s="155">
        <v>50.355880551379997</v>
      </c>
      <c r="O24" s="155">
        <v>69.727000000000004</v>
      </c>
      <c r="P24" s="163">
        <f>IF(J24="","",N24/IF(J24=$B$3,Resumen!#REF!,VLOOKUP(J24,Graf_PowerBI!$A$4:$D$39,3,0)))</f>
        <v>9.5708180272599364E-2</v>
      </c>
      <c r="Q24" s="163">
        <f>IF(J24="","",O24/IF(J24=$B$3,Resumen!#REF!,VLOOKUP(J24,Graf_PowerBI!$A$4:$D$39,4,0)))</f>
        <v>0.12876448732059359</v>
      </c>
      <c r="S24" s="215">
        <f t="shared" si="0"/>
        <v>0.13856706077743075</v>
      </c>
    </row>
    <row r="25" spans="1:19">
      <c r="A25" s="21">
        <v>202008</v>
      </c>
      <c r="C25" s="155">
        <v>8.212449797989974</v>
      </c>
      <c r="D25" s="155">
        <v>110.14914600800002</v>
      </c>
      <c r="E25" s="155">
        <v>13.412458976</v>
      </c>
      <c r="F25" s="155">
        <v>18.556999999999999</v>
      </c>
      <c r="G25" s="163">
        <f>IF(A25="","",E25/IF(A25=$B$3,Resumen!#REF!,VLOOKUP(A25,Graf_PowerBI!$A$4:$D$39,3,0)))</f>
        <v>2.5279306697682885E-2</v>
      </c>
      <c r="H25" s="163">
        <f>IF(A25="","",F25/IF(A25=$B$3,Resumen!#REF!,VLOOKUP(A25,Graf_PowerBI!$A$4:$D$39,4,0)))</f>
        <v>3.5181748034451836E-2</v>
      </c>
      <c r="J25">
        <v>202008</v>
      </c>
      <c r="L25" s="155">
        <v>7.9166252574383797</v>
      </c>
      <c r="M25" s="155">
        <v>404.84367957760003</v>
      </c>
      <c r="N25" s="155">
        <v>51.138416485890005</v>
      </c>
      <c r="O25" s="155">
        <v>69.844999999999999</v>
      </c>
      <c r="P25" s="163">
        <f>IF(J25="","",N25/IF(J25=$B$3,Resumen!#REF!,VLOOKUP(J25,Graf_PowerBI!$A$4:$D$39,3,0)))</f>
        <v>9.6383796341436512E-2</v>
      </c>
      <c r="Q25" s="163">
        <f>IF(J25="","",O25/IF(J25=$B$3,Resumen!#REF!,VLOOKUP(J25,Graf_PowerBI!$A$4:$D$39,4,0)))</f>
        <v>0.1324173730380066</v>
      </c>
      <c r="S25" s="215">
        <f t="shared" si="0"/>
        <v>0.1216631030391194</v>
      </c>
    </row>
    <row r="26" spans="1:19">
      <c r="A26" s="21">
        <v>202009</v>
      </c>
      <c r="C26" s="155">
        <v>7.8837137747801078</v>
      </c>
      <c r="D26" s="155">
        <v>153.39822454399999</v>
      </c>
      <c r="E26" s="155">
        <v>19.457609564000002</v>
      </c>
      <c r="F26" s="155">
        <v>23.997</v>
      </c>
      <c r="G26" s="163">
        <f>IF(A26="","",E26/IF(A26=$B$3,Resumen!#REF!,VLOOKUP(A26,Graf_PowerBI!$A$4:$D$39,3,0)))</f>
        <v>3.7213893560354733E-2</v>
      </c>
      <c r="H26" s="163">
        <f>IF(A26="","",F26/IF(A26=$B$3,Resumen!#REF!,VLOOKUP(A26,Graf_PowerBI!$A$4:$D$39,4,0)))</f>
        <v>4.57959763205203E-2</v>
      </c>
      <c r="J26">
        <v>202009</v>
      </c>
      <c r="L26" s="155">
        <v>7.7960062725790005</v>
      </c>
      <c r="M26" s="155">
        <v>408.11701915829002</v>
      </c>
      <c r="N26" s="155">
        <v>52.349498562329998</v>
      </c>
      <c r="O26" s="155">
        <v>73.472999999999999</v>
      </c>
      <c r="P26" s="163">
        <f>IF(J26="","",N26/IF(J26=$B$3,Resumen!#REF!,VLOOKUP(J26,Graf_PowerBI!$A$4:$D$39,3,0)))</f>
        <v>0.10012168560730461</v>
      </c>
      <c r="Q26" s="163">
        <f>IF(J26="","",O26/IF(J26=$B$3,Resumen!#REF!,VLOOKUP(J26,Graf_PowerBI!$A$4:$D$39,4,0)))</f>
        <v>0.14021618403123676</v>
      </c>
      <c r="S26" s="215">
        <f t="shared" si="0"/>
        <v>0.13733557916765934</v>
      </c>
    </row>
    <row r="27" spans="1:19">
      <c r="A27" s="21">
        <v>202010</v>
      </c>
      <c r="C27" s="155">
        <v>7.655021620622521</v>
      </c>
      <c r="D27" s="155">
        <v>159.27256009600001</v>
      </c>
      <c r="E27" s="155">
        <v>20.806284813999998</v>
      </c>
      <c r="F27" s="155">
        <v>29.072000000000003</v>
      </c>
      <c r="G27" s="163">
        <f>IF(A27="","",E27/IF(A27=$B$3,Resumen!#REF!,VLOOKUP(A27,Graf_PowerBI!$A$4:$D$39,3,0)))</f>
        <v>3.6111424410874012E-2</v>
      </c>
      <c r="H27" s="163">
        <f>IF(A27="","",F27/IF(A27=$B$3,Resumen!#REF!,VLOOKUP(A27,Graf_PowerBI!$A$4:$D$39,4,0)))</f>
        <v>5.4661103788786129E-2</v>
      </c>
      <c r="J27">
        <v>202010</v>
      </c>
      <c r="L27" s="155">
        <v>7.954138764877607</v>
      </c>
      <c r="M27" s="155">
        <v>446.99409159245999</v>
      </c>
      <c r="N27" s="155">
        <v>56.196416080419993</v>
      </c>
      <c r="O27" s="155">
        <v>78.408999999999992</v>
      </c>
      <c r="P27" s="163">
        <f>IF(J27="","",N27/IF(J27=$B$3,Resumen!#REF!,VLOOKUP(J27,Graf_PowerBI!$A$4:$D$39,3,0)))</f>
        <v>9.7534598300059186E-2</v>
      </c>
      <c r="Q27" s="163">
        <f>IF(J27="","",O27/IF(J27=$B$3,Resumen!#REF!,VLOOKUP(J27,Graf_PowerBI!$A$4:$D$39,4,0)))</f>
        <v>0.14742441135714537</v>
      </c>
      <c r="S27" s="215">
        <f t="shared" si="0"/>
        <v>0.1336460227109332</v>
      </c>
    </row>
    <row r="28" spans="1:19">
      <c r="A28" s="21">
        <v>202011</v>
      </c>
      <c r="C28" s="155">
        <v>7.8198197151549058</v>
      </c>
      <c r="D28" s="155">
        <v>161.66795529199999</v>
      </c>
      <c r="E28" s="155">
        <v>20.674128199999998</v>
      </c>
      <c r="F28" s="155">
        <v>29.219000000000005</v>
      </c>
      <c r="G28" s="163">
        <f>IF(A28="","",E28/IF(A28=$B$3,Resumen!#REF!,VLOOKUP(A28,Graf_PowerBI!$A$4:$D$39,3,0)))</f>
        <v>3.4446608409960715E-2</v>
      </c>
      <c r="H28" s="163">
        <f>IF(A28="","",F28/IF(A28=$B$3,Resumen!#REF!,VLOOKUP(A28,Graf_PowerBI!$A$4:$D$39,4,0)))</f>
        <v>5.4870434114728583E-2</v>
      </c>
      <c r="J28">
        <v>202011</v>
      </c>
      <c r="L28" s="155">
        <v>7.7367610274724745</v>
      </c>
      <c r="M28" s="155">
        <v>414.69490029878</v>
      </c>
      <c r="N28" s="155">
        <v>53.600582831270003</v>
      </c>
      <c r="O28" s="155">
        <v>76.183999999999997</v>
      </c>
      <c r="P28" s="163">
        <f>IF(J28="","",N28/IF(J28=$B$3,Resumen!#REF!,VLOOKUP(J28,Graf_PowerBI!$A$4:$D$39,3,0)))</f>
        <v>8.930767331385811E-2</v>
      </c>
      <c r="Q28" s="163">
        <f>IF(J28="","",O28/IF(J28=$B$3,Resumen!#REF!,VLOOKUP(J28,Graf_PowerBI!$A$4:$D$39,4,0)))</f>
        <v>0.14306612658189813</v>
      </c>
      <c r="S28" s="215">
        <f t="shared" si="0"/>
        <v>0.12375428172381883</v>
      </c>
    </row>
    <row r="29" spans="1:19">
      <c r="A29" s="21">
        <v>202012</v>
      </c>
      <c r="C29" s="155">
        <v>7.7282480260523165</v>
      </c>
      <c r="D29" s="155">
        <v>224.50628156400001</v>
      </c>
      <c r="E29" s="155">
        <v>29.050087523999998</v>
      </c>
      <c r="F29" s="155">
        <v>35.616999999999997</v>
      </c>
      <c r="G29" s="163">
        <f>IF(A29="","",E29/IF(A29=$B$3,Resumen!#REF!,VLOOKUP(A29,Graf_PowerBI!$A$4:$D$39,3,0)))</f>
        <v>4.0954928144576887E-2</v>
      </c>
      <c r="H29" s="163">
        <f>IF(A29="","",F29/IF(A29=$B$3,Resumen!#REF!,VLOOKUP(A29,Graf_PowerBI!$A$4:$D$39,4,0)))</f>
        <v>6.5338746278294585E-2</v>
      </c>
      <c r="J29">
        <v>202012</v>
      </c>
      <c r="L29" s="155">
        <v>7.9073179806322988</v>
      </c>
      <c r="M29" s="155">
        <v>530.82993269169992</v>
      </c>
      <c r="N29" s="155">
        <v>67.131476689300001</v>
      </c>
      <c r="O29" s="155">
        <v>89.903999999999996</v>
      </c>
      <c r="P29" s="163">
        <f>IF(J29="","",N29/IF(J29=$B$3,Resumen!#REF!,VLOOKUP(J29,Graf_PowerBI!$A$4:$D$39,3,0)))</f>
        <v>9.4642221018377548E-2</v>
      </c>
      <c r="Q29" s="163">
        <f>IF(J29="","",O29/IF(J29=$B$3,Resumen!#REF!,VLOOKUP(J29,Graf_PowerBI!$A$4:$D$39,4,0)))</f>
        <v>0.16492727196012569</v>
      </c>
      <c r="S29" s="215">
        <f t="shared" si="0"/>
        <v>0.13559714916295443</v>
      </c>
    </row>
    <row r="30" spans="1:19">
      <c r="A30" s="21">
        <v>202101</v>
      </c>
      <c r="C30" s="155">
        <v>7.6949060266708287</v>
      </c>
      <c r="D30" s="155">
        <v>215.99194664200002</v>
      </c>
      <c r="E30" s="155">
        <v>28.069471659999998</v>
      </c>
      <c r="F30" s="155">
        <v>32.835000000000001</v>
      </c>
      <c r="G30" s="163">
        <f>IF(A30="","",E30/IF(A30=$B$3,Resumen!#REF!,VLOOKUP(A30,Graf_PowerBI!$A$4:$D$39,3,0)))</f>
        <v>4.4481845207461526E-2</v>
      </c>
      <c r="H30" s="163">
        <f>IF(A30="","",F30/IF(A30=$B$3,Resumen!#REF!,VLOOKUP(A30,Graf_PowerBI!$A$4:$D$39,4,0)))</f>
        <v>6.0692824254209306E-2</v>
      </c>
      <c r="J30">
        <v>202101</v>
      </c>
      <c r="L30" s="155">
        <v>7.6221213000652668</v>
      </c>
      <c r="M30" s="155">
        <v>401.48485387808006</v>
      </c>
      <c r="N30" s="155">
        <v>52.673637439309999</v>
      </c>
      <c r="O30" s="155">
        <v>74.584000000000003</v>
      </c>
      <c r="P30" s="163">
        <f>IF(J30="","",N30/IF(J30=$B$3,Resumen!#REF!,VLOOKUP(J30,Graf_PowerBI!$A$4:$D$39,3,0)))</f>
        <v>8.3472201239477753E-2</v>
      </c>
      <c r="Q30" s="163">
        <f>IF(J30="","",O30/IF(J30=$B$3,Resumen!#REF!,VLOOKUP(J30,Graf_PowerBI!$A$4:$D$39,4,0)))</f>
        <v>0.13786245177938014</v>
      </c>
      <c r="S30" s="215">
        <f t="shared" si="0"/>
        <v>0.12795404644693928</v>
      </c>
    </row>
    <row r="31" spans="1:19">
      <c r="A31" s="21">
        <v>202102</v>
      </c>
      <c r="C31" s="155">
        <v>8.0983187276084792</v>
      </c>
      <c r="D31" s="155">
        <v>176.86105951000002</v>
      </c>
      <c r="E31" s="155">
        <v>21.839231754000004</v>
      </c>
      <c r="F31" s="155">
        <v>26.967999999999996</v>
      </c>
      <c r="G31" s="163">
        <f>IF(A31="","",E31/IF(A31=$B$3,Resumen!#REF!,VLOOKUP(A31,Graf_PowerBI!$A$4:$D$39,3,0)))</f>
        <v>4.0677361939445079E-2</v>
      </c>
      <c r="H31" s="163">
        <f>IF(A31="","",F31/IF(A31=$B$3,Resumen!#REF!,VLOOKUP(A31,Graf_PowerBI!$A$4:$D$39,4,0)))</f>
        <v>5.0775528033107267E-2</v>
      </c>
      <c r="J31">
        <v>202102</v>
      </c>
      <c r="L31" s="155">
        <v>7.263670513593274</v>
      </c>
      <c r="M31" s="155">
        <v>303.09813710828001</v>
      </c>
      <c r="N31" s="155">
        <v>41.727957861120004</v>
      </c>
      <c r="O31" s="155">
        <v>61.382999999999996</v>
      </c>
      <c r="P31" s="163">
        <f>IF(J31="","",N31/IF(J31=$B$3,Resumen!#REF!,VLOOKUP(J31,Graf_PowerBI!$A$4:$D$39,3,0)))</f>
        <v>7.7721746993220292E-2</v>
      </c>
      <c r="Q31" s="163">
        <f>IF(J31="","",O31/IF(J31=$B$3,Resumen!#REF!,VLOOKUP(J31,Graf_PowerBI!$A$4:$D$39,4,0)))</f>
        <v>0.11557231671819281</v>
      </c>
      <c r="S31" s="215">
        <f t="shared" si="0"/>
        <v>0.11839910893266536</v>
      </c>
    </row>
    <row r="32" spans="1:19">
      <c r="A32" s="21">
        <v>202103</v>
      </c>
      <c r="C32" s="155">
        <v>8.3521957703711074</v>
      </c>
      <c r="D32" s="155">
        <v>294.35569878800004</v>
      </c>
      <c r="E32" s="155">
        <v>35.242911790000001</v>
      </c>
      <c r="F32" s="155">
        <v>33.832999999999998</v>
      </c>
      <c r="G32" s="163">
        <f>IF(A32="","",E32/IF(A32=$B$3,Resumen!#REF!,VLOOKUP(A32,Graf_PowerBI!$A$4:$D$39,3,0)))</f>
        <v>4.708454016193276E-2</v>
      </c>
      <c r="H32" s="163">
        <f>IF(A32="","",F32/IF(A32=$B$3,Resumen!#REF!,VLOOKUP(A32,Graf_PowerBI!$A$4:$D$39,4,0)))</f>
        <v>6.0365946134013714E-2</v>
      </c>
      <c r="J32">
        <v>202103</v>
      </c>
      <c r="L32" s="155">
        <v>7.3517446084036608</v>
      </c>
      <c r="M32" s="155">
        <v>500.92667645041001</v>
      </c>
      <c r="N32" s="155">
        <v>68.137116172099994</v>
      </c>
      <c r="O32" s="155">
        <v>85.117000000000004</v>
      </c>
      <c r="P32" s="163">
        <f>IF(J32="","",N32/IF(J32=$B$3,Resumen!#REF!,VLOOKUP(J32,Graf_PowerBI!$A$4:$D$39,3,0)))</f>
        <v>9.1031206559777852E-2</v>
      </c>
      <c r="Q32" s="163">
        <f>IF(J32="","",O32/IF(J32=$B$3,Resumen!#REF!,VLOOKUP(J32,Graf_PowerBI!$A$4:$D$39,4,0)))</f>
        <v>0.15186853773206177</v>
      </c>
      <c r="S32" s="215">
        <f t="shared" si="0"/>
        <v>0.13811574672171062</v>
      </c>
    </row>
    <row r="33" spans="1:19">
      <c r="A33" s="21">
        <v>202104</v>
      </c>
      <c r="C33" s="155">
        <v>8.2089340515707629</v>
      </c>
      <c r="D33" s="155">
        <v>229.268878282</v>
      </c>
      <c r="E33" s="155">
        <v>27.929189934</v>
      </c>
      <c r="F33" s="155">
        <v>28.893999999999998</v>
      </c>
      <c r="G33" s="163">
        <f>IF(A33="","",E33/IF(A33=$B$3,Resumen!#REF!,VLOOKUP(A33,Graf_PowerBI!$A$4:$D$39,3,0)))</f>
        <v>3.9460251931186512E-2</v>
      </c>
      <c r="H33" s="163">
        <f>IF(A33="","",F33/IF(A33=$B$3,Resumen!#REF!,VLOOKUP(A33,Graf_PowerBI!$A$4:$D$39,4,0)))</f>
        <v>5.1855520978029507E-2</v>
      </c>
      <c r="J33">
        <v>202104</v>
      </c>
      <c r="L33" s="155">
        <v>7.0229476299444062</v>
      </c>
      <c r="M33" s="155">
        <v>370.89329852376</v>
      </c>
      <c r="N33" s="155">
        <v>52.811628117849999</v>
      </c>
      <c r="O33" s="155">
        <v>75.331000000000003</v>
      </c>
      <c r="P33" s="163">
        <f>IF(J33="","",N33/IF(J33=$B$3,Resumen!#REF!,VLOOKUP(J33,Graf_PowerBI!$A$4:$D$39,3,0)))</f>
        <v>7.4615846551623594E-2</v>
      </c>
      <c r="Q33" s="163">
        <f>IF(J33="","",O33/IF(J33=$B$3,Resumen!#REF!,VLOOKUP(J33,Graf_PowerBI!$A$4:$D$39,4,0)))</f>
        <v>0.13519513569585179</v>
      </c>
      <c r="S33" s="215">
        <f t="shared" si="0"/>
        <v>0.11407609848281011</v>
      </c>
    </row>
    <row r="34" spans="1:19">
      <c r="A34" s="21">
        <v>202105</v>
      </c>
      <c r="C34" s="155">
        <v>7.8504956316047974</v>
      </c>
      <c r="D34" s="155">
        <v>208.28337012400002</v>
      </c>
      <c r="E34" s="155">
        <v>26.531238267999999</v>
      </c>
      <c r="F34" s="155">
        <v>31.459999999999997</v>
      </c>
      <c r="G34" s="163">
        <f>IF(A34="","",E34/IF(A34=$B$3,Resumen!#REF!,VLOOKUP(A34,Graf_PowerBI!$A$4:$D$39,3,0)))</f>
        <v>3.2630350088022064E-2</v>
      </c>
      <c r="H34" s="163">
        <f>IF(A34="","",F34/IF(A34=$B$3,Resumen!#REF!,VLOOKUP(A34,Graf_PowerBI!$A$4:$D$39,4,0)))</f>
        <v>5.4657910281802696E-2</v>
      </c>
      <c r="J34">
        <v>202105</v>
      </c>
      <c r="L34" s="155">
        <v>6.9117054419776638</v>
      </c>
      <c r="M34" s="155">
        <v>409.37002671522998</v>
      </c>
      <c r="N34" s="155">
        <v>59.228511711299994</v>
      </c>
      <c r="O34" s="155">
        <v>84.503</v>
      </c>
      <c r="P34" s="163">
        <f>IF(J34="","",N34/IF(J34=$B$3,Resumen!#REF!,VLOOKUP(J34,Graf_PowerBI!$A$4:$D$39,3,0)))</f>
        <v>7.2844209260419193E-2</v>
      </c>
      <c r="Q34" s="163">
        <f>IF(J34="","",O34/IF(J34=$B$3,Resumen!#REF!,VLOOKUP(J34,Graf_PowerBI!$A$4:$D$39,4,0)))</f>
        <v>0.1468136488411689</v>
      </c>
      <c r="S34" s="215">
        <f t="shared" si="0"/>
        <v>0.10547455934844126</v>
      </c>
    </row>
    <row r="35" spans="1:19">
      <c r="A35" s="21">
        <v>202106</v>
      </c>
      <c r="C35" s="155">
        <v>7.6451068711823007</v>
      </c>
      <c r="D35" s="155">
        <v>204.33848795</v>
      </c>
      <c r="E35" s="155">
        <v>26.728009352000001</v>
      </c>
      <c r="F35" s="155">
        <v>30.607000000000003</v>
      </c>
      <c r="G35" s="163">
        <f>IF(A35="","",E35/IF(A35=$B$3,Resumen!#REF!,VLOOKUP(A35,Graf_PowerBI!$A$4:$D$39,3,0)))</f>
        <v>3.3248688454902281E-2</v>
      </c>
      <c r="H35" s="163">
        <f>IF(A35="","",F35/IF(A35=$B$3,Resumen!#REF!,VLOOKUP(A35,Graf_PowerBI!$A$4:$D$39,4,0)))</f>
        <v>5.2211575695440722E-2</v>
      </c>
      <c r="J35">
        <v>202106</v>
      </c>
      <c r="L35" s="155">
        <v>6.5568659131069973</v>
      </c>
      <c r="M35" s="155">
        <v>403.33391820781003</v>
      </c>
      <c r="N35" s="155">
        <v>61.513217374409997</v>
      </c>
      <c r="O35" s="155">
        <v>89.451999999999984</v>
      </c>
      <c r="P35" s="163">
        <f>IF(J35="","",N35/IF(J35=$B$3,Resumen!#REF!,VLOOKUP(J35,Graf_PowerBI!$A$4:$D$39,3,0)))</f>
        <v>7.6520244115650879E-2</v>
      </c>
      <c r="Q35" s="163">
        <f>IF(J35="","",O35/IF(J35=$B$3,Resumen!#REF!,VLOOKUP(J35,Graf_PowerBI!$A$4:$D$39,4,0)))</f>
        <v>0.15259352008065352</v>
      </c>
      <c r="S35" s="215">
        <f t="shared" si="0"/>
        <v>0.10976893257055316</v>
      </c>
    </row>
    <row r="36" spans="1:19">
      <c r="A36" s="21">
        <v>202106</v>
      </c>
      <c r="B36" t="s">
        <v>9</v>
      </c>
      <c r="C36" s="155">
        <v>7.2179694254959665</v>
      </c>
      <c r="D36" s="155">
        <v>28.644233268000001</v>
      </c>
      <c r="E36" s="155">
        <v>3.9684614300000001</v>
      </c>
      <c r="F36" s="155">
        <v>3.1629999999999998</v>
      </c>
      <c r="G36" s="163">
        <f>IF(A36="","",E36/IF(A36=$B$3,Resumen!#REF!,VLOOKUP(A36,Graf_PowerBI!$A$4:$D$39,3,0)))</f>
        <v>4.9366241979967255E-3</v>
      </c>
      <c r="H36" s="163">
        <f>IF(A36="","",F36/IF(A36=$B$3,Resumen!#REF!,VLOOKUP(A36,Graf_PowerBI!$A$4:$D$39,4,0)))</f>
        <v>5.3956681126761524E-3</v>
      </c>
      <c r="J36">
        <v>202106</v>
      </c>
      <c r="K36" t="s">
        <v>9</v>
      </c>
      <c r="L36" s="155">
        <v>7.8623721900816292</v>
      </c>
      <c r="M36" s="155">
        <v>84.946681343310004</v>
      </c>
      <c r="N36" s="155">
        <v>10.80420505283</v>
      </c>
      <c r="O36" s="155">
        <v>11.779</v>
      </c>
      <c r="P36" s="163">
        <f>IF(J36="","",N36/IF(J36=$B$3,Resumen!#REF!,VLOOKUP(J36,Graf_PowerBI!$A$4:$D$39,3,0)))</f>
        <v>1.3440044975797854E-2</v>
      </c>
      <c r="Q36" s="163">
        <f>IF(J36="","",O36/IF(J36=$B$3,Resumen!#REF!,VLOOKUP(J36,Graf_PowerBI!$A$4:$D$39,4,0)))</f>
        <v>2.009344758116105E-2</v>
      </c>
      <c r="S36" s="215">
        <f t="shared" si="0"/>
        <v>1.8376669173794581E-2</v>
      </c>
    </row>
    <row r="37" spans="1:19">
      <c r="A37" s="21">
        <v>202106</v>
      </c>
      <c r="B37" t="s">
        <v>10</v>
      </c>
      <c r="C37" s="155">
        <v>8.9143699669879677</v>
      </c>
      <c r="D37" s="155">
        <v>46.431103630000003</v>
      </c>
      <c r="E37" s="155">
        <v>5.2085681660000001</v>
      </c>
      <c r="F37" s="155">
        <v>4.5069999999999997</v>
      </c>
      <c r="G37" s="163">
        <f>IF(A37="","",E37/IF(A37=$B$3,Resumen!#REF!,VLOOKUP(A37,Graf_PowerBI!$A$4:$D$39,3,0)))</f>
        <v>6.4792726598809419E-3</v>
      </c>
      <c r="H37" s="163">
        <f>IF(A37="","",F37/IF(A37=$B$3,Resumen!#REF!,VLOOKUP(A37,Graf_PowerBI!$A$4:$D$39,4,0)))</f>
        <v>7.6883579462002586E-3</v>
      </c>
      <c r="J37">
        <v>202106</v>
      </c>
      <c r="K37" t="s">
        <v>10</v>
      </c>
      <c r="L37" s="155">
        <v>6.9508078751402396</v>
      </c>
      <c r="M37" s="155">
        <v>83.185752000359997</v>
      </c>
      <c r="N37" s="155">
        <v>11.967781802439999</v>
      </c>
      <c r="O37" s="155">
        <v>14.98</v>
      </c>
      <c r="P37" s="163">
        <f>IF(J37="","",N37/IF(J37=$B$3,Resumen!#REF!,VLOOKUP(J37,Graf_PowerBI!$A$4:$D$39,3,0)))</f>
        <v>1.4887492869565365E-2</v>
      </c>
      <c r="Q37" s="163">
        <f>IF(J37="","",O37/IF(J37=$B$3,Resumen!#REF!,VLOOKUP(J37,Graf_PowerBI!$A$4:$D$39,4,0)))</f>
        <v>2.5553938769487437E-2</v>
      </c>
      <c r="S37" s="215">
        <f t="shared" si="0"/>
        <v>2.1366765529446306E-2</v>
      </c>
    </row>
    <row r="38" spans="1:19">
      <c r="A38" s="21">
        <v>202106</v>
      </c>
      <c r="B38" t="s">
        <v>11</v>
      </c>
      <c r="C38" s="155">
        <v>7.7846327993861291</v>
      </c>
      <c r="D38" s="155">
        <v>28.152205076000001</v>
      </c>
      <c r="E38" s="155">
        <v>3.61638189</v>
      </c>
      <c r="F38" s="155">
        <v>3.8220000000000001</v>
      </c>
      <c r="G38" s="163">
        <f>IF(A38="","",E38/IF(A38=$B$3,Resumen!#REF!,VLOOKUP(A38,Graf_PowerBI!$A$4:$D$39,3,0)))</f>
        <v>4.4986498325047678E-3</v>
      </c>
      <c r="H38" s="163">
        <f>IF(A38="","",F38/IF(A38=$B$3,Resumen!#REF!,VLOOKUP(A38,Graf_PowerBI!$A$4:$D$39,4,0)))</f>
        <v>6.5198367140841783E-3</v>
      </c>
      <c r="J38">
        <v>202106</v>
      </c>
      <c r="K38" t="s">
        <v>11</v>
      </c>
      <c r="L38" s="155">
        <v>6.2112252710631317</v>
      </c>
      <c r="M38" s="155">
        <v>50.299782647729998</v>
      </c>
      <c r="N38" s="155">
        <v>8.0982061433299997</v>
      </c>
      <c r="O38" s="155">
        <v>11.372</v>
      </c>
      <c r="P38" s="163">
        <f>IF(J38="","",N38/IF(J38=$B$3,Resumen!#REF!,VLOOKUP(J38,Graf_PowerBI!$A$4:$D$39,3,0)))</f>
        <v>1.0073879036674577E-2</v>
      </c>
      <c r="Q38" s="163">
        <f>IF(J38="","",O38/IF(J38=$B$3,Resumen!#REF!,VLOOKUP(J38,Graf_PowerBI!$A$4:$D$39,4,0)))</f>
        <v>1.9399158323538793E-2</v>
      </c>
      <c r="S38" s="215">
        <f t="shared" si="0"/>
        <v>1.4572528869179344E-2</v>
      </c>
    </row>
    <row r="39" spans="1:19">
      <c r="A39" s="21">
        <v>202106</v>
      </c>
      <c r="B39" t="s">
        <v>12</v>
      </c>
      <c r="C39" s="155">
        <v>7.4625999668667244</v>
      </c>
      <c r="D39" s="155">
        <v>60.252566913999999</v>
      </c>
      <c r="E39" s="155">
        <v>8.0739376600000003</v>
      </c>
      <c r="F39" s="155">
        <v>9.9420000000000002</v>
      </c>
      <c r="G39" s="163">
        <f>IF(A39="","",E39/IF(A39=$B$3,Resumen!#REF!,VLOOKUP(A39,Graf_PowerBI!$A$4:$D$39,3,0)))</f>
        <v>1.0043689910694951E-2</v>
      </c>
      <c r="H39" s="163">
        <f>IF(A39="","",F39/IF(A39=$B$3,Resumen!#REF!,VLOOKUP(A39,Graf_PowerBI!$A$4:$D$39,4,0)))</f>
        <v>1.6959763634595733E-2</v>
      </c>
      <c r="J39">
        <v>202106</v>
      </c>
      <c r="K39" t="s">
        <v>12</v>
      </c>
      <c r="L39" s="155">
        <v>6.2128413459286227</v>
      </c>
      <c r="M39" s="155">
        <v>108.94701300897999</v>
      </c>
      <c r="N39" s="155">
        <v>17.53577903295</v>
      </c>
      <c r="O39" s="155">
        <v>27.248999999999999</v>
      </c>
      <c r="P39" s="163">
        <f>IF(J39="","",N39/IF(J39=$B$3,Resumen!#REF!,VLOOKUP(J39,Graf_PowerBI!$A$4:$D$39,3,0)))</f>
        <v>2.1813882440778715E-2</v>
      </c>
      <c r="Q39" s="163">
        <f>IF(J39="","",O39/IF(J39=$B$3,Resumen!#REF!,VLOOKUP(J39,Graf_PowerBI!$A$4:$D$39,4,0)))</f>
        <v>4.6483262852454146E-2</v>
      </c>
      <c r="S39" s="215">
        <f t="shared" si="0"/>
        <v>3.185757235147367E-2</v>
      </c>
    </row>
    <row r="40" spans="1:19">
      <c r="A40" s="21">
        <v>202106</v>
      </c>
      <c r="B40" t="s">
        <v>13</v>
      </c>
      <c r="C40" s="155">
        <v>6.8215336592706137</v>
      </c>
      <c r="D40" s="155">
        <v>29.446743263999998</v>
      </c>
      <c r="E40" s="155">
        <v>4.3167335580000001</v>
      </c>
      <c r="F40" s="155">
        <v>6.5469999999999997</v>
      </c>
      <c r="G40" s="163">
        <f>IF(A40="","",E40/IF(A40=$B$3,Resumen!#REF!,VLOOKUP(A40,Graf_PowerBI!$A$4:$D$39,3,0)))</f>
        <v>5.3698622790261819E-3</v>
      </c>
      <c r="H40" s="163">
        <f>IF(A40="","",F40/IF(A40=$B$3,Resumen!#REF!,VLOOKUP(A40,Graf_PowerBI!$A$4:$D$39,4,0)))</f>
        <v>1.1168333586370777E-2</v>
      </c>
      <c r="J40">
        <v>202106</v>
      </c>
      <c r="K40" t="s">
        <v>13</v>
      </c>
      <c r="L40" s="155">
        <v>5.623249715819103</v>
      </c>
      <c r="M40" s="155">
        <v>49.394813213509998</v>
      </c>
      <c r="N40" s="155">
        <v>8.7840333810099995</v>
      </c>
      <c r="O40" s="155">
        <v>16.213000000000001</v>
      </c>
      <c r="P40" s="163">
        <f>IF(J40="","",N40/IF(J40=$B$3,Resumen!#REF!,VLOOKUP(J40,Graf_PowerBI!$A$4:$D$39,3,0)))</f>
        <v>1.0927023610937539E-2</v>
      </c>
      <c r="Q40" s="163">
        <f>IF(J40="","",O40/IF(J40=$B$3,Resumen!#REF!,VLOOKUP(J40,Graf_PowerBI!$A$4:$D$39,4,0)))</f>
        <v>2.7657276987296385E-2</v>
      </c>
      <c r="S40" s="215">
        <f t="shared" si="0"/>
        <v>1.6296885889963721E-2</v>
      </c>
    </row>
    <row r="41" spans="1:19">
      <c r="A41" s="21">
        <v>202106</v>
      </c>
      <c r="B41" t="s">
        <v>14</v>
      </c>
      <c r="C41" s="155">
        <v>6.9123924632993026</v>
      </c>
      <c r="D41" s="155">
        <v>7.8549740000000003</v>
      </c>
      <c r="E41" s="155">
        <v>1.1363611140000001</v>
      </c>
      <c r="F41" s="155">
        <v>2.048</v>
      </c>
      <c r="G41" s="163">
        <f>IF(A41="","",E41/IF(A41=$B$3,Resumen!#REF!,VLOOKUP(A41,Graf_PowerBI!$A$4:$D$39,3,0)))</f>
        <v>1.413592615673958E-3</v>
      </c>
      <c r="H41" s="163">
        <f>IF(A41="","",F41/IF(A41=$B$3,Resumen!#REF!,VLOOKUP(A41,Graf_PowerBI!$A$4:$D$39,4,0)))</f>
        <v>3.4936226034653051E-3</v>
      </c>
      <c r="J41">
        <v>202106</v>
      </c>
      <c r="K41" t="s">
        <v>14</v>
      </c>
      <c r="L41" s="155">
        <v>4.9729318452558804</v>
      </c>
      <c r="M41" s="155">
        <v>10.12443670989</v>
      </c>
      <c r="N41" s="155">
        <v>2.0359090019599999</v>
      </c>
      <c r="O41" s="155">
        <v>4.7850000000000001</v>
      </c>
      <c r="P41" s="163">
        <f>IF(J41="","",N41/IF(J41=$B$3,Resumen!#REF!,VLOOKUP(J41,Graf_PowerBI!$A$4:$D$39,3,0)))</f>
        <v>2.5325980411494381E-3</v>
      </c>
      <c r="Q41" s="163">
        <f>IF(J41="","",O41/IF(J41=$B$3,Resumen!#REF!,VLOOKUP(J41,Graf_PowerBI!$A$4:$D$39,4,0)))</f>
        <v>8.1625899206940848E-3</v>
      </c>
      <c r="S41" s="215">
        <f t="shared" si="0"/>
        <v>3.9461906568233965E-3</v>
      </c>
    </row>
    <row r="42" spans="1:19">
      <c r="A42" s="21">
        <v>202106</v>
      </c>
      <c r="B42" t="s">
        <v>70</v>
      </c>
      <c r="C42" s="155">
        <v>8.7266010035087991</v>
      </c>
      <c r="D42" s="155">
        <v>3.5566617979999999</v>
      </c>
      <c r="E42" s="155">
        <v>0.40756553400000001</v>
      </c>
      <c r="F42" s="155">
        <v>0.57799999999999996</v>
      </c>
      <c r="G42" s="163">
        <f>IF(A42="","",E42/IF(A42=$B$3,Resumen!#REF!,VLOOKUP(A42,Graf_PowerBI!$A$4:$D$39,3,0)))</f>
        <v>5.0699695912475012E-4</v>
      </c>
      <c r="H42" s="163">
        <f>IF(A42="","",F42/IF(A42=$B$3,Resumen!#REF!,VLOOKUP(A42,Graf_PowerBI!$A$4:$D$39,4,0)))</f>
        <v>9.859930980483135E-4</v>
      </c>
      <c r="J42">
        <v>202106</v>
      </c>
      <c r="K42" t="s">
        <v>70</v>
      </c>
      <c r="L42" s="155">
        <v>7.1855104340093225</v>
      </c>
      <c r="M42" s="155">
        <v>16.43543928403</v>
      </c>
      <c r="N42" s="155">
        <v>2.2873029598899999</v>
      </c>
      <c r="O42" s="155">
        <v>3.0739999999999998</v>
      </c>
      <c r="P42" s="163">
        <f>IF(J42="","",N42/IF(J42=$B$3,Resumen!#REF!,VLOOKUP(J42,Graf_PowerBI!$A$4:$D$39,3,0)))</f>
        <v>2.8453231407473971E-3</v>
      </c>
      <c r="Q42" s="163">
        <f>IF(J42="","",O42/IF(J42=$B$3,Resumen!#REF!,VLOOKUP(J42,Graf_PowerBI!$A$4:$D$39,4,0)))</f>
        <v>5.2438456460216542E-3</v>
      </c>
      <c r="S42" s="215">
        <f t="shared" si="0"/>
        <v>3.3523200998721472E-3</v>
      </c>
    </row>
    <row r="43" spans="1:19">
      <c r="A43" s="21">
        <v>202107</v>
      </c>
      <c r="C43" s="155">
        <v>6.9613322292472519</v>
      </c>
      <c r="D43" s="155">
        <v>59.157782611999998</v>
      </c>
      <c r="E43" s="155">
        <v>8.4980547780000002</v>
      </c>
      <c r="F43" s="155">
        <v>11.288</v>
      </c>
      <c r="G43" s="163" t="e">
        <f>IF(A43="","",E43/IF(A43=$B$3,Resumen!#REF!,VLOOKUP(A43,Graf_PowerBI!$A$4:$D$39,3,0)))</f>
        <v>#REF!</v>
      </c>
      <c r="H43" s="163" t="e">
        <f>IF(A43="","",F43/IF(A43=$B$3,Resumen!#REF!,VLOOKUP(A43,Graf_PowerBI!$A$4:$D$39,4,0)))</f>
        <v>#REF!</v>
      </c>
      <c r="J43">
        <v>202107</v>
      </c>
      <c r="L43" s="155">
        <v>6.4275387502973045</v>
      </c>
      <c r="M43" s="155">
        <v>67.142562701789998</v>
      </c>
      <c r="N43" s="155">
        <v>10.446076688169999</v>
      </c>
      <c r="O43" s="155">
        <v>21.050999999999998</v>
      </c>
      <c r="P43" s="163" t="e">
        <f>IF(J43="","",N43/IF(J43=$B$3,Resumen!#REF!,VLOOKUP(J43,Graf_PowerBI!$A$4:$D$39,3,0)))</f>
        <v>#REF!</v>
      </c>
      <c r="Q43" s="163" t="e">
        <f>IF(J43="","",O43/IF(J43=$B$3,Resumen!#REF!,VLOOKUP(J43,Graf_PowerBI!$A$4:$D$39,4,0)))</f>
        <v>#REF!</v>
      </c>
      <c r="S43" s="215" t="e">
        <f t="shared" si="0"/>
        <v>#REF!</v>
      </c>
    </row>
    <row r="44" spans="1:19">
      <c r="G44" s="163" t="str">
        <f>IF(A44="","",E44/IF(A44=$B$3,Resumen!#REF!,VLOOKUP(A44,Graf_PowerBI!$A$4:$D$39,3,0)))</f>
        <v/>
      </c>
      <c r="H44" s="163" t="str">
        <f>IF(A44="","",F44/IF(A44=$B$3,Resumen!#REF!,VLOOKUP(A44,Graf_PowerBI!$A$4:$D$39,4,0)))</f>
        <v/>
      </c>
      <c r="P44" s="163" t="str">
        <f>IF(J44="","",N44/IF(J44=$B$3,Resumen!#REF!,VLOOKUP(J44,Graf_PowerBI!$A$4:$D$39,3,0)))</f>
        <v/>
      </c>
      <c r="Q44" s="163" t="str">
        <f>IF(J44="","",O44/IF(J44=$B$3,Resumen!#REF!,VLOOKUP(J44,Graf_PowerBI!$A$4:$D$39,4,0)))</f>
        <v/>
      </c>
      <c r="S44" s="215" t="str">
        <f t="shared" si="0"/>
        <v/>
      </c>
    </row>
    <row r="45" spans="1:19">
      <c r="G45" s="163" t="str">
        <f>IF(A45="","",E45/IF(A45=$B$3,Resumen!#REF!,VLOOKUP(A45,Graf_PowerBI!$A$4:$D$39,3,0)))</f>
        <v/>
      </c>
      <c r="H45" s="163" t="str">
        <f>IF(A45="","",F45/IF(A45=$B$3,Resumen!#REF!,VLOOKUP(A45,Graf_PowerBI!$A$4:$D$39,4,0)))</f>
        <v/>
      </c>
      <c r="P45" s="163" t="str">
        <f>IF(J45="","",N45/IF(J45=$B$3,Resumen!#REF!,VLOOKUP(J45,Graf_PowerBI!$A$4:$D$39,3,0)))</f>
        <v/>
      </c>
      <c r="Q45" s="163" t="str">
        <f>IF(J45="","",O45/IF(J45=$B$3,Resumen!#REF!,VLOOKUP(J45,Graf_PowerBI!$A$4:$D$39,4,0)))</f>
        <v/>
      </c>
      <c r="S45" s="215" t="str">
        <f t="shared" si="0"/>
        <v/>
      </c>
    </row>
    <row r="46" spans="1:19">
      <c r="G46" s="163" t="str">
        <f>IF(A46="","",E46/IF(A46=$B$3,Resumen!#REF!,VLOOKUP(A46,Graf_PowerBI!$A$4:$D$39,3,0)))</f>
        <v/>
      </c>
      <c r="H46" s="163" t="str">
        <f>IF(A46="","",F46/IF(A46=$B$3,Resumen!#REF!,VLOOKUP(A46,Graf_PowerBI!$A$4:$D$39,4,0)))</f>
        <v/>
      </c>
      <c r="P46" s="163" t="str">
        <f>IF(J46="","",N46/IF(J46=$B$3,Resumen!#REF!,VLOOKUP(J46,Graf_PowerBI!$A$4:$D$39,3,0)))</f>
        <v/>
      </c>
      <c r="Q46" s="163" t="str">
        <f>IF(J46="","",O46/IF(J46=$B$3,Resumen!#REF!,VLOOKUP(J46,Graf_PowerBI!$A$4:$D$39,4,0)))</f>
        <v/>
      </c>
      <c r="S46" s="215" t="str">
        <f t="shared" si="0"/>
        <v/>
      </c>
    </row>
    <row r="47" spans="1:19">
      <c r="G47" s="163" t="str">
        <f>IF(A47="","",E47/IF(A47=$B$3,Resumen!#REF!,VLOOKUP(A47,Graf_PowerBI!$A$4:$D$39,3,0)))</f>
        <v/>
      </c>
      <c r="H47" s="163" t="str">
        <f>IF(A47="","",F47/IF(A47=$B$3,Resumen!#REF!,VLOOKUP(A47,Graf_PowerBI!$A$4:$D$39,4,0)))</f>
        <v/>
      </c>
      <c r="P47" s="163" t="str">
        <f>IF(J47="","",N47/IF(J47=$B$3,Resumen!#REF!,VLOOKUP(J47,Graf_PowerBI!$A$4:$D$39,3,0)))</f>
        <v/>
      </c>
      <c r="Q47" s="163" t="str">
        <f>IF(J47="","",O47/IF(J47=$B$3,Resumen!#REF!,VLOOKUP(J47,Graf_PowerBI!$A$4:$D$39,4,0)))</f>
        <v/>
      </c>
      <c r="S47" s="215" t="str">
        <f t="shared" si="0"/>
        <v/>
      </c>
    </row>
    <row r="48" spans="1:19">
      <c r="G48" s="163" t="str">
        <f>IF(A48="","",E48/IF(A48=$B$3,Resumen!#REF!,VLOOKUP(A48,Graf_PowerBI!$A$4:$D$39,3,0)))</f>
        <v/>
      </c>
      <c r="H48" s="163" t="str">
        <f>IF(A48="","",F48/IF(A48=$B$3,Resumen!#REF!,VLOOKUP(A48,Graf_PowerBI!$A$4:$D$39,4,0)))</f>
        <v/>
      </c>
      <c r="P48" s="163" t="str">
        <f>IF(J48="","",N48/IF(J48=$B$3,Resumen!#REF!,VLOOKUP(J48,Graf_PowerBI!$A$4:$D$39,3,0)))</f>
        <v/>
      </c>
      <c r="Q48" s="163" t="str">
        <f>IF(J48="","",O48/IF(J48=$B$3,Resumen!#REF!,VLOOKUP(J48,Graf_PowerBI!$A$4:$D$39,4,0)))</f>
        <v/>
      </c>
      <c r="S48" s="215" t="str">
        <f t="shared" si="0"/>
        <v/>
      </c>
    </row>
    <row r="49" spans="7:19">
      <c r="G49" s="163" t="str">
        <f>IF(A49="","",E49/IF(A49=$B$3,Resumen!#REF!,VLOOKUP(A49,Graf_PowerBI!$A$4:$D$39,3,0)))</f>
        <v/>
      </c>
      <c r="H49" s="163" t="str">
        <f>IF(A49="","",F49/IF(A49=$B$3,Resumen!#REF!,VLOOKUP(A49,Graf_PowerBI!$A$4:$D$39,4,0)))</f>
        <v/>
      </c>
      <c r="P49" s="163" t="str">
        <f>IF(J49="","",N49/IF(J49=$B$3,Resumen!#REF!,VLOOKUP(J49,Graf_PowerBI!$A$4:$D$39,3,0)))</f>
        <v/>
      </c>
      <c r="Q49" s="163" t="str">
        <f>IF(J49="","",O49/IF(J49=$B$3,Resumen!#REF!,VLOOKUP(J49,Graf_PowerBI!$A$4:$D$39,4,0)))</f>
        <v/>
      </c>
      <c r="S49" s="215" t="str">
        <f t="shared" si="0"/>
        <v/>
      </c>
    </row>
    <row r="50" spans="7:19">
      <c r="G50" s="163" t="str">
        <f>IF(A50="","",E50/IF(A50=$B$3,Resumen!#REF!,VLOOKUP(A50,Graf_PowerBI!$A$4:$D$39,3,0)))</f>
        <v/>
      </c>
      <c r="H50" s="163" t="str">
        <f>IF(A50="","",F50/IF(A50=$B$3,Resumen!#REF!,VLOOKUP(A50,Graf_PowerBI!$A$4:$D$39,4,0)))</f>
        <v/>
      </c>
      <c r="P50" s="163" t="str">
        <f>IF(J50="","",N50/IF(J50=$B$3,Resumen!#REF!,VLOOKUP(J50,Graf_PowerBI!$A$4:$D$39,3,0)))</f>
        <v/>
      </c>
      <c r="Q50" s="163" t="str">
        <f>IF(J50="","",O50/IF(J50=$B$3,Resumen!#REF!,VLOOKUP(J50,Graf_PowerBI!$A$4:$D$39,4,0)))</f>
        <v/>
      </c>
      <c r="S50" s="215" t="str">
        <f t="shared" si="0"/>
        <v/>
      </c>
    </row>
    <row r="51" spans="7:19">
      <c r="G51" s="163" t="str">
        <f>IF(A51="","",E51/IF(A51=$B$3,Resumen!#REF!,VLOOKUP(A51,Graf_PowerBI!$A$4:$D$39,3,0)))</f>
        <v/>
      </c>
      <c r="H51" s="163" t="str">
        <f>IF(A51="","",F51/IF(A51=$B$3,Resumen!#REF!,VLOOKUP(A51,Graf_PowerBI!$A$4:$D$39,4,0)))</f>
        <v/>
      </c>
      <c r="P51" s="163" t="str">
        <f>IF(J51="","",N51/IF(J51=$B$3,Resumen!#REF!,VLOOKUP(J51,Graf_PowerBI!$A$4:$D$39,3,0)))</f>
        <v/>
      </c>
      <c r="Q51" s="163" t="str">
        <f>IF(J51="","",O51/IF(J51=$B$3,Resumen!#REF!,VLOOKUP(J51,Graf_PowerBI!$A$4:$D$39,4,0)))</f>
        <v/>
      </c>
      <c r="S51" s="215" t="str">
        <f t="shared" si="0"/>
        <v/>
      </c>
    </row>
    <row r="52" spans="7:19">
      <c r="G52" s="163" t="str">
        <f>IF(A52="","",E52/IF(A52=$B$3,Resumen!#REF!,VLOOKUP(A52,Graf_PowerBI!$A$4:$D$39,3,0)))</f>
        <v/>
      </c>
      <c r="H52" s="163" t="str">
        <f>IF(A52="","",F52/IF(A52=$B$3,Resumen!#REF!,VLOOKUP(A52,Graf_PowerBI!$A$4:$D$39,4,0)))</f>
        <v/>
      </c>
      <c r="P52" s="163" t="str">
        <f>IF(J52="","",N52/IF(J52=$B$3,Resumen!#REF!,VLOOKUP(J52,Graf_PowerBI!$A$4:$D$39,3,0)))</f>
        <v/>
      </c>
      <c r="Q52" s="163" t="str">
        <f>IF(J52="","",O52/IF(J52=$B$3,Resumen!#REF!,VLOOKUP(J52,Graf_PowerBI!$A$4:$D$39,4,0)))</f>
        <v/>
      </c>
      <c r="S52" s="215" t="str">
        <f t="shared" si="0"/>
        <v/>
      </c>
    </row>
    <row r="53" spans="7:19">
      <c r="G53" s="163" t="str">
        <f>IF(A53="","",E53/IF(A53=$B$3,Resumen!#REF!,VLOOKUP(A53,Graf_PowerBI!$A$4:$D$39,3,0)))</f>
        <v/>
      </c>
      <c r="H53" s="163" t="str">
        <f>IF(A53="","",F53/IF(A53=$B$3,Resumen!#REF!,VLOOKUP(A53,Graf_PowerBI!$A$4:$D$39,4,0)))</f>
        <v/>
      </c>
      <c r="P53" s="163" t="str">
        <f>IF(J53="","",N53/IF(J53=$B$3,Resumen!#REF!,VLOOKUP(J53,Graf_PowerBI!$A$4:$D$39,3,0)))</f>
        <v/>
      </c>
      <c r="Q53" s="163" t="str">
        <f>IF(J53="","",O53/IF(J53=$B$3,Resumen!#REF!,VLOOKUP(J53,Graf_PowerBI!$A$4:$D$39,4,0)))</f>
        <v/>
      </c>
      <c r="S53" s="215" t="str">
        <f t="shared" si="0"/>
        <v/>
      </c>
    </row>
    <row r="54" spans="7:19">
      <c r="G54" s="163" t="str">
        <f>IF(A54="","",E54/IF(A54=$B$3,Resumen!#REF!,VLOOKUP(A54,Graf_PowerBI!$A$4:$D$39,3,0)))</f>
        <v/>
      </c>
      <c r="H54" s="163" t="str">
        <f>IF(A54="","",F54/IF(A54=$B$3,Resumen!#REF!,VLOOKUP(A54,Graf_PowerBI!$A$4:$D$39,4,0)))</f>
        <v/>
      </c>
      <c r="P54" s="163" t="str">
        <f>IF(J54="","",N54/IF(J54=$B$3,Resumen!#REF!,VLOOKUP(J54,Graf_PowerBI!$A$4:$D$39,3,0)))</f>
        <v/>
      </c>
      <c r="Q54" s="163" t="str">
        <f>IF(J54="","",O54/IF(J54=$B$3,Resumen!#REF!,VLOOKUP(J54,Graf_PowerBI!$A$4:$D$39,4,0)))</f>
        <v/>
      </c>
      <c r="S54" s="215" t="str">
        <f t="shared" si="0"/>
        <v/>
      </c>
    </row>
    <row r="55" spans="7:19">
      <c r="G55" s="163" t="str">
        <f>IF(A55="","",E55/IF(A55=$B$3,Resumen!#REF!,VLOOKUP(A55,Graf_PowerBI!$A$4:$D$39,3,0)))</f>
        <v/>
      </c>
      <c r="H55" s="163" t="str">
        <f>IF(A55="","",F55/IF(A55=$B$3,Resumen!#REF!,VLOOKUP(A55,Graf_PowerBI!$A$4:$D$39,4,0)))</f>
        <v/>
      </c>
      <c r="P55" s="163" t="str">
        <f>IF(J55="","",N55/IF(J55=$B$3,Resumen!#REF!,VLOOKUP(J55,Graf_PowerBI!$A$4:$D$39,3,0)))</f>
        <v/>
      </c>
      <c r="Q55" s="163" t="str">
        <f>IF(J55="","",O55/IF(J55=$B$3,Resumen!#REF!,VLOOKUP(J55,Graf_PowerBI!$A$4:$D$39,4,0)))</f>
        <v/>
      </c>
      <c r="S55" s="215" t="str">
        <f t="shared" si="0"/>
        <v/>
      </c>
    </row>
    <row r="56" spans="7:19">
      <c r="G56" s="163" t="str">
        <f>IF(A56="","",E56/IF(A56=$B$3,Resumen!#REF!,VLOOKUP(A56,Graf_PowerBI!$A$4:$D$39,3,0)))</f>
        <v/>
      </c>
      <c r="H56" s="163" t="str">
        <f>IF(A56="","",F56/IF(A56=$B$3,Resumen!#REF!,VLOOKUP(A56,Graf_PowerBI!$A$4:$D$39,4,0)))</f>
        <v/>
      </c>
      <c r="P56" s="163" t="str">
        <f>IF(J56="","",N56/IF(J56=$B$3,Resumen!#REF!,VLOOKUP(J56,Graf_PowerBI!$A$4:$D$39,3,0)))</f>
        <v/>
      </c>
      <c r="Q56" s="163" t="str">
        <f>IF(J56="","",O56/IF(J56=$B$3,Resumen!#REF!,VLOOKUP(J56,Graf_PowerBI!$A$4:$D$39,4,0)))</f>
        <v/>
      </c>
      <c r="S56" s="215" t="str">
        <f t="shared" si="0"/>
        <v/>
      </c>
    </row>
    <row r="57" spans="7:19">
      <c r="G57" s="163" t="str">
        <f>IF(A57="","",E57/IF(A57=$B$3,Resumen!#REF!,VLOOKUP(A57,Graf_PowerBI!$A$4:$D$39,3,0)))</f>
        <v/>
      </c>
      <c r="H57" s="163" t="str">
        <f>IF(A57="","",F57/IF(A57=$B$3,Resumen!#REF!,VLOOKUP(A57,Graf_PowerBI!$A$4:$D$39,4,0)))</f>
        <v/>
      </c>
      <c r="P57" s="163" t="str">
        <f>IF(J57="","",N57/IF(J57=$B$3,Resumen!#REF!,VLOOKUP(J57,Graf_PowerBI!$A$4:$D$39,3,0)))</f>
        <v/>
      </c>
      <c r="Q57" s="163" t="str">
        <f>IF(J57="","",O57/IF(J57=$B$3,Resumen!#REF!,VLOOKUP(J57,Graf_PowerBI!$A$4:$D$39,4,0)))</f>
        <v/>
      </c>
      <c r="S57" s="215" t="str">
        <f t="shared" si="0"/>
        <v/>
      </c>
    </row>
    <row r="58" spans="7:19">
      <c r="G58" s="163" t="str">
        <f>IF(A58="","",E58/IF(A58=$B$3,Resumen!#REF!,VLOOKUP(A58,Graf_PowerBI!$A$4:$D$39,3,0)))</f>
        <v/>
      </c>
      <c r="H58" s="163" t="str">
        <f>IF(A58="","",F58/IF(A58=$B$3,Resumen!#REF!,VLOOKUP(A58,Graf_PowerBI!$A$4:$D$39,4,0)))</f>
        <v/>
      </c>
      <c r="P58" s="163" t="str">
        <f>IF(J58="","",N58/IF(J58=$B$3,Resumen!#REF!,VLOOKUP(J58,Graf_PowerBI!$A$4:$D$39,3,0)))</f>
        <v/>
      </c>
      <c r="Q58" s="163" t="str">
        <f>IF(J58="","",O58/IF(J58=$B$3,Resumen!#REF!,VLOOKUP(J58,Graf_PowerBI!$A$4:$D$39,4,0)))</f>
        <v/>
      </c>
      <c r="S58" s="215" t="str">
        <f t="shared" si="0"/>
        <v/>
      </c>
    </row>
    <row r="59" spans="7:19">
      <c r="G59" s="163" t="str">
        <f>IF(A59="","",E59/IF(A59=$B$3,Resumen!#REF!,VLOOKUP(A59,Graf_PowerBI!$A$4:$D$39,3,0)))</f>
        <v/>
      </c>
      <c r="H59" s="163" t="str">
        <f>IF(A59="","",F59/IF(A59=$B$3,Resumen!#REF!,VLOOKUP(A59,Graf_PowerBI!$A$4:$D$39,4,0)))</f>
        <v/>
      </c>
      <c r="P59" s="163" t="str">
        <f>IF(J59="","",N59/IF(J59=$B$3,Resumen!#REF!,VLOOKUP(J59,Graf_PowerBI!$A$4:$D$39,3,0)))</f>
        <v/>
      </c>
      <c r="Q59" s="163" t="str">
        <f>IF(J59="","",O59/IF(J59=$B$3,Resumen!#REF!,VLOOKUP(J59,Graf_PowerBI!$A$4:$D$39,4,0)))</f>
        <v/>
      </c>
      <c r="S59" s="215" t="str">
        <f t="shared" si="0"/>
        <v/>
      </c>
    </row>
    <row r="60" spans="7:19">
      <c r="G60" s="163" t="str">
        <f>IF(A60="","",E60/IF(A60=$B$3,Resumen!#REF!,VLOOKUP(A60,Graf_PowerBI!$A$4:$D$39,3,0)))</f>
        <v/>
      </c>
      <c r="H60" s="163" t="str">
        <f>IF(A60="","",F60/IF(A60=$B$3,Resumen!#REF!,VLOOKUP(A60,Graf_PowerBI!$A$4:$D$39,4,0)))</f>
        <v/>
      </c>
      <c r="P60" s="163" t="str">
        <f>IF(J60="","",N60/IF(J60=$B$3,Resumen!#REF!,VLOOKUP(J60,Graf_PowerBI!$A$4:$D$39,3,0)))</f>
        <v/>
      </c>
      <c r="Q60" s="163" t="str">
        <f>IF(J60="","",O60/IF(J60=$B$3,Resumen!#REF!,VLOOKUP(J60,Graf_PowerBI!$A$4:$D$39,4,0)))</f>
        <v/>
      </c>
      <c r="S60" s="215" t="str">
        <f t="shared" si="0"/>
        <v/>
      </c>
    </row>
    <row r="61" spans="7:19">
      <c r="G61" s="163" t="str">
        <f>IF(A61="","",E61/IF(A61=$B$3,Resumen!#REF!,VLOOKUP(A61,Graf_PowerBI!$A$4:$D$39,3,0)))</f>
        <v/>
      </c>
      <c r="H61" s="163" t="str">
        <f>IF(A61="","",F61/IF(A61=$B$3,Resumen!#REF!,VLOOKUP(A61,Graf_PowerBI!$A$4:$D$39,4,0)))</f>
        <v/>
      </c>
      <c r="P61" s="163" t="str">
        <f>IF(J61="","",N61/IF(J61=$B$3,Resumen!#REF!,VLOOKUP(J61,Graf_PowerBI!$A$4:$D$39,3,0)))</f>
        <v/>
      </c>
      <c r="Q61" s="163" t="str">
        <f>IF(J61="","",O61/IF(J61=$B$3,Resumen!#REF!,VLOOKUP(J61,Graf_PowerBI!$A$4:$D$39,4,0)))</f>
        <v/>
      </c>
      <c r="S61" s="215" t="str">
        <f t="shared" si="0"/>
        <v/>
      </c>
    </row>
    <row r="62" spans="7:19">
      <c r="G62" s="163" t="str">
        <f>IF(A62="","",E62/IF(A62=$B$3,Resumen!#REF!,VLOOKUP(A62,Graf_PowerBI!$A$4:$D$39,3,0)))</f>
        <v/>
      </c>
      <c r="H62" s="163" t="str">
        <f>IF(A62="","",F62/IF(A62=$B$3,Resumen!#REF!,VLOOKUP(A62,Graf_PowerBI!$A$4:$D$39,4,0)))</f>
        <v/>
      </c>
      <c r="P62" s="163" t="str">
        <f>IF(J62="","",N62/IF(J62=$B$3,Resumen!#REF!,VLOOKUP(J62,Graf_PowerBI!$A$4:$D$39,3,0)))</f>
        <v/>
      </c>
      <c r="Q62" s="163" t="str">
        <f>IF(J62="","",O62/IF(J62=$B$3,Resumen!#REF!,VLOOKUP(J62,Graf_PowerBI!$A$4:$D$39,4,0)))</f>
        <v/>
      </c>
      <c r="S62" s="215" t="str">
        <f t="shared" si="0"/>
        <v/>
      </c>
    </row>
    <row r="63" spans="7:19">
      <c r="G63" s="163" t="str">
        <f>IF(A63="","",E63/IF(A63=$B$3,Resumen!#REF!,VLOOKUP(A63,Graf_PowerBI!$A$4:$D$39,3,0)))</f>
        <v/>
      </c>
      <c r="H63" s="163" t="str">
        <f>IF(A63="","",F63/IF(A63=$B$3,Resumen!#REF!,VLOOKUP(A63,Graf_PowerBI!$A$4:$D$39,4,0)))</f>
        <v/>
      </c>
      <c r="P63" s="163" t="str">
        <f>IF(J63="","",N63/IF(J63=$B$3,Resumen!#REF!,VLOOKUP(J63,Graf_PowerBI!$A$4:$D$39,3,0)))</f>
        <v/>
      </c>
      <c r="Q63" s="163" t="str">
        <f>IF(J63="","",O63/IF(J63=$B$3,Resumen!#REF!,VLOOKUP(J63,Graf_PowerBI!$A$4:$D$39,4,0)))</f>
        <v/>
      </c>
      <c r="S63" s="215" t="str">
        <f t="shared" si="0"/>
        <v/>
      </c>
    </row>
    <row r="64" spans="7:19">
      <c r="G64" s="163" t="str">
        <f>IF(A64="","",E64/IF(A64=$B$3,Resumen!#REF!,VLOOKUP(A64,Graf_PowerBI!$A$4:$D$39,3,0)))</f>
        <v/>
      </c>
      <c r="H64" s="163" t="str">
        <f>IF(A64="","",F64/IF(A64=$B$3,Resumen!#REF!,VLOOKUP(A64,Graf_PowerBI!$A$4:$D$39,4,0)))</f>
        <v/>
      </c>
      <c r="P64" s="163" t="str">
        <f>IF(J64="","",N64/IF(J64=$B$3,Resumen!#REF!,VLOOKUP(J64,Graf_PowerBI!$A$4:$D$39,3,0)))</f>
        <v/>
      </c>
      <c r="Q64" s="163" t="str">
        <f>IF(J64="","",O64/IF(J64=$B$3,Resumen!#REF!,VLOOKUP(J64,Graf_PowerBI!$A$4:$D$39,4,0)))</f>
        <v/>
      </c>
      <c r="S64" s="215" t="str">
        <f t="shared" si="0"/>
        <v/>
      </c>
    </row>
    <row r="65" spans="7:19">
      <c r="G65" s="163" t="str">
        <f>IF(A65="","",E65/IF(A65=$B$3,Resumen!#REF!,VLOOKUP(A65,Graf_PowerBI!$A$4:$D$39,3,0)))</f>
        <v/>
      </c>
      <c r="H65" s="163" t="str">
        <f>IF(A65="","",F65/IF(A65=$B$3,Resumen!#REF!,VLOOKUP(A65,Graf_PowerBI!$A$4:$D$39,4,0)))</f>
        <v/>
      </c>
      <c r="P65" s="163" t="str">
        <f>IF(J65="","",N65/IF(J65=$B$3,Resumen!#REF!,VLOOKUP(J65,Graf_PowerBI!$A$4:$D$39,3,0)))</f>
        <v/>
      </c>
      <c r="Q65" s="163" t="str">
        <f>IF(J65="","",O65/IF(J65=$B$3,Resumen!#REF!,VLOOKUP(J65,Graf_PowerBI!$A$4:$D$39,4,0)))</f>
        <v/>
      </c>
      <c r="S65" s="215" t="str">
        <f t="shared" si="0"/>
        <v/>
      </c>
    </row>
    <row r="66" spans="7:19">
      <c r="G66" s="163" t="str">
        <f>IF(A66="","",E66/IF(A66=$B$3,Resumen!#REF!,VLOOKUP(A66,Graf_PowerBI!$A$4:$D$39,3,0)))</f>
        <v/>
      </c>
      <c r="H66" s="163" t="str">
        <f>IF(A66="","",F66/IF(A66=$B$3,Resumen!#REF!,VLOOKUP(A66,Graf_PowerBI!$A$4:$D$39,4,0)))</f>
        <v/>
      </c>
      <c r="P66" s="163" t="str">
        <f>IF(J66="","",N66/IF(J66=$B$3,Resumen!#REF!,VLOOKUP(J66,Graf_PowerBI!$A$4:$D$39,3,0)))</f>
        <v/>
      </c>
      <c r="Q66" s="163" t="str">
        <f>IF(J66="","",O66/IF(J66=$B$3,Resumen!#REF!,VLOOKUP(J66,Graf_PowerBI!$A$4:$D$39,4,0)))</f>
        <v/>
      </c>
      <c r="S66" s="215" t="str">
        <f t="shared" si="0"/>
        <v/>
      </c>
    </row>
    <row r="67" spans="7:19">
      <c r="G67" s="163" t="str">
        <f>IF(A67="","",E67/IF(A67=$B$3,Resumen!#REF!,VLOOKUP(A67,Graf_PowerBI!$A$4:$D$39,3,0)))</f>
        <v/>
      </c>
      <c r="H67" s="163" t="str">
        <f>IF(A67="","",F67/IF(A67=$B$3,Resumen!#REF!,VLOOKUP(A67,Graf_PowerBI!$A$4:$D$39,4,0)))</f>
        <v/>
      </c>
      <c r="P67" s="163" t="str">
        <f>IF(J67="","",N67/IF(J67=$B$3,Resumen!#REF!,VLOOKUP(J67,Graf_PowerBI!$A$4:$D$39,3,0)))</f>
        <v/>
      </c>
      <c r="Q67" s="163" t="str">
        <f>IF(J67="","",O67/IF(J67=$B$3,Resumen!#REF!,VLOOKUP(J67,Graf_PowerBI!$A$4:$D$39,4,0)))</f>
        <v/>
      </c>
      <c r="S67" s="215" t="str">
        <f t="shared" si="0"/>
        <v/>
      </c>
    </row>
    <row r="68" spans="7:19">
      <c r="G68" s="163" t="str">
        <f>IF(A68="","",E68/IF(A68=$B$3,Resumen!#REF!,VLOOKUP(A68,Graf_PowerBI!$A$4:$D$39,3,0)))</f>
        <v/>
      </c>
      <c r="H68" s="163" t="str">
        <f>IF(A68="","",F68/IF(A68=$B$3,Resumen!#REF!,VLOOKUP(A68,Graf_PowerBI!$A$4:$D$39,4,0)))</f>
        <v/>
      </c>
      <c r="P68" s="163" t="str">
        <f>IF(J68="","",N68/IF(J68=$B$3,Resumen!#REF!,VLOOKUP(J68,Graf_PowerBI!$A$4:$D$39,3,0)))</f>
        <v/>
      </c>
      <c r="Q68" s="163" t="str">
        <f>IF(J68="","",O68/IF(J68=$B$3,Resumen!#REF!,VLOOKUP(J68,Graf_PowerBI!$A$4:$D$39,4,0)))</f>
        <v/>
      </c>
      <c r="S68" s="215" t="str">
        <f t="shared" si="0"/>
        <v/>
      </c>
    </row>
    <row r="69" spans="7:19">
      <c r="G69" s="163" t="str">
        <f>IF(A69="","",E69/IF(A69=$B$3,Resumen!#REF!,VLOOKUP(A69,Graf_PowerBI!$A$4:$D$39,3,0)))</f>
        <v/>
      </c>
      <c r="H69" s="163" t="str">
        <f>IF(A69="","",F69/IF(A69=$B$3,Resumen!#REF!,VLOOKUP(A69,Graf_PowerBI!$A$4:$D$39,4,0)))</f>
        <v/>
      </c>
      <c r="P69" s="163" t="str">
        <f>IF(J69="","",N69/IF(J69=$B$3,Resumen!#REF!,VLOOKUP(J69,Graf_PowerBI!$A$4:$D$39,3,0)))</f>
        <v/>
      </c>
      <c r="Q69" s="163" t="str">
        <f>IF(J69="","",O69/IF(J69=$B$3,Resumen!#REF!,VLOOKUP(J69,Graf_PowerBI!$A$4:$D$39,4,0)))</f>
        <v/>
      </c>
      <c r="S69" s="215" t="str">
        <f t="shared" si="0"/>
        <v/>
      </c>
    </row>
    <row r="70" spans="7:19">
      <c r="G70" s="163" t="str">
        <f>IF(A70="","",E70/IF(A70=$B$3,Resumen!#REF!,VLOOKUP(A70,Graf_PowerBI!$A$4:$D$39,3,0)))</f>
        <v/>
      </c>
      <c r="H70" s="163" t="str">
        <f>IF(A70="","",F70/IF(A70=$B$3,Resumen!#REF!,VLOOKUP(A70,Graf_PowerBI!$A$4:$D$39,4,0)))</f>
        <v/>
      </c>
      <c r="P70" s="163" t="str">
        <f>IF(J70="","",N70/IF(J70=$B$3,Resumen!#REF!,VLOOKUP(J70,Graf_PowerBI!$A$4:$D$39,3,0)))</f>
        <v/>
      </c>
      <c r="Q70" s="163" t="str">
        <f>IF(J70="","",O70/IF(J70=$B$3,Resumen!#REF!,VLOOKUP(J70,Graf_PowerBI!$A$4:$D$39,4,0)))</f>
        <v/>
      </c>
      <c r="S70" s="215" t="str">
        <f t="shared" si="0"/>
        <v/>
      </c>
    </row>
    <row r="71" spans="7:19">
      <c r="G71" s="163" t="str">
        <f>IF(A71="","",E71/IF(A71=$B$3,Resumen!#REF!,VLOOKUP(A71,Graf_PowerBI!$A$4:$D$39,3,0)))</f>
        <v/>
      </c>
      <c r="H71" s="163" t="str">
        <f>IF(A71="","",F71/IF(A71=$B$3,Resumen!#REF!,VLOOKUP(A71,Graf_PowerBI!$A$4:$D$39,4,0)))</f>
        <v/>
      </c>
      <c r="P71" s="163" t="str">
        <f>IF(J71="","",N71/IF(J71=$B$3,Resumen!#REF!,VLOOKUP(J71,Graf_PowerBI!$A$4:$D$39,3,0)))</f>
        <v/>
      </c>
      <c r="Q71" s="163" t="str">
        <f>IF(J71="","",O71/IF(J71=$B$3,Resumen!#REF!,VLOOKUP(J71,Graf_PowerBI!$A$4:$D$39,4,0)))</f>
        <v/>
      </c>
      <c r="S71" s="215" t="str">
        <f t="shared" ref="S71:S134" si="1">IF(A71="","",P71+G71)</f>
        <v/>
      </c>
    </row>
    <row r="72" spans="7:19">
      <c r="G72" s="163" t="str">
        <f>IF(A72="","",E72/IF(A72=$B$3,Resumen!#REF!,VLOOKUP(A72,Graf_PowerBI!$A$4:$D$39,3,0)))</f>
        <v/>
      </c>
      <c r="H72" s="163" t="str">
        <f>IF(A72="","",F72/IF(A72=$B$3,Resumen!#REF!,VLOOKUP(A72,Graf_PowerBI!$A$4:$D$39,4,0)))</f>
        <v/>
      </c>
      <c r="P72" s="163" t="str">
        <f>IF(J72="","",N72/IF(J72=$B$3,Resumen!#REF!,VLOOKUP(J72,Graf_PowerBI!$A$4:$D$39,3,0)))</f>
        <v/>
      </c>
      <c r="Q72" s="163" t="str">
        <f>IF(J72="","",O72/IF(J72=$B$3,Resumen!#REF!,VLOOKUP(J72,Graf_PowerBI!$A$4:$D$39,4,0)))</f>
        <v/>
      </c>
      <c r="S72" s="215" t="str">
        <f t="shared" si="1"/>
        <v/>
      </c>
    </row>
    <row r="73" spans="7:19">
      <c r="G73" s="163" t="str">
        <f>IF(A73="","",E73/IF(A73=$B$3,Resumen!#REF!,VLOOKUP(A73,Graf_PowerBI!$A$4:$D$39,3,0)))</f>
        <v/>
      </c>
      <c r="H73" s="163" t="str">
        <f>IF(A73="","",F73/IF(A73=$B$3,Resumen!#REF!,VLOOKUP(A73,Graf_PowerBI!$A$4:$D$39,4,0)))</f>
        <v/>
      </c>
      <c r="P73" s="163" t="str">
        <f>IF(J73="","",N73/IF(J73=$B$3,Resumen!#REF!,VLOOKUP(J73,Graf_PowerBI!$A$4:$D$39,3,0)))</f>
        <v/>
      </c>
      <c r="Q73" s="163" t="str">
        <f>IF(J73="","",O73/IF(J73=$B$3,Resumen!#REF!,VLOOKUP(J73,Graf_PowerBI!$A$4:$D$39,4,0)))</f>
        <v/>
      </c>
      <c r="S73" s="215" t="str">
        <f t="shared" si="1"/>
        <v/>
      </c>
    </row>
    <row r="74" spans="7:19">
      <c r="G74" s="163" t="str">
        <f>IF(A74="","",E74/IF(A74=$B$3,Resumen!#REF!,VLOOKUP(A74,Graf_PowerBI!$A$4:$D$39,3,0)))</f>
        <v/>
      </c>
      <c r="H74" s="163" t="str">
        <f>IF(A74="","",F74/IF(A74=$B$3,Resumen!#REF!,VLOOKUP(A74,Graf_PowerBI!$A$4:$D$39,4,0)))</f>
        <v/>
      </c>
      <c r="P74" s="163" t="str">
        <f>IF(J74="","",N74/IF(J74=$B$3,Resumen!#REF!,VLOOKUP(J74,Graf_PowerBI!$A$4:$D$39,3,0)))</f>
        <v/>
      </c>
      <c r="Q74" s="163" t="str">
        <f>IF(J74="","",O74/IF(J74=$B$3,Resumen!#REF!,VLOOKUP(J74,Graf_PowerBI!$A$4:$D$39,4,0)))</f>
        <v/>
      </c>
      <c r="S74" s="215" t="str">
        <f t="shared" si="1"/>
        <v/>
      </c>
    </row>
    <row r="75" spans="7:19">
      <c r="G75" s="163" t="str">
        <f>IF(A75="","",E75/IF(A75=$B$3,Resumen!#REF!,VLOOKUP(A75,Graf_PowerBI!$A$4:$D$39,3,0)))</f>
        <v/>
      </c>
      <c r="H75" s="163" t="str">
        <f>IF(A75="","",F75/IF(A75=$B$3,Resumen!#REF!,VLOOKUP(A75,Graf_PowerBI!$A$4:$D$39,4,0)))</f>
        <v/>
      </c>
      <c r="P75" s="163" t="str">
        <f>IF(J75="","",N75/IF(J75=$B$3,Resumen!#REF!,VLOOKUP(J75,Graf_PowerBI!$A$4:$D$39,3,0)))</f>
        <v/>
      </c>
      <c r="Q75" s="163" t="str">
        <f>IF(J75="","",O75/IF(J75=$B$3,Resumen!#REF!,VLOOKUP(J75,Graf_PowerBI!$A$4:$D$39,4,0)))</f>
        <v/>
      </c>
      <c r="S75" s="215" t="str">
        <f t="shared" si="1"/>
        <v/>
      </c>
    </row>
    <row r="76" spans="7:19">
      <c r="G76" s="163" t="str">
        <f>IF(A76="","",E76/IF(A76=$B$3,Resumen!#REF!,VLOOKUP(A76,Graf_PowerBI!$A$4:$D$39,3,0)))</f>
        <v/>
      </c>
      <c r="H76" s="163" t="str">
        <f>IF(A76="","",F76/IF(A76=$B$3,Resumen!#REF!,VLOOKUP(A76,Graf_PowerBI!$A$4:$D$39,4,0)))</f>
        <v/>
      </c>
      <c r="P76" s="163" t="str">
        <f>IF(J76="","",N76/IF(J76=$B$3,Resumen!#REF!,VLOOKUP(J76,Graf_PowerBI!$A$4:$D$39,3,0)))</f>
        <v/>
      </c>
      <c r="Q76" s="163" t="str">
        <f>IF(J76="","",O76/IF(J76=$B$3,Resumen!#REF!,VLOOKUP(J76,Graf_PowerBI!$A$4:$D$39,4,0)))</f>
        <v/>
      </c>
      <c r="S76" s="215" t="str">
        <f t="shared" si="1"/>
        <v/>
      </c>
    </row>
    <row r="77" spans="7:19">
      <c r="G77" s="163" t="str">
        <f>IF(A77="","",E77/IF(A77=$B$3,Resumen!#REF!,VLOOKUP(A77,Graf_PowerBI!$A$4:$D$39,3,0)))</f>
        <v/>
      </c>
      <c r="H77" s="163" t="str">
        <f>IF(A77="","",F77/IF(A77=$B$3,Resumen!#REF!,VLOOKUP(A77,Graf_PowerBI!$A$4:$D$39,4,0)))</f>
        <v/>
      </c>
      <c r="P77" s="163" t="str">
        <f>IF(J77="","",N77/IF(J77=$B$3,Resumen!#REF!,VLOOKUP(J77,Graf_PowerBI!$A$4:$D$39,3,0)))</f>
        <v/>
      </c>
      <c r="Q77" s="163" t="str">
        <f>IF(J77="","",O77/IF(J77=$B$3,Resumen!#REF!,VLOOKUP(J77,Graf_PowerBI!$A$4:$D$39,4,0)))</f>
        <v/>
      </c>
      <c r="S77" s="215" t="str">
        <f t="shared" si="1"/>
        <v/>
      </c>
    </row>
    <row r="78" spans="7:19">
      <c r="G78" s="163" t="str">
        <f>IF(A78="","",E78/IF(A78=$B$3,Resumen!#REF!,VLOOKUP(A78,Graf_PowerBI!$A$4:$D$39,3,0)))</f>
        <v/>
      </c>
      <c r="H78" s="163" t="str">
        <f>IF(A78="","",F78/IF(A78=$B$3,Resumen!#REF!,VLOOKUP(A78,Graf_PowerBI!$A$4:$D$39,4,0)))</f>
        <v/>
      </c>
      <c r="P78" s="163" t="str">
        <f>IF(J78="","",N78/IF(J78=$B$3,Resumen!#REF!,VLOOKUP(J78,Graf_PowerBI!$A$4:$D$39,3,0)))</f>
        <v/>
      </c>
      <c r="Q78" s="163" t="str">
        <f>IF(J78="","",O78/IF(J78=$B$3,Resumen!#REF!,VLOOKUP(J78,Graf_PowerBI!$A$4:$D$39,4,0)))</f>
        <v/>
      </c>
      <c r="S78" s="215" t="str">
        <f t="shared" si="1"/>
        <v/>
      </c>
    </row>
    <row r="79" spans="7:19">
      <c r="G79" s="163" t="str">
        <f>IF(A79="","",E79/IF(A79=$B$3,Resumen!#REF!,VLOOKUP(A79,Graf_PowerBI!$A$4:$D$39,3,0)))</f>
        <v/>
      </c>
      <c r="H79" s="163" t="str">
        <f>IF(A79="","",F79/IF(A79=$B$3,Resumen!#REF!,VLOOKUP(A79,Graf_PowerBI!$A$4:$D$39,4,0)))</f>
        <v/>
      </c>
      <c r="P79" s="163" t="str">
        <f>IF(J79="","",N79/IF(J79=$B$3,Resumen!#REF!,VLOOKUP(J79,Graf_PowerBI!$A$4:$D$39,3,0)))</f>
        <v/>
      </c>
      <c r="Q79" s="163" t="str">
        <f>IF(J79="","",O79/IF(J79=$B$3,Resumen!#REF!,VLOOKUP(J79,Graf_PowerBI!$A$4:$D$39,4,0)))</f>
        <v/>
      </c>
      <c r="S79" s="215" t="str">
        <f t="shared" si="1"/>
        <v/>
      </c>
    </row>
    <row r="80" spans="7:19">
      <c r="G80" s="163" t="str">
        <f>IF(A80="","",E80/IF(A80=$B$3,Resumen!#REF!,VLOOKUP(A80,Graf_PowerBI!$A$4:$D$39,3,0)))</f>
        <v/>
      </c>
      <c r="H80" s="163" t="str">
        <f>IF(A80="","",F80/IF(A80=$B$3,Resumen!#REF!,VLOOKUP(A80,Graf_PowerBI!$A$4:$D$39,4,0)))</f>
        <v/>
      </c>
      <c r="P80" s="163" t="str">
        <f>IF(J80="","",N80/IF(J80=$B$3,Resumen!#REF!,VLOOKUP(J80,Graf_PowerBI!$A$4:$D$39,3,0)))</f>
        <v/>
      </c>
      <c r="Q80" s="163" t="str">
        <f>IF(J80="","",O80/IF(J80=$B$3,Resumen!#REF!,VLOOKUP(J80,Graf_PowerBI!$A$4:$D$39,4,0)))</f>
        <v/>
      </c>
      <c r="S80" s="215" t="str">
        <f t="shared" si="1"/>
        <v/>
      </c>
    </row>
    <row r="81" spans="7:19">
      <c r="G81" s="163" t="str">
        <f>IF(A81="","",E81/IF(A81=$B$3,Resumen!#REF!,VLOOKUP(A81,Graf_PowerBI!$A$4:$D$39,3,0)))</f>
        <v/>
      </c>
      <c r="H81" s="163" t="str">
        <f>IF(A81="","",F81/IF(A81=$B$3,Resumen!#REF!,VLOOKUP(A81,Graf_PowerBI!$A$4:$D$39,4,0)))</f>
        <v/>
      </c>
      <c r="P81" s="163" t="str">
        <f>IF(J81="","",N81/IF(J81=$B$3,Resumen!#REF!,VLOOKUP(J81,Graf_PowerBI!$A$4:$D$39,3,0)))</f>
        <v/>
      </c>
      <c r="Q81" s="163" t="str">
        <f>IF(J81="","",O81/IF(J81=$B$3,Resumen!#REF!,VLOOKUP(J81,Graf_PowerBI!$A$4:$D$39,4,0)))</f>
        <v/>
      </c>
      <c r="S81" s="215" t="str">
        <f t="shared" si="1"/>
        <v/>
      </c>
    </row>
    <row r="82" spans="7:19">
      <c r="G82" s="163" t="str">
        <f>IF(A82="","",E82/IF(A82=$B$3,Resumen!#REF!,VLOOKUP(A82,Graf_PowerBI!$A$4:$D$39,3,0)))</f>
        <v/>
      </c>
      <c r="H82" s="163" t="str">
        <f>IF(A82="","",F82/IF(A82=$B$3,Resumen!#REF!,VLOOKUP(A82,Graf_PowerBI!$A$4:$D$39,4,0)))</f>
        <v/>
      </c>
      <c r="P82" s="163" t="str">
        <f>IF(J82="","",N82/IF(J82=$B$3,Resumen!#REF!,VLOOKUP(J82,Graf_PowerBI!$A$4:$D$39,3,0)))</f>
        <v/>
      </c>
      <c r="Q82" s="163" t="str">
        <f>IF(J82="","",O82/IF(J82=$B$3,Resumen!#REF!,VLOOKUP(J82,Graf_PowerBI!$A$4:$D$39,4,0)))</f>
        <v/>
      </c>
      <c r="S82" s="215" t="str">
        <f t="shared" si="1"/>
        <v/>
      </c>
    </row>
    <row r="83" spans="7:19">
      <c r="G83" s="163" t="str">
        <f>IF(A83="","",E83/IF(A83=$B$3,Resumen!#REF!,VLOOKUP(A83,Graf_PowerBI!$A$4:$D$39,3,0)))</f>
        <v/>
      </c>
      <c r="H83" s="163" t="str">
        <f>IF(A83="","",F83/IF(A83=$B$3,Resumen!#REF!,VLOOKUP(A83,Graf_PowerBI!$A$4:$D$39,4,0)))</f>
        <v/>
      </c>
      <c r="P83" s="163" t="str">
        <f>IF(J83="","",N83/IF(J83=$B$3,Resumen!#REF!,VLOOKUP(J83,Graf_PowerBI!$A$4:$D$39,3,0)))</f>
        <v/>
      </c>
      <c r="Q83" s="163" t="str">
        <f>IF(J83="","",O83/IF(J83=$B$3,Resumen!#REF!,VLOOKUP(J83,Graf_PowerBI!$A$4:$D$39,4,0)))</f>
        <v/>
      </c>
      <c r="S83" s="215" t="str">
        <f t="shared" si="1"/>
        <v/>
      </c>
    </row>
    <row r="84" spans="7:19">
      <c r="G84" s="163" t="str">
        <f>IF(A84="","",E84/IF(A84=$B$3,Resumen!#REF!,VLOOKUP(A84,Graf_PowerBI!$A$4:$D$39,3,0)))</f>
        <v/>
      </c>
      <c r="H84" s="163" t="str">
        <f>IF(A84="","",F84/IF(A84=$B$3,Resumen!#REF!,VLOOKUP(A84,Graf_PowerBI!$A$4:$D$39,4,0)))</f>
        <v/>
      </c>
      <c r="P84" s="163" t="str">
        <f>IF(J84="","",N84/IF(J84=$B$3,Resumen!#REF!,VLOOKUP(J84,Graf_PowerBI!$A$4:$D$39,3,0)))</f>
        <v/>
      </c>
      <c r="Q84" s="163" t="str">
        <f>IF(J84="","",O84/IF(J84=$B$3,Resumen!#REF!,VLOOKUP(J84,Graf_PowerBI!$A$4:$D$39,4,0)))</f>
        <v/>
      </c>
      <c r="S84" s="215" t="str">
        <f t="shared" si="1"/>
        <v/>
      </c>
    </row>
    <row r="85" spans="7:19">
      <c r="G85" s="163" t="str">
        <f>IF(A85="","",E85/IF(A85=$B$3,Resumen!#REF!,VLOOKUP(A85,Graf_PowerBI!$A$4:$D$39,3,0)))</f>
        <v/>
      </c>
      <c r="H85" s="163" t="str">
        <f>IF(A85="","",F85/IF(A85=$B$3,Resumen!#REF!,VLOOKUP(A85,Graf_PowerBI!$A$4:$D$39,4,0)))</f>
        <v/>
      </c>
      <c r="P85" s="163" t="str">
        <f>IF(J85="","",N85/IF(J85=$B$3,Resumen!#REF!,VLOOKUP(J85,Graf_PowerBI!$A$4:$D$39,3,0)))</f>
        <v/>
      </c>
      <c r="Q85" s="163" t="str">
        <f>IF(J85="","",O85/IF(J85=$B$3,Resumen!#REF!,VLOOKUP(J85,Graf_PowerBI!$A$4:$D$39,4,0)))</f>
        <v/>
      </c>
      <c r="S85" s="215" t="str">
        <f t="shared" si="1"/>
        <v/>
      </c>
    </row>
    <row r="86" spans="7:19">
      <c r="G86" s="163" t="str">
        <f>IF(A86="","",E86/IF(A86=$B$3,Resumen!#REF!,VLOOKUP(A86,Graf_PowerBI!$A$4:$D$39,3,0)))</f>
        <v/>
      </c>
      <c r="H86" s="163" t="str">
        <f>IF(A86="","",F86/IF(A86=$B$3,Resumen!#REF!,VLOOKUP(A86,Graf_PowerBI!$A$4:$D$39,4,0)))</f>
        <v/>
      </c>
      <c r="P86" s="163" t="str">
        <f>IF(J86="","",N86/IF(J86=$B$3,Resumen!#REF!,VLOOKUP(J86,Graf_PowerBI!$A$4:$D$39,3,0)))</f>
        <v/>
      </c>
      <c r="Q86" s="163" t="str">
        <f>IF(J86="","",O86/IF(J86=$B$3,Resumen!#REF!,VLOOKUP(J86,Graf_PowerBI!$A$4:$D$39,4,0)))</f>
        <v/>
      </c>
      <c r="S86" s="215" t="str">
        <f t="shared" si="1"/>
        <v/>
      </c>
    </row>
    <row r="87" spans="7:19">
      <c r="G87" s="163" t="str">
        <f>IF(A87="","",E87/IF(A87=$B$3,Resumen!#REF!,VLOOKUP(A87,Graf_PowerBI!$A$4:$D$39,3,0)))</f>
        <v/>
      </c>
      <c r="H87" s="163" t="str">
        <f>IF(A87="","",F87/IF(A87=$B$3,Resumen!#REF!,VLOOKUP(A87,Graf_PowerBI!$A$4:$D$39,4,0)))</f>
        <v/>
      </c>
      <c r="P87" s="163" t="str">
        <f>IF(J87="","",N87/IF(J87=$B$3,Resumen!#REF!,VLOOKUP(J87,Graf_PowerBI!$A$4:$D$39,3,0)))</f>
        <v/>
      </c>
      <c r="Q87" s="163" t="str">
        <f>IF(J87="","",O87/IF(J87=$B$3,Resumen!#REF!,VLOOKUP(J87,Graf_PowerBI!$A$4:$D$39,4,0)))</f>
        <v/>
      </c>
      <c r="S87" s="215" t="str">
        <f t="shared" si="1"/>
        <v/>
      </c>
    </row>
    <row r="88" spans="7:19">
      <c r="G88" s="163" t="str">
        <f>IF(A88="","",E88/IF(A88=$B$3,Resumen!#REF!,VLOOKUP(A88,Graf_PowerBI!$A$4:$D$39,3,0)))</f>
        <v/>
      </c>
      <c r="H88" s="163" t="str">
        <f>IF(A88="","",F88/IF(A88=$B$3,Resumen!#REF!,VLOOKUP(A88,Graf_PowerBI!$A$4:$D$39,4,0)))</f>
        <v/>
      </c>
      <c r="P88" s="163" t="str">
        <f>IF(J88="","",N88/IF(J88=$B$3,Resumen!#REF!,VLOOKUP(J88,Graf_PowerBI!$A$4:$D$39,3,0)))</f>
        <v/>
      </c>
      <c r="Q88" s="163" t="str">
        <f>IF(J88="","",O88/IF(J88=$B$3,Resumen!#REF!,VLOOKUP(J88,Graf_PowerBI!$A$4:$D$39,4,0)))</f>
        <v/>
      </c>
      <c r="S88" s="215" t="str">
        <f t="shared" si="1"/>
        <v/>
      </c>
    </row>
    <row r="89" spans="7:19">
      <c r="G89" s="163" t="str">
        <f>IF(A89="","",E89/IF(A89=$B$3,Resumen!#REF!,VLOOKUP(A89,Graf_PowerBI!$A$4:$D$39,3,0)))</f>
        <v/>
      </c>
      <c r="H89" s="163" t="str">
        <f>IF(A89="","",F89/IF(A89=$B$3,Resumen!#REF!,VLOOKUP(A89,Graf_PowerBI!$A$4:$D$39,4,0)))</f>
        <v/>
      </c>
      <c r="P89" s="163" t="str">
        <f>IF(J89="","",N89/IF(J89=$B$3,Resumen!#REF!,VLOOKUP(J89,Graf_PowerBI!$A$4:$D$39,3,0)))</f>
        <v/>
      </c>
      <c r="Q89" s="163" t="str">
        <f>IF(J89="","",O89/IF(J89=$B$3,Resumen!#REF!,VLOOKUP(J89,Graf_PowerBI!$A$4:$D$39,4,0)))</f>
        <v/>
      </c>
      <c r="S89" s="215" t="str">
        <f t="shared" si="1"/>
        <v/>
      </c>
    </row>
    <row r="90" spans="7:19">
      <c r="G90" s="163" t="str">
        <f>IF(A90="","",E90/IF(A90=$B$3,Resumen!#REF!,VLOOKUP(A90,Graf_PowerBI!$A$4:$D$39,3,0)))</f>
        <v/>
      </c>
      <c r="H90" s="163" t="str">
        <f>IF(A90="","",F90/IF(A90=$B$3,Resumen!#REF!,VLOOKUP(A90,Graf_PowerBI!$A$4:$D$39,4,0)))</f>
        <v/>
      </c>
      <c r="P90" s="163" t="str">
        <f>IF(J90="","",N90/IF(J90=$B$3,Resumen!#REF!,VLOOKUP(J90,Graf_PowerBI!$A$4:$D$39,3,0)))</f>
        <v/>
      </c>
      <c r="Q90" s="163" t="str">
        <f>IF(J90="","",O90/IF(J90=$B$3,Resumen!#REF!,VLOOKUP(J90,Graf_PowerBI!$A$4:$D$39,4,0)))</f>
        <v/>
      </c>
      <c r="S90" s="215" t="str">
        <f t="shared" si="1"/>
        <v/>
      </c>
    </row>
    <row r="91" spans="7:19">
      <c r="G91" s="163" t="str">
        <f>IF(A91="","",E91/IF(A91=$B$3,Resumen!#REF!,VLOOKUP(A91,Graf_PowerBI!$A$4:$D$39,3,0)))</f>
        <v/>
      </c>
      <c r="H91" s="163" t="str">
        <f>IF(A91="","",F91/IF(A91=$B$3,Resumen!#REF!,VLOOKUP(A91,Graf_PowerBI!$A$4:$D$39,4,0)))</f>
        <v/>
      </c>
      <c r="P91" s="163" t="str">
        <f>IF(J91="","",N91/IF(J91=$B$3,Resumen!#REF!,VLOOKUP(J91,Graf_PowerBI!$A$4:$D$39,3,0)))</f>
        <v/>
      </c>
      <c r="Q91" s="163" t="str">
        <f>IF(J91="","",O91/IF(J91=$B$3,Resumen!#REF!,VLOOKUP(J91,Graf_PowerBI!$A$4:$D$39,4,0)))</f>
        <v/>
      </c>
      <c r="S91" s="215" t="str">
        <f t="shared" si="1"/>
        <v/>
      </c>
    </row>
    <row r="92" spans="7:19">
      <c r="G92" s="163" t="str">
        <f>IF(A92="","",E92/IF(A92=$B$3,Resumen!#REF!,VLOOKUP(A92,Graf_PowerBI!$A$4:$D$39,3,0)))</f>
        <v/>
      </c>
      <c r="H92" s="163" t="str">
        <f>IF(A92="","",F92/IF(A92=$B$3,Resumen!#REF!,VLOOKUP(A92,Graf_PowerBI!$A$4:$D$39,4,0)))</f>
        <v/>
      </c>
      <c r="P92" s="163" t="str">
        <f>IF(J92="","",N92/IF(J92=$B$3,Resumen!#REF!,VLOOKUP(J92,Graf_PowerBI!$A$4:$D$39,3,0)))</f>
        <v/>
      </c>
      <c r="Q92" s="163" t="str">
        <f>IF(J92="","",O92/IF(J92=$B$3,Resumen!#REF!,VLOOKUP(J92,Graf_PowerBI!$A$4:$D$39,4,0)))</f>
        <v/>
      </c>
      <c r="S92" s="215" t="str">
        <f t="shared" si="1"/>
        <v/>
      </c>
    </row>
    <row r="93" spans="7:19">
      <c r="G93" s="163" t="str">
        <f>IF(A93="","",E93/IF(A93=$B$3,Resumen!#REF!,VLOOKUP(A93,Graf_PowerBI!$A$4:$D$39,3,0)))</f>
        <v/>
      </c>
      <c r="H93" s="163" t="str">
        <f>IF(A93="","",F93/IF(A93=$B$3,Resumen!#REF!,VLOOKUP(A93,Graf_PowerBI!$A$4:$D$39,4,0)))</f>
        <v/>
      </c>
      <c r="P93" s="163" t="str">
        <f>IF(J93="","",N93/IF(J93=$B$3,Resumen!#REF!,VLOOKUP(J93,Graf_PowerBI!$A$4:$D$39,3,0)))</f>
        <v/>
      </c>
      <c r="Q93" s="163" t="str">
        <f>IF(J93="","",O93/IF(J93=$B$3,Resumen!#REF!,VLOOKUP(J93,Graf_PowerBI!$A$4:$D$39,4,0)))</f>
        <v/>
      </c>
      <c r="S93" s="215" t="str">
        <f t="shared" si="1"/>
        <v/>
      </c>
    </row>
    <row r="94" spans="7:19">
      <c r="G94" s="163" t="str">
        <f>IF(A94="","",E94/IF(A94=$B$3,Resumen!#REF!,VLOOKUP(A94,Graf_PowerBI!$A$4:$D$39,3,0)))</f>
        <v/>
      </c>
      <c r="H94" s="163" t="str">
        <f>IF(A94="","",F94/IF(A94=$B$3,Resumen!#REF!,VLOOKUP(A94,Graf_PowerBI!$A$4:$D$39,4,0)))</f>
        <v/>
      </c>
      <c r="P94" s="163" t="str">
        <f>IF(J94="","",N94/IF(J94=$B$3,Resumen!#REF!,VLOOKUP(J94,Graf_PowerBI!$A$4:$D$39,3,0)))</f>
        <v/>
      </c>
      <c r="Q94" s="163" t="str">
        <f>IF(J94="","",O94/IF(J94=$B$3,Resumen!#REF!,VLOOKUP(J94,Graf_PowerBI!$A$4:$D$39,4,0)))</f>
        <v/>
      </c>
      <c r="S94" s="215" t="str">
        <f t="shared" si="1"/>
        <v/>
      </c>
    </row>
    <row r="95" spans="7:19">
      <c r="G95" s="163" t="str">
        <f>IF(A95="","",E95/IF(A95=$B$3,Resumen!#REF!,VLOOKUP(A95,Graf_PowerBI!$A$4:$D$39,3,0)))</f>
        <v/>
      </c>
      <c r="H95" s="163" t="str">
        <f>IF(A95="","",F95/IF(A95=$B$3,Resumen!#REF!,VLOOKUP(A95,Graf_PowerBI!$A$4:$D$39,4,0)))</f>
        <v/>
      </c>
      <c r="P95" s="163" t="str">
        <f>IF(J95="","",N95/IF(J95=$B$3,Resumen!#REF!,VLOOKUP(J95,Graf_PowerBI!$A$4:$D$39,3,0)))</f>
        <v/>
      </c>
      <c r="Q95" s="163" t="str">
        <f>IF(J95="","",O95/IF(J95=$B$3,Resumen!#REF!,VLOOKUP(J95,Graf_PowerBI!$A$4:$D$39,4,0)))</f>
        <v/>
      </c>
      <c r="S95" s="215" t="str">
        <f t="shared" si="1"/>
        <v/>
      </c>
    </row>
    <row r="96" spans="7:19">
      <c r="G96" s="163" t="str">
        <f>IF(A96="","",E96/IF(A96=$B$3,Resumen!#REF!,VLOOKUP(A96,Graf_PowerBI!$A$4:$D$39,3,0)))</f>
        <v/>
      </c>
      <c r="H96" s="163" t="str">
        <f>IF(A96="","",F96/IF(A96=$B$3,Resumen!#REF!,VLOOKUP(A96,Graf_PowerBI!$A$4:$D$39,4,0)))</f>
        <v/>
      </c>
      <c r="P96" s="163" t="str">
        <f>IF(J96="","",N96/IF(J96=$B$3,Resumen!#REF!,VLOOKUP(J96,Graf_PowerBI!$A$4:$D$39,3,0)))</f>
        <v/>
      </c>
      <c r="Q96" s="163" t="str">
        <f>IF(J96="","",O96/IF(J96=$B$3,Resumen!#REF!,VLOOKUP(J96,Graf_PowerBI!$A$4:$D$39,4,0)))</f>
        <v/>
      </c>
      <c r="S96" s="215" t="str">
        <f t="shared" si="1"/>
        <v/>
      </c>
    </row>
    <row r="97" spans="7:19">
      <c r="G97" s="163" t="str">
        <f>IF(A97="","",E97/IF(A97=$B$3,Resumen!#REF!,VLOOKUP(A97,Graf_PowerBI!$A$4:$D$39,3,0)))</f>
        <v/>
      </c>
      <c r="H97" s="163" t="str">
        <f>IF(A97="","",F97/IF(A97=$B$3,Resumen!#REF!,VLOOKUP(A97,Graf_PowerBI!$A$4:$D$39,4,0)))</f>
        <v/>
      </c>
      <c r="P97" s="163" t="str">
        <f>IF(J97="","",N97/IF(J97=$B$3,Resumen!#REF!,VLOOKUP(J97,Graf_PowerBI!$A$4:$D$39,3,0)))</f>
        <v/>
      </c>
      <c r="Q97" s="163" t="str">
        <f>IF(J97="","",O97/IF(J97=$B$3,Resumen!#REF!,VLOOKUP(J97,Graf_PowerBI!$A$4:$D$39,4,0)))</f>
        <v/>
      </c>
      <c r="S97" s="215" t="str">
        <f t="shared" si="1"/>
        <v/>
      </c>
    </row>
    <row r="98" spans="7:19">
      <c r="G98" s="163" t="str">
        <f>IF(A98="","",E98/IF(A98=$B$3,Resumen!#REF!,VLOOKUP(A98,Graf_PowerBI!$A$4:$D$39,3,0)))</f>
        <v/>
      </c>
      <c r="H98" s="163" t="str">
        <f>IF(A98="","",F98/IF(A98=$B$3,Resumen!#REF!,VLOOKUP(A98,Graf_PowerBI!$A$4:$D$39,4,0)))</f>
        <v/>
      </c>
      <c r="P98" s="163" t="str">
        <f>IF(J98="","",N98/IF(J98=$B$3,Resumen!#REF!,VLOOKUP(J98,Graf_PowerBI!$A$4:$D$39,3,0)))</f>
        <v/>
      </c>
      <c r="Q98" s="163" t="str">
        <f>IF(J98="","",O98/IF(J98=$B$3,Resumen!#REF!,VLOOKUP(J98,Graf_PowerBI!$A$4:$D$39,4,0)))</f>
        <v/>
      </c>
      <c r="S98" s="215" t="str">
        <f t="shared" si="1"/>
        <v/>
      </c>
    </row>
    <row r="99" spans="7:19">
      <c r="G99" s="163" t="str">
        <f>IF(A99="","",E99/IF(A99=$B$3,Resumen!#REF!,VLOOKUP(A99,Graf_PowerBI!$A$4:$D$39,3,0)))</f>
        <v/>
      </c>
      <c r="H99" s="163" t="str">
        <f>IF(A99="","",F99/IF(A99=$B$3,Resumen!#REF!,VLOOKUP(A99,Graf_PowerBI!$A$4:$D$39,4,0)))</f>
        <v/>
      </c>
      <c r="P99" s="163" t="str">
        <f>IF(J99="","",N99/IF(J99=$B$3,Resumen!#REF!,VLOOKUP(J99,Graf_PowerBI!$A$4:$D$39,3,0)))</f>
        <v/>
      </c>
      <c r="Q99" s="163" t="str">
        <f>IF(J99="","",O99/IF(J99=$B$3,Resumen!#REF!,VLOOKUP(J99,Graf_PowerBI!$A$4:$D$39,4,0)))</f>
        <v/>
      </c>
      <c r="S99" s="215" t="str">
        <f t="shared" si="1"/>
        <v/>
      </c>
    </row>
    <row r="100" spans="7:19">
      <c r="G100" s="163" t="str">
        <f>IF(A100="","",E100/IF(A100=$B$3,Resumen!#REF!,VLOOKUP(A100,Graf_PowerBI!$A$4:$D$39,3,0)))</f>
        <v/>
      </c>
      <c r="H100" s="163" t="str">
        <f>IF(A100="","",F100/IF(A100=$B$3,Resumen!#REF!,VLOOKUP(A100,Graf_PowerBI!$A$4:$D$39,4,0)))</f>
        <v/>
      </c>
      <c r="P100" s="163" t="str">
        <f>IF(J100="","",N100/IF(J100=$B$3,Resumen!#REF!,VLOOKUP(J100,Graf_PowerBI!$A$4:$D$39,3,0)))</f>
        <v/>
      </c>
      <c r="Q100" s="163" t="str">
        <f>IF(J100="","",O100/IF(J100=$B$3,Resumen!#REF!,VLOOKUP(J100,Graf_PowerBI!$A$4:$D$39,4,0)))</f>
        <v/>
      </c>
      <c r="S100" s="215" t="str">
        <f t="shared" si="1"/>
        <v/>
      </c>
    </row>
    <row r="101" spans="7:19">
      <c r="G101" s="163" t="str">
        <f>IF(A101="","",E101/IF(A101=$B$3,Resumen!#REF!,VLOOKUP(A101,Graf_PowerBI!$A$4:$D$39,3,0)))</f>
        <v/>
      </c>
      <c r="H101" s="163" t="str">
        <f>IF(A101="","",F101/IF(A101=$B$3,Resumen!#REF!,VLOOKUP(A101,Graf_PowerBI!$A$4:$D$39,4,0)))</f>
        <v/>
      </c>
      <c r="P101" s="163" t="str">
        <f>IF(J101="","",N101/IF(J101=$B$3,Resumen!#REF!,VLOOKUP(J101,Graf_PowerBI!$A$4:$D$39,3,0)))</f>
        <v/>
      </c>
      <c r="Q101" s="163" t="str">
        <f>IF(J101="","",O101/IF(J101=$B$3,Resumen!#REF!,VLOOKUP(J101,Graf_PowerBI!$A$4:$D$39,4,0)))</f>
        <v/>
      </c>
      <c r="S101" s="215" t="str">
        <f t="shared" si="1"/>
        <v/>
      </c>
    </row>
    <row r="102" spans="7:19">
      <c r="G102" s="163" t="str">
        <f>IF(A102="","",E102/IF(A102=$B$3,Resumen!#REF!,VLOOKUP(A102,Graf_PowerBI!$A$4:$D$39,3,0)))</f>
        <v/>
      </c>
      <c r="H102" s="163" t="str">
        <f>IF(A102="","",F102/IF(A102=$B$3,Resumen!#REF!,VLOOKUP(A102,Graf_PowerBI!$A$4:$D$39,4,0)))</f>
        <v/>
      </c>
      <c r="P102" s="163" t="str">
        <f>IF(J102="","",N102/IF(J102=$B$3,Resumen!#REF!,VLOOKUP(J102,Graf_PowerBI!$A$4:$D$39,3,0)))</f>
        <v/>
      </c>
      <c r="Q102" s="163" t="str">
        <f>IF(J102="","",O102/IF(J102=$B$3,Resumen!#REF!,VLOOKUP(J102,Graf_PowerBI!$A$4:$D$39,4,0)))</f>
        <v/>
      </c>
      <c r="S102" s="215" t="str">
        <f t="shared" si="1"/>
        <v/>
      </c>
    </row>
    <row r="103" spans="7:19">
      <c r="G103" s="163" t="str">
        <f>IF(A103="","",E103/IF(A103=$B$3,Resumen!#REF!,VLOOKUP(A103,Graf_PowerBI!$A$4:$D$39,3,0)))</f>
        <v/>
      </c>
      <c r="H103" s="163" t="str">
        <f>IF(A103="","",F103/IF(A103=$B$3,Resumen!#REF!,VLOOKUP(A103,Graf_PowerBI!$A$4:$D$39,4,0)))</f>
        <v/>
      </c>
      <c r="P103" s="163" t="str">
        <f>IF(J103="","",N103/IF(J103=$B$3,Resumen!#REF!,VLOOKUP(J103,Graf_PowerBI!$A$4:$D$39,3,0)))</f>
        <v/>
      </c>
      <c r="Q103" s="163" t="str">
        <f>IF(J103="","",O103/IF(J103=$B$3,Resumen!#REF!,VLOOKUP(J103,Graf_PowerBI!$A$4:$D$39,4,0)))</f>
        <v/>
      </c>
      <c r="S103" s="215" t="str">
        <f t="shared" si="1"/>
        <v/>
      </c>
    </row>
    <row r="104" spans="7:19">
      <c r="G104" s="163" t="str">
        <f>IF(A104="","",E104/IF(A104=$B$3,Resumen!#REF!,VLOOKUP(A104,Graf_PowerBI!$A$4:$D$39,3,0)))</f>
        <v/>
      </c>
      <c r="H104" s="163" t="str">
        <f>IF(A104="","",F104/IF(A104=$B$3,Resumen!#REF!,VLOOKUP(A104,Graf_PowerBI!$A$4:$D$39,4,0)))</f>
        <v/>
      </c>
      <c r="P104" s="163" t="str">
        <f>IF(J104="","",N104/IF(J104=$B$3,Resumen!#REF!,VLOOKUP(J104,Graf_PowerBI!$A$4:$D$39,3,0)))</f>
        <v/>
      </c>
      <c r="Q104" s="163" t="str">
        <f>IF(J104="","",O104/IF(J104=$B$3,Resumen!#REF!,VLOOKUP(J104,Graf_PowerBI!$A$4:$D$39,4,0)))</f>
        <v/>
      </c>
      <c r="S104" s="215" t="str">
        <f t="shared" si="1"/>
        <v/>
      </c>
    </row>
    <row r="105" spans="7:19">
      <c r="G105" s="163" t="str">
        <f>IF(A105="","",E105/IF(A105=$B$3,Resumen!#REF!,VLOOKUP(A105,Graf_PowerBI!$A$4:$D$39,3,0)))</f>
        <v/>
      </c>
      <c r="H105" s="163" t="str">
        <f>IF(A105="","",F105/IF(A105=$B$3,Resumen!#REF!,VLOOKUP(A105,Graf_PowerBI!$A$4:$D$39,4,0)))</f>
        <v/>
      </c>
      <c r="P105" s="163" t="str">
        <f>IF(J105="","",N105/IF(J105=$B$3,Resumen!#REF!,VLOOKUP(J105,Graf_PowerBI!$A$4:$D$39,3,0)))</f>
        <v/>
      </c>
      <c r="Q105" s="163" t="str">
        <f>IF(J105="","",O105/IF(J105=$B$3,Resumen!#REF!,VLOOKUP(J105,Graf_PowerBI!$A$4:$D$39,4,0)))</f>
        <v/>
      </c>
      <c r="S105" s="215" t="str">
        <f t="shared" si="1"/>
        <v/>
      </c>
    </row>
    <row r="106" spans="7:19">
      <c r="G106" s="163" t="str">
        <f>IF(A106="","",E106/IF(A106=$B$3,Resumen!#REF!,VLOOKUP(A106,Graf_PowerBI!$A$4:$D$39,3,0)))</f>
        <v/>
      </c>
      <c r="H106" s="163" t="str">
        <f>IF(A106="","",F106/IF(A106=$B$3,Resumen!#REF!,VLOOKUP(A106,Graf_PowerBI!$A$4:$D$39,4,0)))</f>
        <v/>
      </c>
      <c r="P106" s="163" t="str">
        <f>IF(J106="","",N106/IF(J106=$B$3,Resumen!#REF!,VLOOKUP(J106,Graf_PowerBI!$A$4:$D$39,3,0)))</f>
        <v/>
      </c>
      <c r="Q106" s="163" t="str">
        <f>IF(J106="","",O106/IF(J106=$B$3,Resumen!#REF!,VLOOKUP(J106,Graf_PowerBI!$A$4:$D$39,4,0)))</f>
        <v/>
      </c>
      <c r="S106" s="215" t="str">
        <f t="shared" si="1"/>
        <v/>
      </c>
    </row>
    <row r="107" spans="7:19">
      <c r="G107" s="163" t="str">
        <f>IF(A107="","",E107/IF(A107=$B$3,Resumen!#REF!,VLOOKUP(A107,Graf_PowerBI!$A$4:$D$39,3,0)))</f>
        <v/>
      </c>
      <c r="H107" s="163" t="str">
        <f>IF(A107="","",F107/IF(A107=$B$3,Resumen!#REF!,VLOOKUP(A107,Graf_PowerBI!$A$4:$D$39,4,0)))</f>
        <v/>
      </c>
      <c r="P107" s="163" t="str">
        <f>IF(J107="","",N107/IF(J107=$B$3,Resumen!#REF!,VLOOKUP(J107,Graf_PowerBI!$A$4:$D$39,3,0)))</f>
        <v/>
      </c>
      <c r="Q107" s="163" t="str">
        <f>IF(J107="","",O107/IF(J107=$B$3,Resumen!#REF!,VLOOKUP(J107,Graf_PowerBI!$A$4:$D$39,4,0)))</f>
        <v/>
      </c>
      <c r="S107" s="215" t="str">
        <f t="shared" si="1"/>
        <v/>
      </c>
    </row>
    <row r="108" spans="7:19">
      <c r="G108" s="163" t="str">
        <f>IF(A108="","",E108/IF(A108=$B$3,Resumen!#REF!,VLOOKUP(A108,Graf_PowerBI!$A$4:$D$39,3,0)))</f>
        <v/>
      </c>
      <c r="H108" s="163" t="str">
        <f>IF(A108="","",F108/IF(A108=$B$3,Resumen!#REF!,VLOOKUP(A108,Graf_PowerBI!$A$4:$D$39,4,0)))</f>
        <v/>
      </c>
      <c r="P108" s="163" t="str">
        <f>IF(J108="","",N108/IF(J108=$B$3,Resumen!#REF!,VLOOKUP(J108,Graf_PowerBI!$A$4:$D$39,3,0)))</f>
        <v/>
      </c>
      <c r="Q108" s="163" t="str">
        <f>IF(J108="","",O108/IF(J108=$B$3,Resumen!#REF!,VLOOKUP(J108,Graf_PowerBI!$A$4:$D$39,4,0)))</f>
        <v/>
      </c>
      <c r="S108" s="215" t="str">
        <f t="shared" si="1"/>
        <v/>
      </c>
    </row>
    <row r="109" spans="7:19">
      <c r="G109" s="163" t="str">
        <f>IF(A109="","",E109/IF(A109=$B$3,Resumen!#REF!,VLOOKUP(A109,Graf_PowerBI!$A$4:$D$39,3,0)))</f>
        <v/>
      </c>
      <c r="H109" s="163" t="str">
        <f>IF(A109="","",F109/IF(A109=$B$3,Resumen!#REF!,VLOOKUP(A109,Graf_PowerBI!$A$4:$D$39,4,0)))</f>
        <v/>
      </c>
      <c r="P109" s="163" t="str">
        <f>IF(J109="","",N109/IF(J109=$B$3,Resumen!#REF!,VLOOKUP(J109,Graf_PowerBI!$A$4:$D$39,3,0)))</f>
        <v/>
      </c>
      <c r="Q109" s="163" t="str">
        <f>IF(J109="","",O109/IF(J109=$B$3,Resumen!#REF!,VLOOKUP(J109,Graf_PowerBI!$A$4:$D$39,4,0)))</f>
        <v/>
      </c>
      <c r="S109" s="215" t="str">
        <f t="shared" si="1"/>
        <v/>
      </c>
    </row>
    <row r="110" spans="7:19">
      <c r="G110" s="163" t="str">
        <f>IF(A110="","",E110/IF(A110=$B$3,Resumen!#REF!,VLOOKUP(A110,Graf_PowerBI!$A$4:$D$39,3,0)))</f>
        <v/>
      </c>
      <c r="H110" s="163" t="str">
        <f>IF(A110="","",F110/IF(A110=$B$3,Resumen!#REF!,VLOOKUP(A110,Graf_PowerBI!$A$4:$D$39,4,0)))</f>
        <v/>
      </c>
      <c r="P110" s="163" t="str">
        <f>IF(J110="","",N110/IF(J110=$B$3,Resumen!#REF!,VLOOKUP(J110,Graf_PowerBI!$A$4:$D$39,3,0)))</f>
        <v/>
      </c>
      <c r="Q110" s="163" t="str">
        <f>IF(J110="","",O110/IF(J110=$B$3,Resumen!#REF!,VLOOKUP(J110,Graf_PowerBI!$A$4:$D$39,4,0)))</f>
        <v/>
      </c>
      <c r="S110" s="215" t="str">
        <f t="shared" si="1"/>
        <v/>
      </c>
    </row>
    <row r="111" spans="7:19">
      <c r="G111" s="163" t="str">
        <f>IF(A111="","",E111/IF(A111=$B$3,Resumen!#REF!,VLOOKUP(A111,Graf_PowerBI!$A$4:$D$39,3,0)))</f>
        <v/>
      </c>
      <c r="H111" s="163" t="str">
        <f>IF(A111="","",F111/IF(A111=$B$3,Resumen!#REF!,VLOOKUP(A111,Graf_PowerBI!$A$4:$D$39,4,0)))</f>
        <v/>
      </c>
      <c r="P111" s="163" t="str">
        <f>IF(J111="","",N111/IF(J111=$B$3,Resumen!#REF!,VLOOKUP(J111,Graf_PowerBI!$A$4:$D$39,3,0)))</f>
        <v/>
      </c>
      <c r="Q111" s="163" t="str">
        <f>IF(J111="","",O111/IF(J111=$B$3,Resumen!#REF!,VLOOKUP(J111,Graf_PowerBI!$A$4:$D$39,4,0)))</f>
        <v/>
      </c>
      <c r="S111" s="215" t="str">
        <f t="shared" si="1"/>
        <v/>
      </c>
    </row>
    <row r="112" spans="7:19">
      <c r="G112" s="163" t="str">
        <f>IF(A112="","",E112/IF(A112=$B$3,Resumen!#REF!,VLOOKUP(A112,Graf_PowerBI!$A$4:$D$39,3,0)))</f>
        <v/>
      </c>
      <c r="H112" s="163" t="str">
        <f>IF(A112="","",F112/IF(A112=$B$3,Resumen!#REF!,VLOOKUP(A112,Graf_PowerBI!$A$4:$D$39,4,0)))</f>
        <v/>
      </c>
      <c r="P112" s="163" t="str">
        <f>IF(J112="","",N112/IF(J112=$B$3,Resumen!#REF!,VLOOKUP(J112,Graf_PowerBI!$A$4:$D$39,3,0)))</f>
        <v/>
      </c>
      <c r="Q112" s="163" t="str">
        <f>IF(J112="","",O112/IF(J112=$B$3,Resumen!#REF!,VLOOKUP(J112,Graf_PowerBI!$A$4:$D$39,4,0)))</f>
        <v/>
      </c>
      <c r="S112" s="215" t="str">
        <f t="shared" si="1"/>
        <v/>
      </c>
    </row>
    <row r="113" spans="7:19">
      <c r="G113" s="163" t="str">
        <f>IF(A113="","",E113/IF(A113=$B$3,Resumen!#REF!,VLOOKUP(A113,Graf_PowerBI!$A$4:$D$39,3,0)))</f>
        <v/>
      </c>
      <c r="H113" s="163" t="str">
        <f>IF(A113="","",F113/IF(A113=$B$3,Resumen!#REF!,VLOOKUP(A113,Graf_PowerBI!$A$4:$D$39,4,0)))</f>
        <v/>
      </c>
      <c r="P113" s="163" t="str">
        <f>IF(J113="","",N113/IF(J113=$B$3,Resumen!#REF!,VLOOKUP(J113,Graf_PowerBI!$A$4:$D$39,3,0)))</f>
        <v/>
      </c>
      <c r="Q113" s="163" t="str">
        <f>IF(J113="","",O113/IF(J113=$B$3,Resumen!#REF!,VLOOKUP(J113,Graf_PowerBI!$A$4:$D$39,4,0)))</f>
        <v/>
      </c>
      <c r="S113" s="215" t="str">
        <f t="shared" si="1"/>
        <v/>
      </c>
    </row>
    <row r="114" spans="7:19">
      <c r="G114" s="163" t="str">
        <f>IF(A114="","",E114/IF(A114=$B$3,Resumen!#REF!,VLOOKUP(A114,Graf_PowerBI!$A$4:$D$39,3,0)))</f>
        <v/>
      </c>
      <c r="H114" s="163" t="str">
        <f>IF(A114="","",F114/IF(A114=$B$3,Resumen!#REF!,VLOOKUP(A114,Graf_PowerBI!$A$4:$D$39,4,0)))</f>
        <v/>
      </c>
      <c r="P114" s="163" t="str">
        <f>IF(J114="","",N114/IF(J114=$B$3,Resumen!#REF!,VLOOKUP(J114,Graf_PowerBI!$A$4:$D$39,3,0)))</f>
        <v/>
      </c>
      <c r="Q114" s="163" t="str">
        <f>IF(J114="","",O114/IF(J114=$B$3,Resumen!#REF!,VLOOKUP(J114,Graf_PowerBI!$A$4:$D$39,4,0)))</f>
        <v/>
      </c>
      <c r="S114" s="215" t="str">
        <f t="shared" si="1"/>
        <v/>
      </c>
    </row>
    <row r="115" spans="7:19">
      <c r="G115" s="163" t="str">
        <f>IF(A115="","",E115/IF(A115=$B$3,Resumen!#REF!,VLOOKUP(A115,Graf_PowerBI!$A$4:$D$39,3,0)))</f>
        <v/>
      </c>
      <c r="H115" s="163" t="str">
        <f>IF(A115="","",F115/IF(A115=$B$3,Resumen!#REF!,VLOOKUP(A115,Graf_PowerBI!$A$4:$D$39,4,0)))</f>
        <v/>
      </c>
      <c r="P115" s="163" t="str">
        <f>IF(J115="","",N115/IF(J115=$B$3,Resumen!#REF!,VLOOKUP(J115,Graf_PowerBI!$A$4:$D$39,3,0)))</f>
        <v/>
      </c>
      <c r="Q115" s="163" t="str">
        <f>IF(J115="","",O115/IF(J115=$B$3,Resumen!#REF!,VLOOKUP(J115,Graf_PowerBI!$A$4:$D$39,4,0)))</f>
        <v/>
      </c>
      <c r="S115" s="215" t="str">
        <f t="shared" si="1"/>
        <v/>
      </c>
    </row>
    <row r="116" spans="7:19">
      <c r="G116" s="163" t="str">
        <f>IF(A116="","",E116/IF(A116=$B$3,Resumen!#REF!,VLOOKUP(A116,Graf_PowerBI!$A$4:$D$39,3,0)))</f>
        <v/>
      </c>
      <c r="H116" s="163" t="str">
        <f>IF(A116="","",F116/IF(A116=$B$3,Resumen!#REF!,VLOOKUP(A116,Graf_PowerBI!$A$4:$D$39,4,0)))</f>
        <v/>
      </c>
      <c r="P116" s="163" t="str">
        <f>IF(J116="","",N116/IF(J116=$B$3,Resumen!#REF!,VLOOKUP(J116,Graf_PowerBI!$A$4:$D$39,3,0)))</f>
        <v/>
      </c>
      <c r="Q116" s="163" t="str">
        <f>IF(J116="","",O116/IF(J116=$B$3,Resumen!#REF!,VLOOKUP(J116,Graf_PowerBI!$A$4:$D$39,4,0)))</f>
        <v/>
      </c>
      <c r="S116" s="215" t="str">
        <f t="shared" si="1"/>
        <v/>
      </c>
    </row>
    <row r="117" spans="7:19">
      <c r="G117" s="163" t="str">
        <f>IF(A117="","",E117/IF(A117=$B$3,Resumen!#REF!,VLOOKUP(A117,Graf_PowerBI!$A$4:$D$39,3,0)))</f>
        <v/>
      </c>
      <c r="H117" s="163" t="str">
        <f>IF(A117="","",F117/IF(A117=$B$3,Resumen!#REF!,VLOOKUP(A117,Graf_PowerBI!$A$4:$D$39,4,0)))</f>
        <v/>
      </c>
      <c r="P117" s="163" t="str">
        <f>IF(J117="","",N117/IF(J117=$B$3,Resumen!#REF!,VLOOKUP(J117,Graf_PowerBI!$A$4:$D$39,3,0)))</f>
        <v/>
      </c>
      <c r="Q117" s="163" t="str">
        <f>IF(J117="","",O117/IF(J117=$B$3,Resumen!#REF!,VLOOKUP(J117,Graf_PowerBI!$A$4:$D$39,4,0)))</f>
        <v/>
      </c>
      <c r="S117" s="215" t="str">
        <f t="shared" si="1"/>
        <v/>
      </c>
    </row>
    <row r="118" spans="7:19">
      <c r="G118" s="163" t="str">
        <f>IF(A118="","",E118/IF(A118=$B$3,Resumen!#REF!,VLOOKUP(A118,Graf_PowerBI!$A$4:$D$39,3,0)))</f>
        <v/>
      </c>
      <c r="H118" s="163" t="str">
        <f>IF(A118="","",F118/IF(A118=$B$3,Resumen!#REF!,VLOOKUP(A118,Graf_PowerBI!$A$4:$D$39,4,0)))</f>
        <v/>
      </c>
      <c r="P118" s="163" t="str">
        <f>IF(J118="","",N118/IF(J118=$B$3,Resumen!#REF!,VLOOKUP(J118,Graf_PowerBI!$A$4:$D$39,3,0)))</f>
        <v/>
      </c>
      <c r="Q118" s="163" t="str">
        <f>IF(J118="","",O118/IF(J118=$B$3,Resumen!#REF!,VLOOKUP(J118,Graf_PowerBI!$A$4:$D$39,4,0)))</f>
        <v/>
      </c>
      <c r="S118" s="215" t="str">
        <f t="shared" si="1"/>
        <v/>
      </c>
    </row>
    <row r="119" spans="7:19">
      <c r="G119" s="163" t="str">
        <f>IF(A119="","",E119/IF(A119=$B$3,Resumen!#REF!,VLOOKUP(A119,Graf_PowerBI!$A$4:$D$39,3,0)))</f>
        <v/>
      </c>
      <c r="H119" s="163" t="str">
        <f>IF(A119="","",F119/IF(A119=$B$3,Resumen!#REF!,VLOOKUP(A119,Graf_PowerBI!$A$4:$D$39,4,0)))</f>
        <v/>
      </c>
      <c r="P119" s="163" t="str">
        <f>IF(J119="","",N119/IF(J119=$B$3,Resumen!#REF!,VLOOKUP(J119,Graf_PowerBI!$A$4:$D$39,3,0)))</f>
        <v/>
      </c>
      <c r="Q119" s="163" t="str">
        <f>IF(J119="","",O119/IF(J119=$B$3,Resumen!#REF!,VLOOKUP(J119,Graf_PowerBI!$A$4:$D$39,4,0)))</f>
        <v/>
      </c>
      <c r="S119" s="215" t="str">
        <f t="shared" si="1"/>
        <v/>
      </c>
    </row>
    <row r="120" spans="7:19">
      <c r="G120" s="163" t="str">
        <f>IF(A120="","",E120/IF(A120=$B$3,Resumen!#REF!,VLOOKUP(A120,Graf_PowerBI!$A$4:$D$39,3,0)))</f>
        <v/>
      </c>
      <c r="H120" s="163" t="str">
        <f>IF(A120="","",F120/IF(A120=$B$3,Resumen!#REF!,VLOOKUP(A120,Graf_PowerBI!$A$4:$D$39,4,0)))</f>
        <v/>
      </c>
      <c r="P120" s="163" t="str">
        <f>IF(J120="","",N120/IF(J120=$B$3,Resumen!#REF!,VLOOKUP(J120,Graf_PowerBI!$A$4:$D$39,3,0)))</f>
        <v/>
      </c>
      <c r="Q120" s="163" t="str">
        <f>IF(J120="","",O120/IF(J120=$B$3,Resumen!#REF!,VLOOKUP(J120,Graf_PowerBI!$A$4:$D$39,4,0)))</f>
        <v/>
      </c>
      <c r="S120" s="215" t="str">
        <f t="shared" si="1"/>
        <v/>
      </c>
    </row>
    <row r="121" spans="7:19">
      <c r="G121" s="163" t="str">
        <f>IF(A121="","",E121/IF(A121=$B$3,Resumen!#REF!,VLOOKUP(A121,Graf_PowerBI!$A$4:$D$39,3,0)))</f>
        <v/>
      </c>
      <c r="H121" s="163" t="str">
        <f>IF(A121="","",F121/IF(A121=$B$3,Resumen!#REF!,VLOOKUP(A121,Graf_PowerBI!$A$4:$D$39,4,0)))</f>
        <v/>
      </c>
      <c r="P121" s="163" t="str">
        <f>IF(J121="","",N121/IF(J121=$B$3,Resumen!#REF!,VLOOKUP(J121,Graf_PowerBI!$A$4:$D$39,3,0)))</f>
        <v/>
      </c>
      <c r="Q121" s="163" t="str">
        <f>IF(J121="","",O121/IF(J121=$B$3,Resumen!#REF!,VLOOKUP(J121,Graf_PowerBI!$A$4:$D$39,4,0)))</f>
        <v/>
      </c>
      <c r="S121" s="215" t="str">
        <f t="shared" si="1"/>
        <v/>
      </c>
    </row>
    <row r="122" spans="7:19">
      <c r="G122" s="163" t="str">
        <f>IF(A122="","",E122/IF(A122=$B$3,Resumen!#REF!,VLOOKUP(A122,Graf_PowerBI!$A$4:$D$39,3,0)))</f>
        <v/>
      </c>
      <c r="H122" s="163" t="str">
        <f>IF(A122="","",F122/IF(A122=$B$3,Resumen!#REF!,VLOOKUP(A122,Graf_PowerBI!$A$4:$D$39,4,0)))</f>
        <v/>
      </c>
      <c r="P122" s="163" t="str">
        <f>IF(J122="","",N122/IF(J122=$B$3,Resumen!#REF!,VLOOKUP(J122,Graf_PowerBI!$A$4:$D$39,3,0)))</f>
        <v/>
      </c>
      <c r="Q122" s="163" t="str">
        <f>IF(J122="","",O122/IF(J122=$B$3,Resumen!#REF!,VLOOKUP(J122,Graf_PowerBI!$A$4:$D$39,4,0)))</f>
        <v/>
      </c>
      <c r="S122" s="215" t="str">
        <f t="shared" si="1"/>
        <v/>
      </c>
    </row>
    <row r="123" spans="7:19">
      <c r="G123" s="163" t="str">
        <f>IF(A123="","",E123/IF(A123=$B$3,Resumen!#REF!,VLOOKUP(A123,Graf_PowerBI!$A$4:$D$39,3,0)))</f>
        <v/>
      </c>
      <c r="H123" s="163" t="str">
        <f>IF(A123="","",F123/IF(A123=$B$3,Resumen!#REF!,VLOOKUP(A123,Graf_PowerBI!$A$4:$D$39,4,0)))</f>
        <v/>
      </c>
      <c r="P123" s="163" t="str">
        <f>IF(J123="","",N123/IF(J123=$B$3,Resumen!#REF!,VLOOKUP(J123,Graf_PowerBI!$A$4:$D$39,3,0)))</f>
        <v/>
      </c>
      <c r="Q123" s="163" t="str">
        <f>IF(J123="","",O123/IF(J123=$B$3,Resumen!#REF!,VLOOKUP(J123,Graf_PowerBI!$A$4:$D$39,4,0)))</f>
        <v/>
      </c>
      <c r="S123" s="215" t="str">
        <f t="shared" si="1"/>
        <v/>
      </c>
    </row>
    <row r="124" spans="7:19">
      <c r="G124" s="163" t="str">
        <f>IF(A124="","",E124/IF(A124=$B$3,Resumen!#REF!,VLOOKUP(A124,Graf_PowerBI!$A$4:$D$39,3,0)))</f>
        <v/>
      </c>
      <c r="H124" s="163" t="str">
        <f>IF(A124="","",F124/IF(A124=$B$3,Resumen!#REF!,VLOOKUP(A124,Graf_PowerBI!$A$4:$D$39,4,0)))</f>
        <v/>
      </c>
      <c r="P124" s="163" t="str">
        <f>IF(J124="","",N124/IF(J124=$B$3,Resumen!#REF!,VLOOKUP(J124,Graf_PowerBI!$A$4:$D$39,3,0)))</f>
        <v/>
      </c>
      <c r="Q124" s="163" t="str">
        <f>IF(J124="","",O124/IF(J124=$B$3,Resumen!#REF!,VLOOKUP(J124,Graf_PowerBI!$A$4:$D$39,4,0)))</f>
        <v/>
      </c>
      <c r="S124" s="215" t="str">
        <f t="shared" si="1"/>
        <v/>
      </c>
    </row>
    <row r="125" spans="7:19">
      <c r="G125" s="163" t="str">
        <f>IF(A125="","",E125/IF(A125=$B$3,Resumen!#REF!,VLOOKUP(A125,Graf_PowerBI!$A$4:$D$39,3,0)))</f>
        <v/>
      </c>
      <c r="H125" s="163" t="str">
        <f>IF(A125="","",F125/IF(A125=$B$3,Resumen!#REF!,VLOOKUP(A125,Graf_PowerBI!$A$4:$D$39,4,0)))</f>
        <v/>
      </c>
      <c r="P125" s="163" t="str">
        <f>IF(J125="","",N125/IF(J125=$B$3,Resumen!#REF!,VLOOKUP(J125,Graf_PowerBI!$A$4:$D$39,3,0)))</f>
        <v/>
      </c>
      <c r="Q125" s="163" t="str">
        <f>IF(J125="","",O125/IF(J125=$B$3,Resumen!#REF!,VLOOKUP(J125,Graf_PowerBI!$A$4:$D$39,4,0)))</f>
        <v/>
      </c>
      <c r="S125" s="215" t="str">
        <f t="shared" si="1"/>
        <v/>
      </c>
    </row>
    <row r="126" spans="7:19">
      <c r="G126" s="163" t="str">
        <f>IF(A126="","",E126/IF(A126=$B$3,Resumen!#REF!,VLOOKUP(A126,Graf_PowerBI!$A$4:$D$39,3,0)))</f>
        <v/>
      </c>
      <c r="H126" s="163" t="str">
        <f>IF(A126="","",F126/IF(A126=$B$3,Resumen!#REF!,VLOOKUP(A126,Graf_PowerBI!$A$4:$D$39,4,0)))</f>
        <v/>
      </c>
      <c r="P126" s="163" t="str">
        <f>IF(J126="","",N126/IF(J126=$B$3,Resumen!#REF!,VLOOKUP(J126,Graf_PowerBI!$A$4:$D$39,3,0)))</f>
        <v/>
      </c>
      <c r="Q126" s="163" t="str">
        <f>IF(J126="","",O126/IF(J126=$B$3,Resumen!#REF!,VLOOKUP(J126,Graf_PowerBI!$A$4:$D$39,4,0)))</f>
        <v/>
      </c>
      <c r="S126" s="215" t="str">
        <f t="shared" si="1"/>
        <v/>
      </c>
    </row>
    <row r="127" spans="7:19">
      <c r="G127" s="163" t="str">
        <f>IF(A127="","",E127/IF(A127=$B$3,Resumen!#REF!,VLOOKUP(A127,Graf_PowerBI!$A$4:$D$39,3,0)))</f>
        <v/>
      </c>
      <c r="H127" s="163" t="str">
        <f>IF(A127="","",F127/IF(A127=$B$3,Resumen!#REF!,VLOOKUP(A127,Graf_PowerBI!$A$4:$D$39,4,0)))</f>
        <v/>
      </c>
      <c r="P127" s="163" t="str">
        <f>IF(J127="","",N127/IF(J127=$B$3,Resumen!#REF!,VLOOKUP(J127,Graf_PowerBI!$A$4:$D$39,3,0)))</f>
        <v/>
      </c>
      <c r="Q127" s="163" t="str">
        <f>IF(J127="","",O127/IF(J127=$B$3,Resumen!#REF!,VLOOKUP(J127,Graf_PowerBI!$A$4:$D$39,4,0)))</f>
        <v/>
      </c>
      <c r="S127" s="215" t="str">
        <f t="shared" si="1"/>
        <v/>
      </c>
    </row>
    <row r="128" spans="7:19">
      <c r="G128" s="163" t="str">
        <f>IF(A128="","",E128/IF(A128=$B$3,Resumen!#REF!,VLOOKUP(A128,Graf_PowerBI!$A$4:$D$39,3,0)))</f>
        <v/>
      </c>
      <c r="H128" s="163" t="str">
        <f>IF(A128="","",F128/IF(A128=$B$3,Resumen!#REF!,VLOOKUP(A128,Graf_PowerBI!$A$4:$D$39,4,0)))</f>
        <v/>
      </c>
      <c r="P128" s="163" t="str">
        <f>IF(J128="","",N128/IF(J128=$B$3,Resumen!#REF!,VLOOKUP(J128,Graf_PowerBI!$A$4:$D$39,3,0)))</f>
        <v/>
      </c>
      <c r="Q128" s="163" t="str">
        <f>IF(J128="","",O128/IF(J128=$B$3,Resumen!#REF!,VLOOKUP(J128,Graf_PowerBI!$A$4:$D$39,4,0)))</f>
        <v/>
      </c>
      <c r="S128" s="215" t="str">
        <f t="shared" si="1"/>
        <v/>
      </c>
    </row>
    <row r="129" spans="7:19">
      <c r="G129" s="163" t="str">
        <f>IF(A129="","",E129/IF(A129=$B$3,Resumen!#REF!,VLOOKUP(A129,Graf_PowerBI!$A$4:$D$39,3,0)))</f>
        <v/>
      </c>
      <c r="H129" s="163" t="str">
        <f>IF(A129="","",F129/IF(A129=$B$3,Resumen!#REF!,VLOOKUP(A129,Graf_PowerBI!$A$4:$D$39,4,0)))</f>
        <v/>
      </c>
      <c r="P129" s="163" t="str">
        <f>IF(J129="","",N129/IF(J129=$B$3,Resumen!#REF!,VLOOKUP(J129,Graf_PowerBI!$A$4:$D$39,3,0)))</f>
        <v/>
      </c>
      <c r="Q129" s="163" t="str">
        <f>IF(J129="","",O129/IF(J129=$B$3,Resumen!#REF!,VLOOKUP(J129,Graf_PowerBI!$A$4:$D$39,4,0)))</f>
        <v/>
      </c>
      <c r="S129" s="215" t="str">
        <f t="shared" si="1"/>
        <v/>
      </c>
    </row>
    <row r="130" spans="7:19">
      <c r="G130" s="163" t="str">
        <f>IF(A130="","",E130/IF(A130=$B$3,Resumen!#REF!,VLOOKUP(A130,Graf_PowerBI!$A$4:$D$39,3,0)))</f>
        <v/>
      </c>
      <c r="H130" s="163" t="str">
        <f>IF(A130="","",F130/IF(A130=$B$3,Resumen!#REF!,VLOOKUP(A130,Graf_PowerBI!$A$4:$D$39,4,0)))</f>
        <v/>
      </c>
      <c r="P130" s="163" t="str">
        <f>IF(J130="","",N130/IF(J130=$B$3,Resumen!#REF!,VLOOKUP(J130,Graf_PowerBI!$A$4:$D$39,3,0)))</f>
        <v/>
      </c>
      <c r="Q130" s="163" t="str">
        <f>IF(J130="","",O130/IF(J130=$B$3,Resumen!#REF!,VLOOKUP(J130,Graf_PowerBI!$A$4:$D$39,4,0)))</f>
        <v/>
      </c>
      <c r="S130" s="215" t="str">
        <f t="shared" si="1"/>
        <v/>
      </c>
    </row>
    <row r="131" spans="7:19">
      <c r="G131" s="163" t="str">
        <f>IF(A131="","",E131/IF(A131=$B$3,Resumen!#REF!,VLOOKUP(A131,Graf_PowerBI!$A$4:$D$39,3,0)))</f>
        <v/>
      </c>
      <c r="H131" s="163" t="str">
        <f>IF(A131="","",F131/IF(A131=$B$3,Resumen!#REF!,VLOOKUP(A131,Graf_PowerBI!$A$4:$D$39,4,0)))</f>
        <v/>
      </c>
      <c r="P131" s="163" t="str">
        <f>IF(J131="","",N131/IF(J131=$B$3,Resumen!#REF!,VLOOKUP(J131,Graf_PowerBI!$A$4:$D$39,3,0)))</f>
        <v/>
      </c>
      <c r="Q131" s="163" t="str">
        <f>IF(J131="","",O131/IF(J131=$B$3,Resumen!#REF!,VLOOKUP(J131,Graf_PowerBI!$A$4:$D$39,4,0)))</f>
        <v/>
      </c>
      <c r="S131" s="215" t="str">
        <f t="shared" si="1"/>
        <v/>
      </c>
    </row>
    <row r="132" spans="7:19">
      <c r="G132" s="163" t="str">
        <f>IF(A132="","",E132/IF(A132=$B$3,Resumen!#REF!,VLOOKUP(A132,Graf_PowerBI!$A$4:$D$39,3,0)))</f>
        <v/>
      </c>
      <c r="H132" s="163" t="str">
        <f>IF(A132="","",F132/IF(A132=$B$3,Resumen!#REF!,VLOOKUP(A132,Graf_PowerBI!$A$4:$D$39,4,0)))</f>
        <v/>
      </c>
      <c r="P132" s="163" t="str">
        <f>IF(J132="","",N132/IF(J132=$B$3,Resumen!#REF!,VLOOKUP(J132,Graf_PowerBI!$A$4:$D$39,3,0)))</f>
        <v/>
      </c>
      <c r="Q132" s="163" t="str">
        <f>IF(J132="","",O132/IF(J132=$B$3,Resumen!#REF!,VLOOKUP(J132,Graf_PowerBI!$A$4:$D$39,4,0)))</f>
        <v/>
      </c>
      <c r="S132" s="215" t="str">
        <f t="shared" si="1"/>
        <v/>
      </c>
    </row>
    <row r="133" spans="7:19">
      <c r="G133" s="163" t="str">
        <f>IF(A133="","",E133/IF(A133=$B$3,Resumen!#REF!,VLOOKUP(A133,Graf_PowerBI!$A$4:$D$39,3,0)))</f>
        <v/>
      </c>
      <c r="H133" s="163" t="str">
        <f>IF(A133="","",F133/IF(A133=$B$3,Resumen!#REF!,VLOOKUP(A133,Graf_PowerBI!$A$4:$D$39,4,0)))</f>
        <v/>
      </c>
      <c r="P133" s="163" t="str">
        <f>IF(J133="","",N133/IF(J133=$B$3,Resumen!#REF!,VLOOKUP(J133,Graf_PowerBI!$A$4:$D$39,3,0)))</f>
        <v/>
      </c>
      <c r="Q133" s="163" t="str">
        <f>IF(J133="","",O133/IF(J133=$B$3,Resumen!#REF!,VLOOKUP(J133,Graf_PowerBI!$A$4:$D$39,4,0)))</f>
        <v/>
      </c>
      <c r="S133" s="215" t="str">
        <f t="shared" si="1"/>
        <v/>
      </c>
    </row>
    <row r="134" spans="7:19">
      <c r="G134" s="163" t="str">
        <f>IF(A134="","",E134/IF(A134=$B$3,Resumen!#REF!,VLOOKUP(A134,Graf_PowerBI!$A$4:$D$39,3,0)))</f>
        <v/>
      </c>
      <c r="H134" s="163" t="str">
        <f>IF(A134="","",F134/IF(A134=$B$3,Resumen!#REF!,VLOOKUP(A134,Graf_PowerBI!$A$4:$D$39,4,0)))</f>
        <v/>
      </c>
      <c r="P134" s="163" t="str">
        <f>IF(J134="","",N134/IF(J134=$B$3,Resumen!#REF!,VLOOKUP(J134,Graf_PowerBI!$A$4:$D$39,3,0)))</f>
        <v/>
      </c>
      <c r="Q134" s="163" t="str">
        <f>IF(J134="","",O134/IF(J134=$B$3,Resumen!#REF!,VLOOKUP(J134,Graf_PowerBI!$A$4:$D$39,4,0)))</f>
        <v/>
      </c>
      <c r="S134" s="215" t="str">
        <f t="shared" si="1"/>
        <v/>
      </c>
    </row>
    <row r="135" spans="7:19">
      <c r="G135" s="163" t="str">
        <f>IF(A135="","",E135/IF(A135=$B$3,Resumen!#REF!,VLOOKUP(A135,Graf_PowerBI!$A$4:$D$39,3,0)))</f>
        <v/>
      </c>
      <c r="H135" s="163" t="str">
        <f>IF(A135="","",F135/IF(A135=$B$3,Resumen!#REF!,VLOOKUP(A135,Graf_PowerBI!$A$4:$D$39,4,0)))</f>
        <v/>
      </c>
      <c r="P135" s="163" t="str">
        <f>IF(J135="","",N135/IF(J135=$B$3,Resumen!#REF!,VLOOKUP(J135,Graf_PowerBI!$A$4:$D$39,3,0)))</f>
        <v/>
      </c>
      <c r="Q135" s="163" t="str">
        <f>IF(J135="","",O135/IF(J135=$B$3,Resumen!#REF!,VLOOKUP(J135,Graf_PowerBI!$A$4:$D$39,4,0)))</f>
        <v/>
      </c>
      <c r="S135" s="215" t="str">
        <f t="shared" ref="S135:S198" si="2">IF(A135="","",P135+G135)</f>
        <v/>
      </c>
    </row>
    <row r="136" spans="7:19">
      <c r="G136" s="163" t="str">
        <f>IF(A136="","",E136/IF(A136=$B$3,Resumen!#REF!,VLOOKUP(A136,Graf_PowerBI!$A$4:$D$39,3,0)))</f>
        <v/>
      </c>
      <c r="H136" s="163" t="str">
        <f>IF(A136="","",F136/IF(A136=$B$3,Resumen!#REF!,VLOOKUP(A136,Graf_PowerBI!$A$4:$D$39,4,0)))</f>
        <v/>
      </c>
      <c r="P136" s="163" t="str">
        <f>IF(J136="","",N136/IF(J136=$B$3,Resumen!#REF!,VLOOKUP(J136,Graf_PowerBI!$A$4:$D$39,3,0)))</f>
        <v/>
      </c>
      <c r="Q136" s="163" t="str">
        <f>IF(J136="","",O136/IF(J136=$B$3,Resumen!#REF!,VLOOKUP(J136,Graf_PowerBI!$A$4:$D$39,4,0)))</f>
        <v/>
      </c>
      <c r="S136" s="215" t="str">
        <f t="shared" si="2"/>
        <v/>
      </c>
    </row>
    <row r="137" spans="7:19">
      <c r="G137" s="163" t="str">
        <f>IF(A137="","",E137/IF(A137=$B$3,Resumen!#REF!,VLOOKUP(A137,Graf_PowerBI!$A$4:$D$39,3,0)))</f>
        <v/>
      </c>
      <c r="H137" s="163" t="str">
        <f>IF(A137="","",F137/IF(A137=$B$3,Resumen!#REF!,VLOOKUP(A137,Graf_PowerBI!$A$4:$D$39,4,0)))</f>
        <v/>
      </c>
      <c r="P137" s="163" t="str">
        <f>IF(J137="","",N137/IF(J137=$B$3,Resumen!#REF!,VLOOKUP(J137,Graf_PowerBI!$A$4:$D$39,3,0)))</f>
        <v/>
      </c>
      <c r="Q137" s="163" t="str">
        <f>IF(J137="","",O137/IF(J137=$B$3,Resumen!#REF!,VLOOKUP(J137,Graf_PowerBI!$A$4:$D$39,4,0)))</f>
        <v/>
      </c>
      <c r="S137" s="215" t="str">
        <f t="shared" si="2"/>
        <v/>
      </c>
    </row>
    <row r="138" spans="7:19">
      <c r="G138" s="163" t="str">
        <f>IF(A138="","",E138/IF(A138=$B$3,Resumen!#REF!,VLOOKUP(A138,Graf_PowerBI!$A$4:$D$39,3,0)))</f>
        <v/>
      </c>
      <c r="H138" s="163" t="str">
        <f>IF(A138="","",F138/IF(A138=$B$3,Resumen!#REF!,VLOOKUP(A138,Graf_PowerBI!$A$4:$D$39,4,0)))</f>
        <v/>
      </c>
      <c r="P138" s="163" t="str">
        <f>IF(J138="","",N138/IF(J138=$B$3,Resumen!#REF!,VLOOKUP(J138,Graf_PowerBI!$A$4:$D$39,3,0)))</f>
        <v/>
      </c>
      <c r="Q138" s="163" t="str">
        <f>IF(J138="","",O138/IF(J138=$B$3,Resumen!#REF!,VLOOKUP(J138,Graf_PowerBI!$A$4:$D$39,4,0)))</f>
        <v/>
      </c>
      <c r="S138" s="215" t="str">
        <f t="shared" si="2"/>
        <v/>
      </c>
    </row>
    <row r="139" spans="7:19">
      <c r="G139" s="163" t="str">
        <f>IF(A139="","",E139/IF(A139=$B$3,Resumen!#REF!,VLOOKUP(A139,Graf_PowerBI!$A$4:$D$39,3,0)))</f>
        <v/>
      </c>
      <c r="H139" s="163" t="str">
        <f>IF(A139="","",F139/IF(A139=$B$3,Resumen!#REF!,VLOOKUP(A139,Graf_PowerBI!$A$4:$D$39,4,0)))</f>
        <v/>
      </c>
      <c r="P139" s="163" t="str">
        <f>IF(J139="","",N139/IF(J139=$B$3,Resumen!#REF!,VLOOKUP(J139,Graf_PowerBI!$A$4:$D$39,3,0)))</f>
        <v/>
      </c>
      <c r="Q139" s="163" t="str">
        <f>IF(J139="","",O139/IF(J139=$B$3,Resumen!#REF!,VLOOKUP(J139,Graf_PowerBI!$A$4:$D$39,4,0)))</f>
        <v/>
      </c>
      <c r="S139" s="215" t="str">
        <f t="shared" si="2"/>
        <v/>
      </c>
    </row>
    <row r="140" spans="7:19">
      <c r="G140" s="163" t="str">
        <f>IF(A140="","",E140/IF(A140=$B$3,Resumen!#REF!,VLOOKUP(A140,Graf_PowerBI!$A$4:$D$39,3,0)))</f>
        <v/>
      </c>
      <c r="H140" s="163" t="str">
        <f>IF(A140="","",F140/IF(A140=$B$3,Resumen!#REF!,VLOOKUP(A140,Graf_PowerBI!$A$4:$D$39,4,0)))</f>
        <v/>
      </c>
      <c r="P140" s="163" t="str">
        <f>IF(J140="","",N140/IF(J140=$B$3,Resumen!#REF!,VLOOKUP(J140,Graf_PowerBI!$A$4:$D$39,3,0)))</f>
        <v/>
      </c>
      <c r="Q140" s="163" t="str">
        <f>IF(J140="","",O140/IF(J140=$B$3,Resumen!#REF!,VLOOKUP(J140,Graf_PowerBI!$A$4:$D$39,4,0)))</f>
        <v/>
      </c>
      <c r="S140" s="215" t="str">
        <f t="shared" si="2"/>
        <v/>
      </c>
    </row>
    <row r="141" spans="7:19">
      <c r="G141" s="163" t="str">
        <f>IF(A141="","",E141/IF(A141=$B$3,Resumen!#REF!,VLOOKUP(A141,Graf_PowerBI!$A$4:$D$39,3,0)))</f>
        <v/>
      </c>
      <c r="H141" s="163" t="str">
        <f>IF(A141="","",F141/IF(A141=$B$3,Resumen!#REF!,VLOOKUP(A141,Graf_PowerBI!$A$4:$D$39,4,0)))</f>
        <v/>
      </c>
      <c r="P141" s="163" t="str">
        <f>IF(J141="","",N141/IF(J141=$B$3,Resumen!#REF!,VLOOKUP(J141,Graf_PowerBI!$A$4:$D$39,3,0)))</f>
        <v/>
      </c>
      <c r="Q141" s="163" t="str">
        <f>IF(J141="","",O141/IF(J141=$B$3,Resumen!#REF!,VLOOKUP(J141,Graf_PowerBI!$A$4:$D$39,4,0)))</f>
        <v/>
      </c>
      <c r="S141" s="215" t="str">
        <f t="shared" si="2"/>
        <v/>
      </c>
    </row>
    <row r="142" spans="7:19">
      <c r="G142" s="163" t="str">
        <f>IF(A142="","",E142/IF(A142=$B$3,Resumen!#REF!,VLOOKUP(A142,Graf_PowerBI!$A$4:$D$39,3,0)))</f>
        <v/>
      </c>
      <c r="H142" s="163" t="str">
        <f>IF(A142="","",F142/IF(A142=$B$3,Resumen!#REF!,VLOOKUP(A142,Graf_PowerBI!$A$4:$D$39,4,0)))</f>
        <v/>
      </c>
      <c r="P142" s="163" t="str">
        <f>IF(J142="","",N142/IF(J142=$B$3,Resumen!#REF!,VLOOKUP(J142,Graf_PowerBI!$A$4:$D$39,3,0)))</f>
        <v/>
      </c>
      <c r="Q142" s="163" t="str">
        <f>IF(J142="","",O142/IF(J142=$B$3,Resumen!#REF!,VLOOKUP(J142,Graf_PowerBI!$A$4:$D$39,4,0)))</f>
        <v/>
      </c>
      <c r="S142" s="215" t="str">
        <f t="shared" si="2"/>
        <v/>
      </c>
    </row>
    <row r="143" spans="7:19">
      <c r="G143" s="163" t="str">
        <f>IF(A143="","",E143/IF(A143=$B$3,Resumen!#REF!,VLOOKUP(A143,Graf_PowerBI!$A$4:$D$39,3,0)))</f>
        <v/>
      </c>
      <c r="H143" s="163" t="str">
        <f>IF(A143="","",F143/IF(A143=$B$3,Resumen!#REF!,VLOOKUP(A143,Graf_PowerBI!$A$4:$D$39,4,0)))</f>
        <v/>
      </c>
      <c r="P143" s="163" t="str">
        <f>IF(J143="","",N143/IF(J143=$B$3,Resumen!#REF!,VLOOKUP(J143,Graf_PowerBI!$A$4:$D$39,3,0)))</f>
        <v/>
      </c>
      <c r="Q143" s="163" t="str">
        <f>IF(J143="","",O143/IF(J143=$B$3,Resumen!#REF!,VLOOKUP(J143,Graf_PowerBI!$A$4:$D$39,4,0)))</f>
        <v/>
      </c>
      <c r="S143" s="215" t="str">
        <f t="shared" si="2"/>
        <v/>
      </c>
    </row>
    <row r="144" spans="7:19">
      <c r="G144" s="163" t="str">
        <f>IF(A144="","",E144/IF(A144=$B$3,Resumen!#REF!,VLOOKUP(A144,Graf_PowerBI!$A$4:$D$39,3,0)))</f>
        <v/>
      </c>
      <c r="H144" s="163" t="str">
        <f>IF(A144="","",F144/IF(A144=$B$3,Resumen!#REF!,VLOOKUP(A144,Graf_PowerBI!$A$4:$D$39,4,0)))</f>
        <v/>
      </c>
      <c r="P144" s="163" t="str">
        <f>IF(J144="","",N144/IF(J144=$B$3,Resumen!#REF!,VLOOKUP(J144,Graf_PowerBI!$A$4:$D$39,3,0)))</f>
        <v/>
      </c>
      <c r="Q144" s="163" t="str">
        <f>IF(J144="","",O144/IF(J144=$B$3,Resumen!#REF!,VLOOKUP(J144,Graf_PowerBI!$A$4:$D$39,4,0)))</f>
        <v/>
      </c>
      <c r="S144" s="215" t="str">
        <f t="shared" si="2"/>
        <v/>
      </c>
    </row>
    <row r="145" spans="7:19">
      <c r="G145" s="163" t="str">
        <f>IF(A145="","",E145/IF(A145=$B$3,Resumen!#REF!,VLOOKUP(A145,Graf_PowerBI!$A$4:$D$39,3,0)))</f>
        <v/>
      </c>
      <c r="H145" s="163" t="str">
        <f>IF(A145="","",F145/IF(A145=$B$3,Resumen!#REF!,VLOOKUP(A145,Graf_PowerBI!$A$4:$D$39,4,0)))</f>
        <v/>
      </c>
      <c r="P145" s="163" t="str">
        <f>IF(J145="","",N145/IF(J145=$B$3,Resumen!#REF!,VLOOKUP(J145,Graf_PowerBI!$A$4:$D$39,3,0)))</f>
        <v/>
      </c>
      <c r="Q145" s="163" t="str">
        <f>IF(J145="","",O145/IF(J145=$B$3,Resumen!#REF!,VLOOKUP(J145,Graf_PowerBI!$A$4:$D$39,4,0)))</f>
        <v/>
      </c>
      <c r="S145" s="215" t="str">
        <f t="shared" si="2"/>
        <v/>
      </c>
    </row>
    <row r="146" spans="7:19">
      <c r="G146" s="163" t="str">
        <f>IF(A146="","",E146/IF(A146=$B$3,Resumen!#REF!,VLOOKUP(A146,Graf_PowerBI!$A$4:$D$39,3,0)))</f>
        <v/>
      </c>
      <c r="H146" s="163" t="str">
        <f>IF(A146="","",F146/IF(A146=$B$3,Resumen!#REF!,VLOOKUP(A146,Graf_PowerBI!$A$4:$D$39,4,0)))</f>
        <v/>
      </c>
      <c r="P146" s="163" t="str">
        <f>IF(J146="","",N146/IF(J146=$B$3,Resumen!#REF!,VLOOKUP(J146,Graf_PowerBI!$A$4:$D$39,3,0)))</f>
        <v/>
      </c>
      <c r="Q146" s="163" t="str">
        <f>IF(J146="","",O146/IF(J146=$B$3,Resumen!#REF!,VLOOKUP(J146,Graf_PowerBI!$A$4:$D$39,4,0)))</f>
        <v/>
      </c>
      <c r="S146" s="215" t="str">
        <f t="shared" si="2"/>
        <v/>
      </c>
    </row>
    <row r="147" spans="7:19">
      <c r="G147" s="163" t="str">
        <f>IF(A147="","",E147/IF(A147=$B$3,Resumen!#REF!,VLOOKUP(A147,Graf_PowerBI!$A$4:$D$39,3,0)))</f>
        <v/>
      </c>
      <c r="H147" s="163" t="str">
        <f>IF(A147="","",F147/IF(A147=$B$3,Resumen!#REF!,VLOOKUP(A147,Graf_PowerBI!$A$4:$D$39,4,0)))</f>
        <v/>
      </c>
      <c r="P147" s="163" t="str">
        <f>IF(J147="","",N147/IF(J147=$B$3,Resumen!#REF!,VLOOKUP(J147,Graf_PowerBI!$A$4:$D$39,3,0)))</f>
        <v/>
      </c>
      <c r="Q147" s="163" t="str">
        <f>IF(J147="","",O147/IF(J147=$B$3,Resumen!#REF!,VLOOKUP(J147,Graf_PowerBI!$A$4:$D$39,4,0)))</f>
        <v/>
      </c>
      <c r="S147" s="215" t="str">
        <f t="shared" si="2"/>
        <v/>
      </c>
    </row>
    <row r="148" spans="7:19">
      <c r="G148" s="163" t="str">
        <f>IF(A148="","",E148/IF(A148=$B$3,Resumen!#REF!,VLOOKUP(A148,Graf_PowerBI!$A$4:$D$39,3,0)))</f>
        <v/>
      </c>
      <c r="H148" s="163" t="str">
        <f>IF(A148="","",F148/IF(A148=$B$3,Resumen!#REF!,VLOOKUP(A148,Graf_PowerBI!$A$4:$D$39,4,0)))</f>
        <v/>
      </c>
      <c r="P148" s="163" t="str">
        <f>IF(J148="","",N148/IF(J148=$B$3,Resumen!#REF!,VLOOKUP(J148,Graf_PowerBI!$A$4:$D$39,3,0)))</f>
        <v/>
      </c>
      <c r="Q148" s="163" t="str">
        <f>IF(J148="","",O148/IF(J148=$B$3,Resumen!#REF!,VLOOKUP(J148,Graf_PowerBI!$A$4:$D$39,4,0)))</f>
        <v/>
      </c>
      <c r="S148" s="215" t="str">
        <f t="shared" si="2"/>
        <v/>
      </c>
    </row>
    <row r="149" spans="7:19">
      <c r="G149" s="163" t="str">
        <f>IF(A149="","",E149/IF(A149=$B$3,Resumen!#REF!,VLOOKUP(A149,Graf_PowerBI!$A$4:$D$39,3,0)))</f>
        <v/>
      </c>
      <c r="H149" s="163" t="str">
        <f>IF(A149="","",F149/IF(A149=$B$3,Resumen!#REF!,VLOOKUP(A149,Graf_PowerBI!$A$4:$D$39,4,0)))</f>
        <v/>
      </c>
      <c r="P149" s="163" t="str">
        <f>IF(J149="","",N149/IF(J149=$B$3,Resumen!#REF!,VLOOKUP(J149,Graf_PowerBI!$A$4:$D$39,3,0)))</f>
        <v/>
      </c>
      <c r="Q149" s="163" t="str">
        <f>IF(J149="","",O149/IF(J149=$B$3,Resumen!#REF!,VLOOKUP(J149,Graf_PowerBI!$A$4:$D$39,4,0)))</f>
        <v/>
      </c>
      <c r="S149" s="215" t="str">
        <f t="shared" si="2"/>
        <v/>
      </c>
    </row>
    <row r="150" spans="7:19">
      <c r="G150" s="163" t="str">
        <f>IF(A150="","",E150/IF(A150=$B$3,Resumen!#REF!,VLOOKUP(A150,Graf_PowerBI!$A$4:$D$39,3,0)))</f>
        <v/>
      </c>
      <c r="H150" s="163" t="str">
        <f>IF(A150="","",F150/IF(A150=$B$3,Resumen!#REF!,VLOOKUP(A150,Graf_PowerBI!$A$4:$D$39,4,0)))</f>
        <v/>
      </c>
      <c r="P150" s="163" t="str">
        <f>IF(J150="","",N150/IF(J150=$B$3,Resumen!#REF!,VLOOKUP(J150,Graf_PowerBI!$A$4:$D$39,3,0)))</f>
        <v/>
      </c>
      <c r="Q150" s="163" t="str">
        <f>IF(J150="","",O150/IF(J150=$B$3,Resumen!#REF!,VLOOKUP(J150,Graf_PowerBI!$A$4:$D$39,4,0)))</f>
        <v/>
      </c>
      <c r="S150" s="215" t="str">
        <f t="shared" si="2"/>
        <v/>
      </c>
    </row>
    <row r="151" spans="7:19">
      <c r="G151" s="163" t="str">
        <f>IF(A151="","",E151/IF(A151=$B$3,Resumen!#REF!,VLOOKUP(A151,Graf_PowerBI!$A$4:$D$39,3,0)))</f>
        <v/>
      </c>
      <c r="H151" s="163" t="str">
        <f>IF(A151="","",F151/IF(A151=$B$3,Resumen!#REF!,VLOOKUP(A151,Graf_PowerBI!$A$4:$D$39,4,0)))</f>
        <v/>
      </c>
      <c r="P151" s="163" t="str">
        <f>IF(J151="","",N151/IF(J151=$B$3,Resumen!#REF!,VLOOKUP(J151,Graf_PowerBI!$A$4:$D$39,3,0)))</f>
        <v/>
      </c>
      <c r="Q151" s="163" t="str">
        <f>IF(J151="","",O151/IF(J151=$B$3,Resumen!#REF!,VLOOKUP(J151,Graf_PowerBI!$A$4:$D$39,4,0)))</f>
        <v/>
      </c>
      <c r="S151" s="215" t="str">
        <f t="shared" si="2"/>
        <v/>
      </c>
    </row>
    <row r="152" spans="7:19">
      <c r="G152" s="163" t="str">
        <f>IF(A152="","",E152/IF(A152=$B$3,Resumen!#REF!,VLOOKUP(A152,Graf_PowerBI!$A$4:$D$39,3,0)))</f>
        <v/>
      </c>
      <c r="H152" s="163" t="str">
        <f>IF(A152="","",F152/IF(A152=$B$3,Resumen!#REF!,VLOOKUP(A152,Graf_PowerBI!$A$4:$D$39,4,0)))</f>
        <v/>
      </c>
      <c r="P152" s="163" t="str">
        <f>IF(J152="","",N152/IF(J152=$B$3,Resumen!#REF!,VLOOKUP(J152,Graf_PowerBI!$A$4:$D$39,3,0)))</f>
        <v/>
      </c>
      <c r="Q152" s="163" t="str">
        <f>IF(J152="","",O152/IF(J152=$B$3,Resumen!#REF!,VLOOKUP(J152,Graf_PowerBI!$A$4:$D$39,4,0)))</f>
        <v/>
      </c>
      <c r="S152" s="215" t="str">
        <f t="shared" si="2"/>
        <v/>
      </c>
    </row>
    <row r="153" spans="7:19">
      <c r="G153" s="163" t="str">
        <f>IF(A153="","",E153/IF(A153=$B$3,Resumen!#REF!,VLOOKUP(A153,Graf_PowerBI!$A$4:$D$39,3,0)))</f>
        <v/>
      </c>
      <c r="H153" s="163" t="str">
        <f>IF(A153="","",F153/IF(A153=$B$3,Resumen!#REF!,VLOOKUP(A153,Graf_PowerBI!$A$4:$D$39,4,0)))</f>
        <v/>
      </c>
      <c r="P153" s="163" t="str">
        <f>IF(J153="","",N153/IF(J153=$B$3,Resumen!#REF!,VLOOKUP(J153,Graf_PowerBI!$A$4:$D$39,3,0)))</f>
        <v/>
      </c>
      <c r="Q153" s="163" t="str">
        <f>IF(J153="","",O153/IF(J153=$B$3,Resumen!#REF!,VLOOKUP(J153,Graf_PowerBI!$A$4:$D$39,4,0)))</f>
        <v/>
      </c>
      <c r="S153" s="215" t="str">
        <f t="shared" si="2"/>
        <v/>
      </c>
    </row>
    <row r="154" spans="7:19">
      <c r="G154" s="163" t="str">
        <f>IF(A154="","",E154/IF(A154=$B$3,Resumen!#REF!,VLOOKUP(A154,Graf_PowerBI!$A$4:$D$39,3,0)))</f>
        <v/>
      </c>
      <c r="H154" s="163" t="str">
        <f>IF(A154="","",F154/IF(A154=$B$3,Resumen!#REF!,VLOOKUP(A154,Graf_PowerBI!$A$4:$D$39,4,0)))</f>
        <v/>
      </c>
      <c r="P154" s="163" t="str">
        <f>IF(J154="","",N154/IF(J154=$B$3,Resumen!#REF!,VLOOKUP(J154,Graf_PowerBI!$A$4:$D$39,3,0)))</f>
        <v/>
      </c>
      <c r="Q154" s="163" t="str">
        <f>IF(J154="","",O154/IF(J154=$B$3,Resumen!#REF!,VLOOKUP(J154,Graf_PowerBI!$A$4:$D$39,4,0)))</f>
        <v/>
      </c>
      <c r="S154" s="215" t="str">
        <f t="shared" si="2"/>
        <v/>
      </c>
    </row>
    <row r="155" spans="7:19">
      <c r="G155" s="163" t="str">
        <f>IF(A155="","",E155/IF(A155=$B$3,Resumen!#REF!,VLOOKUP(A155,Graf_PowerBI!$A$4:$D$39,3,0)))</f>
        <v/>
      </c>
      <c r="H155" s="163" t="str">
        <f>IF(A155="","",F155/IF(A155=$B$3,Resumen!#REF!,VLOOKUP(A155,Graf_PowerBI!$A$4:$D$39,4,0)))</f>
        <v/>
      </c>
      <c r="P155" s="163" t="str">
        <f>IF(J155="","",N155/IF(J155=$B$3,Resumen!#REF!,VLOOKUP(J155,Graf_PowerBI!$A$4:$D$39,3,0)))</f>
        <v/>
      </c>
      <c r="Q155" s="163" t="str">
        <f>IF(J155="","",O155/IF(J155=$B$3,Resumen!#REF!,VLOOKUP(J155,Graf_PowerBI!$A$4:$D$39,4,0)))</f>
        <v/>
      </c>
      <c r="S155" s="215" t="str">
        <f t="shared" si="2"/>
        <v/>
      </c>
    </row>
    <row r="156" spans="7:19">
      <c r="G156" s="163" t="str">
        <f>IF(A156="","",E156/IF(A156=$B$3,Resumen!#REF!,VLOOKUP(A156,Graf_PowerBI!$A$4:$D$39,3,0)))</f>
        <v/>
      </c>
      <c r="H156" s="163" t="str">
        <f>IF(A156="","",F156/IF(A156=$B$3,Resumen!#REF!,VLOOKUP(A156,Graf_PowerBI!$A$4:$D$39,4,0)))</f>
        <v/>
      </c>
      <c r="P156" s="163" t="str">
        <f>IF(J156="","",N156/IF(J156=$B$3,Resumen!#REF!,VLOOKUP(J156,Graf_PowerBI!$A$4:$D$39,3,0)))</f>
        <v/>
      </c>
      <c r="Q156" s="163" t="str">
        <f>IF(J156="","",O156/IF(J156=$B$3,Resumen!#REF!,VLOOKUP(J156,Graf_PowerBI!$A$4:$D$39,4,0)))</f>
        <v/>
      </c>
      <c r="S156" s="215" t="str">
        <f t="shared" si="2"/>
        <v/>
      </c>
    </row>
    <row r="157" spans="7:19">
      <c r="G157" s="163" t="str">
        <f>IF(A157="","",E157/IF(A157=$B$3,Resumen!#REF!,VLOOKUP(A157,Graf_PowerBI!$A$4:$D$39,3,0)))</f>
        <v/>
      </c>
      <c r="H157" s="163" t="str">
        <f>IF(A157="","",F157/IF(A157=$B$3,Resumen!#REF!,VLOOKUP(A157,Graf_PowerBI!$A$4:$D$39,4,0)))</f>
        <v/>
      </c>
      <c r="P157" s="163" t="str">
        <f>IF(J157="","",N157/IF(J157=$B$3,Resumen!#REF!,VLOOKUP(J157,Graf_PowerBI!$A$4:$D$39,3,0)))</f>
        <v/>
      </c>
      <c r="Q157" s="163" t="str">
        <f>IF(J157="","",O157/IF(J157=$B$3,Resumen!#REF!,VLOOKUP(J157,Graf_PowerBI!$A$4:$D$39,4,0)))</f>
        <v/>
      </c>
      <c r="S157" s="215" t="str">
        <f t="shared" si="2"/>
        <v/>
      </c>
    </row>
    <row r="158" spans="7:19">
      <c r="G158" s="163" t="str">
        <f>IF(A158="","",E158/IF(A158=$B$3,Resumen!#REF!,VLOOKUP(A158,Graf_PowerBI!$A$4:$D$39,3,0)))</f>
        <v/>
      </c>
      <c r="H158" s="163" t="str">
        <f>IF(A158="","",F158/IF(A158=$B$3,Resumen!#REF!,VLOOKUP(A158,Graf_PowerBI!$A$4:$D$39,4,0)))</f>
        <v/>
      </c>
      <c r="P158" s="163" t="str">
        <f>IF(J158="","",N158/IF(J158=$B$3,Resumen!#REF!,VLOOKUP(J158,Graf_PowerBI!$A$4:$D$39,3,0)))</f>
        <v/>
      </c>
      <c r="Q158" s="163" t="str">
        <f>IF(J158="","",O158/IF(J158=$B$3,Resumen!#REF!,VLOOKUP(J158,Graf_PowerBI!$A$4:$D$39,4,0)))</f>
        <v/>
      </c>
      <c r="S158" s="215" t="str">
        <f t="shared" si="2"/>
        <v/>
      </c>
    </row>
    <row r="159" spans="7:19">
      <c r="G159" s="163" t="str">
        <f>IF(A159="","",E159/IF(A159=$B$3,Resumen!#REF!,VLOOKUP(A159,Graf_PowerBI!$A$4:$D$39,3,0)))</f>
        <v/>
      </c>
      <c r="H159" s="163" t="str">
        <f>IF(A159="","",F159/IF(A159=$B$3,Resumen!#REF!,VLOOKUP(A159,Graf_PowerBI!$A$4:$D$39,4,0)))</f>
        <v/>
      </c>
      <c r="P159" s="163" t="str">
        <f>IF(J159="","",N159/IF(J159=$B$3,Resumen!#REF!,VLOOKUP(J159,Graf_PowerBI!$A$4:$D$39,3,0)))</f>
        <v/>
      </c>
      <c r="Q159" s="163" t="str">
        <f>IF(J159="","",O159/IF(J159=$B$3,Resumen!#REF!,VLOOKUP(J159,Graf_PowerBI!$A$4:$D$39,4,0)))</f>
        <v/>
      </c>
      <c r="S159" s="215" t="str">
        <f t="shared" si="2"/>
        <v/>
      </c>
    </row>
    <row r="160" spans="7:19">
      <c r="G160" s="163" t="str">
        <f>IF(A160="","",E160/IF(A160=$B$3,Resumen!#REF!,VLOOKUP(A160,Graf_PowerBI!$A$4:$D$39,3,0)))</f>
        <v/>
      </c>
      <c r="H160" s="163" t="str">
        <f>IF(A160="","",F160/IF(A160=$B$3,Resumen!#REF!,VLOOKUP(A160,Graf_PowerBI!$A$4:$D$39,4,0)))</f>
        <v/>
      </c>
      <c r="P160" s="163" t="str">
        <f>IF(J160="","",N160/IF(J160=$B$3,Resumen!#REF!,VLOOKUP(J160,Graf_PowerBI!$A$4:$D$39,3,0)))</f>
        <v/>
      </c>
      <c r="Q160" s="163" t="str">
        <f>IF(J160="","",O160/IF(J160=$B$3,Resumen!#REF!,VLOOKUP(J160,Graf_PowerBI!$A$4:$D$39,4,0)))</f>
        <v/>
      </c>
      <c r="S160" s="215" t="str">
        <f t="shared" si="2"/>
        <v/>
      </c>
    </row>
    <row r="161" spans="7:19">
      <c r="G161" s="163" t="str">
        <f>IF(A161="","",E161/IF(A161=$B$3,Resumen!#REF!,VLOOKUP(A161,Graf_PowerBI!$A$4:$D$39,3,0)))</f>
        <v/>
      </c>
      <c r="H161" s="163" t="str">
        <f>IF(A161="","",F161/IF(A161=$B$3,Resumen!#REF!,VLOOKUP(A161,Graf_PowerBI!$A$4:$D$39,4,0)))</f>
        <v/>
      </c>
      <c r="P161" s="163" t="str">
        <f>IF(J161="","",N161/IF(J161=$B$3,Resumen!#REF!,VLOOKUP(J161,Graf_PowerBI!$A$4:$D$39,3,0)))</f>
        <v/>
      </c>
      <c r="Q161" s="163" t="str">
        <f>IF(J161="","",O161/IF(J161=$B$3,Resumen!#REF!,VLOOKUP(J161,Graf_PowerBI!$A$4:$D$39,4,0)))</f>
        <v/>
      </c>
      <c r="S161" s="215" t="str">
        <f t="shared" si="2"/>
        <v/>
      </c>
    </row>
    <row r="162" spans="7:19">
      <c r="G162" s="163" t="str">
        <f>IF(A162="","",E162/IF(A162=$B$3,Resumen!#REF!,VLOOKUP(A162,Graf_PowerBI!$A$4:$D$39,3,0)))</f>
        <v/>
      </c>
      <c r="H162" s="163" t="str">
        <f>IF(A162="","",F162/IF(A162=$B$3,Resumen!#REF!,VLOOKUP(A162,Graf_PowerBI!$A$4:$D$39,4,0)))</f>
        <v/>
      </c>
      <c r="P162" s="163" t="str">
        <f>IF(J162="","",N162/IF(J162=$B$3,Resumen!#REF!,VLOOKUP(J162,Graf_PowerBI!$A$4:$D$39,3,0)))</f>
        <v/>
      </c>
      <c r="Q162" s="163" t="str">
        <f>IF(J162="","",O162/IF(J162=$B$3,Resumen!#REF!,VLOOKUP(J162,Graf_PowerBI!$A$4:$D$39,4,0)))</f>
        <v/>
      </c>
      <c r="S162" s="215" t="str">
        <f t="shared" si="2"/>
        <v/>
      </c>
    </row>
    <row r="163" spans="7:19">
      <c r="G163" s="163" t="str">
        <f>IF(A163="","",E163/IF(A163=$B$3,Resumen!#REF!,VLOOKUP(A163,Graf_PowerBI!$A$4:$D$39,3,0)))</f>
        <v/>
      </c>
      <c r="H163" s="163" t="str">
        <f>IF(A163="","",F163/IF(A163=$B$3,Resumen!#REF!,VLOOKUP(A163,Graf_PowerBI!$A$4:$D$39,4,0)))</f>
        <v/>
      </c>
      <c r="P163" s="163" t="str">
        <f>IF(J163="","",N163/IF(J163=$B$3,Resumen!#REF!,VLOOKUP(J163,Graf_PowerBI!$A$4:$D$39,3,0)))</f>
        <v/>
      </c>
      <c r="Q163" s="163" t="str">
        <f>IF(J163="","",O163/IF(J163=$B$3,Resumen!#REF!,VLOOKUP(J163,Graf_PowerBI!$A$4:$D$39,4,0)))</f>
        <v/>
      </c>
      <c r="S163" s="215" t="str">
        <f t="shared" si="2"/>
        <v/>
      </c>
    </row>
    <row r="164" spans="7:19">
      <c r="G164" s="163" t="str">
        <f>IF(A164="","",E164/IF(A164=$B$3,Resumen!#REF!,VLOOKUP(A164,Graf_PowerBI!$A$4:$D$39,3,0)))</f>
        <v/>
      </c>
      <c r="H164" s="163" t="str">
        <f>IF(A164="","",F164/IF(A164=$B$3,Resumen!#REF!,VLOOKUP(A164,Graf_PowerBI!$A$4:$D$39,4,0)))</f>
        <v/>
      </c>
      <c r="P164" s="163" t="str">
        <f>IF(J164="","",N164/IF(J164=$B$3,Resumen!#REF!,VLOOKUP(J164,Graf_PowerBI!$A$4:$D$39,3,0)))</f>
        <v/>
      </c>
      <c r="Q164" s="163" t="str">
        <f>IF(J164="","",O164/IF(J164=$B$3,Resumen!#REF!,VLOOKUP(J164,Graf_PowerBI!$A$4:$D$39,4,0)))</f>
        <v/>
      </c>
      <c r="S164" s="215" t="str">
        <f t="shared" si="2"/>
        <v/>
      </c>
    </row>
    <row r="165" spans="7:19">
      <c r="G165" s="163" t="str">
        <f>IF(A165="","",E165/IF(A165=$B$3,Resumen!#REF!,VLOOKUP(A165,Graf_PowerBI!$A$4:$D$39,3,0)))</f>
        <v/>
      </c>
      <c r="H165" s="163" t="str">
        <f>IF(A165="","",F165/IF(A165=$B$3,Resumen!#REF!,VLOOKUP(A165,Graf_PowerBI!$A$4:$D$39,4,0)))</f>
        <v/>
      </c>
      <c r="P165" s="163" t="str">
        <f>IF(J165="","",N165/IF(J165=$B$3,Resumen!#REF!,VLOOKUP(J165,Graf_PowerBI!$A$4:$D$39,3,0)))</f>
        <v/>
      </c>
      <c r="Q165" s="163" t="str">
        <f>IF(J165="","",O165/IF(J165=$B$3,Resumen!#REF!,VLOOKUP(J165,Graf_PowerBI!$A$4:$D$39,4,0)))</f>
        <v/>
      </c>
      <c r="S165" s="215" t="str">
        <f t="shared" si="2"/>
        <v/>
      </c>
    </row>
    <row r="166" spans="7:19">
      <c r="G166" s="163" t="str">
        <f>IF(A166="","",E166/IF(A166=$B$3,Resumen!#REF!,VLOOKUP(A166,Graf_PowerBI!$A$4:$D$39,3,0)))</f>
        <v/>
      </c>
      <c r="H166" s="163" t="str">
        <f>IF(A166="","",F166/IF(A166=$B$3,Resumen!#REF!,VLOOKUP(A166,Graf_PowerBI!$A$4:$D$39,4,0)))</f>
        <v/>
      </c>
      <c r="P166" s="163" t="str">
        <f>IF(J166="","",N166/IF(J166=$B$3,Resumen!#REF!,VLOOKUP(J166,Graf_PowerBI!$A$4:$D$39,3,0)))</f>
        <v/>
      </c>
      <c r="Q166" s="163" t="str">
        <f>IF(J166="","",O166/IF(J166=$B$3,Resumen!#REF!,VLOOKUP(J166,Graf_PowerBI!$A$4:$D$39,4,0)))</f>
        <v/>
      </c>
      <c r="S166" s="215" t="str">
        <f t="shared" si="2"/>
        <v/>
      </c>
    </row>
    <row r="167" spans="7:19">
      <c r="G167" s="163" t="str">
        <f>IF(A167="","",E167/IF(A167=$B$3,Resumen!#REF!,VLOOKUP(A167,Graf_PowerBI!$A$4:$D$39,3,0)))</f>
        <v/>
      </c>
      <c r="H167" s="163" t="str">
        <f>IF(A167="","",F167/IF(A167=$B$3,Resumen!#REF!,VLOOKUP(A167,Graf_PowerBI!$A$4:$D$39,4,0)))</f>
        <v/>
      </c>
      <c r="P167" s="163" t="str">
        <f>IF(J167="","",N167/IF(J167=$B$3,Resumen!#REF!,VLOOKUP(J167,Graf_PowerBI!$A$4:$D$39,3,0)))</f>
        <v/>
      </c>
      <c r="Q167" s="163" t="str">
        <f>IF(J167="","",O167/IF(J167=$B$3,Resumen!#REF!,VLOOKUP(J167,Graf_PowerBI!$A$4:$D$39,4,0)))</f>
        <v/>
      </c>
      <c r="S167" s="215" t="str">
        <f t="shared" si="2"/>
        <v/>
      </c>
    </row>
    <row r="168" spans="7:19">
      <c r="G168" s="163" t="str">
        <f>IF(A168="","",E168/IF(A168=$B$3,Resumen!#REF!,VLOOKUP(A168,Graf_PowerBI!$A$4:$D$39,3,0)))</f>
        <v/>
      </c>
      <c r="H168" s="163" t="str">
        <f>IF(A168="","",F168/IF(A168=$B$3,Resumen!#REF!,VLOOKUP(A168,Graf_PowerBI!$A$4:$D$39,4,0)))</f>
        <v/>
      </c>
      <c r="P168" s="163" t="str">
        <f>IF(J168="","",N168/IF(J168=$B$3,Resumen!#REF!,VLOOKUP(J168,Graf_PowerBI!$A$4:$D$39,3,0)))</f>
        <v/>
      </c>
      <c r="Q168" s="163" t="str">
        <f>IF(J168="","",O168/IF(J168=$B$3,Resumen!#REF!,VLOOKUP(J168,Graf_PowerBI!$A$4:$D$39,4,0)))</f>
        <v/>
      </c>
      <c r="S168" s="215" t="str">
        <f t="shared" si="2"/>
        <v/>
      </c>
    </row>
    <row r="169" spans="7:19">
      <c r="G169" s="163" t="str">
        <f>IF(A169="","",E169/IF(A169=$B$3,Resumen!#REF!,VLOOKUP(A169,Graf_PowerBI!$A$4:$D$39,3,0)))</f>
        <v/>
      </c>
      <c r="H169" s="163" t="str">
        <f>IF(A169="","",F169/IF(A169=$B$3,Resumen!#REF!,VLOOKUP(A169,Graf_PowerBI!$A$4:$D$39,4,0)))</f>
        <v/>
      </c>
      <c r="P169" s="163" t="str">
        <f>IF(J169="","",N169/IF(J169=$B$3,Resumen!#REF!,VLOOKUP(J169,Graf_PowerBI!$A$4:$D$39,3,0)))</f>
        <v/>
      </c>
      <c r="Q169" s="163" t="str">
        <f>IF(J169="","",O169/IF(J169=$B$3,Resumen!#REF!,VLOOKUP(J169,Graf_PowerBI!$A$4:$D$39,4,0)))</f>
        <v/>
      </c>
      <c r="S169" s="215" t="str">
        <f t="shared" si="2"/>
        <v/>
      </c>
    </row>
    <row r="170" spans="7:19">
      <c r="G170" s="163" t="str">
        <f>IF(A170="","",E170/IF(A170=$B$3,Resumen!#REF!,VLOOKUP(A170,Graf_PowerBI!$A$4:$D$39,3,0)))</f>
        <v/>
      </c>
      <c r="H170" s="163" t="str">
        <f>IF(A170="","",F170/IF(A170=$B$3,Resumen!#REF!,VLOOKUP(A170,Graf_PowerBI!$A$4:$D$39,4,0)))</f>
        <v/>
      </c>
      <c r="P170" s="163" t="str">
        <f>IF(J170="","",N170/IF(J170=$B$3,Resumen!#REF!,VLOOKUP(J170,Graf_PowerBI!$A$4:$D$39,3,0)))</f>
        <v/>
      </c>
      <c r="Q170" s="163" t="str">
        <f>IF(J170="","",O170/IF(J170=$B$3,Resumen!#REF!,VLOOKUP(J170,Graf_PowerBI!$A$4:$D$39,4,0)))</f>
        <v/>
      </c>
      <c r="S170" s="215" t="str">
        <f t="shared" si="2"/>
        <v/>
      </c>
    </row>
    <row r="171" spans="7:19">
      <c r="G171" s="163" t="str">
        <f>IF(A171="","",E171/IF(A171=$B$3,Resumen!#REF!,VLOOKUP(A171,Graf_PowerBI!$A$4:$D$39,3,0)))</f>
        <v/>
      </c>
      <c r="H171" s="163" t="str">
        <f>IF(A171="","",F171/IF(A171=$B$3,Resumen!#REF!,VLOOKUP(A171,Graf_PowerBI!$A$4:$D$39,4,0)))</f>
        <v/>
      </c>
      <c r="P171" s="163" t="str">
        <f>IF(J171="","",N171/IF(J171=$B$3,Resumen!#REF!,VLOOKUP(J171,Graf_PowerBI!$A$4:$D$39,3,0)))</f>
        <v/>
      </c>
      <c r="Q171" s="163" t="str">
        <f>IF(J171="","",O171/IF(J171=$B$3,Resumen!#REF!,VLOOKUP(J171,Graf_PowerBI!$A$4:$D$39,4,0)))</f>
        <v/>
      </c>
      <c r="S171" s="215" t="str">
        <f t="shared" si="2"/>
        <v/>
      </c>
    </row>
    <row r="172" spans="7:19">
      <c r="G172" s="163" t="str">
        <f>IF(A172="","",E172/IF(A172=$B$3,Resumen!#REF!,VLOOKUP(A172,Graf_PowerBI!$A$4:$D$39,3,0)))</f>
        <v/>
      </c>
      <c r="H172" s="163" t="str">
        <f>IF(A172="","",F172/IF(A172=$B$3,Resumen!#REF!,VLOOKUP(A172,Graf_PowerBI!$A$4:$D$39,4,0)))</f>
        <v/>
      </c>
      <c r="P172" s="163" t="str">
        <f>IF(J172="","",N172/IF(J172=$B$3,Resumen!#REF!,VLOOKUP(J172,Graf_PowerBI!$A$4:$D$39,3,0)))</f>
        <v/>
      </c>
      <c r="Q172" s="163" t="str">
        <f>IF(J172="","",O172/IF(J172=$B$3,Resumen!#REF!,VLOOKUP(J172,Graf_PowerBI!$A$4:$D$39,4,0)))</f>
        <v/>
      </c>
      <c r="S172" s="215" t="str">
        <f t="shared" si="2"/>
        <v/>
      </c>
    </row>
    <row r="173" spans="7:19">
      <c r="G173" s="163" t="str">
        <f>IF(A173="","",E173/IF(A173=$B$3,Resumen!#REF!,VLOOKUP(A173,Graf_PowerBI!$A$4:$D$39,3,0)))</f>
        <v/>
      </c>
      <c r="H173" s="163" t="str">
        <f>IF(A173="","",F173/IF(A173=$B$3,Resumen!#REF!,VLOOKUP(A173,Graf_PowerBI!$A$4:$D$39,4,0)))</f>
        <v/>
      </c>
      <c r="P173" s="163" t="str">
        <f>IF(J173="","",N173/IF(J173=$B$3,Resumen!#REF!,VLOOKUP(J173,Graf_PowerBI!$A$4:$D$39,3,0)))</f>
        <v/>
      </c>
      <c r="Q173" s="163" t="str">
        <f>IF(J173="","",O173/IF(J173=$B$3,Resumen!#REF!,VLOOKUP(J173,Graf_PowerBI!$A$4:$D$39,4,0)))</f>
        <v/>
      </c>
      <c r="S173" s="215" t="str">
        <f t="shared" si="2"/>
        <v/>
      </c>
    </row>
    <row r="174" spans="7:19">
      <c r="G174" s="163" t="str">
        <f>IF(A174="","",E174/IF(A174=$B$3,Resumen!#REF!,VLOOKUP(A174,Graf_PowerBI!$A$4:$D$39,3,0)))</f>
        <v/>
      </c>
      <c r="H174" s="163" t="str">
        <f>IF(A174="","",F174/IF(A174=$B$3,Resumen!#REF!,VLOOKUP(A174,Graf_PowerBI!$A$4:$D$39,4,0)))</f>
        <v/>
      </c>
      <c r="P174" s="163" t="str">
        <f>IF(J174="","",N174/IF(J174=$B$3,Resumen!#REF!,VLOOKUP(J174,Graf_PowerBI!$A$4:$D$39,3,0)))</f>
        <v/>
      </c>
      <c r="Q174" s="163" t="str">
        <f>IF(J174="","",O174/IF(J174=$B$3,Resumen!#REF!,VLOOKUP(J174,Graf_PowerBI!$A$4:$D$39,4,0)))</f>
        <v/>
      </c>
      <c r="S174" s="215" t="str">
        <f t="shared" si="2"/>
        <v/>
      </c>
    </row>
    <row r="175" spans="7:19">
      <c r="G175" s="163" t="str">
        <f>IF(A175="","",E175/IF(A175=$B$3,Resumen!#REF!,VLOOKUP(A175,Graf_PowerBI!$A$4:$D$39,3,0)))</f>
        <v/>
      </c>
      <c r="H175" s="163" t="str">
        <f>IF(A175="","",F175/IF(A175=$B$3,Resumen!#REF!,VLOOKUP(A175,Graf_PowerBI!$A$4:$D$39,4,0)))</f>
        <v/>
      </c>
      <c r="P175" s="163" t="str">
        <f>IF(J175="","",N175/IF(J175=$B$3,Resumen!#REF!,VLOOKUP(J175,Graf_PowerBI!$A$4:$D$39,3,0)))</f>
        <v/>
      </c>
      <c r="Q175" s="163" t="str">
        <f>IF(J175="","",O175/IF(J175=$B$3,Resumen!#REF!,VLOOKUP(J175,Graf_PowerBI!$A$4:$D$39,4,0)))</f>
        <v/>
      </c>
      <c r="S175" s="215" t="str">
        <f t="shared" si="2"/>
        <v/>
      </c>
    </row>
    <row r="176" spans="7:19">
      <c r="G176" s="163" t="str">
        <f>IF(A176="","",E176/IF(A176=$B$3,Resumen!#REF!,VLOOKUP(A176,Graf_PowerBI!$A$4:$D$39,3,0)))</f>
        <v/>
      </c>
      <c r="H176" s="163" t="str">
        <f>IF(A176="","",F176/IF(A176=$B$3,Resumen!#REF!,VLOOKUP(A176,Graf_PowerBI!$A$4:$D$39,4,0)))</f>
        <v/>
      </c>
      <c r="P176" s="163" t="str">
        <f>IF(J176="","",N176/IF(J176=$B$3,Resumen!#REF!,VLOOKUP(J176,Graf_PowerBI!$A$4:$D$39,3,0)))</f>
        <v/>
      </c>
      <c r="Q176" s="163" t="str">
        <f>IF(J176="","",O176/IF(J176=$B$3,Resumen!#REF!,VLOOKUP(J176,Graf_PowerBI!$A$4:$D$39,4,0)))</f>
        <v/>
      </c>
      <c r="S176" s="215" t="str">
        <f t="shared" si="2"/>
        <v/>
      </c>
    </row>
    <row r="177" spans="7:19">
      <c r="G177" s="163" t="str">
        <f>IF(A177="","",E177/IF(A177=$B$3,Resumen!#REF!,VLOOKUP(A177,Graf_PowerBI!$A$4:$D$39,3,0)))</f>
        <v/>
      </c>
      <c r="H177" s="163" t="str">
        <f>IF(A177="","",F177/IF(A177=$B$3,Resumen!#REF!,VLOOKUP(A177,Graf_PowerBI!$A$4:$D$39,4,0)))</f>
        <v/>
      </c>
      <c r="P177" s="163" t="str">
        <f>IF(J177="","",N177/IF(J177=$B$3,Resumen!#REF!,VLOOKUP(J177,Graf_PowerBI!$A$4:$D$39,3,0)))</f>
        <v/>
      </c>
      <c r="Q177" s="163" t="str">
        <f>IF(J177="","",O177/IF(J177=$B$3,Resumen!#REF!,VLOOKUP(J177,Graf_PowerBI!$A$4:$D$39,4,0)))</f>
        <v/>
      </c>
      <c r="S177" s="215" t="str">
        <f t="shared" si="2"/>
        <v/>
      </c>
    </row>
    <row r="178" spans="7:19">
      <c r="G178" s="163" t="str">
        <f>IF(A178="","",E178/IF(A178=$B$3,Resumen!#REF!,VLOOKUP(A178,Graf_PowerBI!$A$4:$D$39,3,0)))</f>
        <v/>
      </c>
      <c r="H178" s="163" t="str">
        <f>IF(A178="","",F178/IF(A178=$B$3,Resumen!#REF!,VLOOKUP(A178,Graf_PowerBI!$A$4:$D$39,4,0)))</f>
        <v/>
      </c>
      <c r="P178" s="163" t="str">
        <f>IF(J178="","",N178/IF(J178=$B$3,Resumen!#REF!,VLOOKUP(J178,Graf_PowerBI!$A$4:$D$39,3,0)))</f>
        <v/>
      </c>
      <c r="Q178" s="163" t="str">
        <f>IF(J178="","",O178/IF(J178=$B$3,Resumen!#REF!,VLOOKUP(J178,Graf_PowerBI!$A$4:$D$39,4,0)))</f>
        <v/>
      </c>
      <c r="S178" s="215" t="str">
        <f t="shared" si="2"/>
        <v/>
      </c>
    </row>
    <row r="179" spans="7:19">
      <c r="G179" s="163" t="str">
        <f>IF(A179="","",E179/IF(A179=$B$3,Resumen!#REF!,VLOOKUP(A179,Graf_PowerBI!$A$4:$D$39,3,0)))</f>
        <v/>
      </c>
      <c r="H179" s="163" t="str">
        <f>IF(A179="","",F179/IF(A179=$B$3,Resumen!#REF!,VLOOKUP(A179,Graf_PowerBI!$A$4:$D$39,4,0)))</f>
        <v/>
      </c>
      <c r="P179" s="163" t="str">
        <f>IF(J179="","",N179/IF(J179=$B$3,Resumen!#REF!,VLOOKUP(J179,Graf_PowerBI!$A$4:$D$39,3,0)))</f>
        <v/>
      </c>
      <c r="Q179" s="163" t="str">
        <f>IF(J179="","",O179/IF(J179=$B$3,Resumen!#REF!,VLOOKUP(J179,Graf_PowerBI!$A$4:$D$39,4,0)))</f>
        <v/>
      </c>
      <c r="S179" s="215" t="str">
        <f t="shared" si="2"/>
        <v/>
      </c>
    </row>
    <row r="180" spans="7:19">
      <c r="G180" s="163" t="str">
        <f>IF(A180="","",E180/IF(A180=$B$3,Resumen!#REF!,VLOOKUP(A180,Graf_PowerBI!$A$4:$D$39,3,0)))</f>
        <v/>
      </c>
      <c r="H180" s="163" t="str">
        <f>IF(A180="","",F180/IF(A180=$B$3,Resumen!#REF!,VLOOKUP(A180,Graf_PowerBI!$A$4:$D$39,4,0)))</f>
        <v/>
      </c>
      <c r="P180" s="163" t="str">
        <f>IF(J180="","",N180/IF(J180=$B$3,Resumen!#REF!,VLOOKUP(J180,Graf_PowerBI!$A$4:$D$39,3,0)))</f>
        <v/>
      </c>
      <c r="Q180" s="163" t="str">
        <f>IF(J180="","",O180/IF(J180=$B$3,Resumen!#REF!,VLOOKUP(J180,Graf_PowerBI!$A$4:$D$39,4,0)))</f>
        <v/>
      </c>
      <c r="S180" s="215" t="str">
        <f t="shared" si="2"/>
        <v/>
      </c>
    </row>
    <row r="181" spans="7:19">
      <c r="G181" s="163" t="str">
        <f>IF(A181="","",E181/IF(A181=$B$3,Resumen!#REF!,VLOOKUP(A181,Graf_PowerBI!$A$4:$D$39,3,0)))</f>
        <v/>
      </c>
      <c r="H181" s="163" t="str">
        <f>IF(A181="","",F181/IF(A181=$B$3,Resumen!#REF!,VLOOKUP(A181,Graf_PowerBI!$A$4:$D$39,4,0)))</f>
        <v/>
      </c>
      <c r="P181" s="163" t="str">
        <f>IF(J181="","",N181/IF(J181=$B$3,Resumen!#REF!,VLOOKUP(J181,Graf_PowerBI!$A$4:$D$39,3,0)))</f>
        <v/>
      </c>
      <c r="Q181" s="163" t="str">
        <f>IF(J181="","",O181/IF(J181=$B$3,Resumen!#REF!,VLOOKUP(J181,Graf_PowerBI!$A$4:$D$39,4,0)))</f>
        <v/>
      </c>
      <c r="S181" s="215" t="str">
        <f t="shared" si="2"/>
        <v/>
      </c>
    </row>
    <row r="182" spans="7:19">
      <c r="G182" s="163" t="str">
        <f>IF(A182="","",E182/IF(A182=$B$3,Resumen!#REF!,VLOOKUP(A182,Graf_PowerBI!$A$4:$D$39,3,0)))</f>
        <v/>
      </c>
      <c r="H182" s="163" t="str">
        <f>IF(A182="","",F182/IF(A182=$B$3,Resumen!#REF!,VLOOKUP(A182,Graf_PowerBI!$A$4:$D$39,4,0)))</f>
        <v/>
      </c>
      <c r="P182" s="163" t="str">
        <f>IF(J182="","",N182/IF(J182=$B$3,Resumen!#REF!,VLOOKUP(J182,Graf_PowerBI!$A$4:$D$39,3,0)))</f>
        <v/>
      </c>
      <c r="Q182" s="163" t="str">
        <f>IF(J182="","",O182/IF(J182=$B$3,Resumen!#REF!,VLOOKUP(J182,Graf_PowerBI!$A$4:$D$39,4,0)))</f>
        <v/>
      </c>
      <c r="S182" s="215" t="str">
        <f t="shared" si="2"/>
        <v/>
      </c>
    </row>
    <row r="183" spans="7:19">
      <c r="G183" s="163" t="str">
        <f>IF(A183="","",E183/IF(A183=$B$3,Resumen!#REF!,VLOOKUP(A183,Graf_PowerBI!$A$4:$D$39,3,0)))</f>
        <v/>
      </c>
      <c r="H183" s="163" t="str">
        <f>IF(A183="","",F183/IF(A183=$B$3,Resumen!#REF!,VLOOKUP(A183,Graf_PowerBI!$A$4:$D$39,4,0)))</f>
        <v/>
      </c>
      <c r="P183" s="163" t="str">
        <f>IF(J183="","",N183/IF(J183=$B$3,Resumen!#REF!,VLOOKUP(J183,Graf_PowerBI!$A$4:$D$39,3,0)))</f>
        <v/>
      </c>
      <c r="Q183" s="163" t="str">
        <f>IF(J183="","",O183/IF(J183=$B$3,Resumen!#REF!,VLOOKUP(J183,Graf_PowerBI!$A$4:$D$39,4,0)))</f>
        <v/>
      </c>
      <c r="S183" s="215" t="str">
        <f t="shared" si="2"/>
        <v/>
      </c>
    </row>
    <row r="184" spans="7:19">
      <c r="G184" s="163" t="str">
        <f>IF(A184="","",E184/IF(A184=$B$3,Resumen!#REF!,VLOOKUP(A184,Graf_PowerBI!$A$4:$D$39,3,0)))</f>
        <v/>
      </c>
      <c r="H184" s="163" t="str">
        <f>IF(A184="","",F184/IF(A184=$B$3,Resumen!#REF!,VLOOKUP(A184,Graf_PowerBI!$A$4:$D$39,4,0)))</f>
        <v/>
      </c>
      <c r="P184" s="163" t="str">
        <f>IF(J184="","",N184/IF(J184=$B$3,Resumen!#REF!,VLOOKUP(J184,Graf_PowerBI!$A$4:$D$39,3,0)))</f>
        <v/>
      </c>
      <c r="Q184" s="163" t="str">
        <f>IF(J184="","",O184/IF(J184=$B$3,Resumen!#REF!,VLOOKUP(J184,Graf_PowerBI!$A$4:$D$39,4,0)))</f>
        <v/>
      </c>
      <c r="S184" s="215" t="str">
        <f t="shared" si="2"/>
        <v/>
      </c>
    </row>
    <row r="185" spans="7:19">
      <c r="G185" s="163" t="str">
        <f>IF(A185="","",E185/IF(A185=$B$3,Resumen!#REF!,VLOOKUP(A185,Graf_PowerBI!$A$4:$D$39,3,0)))</f>
        <v/>
      </c>
      <c r="H185" s="163" t="str">
        <f>IF(A185="","",F185/IF(A185=$B$3,Resumen!#REF!,VLOOKUP(A185,Graf_PowerBI!$A$4:$D$39,4,0)))</f>
        <v/>
      </c>
      <c r="P185" s="163" t="str">
        <f>IF(J185="","",N185/IF(J185=$B$3,Resumen!#REF!,VLOOKUP(J185,Graf_PowerBI!$A$4:$D$39,3,0)))</f>
        <v/>
      </c>
      <c r="Q185" s="163" t="str">
        <f>IF(J185="","",O185/IF(J185=$B$3,Resumen!#REF!,VLOOKUP(J185,Graf_PowerBI!$A$4:$D$39,4,0)))</f>
        <v/>
      </c>
      <c r="S185" s="215" t="str">
        <f t="shared" si="2"/>
        <v/>
      </c>
    </row>
    <row r="186" spans="7:19">
      <c r="G186" s="163" t="str">
        <f>IF(A186="","",E186/IF(A186=$B$3,Resumen!#REF!,VLOOKUP(A186,Graf_PowerBI!$A$4:$D$39,3,0)))</f>
        <v/>
      </c>
      <c r="H186" s="163" t="str">
        <f>IF(A186="","",F186/IF(A186=$B$3,Resumen!#REF!,VLOOKUP(A186,Graf_PowerBI!$A$4:$D$39,4,0)))</f>
        <v/>
      </c>
      <c r="P186" s="163" t="str">
        <f>IF(J186="","",N186/IF(J186=$B$3,Resumen!#REF!,VLOOKUP(J186,Graf_PowerBI!$A$4:$D$39,3,0)))</f>
        <v/>
      </c>
      <c r="Q186" s="163" t="str">
        <f>IF(J186="","",O186/IF(J186=$B$3,Resumen!#REF!,VLOOKUP(J186,Graf_PowerBI!$A$4:$D$39,4,0)))</f>
        <v/>
      </c>
      <c r="S186" s="215" t="str">
        <f t="shared" si="2"/>
        <v/>
      </c>
    </row>
    <row r="187" spans="7:19">
      <c r="G187" s="163" t="str">
        <f>IF(A187="","",E187/IF(A187=$B$3,Resumen!#REF!,VLOOKUP(A187,Graf_PowerBI!$A$4:$D$39,3,0)))</f>
        <v/>
      </c>
      <c r="H187" s="163" t="str">
        <f>IF(A187="","",F187/IF(A187=$B$3,Resumen!#REF!,VLOOKUP(A187,Graf_PowerBI!$A$4:$D$39,4,0)))</f>
        <v/>
      </c>
      <c r="P187" s="163" t="str">
        <f>IF(J187="","",N187/IF(J187=$B$3,Resumen!#REF!,VLOOKUP(J187,Graf_PowerBI!$A$4:$D$39,3,0)))</f>
        <v/>
      </c>
      <c r="Q187" s="163" t="str">
        <f>IF(J187="","",O187/IF(J187=$B$3,Resumen!#REF!,VLOOKUP(J187,Graf_PowerBI!$A$4:$D$39,4,0)))</f>
        <v/>
      </c>
      <c r="S187" s="215" t="str">
        <f t="shared" si="2"/>
        <v/>
      </c>
    </row>
    <row r="188" spans="7:19">
      <c r="G188" s="163" t="str">
        <f>IF(A188="","",E188/IF(A188=$B$3,Resumen!#REF!,VLOOKUP(A188,Graf_PowerBI!$A$4:$D$39,3,0)))</f>
        <v/>
      </c>
      <c r="H188" s="163" t="str">
        <f>IF(A188="","",F188/IF(A188=$B$3,Resumen!#REF!,VLOOKUP(A188,Graf_PowerBI!$A$4:$D$39,4,0)))</f>
        <v/>
      </c>
      <c r="P188" s="163" t="str">
        <f>IF(J188="","",N188/IF(J188=$B$3,Resumen!#REF!,VLOOKUP(J188,Graf_PowerBI!$A$4:$D$39,3,0)))</f>
        <v/>
      </c>
      <c r="Q188" s="163" t="str">
        <f>IF(J188="","",O188/IF(J188=$B$3,Resumen!#REF!,VLOOKUP(J188,Graf_PowerBI!$A$4:$D$39,4,0)))</f>
        <v/>
      </c>
      <c r="S188" s="215" t="str">
        <f t="shared" si="2"/>
        <v/>
      </c>
    </row>
    <row r="189" spans="7:19">
      <c r="G189" s="163" t="str">
        <f>IF(A189="","",E189/IF(A189=$B$3,Resumen!#REF!,VLOOKUP(A189,Graf_PowerBI!$A$4:$D$39,3,0)))</f>
        <v/>
      </c>
      <c r="H189" s="163" t="str">
        <f>IF(A189="","",F189/IF(A189=$B$3,Resumen!#REF!,VLOOKUP(A189,Graf_PowerBI!$A$4:$D$39,4,0)))</f>
        <v/>
      </c>
      <c r="P189" s="163" t="str">
        <f>IF(J189="","",N189/IF(J189=$B$3,Resumen!#REF!,VLOOKUP(J189,Graf_PowerBI!$A$4:$D$39,3,0)))</f>
        <v/>
      </c>
      <c r="Q189" s="163" t="str">
        <f>IF(J189="","",O189/IF(J189=$B$3,Resumen!#REF!,VLOOKUP(J189,Graf_PowerBI!$A$4:$D$39,4,0)))</f>
        <v/>
      </c>
      <c r="S189" s="215" t="str">
        <f t="shared" si="2"/>
        <v/>
      </c>
    </row>
    <row r="190" spans="7:19">
      <c r="G190" s="163" t="str">
        <f>IF(A190="","",E190/IF(A190=$B$3,Resumen!#REF!,VLOOKUP(A190,Graf_PowerBI!$A$4:$D$39,3,0)))</f>
        <v/>
      </c>
      <c r="H190" s="163" t="str">
        <f>IF(A190="","",F190/IF(A190=$B$3,Resumen!#REF!,VLOOKUP(A190,Graf_PowerBI!$A$4:$D$39,4,0)))</f>
        <v/>
      </c>
      <c r="P190" s="163" t="str">
        <f>IF(J190="","",N190/IF(J190=$B$3,Resumen!#REF!,VLOOKUP(J190,Graf_PowerBI!$A$4:$D$39,3,0)))</f>
        <v/>
      </c>
      <c r="Q190" s="163" t="str">
        <f>IF(J190="","",O190/IF(J190=$B$3,Resumen!#REF!,VLOOKUP(J190,Graf_PowerBI!$A$4:$D$39,4,0)))</f>
        <v/>
      </c>
      <c r="S190" s="215" t="str">
        <f t="shared" si="2"/>
        <v/>
      </c>
    </row>
    <row r="191" spans="7:19">
      <c r="G191" s="163" t="str">
        <f>IF(A191="","",E191/IF(A191=$B$3,Resumen!#REF!,VLOOKUP(A191,Graf_PowerBI!$A$4:$D$39,3,0)))</f>
        <v/>
      </c>
      <c r="H191" s="163" t="str">
        <f>IF(A191="","",F191/IF(A191=$B$3,Resumen!#REF!,VLOOKUP(A191,Graf_PowerBI!$A$4:$D$39,4,0)))</f>
        <v/>
      </c>
      <c r="P191" s="163" t="str">
        <f>IF(J191="","",N191/IF(J191=$B$3,Resumen!#REF!,VLOOKUP(J191,Graf_PowerBI!$A$4:$D$39,3,0)))</f>
        <v/>
      </c>
      <c r="Q191" s="163" t="str">
        <f>IF(J191="","",O191/IF(J191=$B$3,Resumen!#REF!,VLOOKUP(J191,Graf_PowerBI!$A$4:$D$39,4,0)))</f>
        <v/>
      </c>
      <c r="S191" s="215" t="str">
        <f t="shared" si="2"/>
        <v/>
      </c>
    </row>
    <row r="192" spans="7:19">
      <c r="G192" s="163" t="str">
        <f>IF(A192="","",E192/IF(A192=$B$3,Resumen!#REF!,VLOOKUP(A192,Graf_PowerBI!$A$4:$D$39,3,0)))</f>
        <v/>
      </c>
      <c r="H192" s="163" t="str">
        <f>IF(A192="","",F192/IF(A192=$B$3,Resumen!#REF!,VLOOKUP(A192,Graf_PowerBI!$A$4:$D$39,4,0)))</f>
        <v/>
      </c>
      <c r="P192" s="163" t="str">
        <f>IF(J192="","",N192/IF(J192=$B$3,Resumen!#REF!,VLOOKUP(J192,Graf_PowerBI!$A$4:$D$39,3,0)))</f>
        <v/>
      </c>
      <c r="Q192" s="163" t="str">
        <f>IF(J192="","",O192/IF(J192=$B$3,Resumen!#REF!,VLOOKUP(J192,Graf_PowerBI!$A$4:$D$39,4,0)))</f>
        <v/>
      </c>
      <c r="S192" s="215" t="str">
        <f t="shared" si="2"/>
        <v/>
      </c>
    </row>
    <row r="193" spans="7:19">
      <c r="G193" s="163" t="str">
        <f>IF(A193="","",E193/IF(A193=$B$3,Resumen!#REF!,VLOOKUP(A193,Graf_PowerBI!$A$4:$D$39,3,0)))</f>
        <v/>
      </c>
      <c r="H193" s="163" t="str">
        <f>IF(A193="","",F193/IF(A193=$B$3,Resumen!#REF!,VLOOKUP(A193,Graf_PowerBI!$A$4:$D$39,4,0)))</f>
        <v/>
      </c>
      <c r="P193" s="163" t="str">
        <f>IF(J193="","",N193/IF(J193=$B$3,Resumen!#REF!,VLOOKUP(J193,Graf_PowerBI!$A$4:$D$39,3,0)))</f>
        <v/>
      </c>
      <c r="Q193" s="163" t="str">
        <f>IF(J193="","",O193/IF(J193=$B$3,Resumen!#REF!,VLOOKUP(J193,Graf_PowerBI!$A$4:$D$39,4,0)))</f>
        <v/>
      </c>
      <c r="S193" s="215" t="str">
        <f t="shared" si="2"/>
        <v/>
      </c>
    </row>
    <row r="194" spans="7:19">
      <c r="G194" s="163" t="str">
        <f>IF(A194="","",E194/IF(A194=$B$3,Resumen!#REF!,VLOOKUP(A194,Graf_PowerBI!$A$4:$D$39,3,0)))</f>
        <v/>
      </c>
      <c r="H194" s="163" t="str">
        <f>IF(A194="","",F194/IF(A194=$B$3,Resumen!#REF!,VLOOKUP(A194,Graf_PowerBI!$A$4:$D$39,4,0)))</f>
        <v/>
      </c>
      <c r="P194" s="163" t="str">
        <f>IF(J194="","",N194/IF(J194=$B$3,Resumen!#REF!,VLOOKUP(J194,Graf_PowerBI!$A$4:$D$39,3,0)))</f>
        <v/>
      </c>
      <c r="Q194" s="163" t="str">
        <f>IF(J194="","",O194/IF(J194=$B$3,Resumen!#REF!,VLOOKUP(J194,Graf_PowerBI!$A$4:$D$39,4,0)))</f>
        <v/>
      </c>
      <c r="S194" s="215" t="str">
        <f t="shared" si="2"/>
        <v/>
      </c>
    </row>
    <row r="195" spans="7:19">
      <c r="G195" s="163" t="str">
        <f>IF(A195="","",E195/IF(A195=$B$3,Resumen!#REF!,VLOOKUP(A195,Graf_PowerBI!$A$4:$D$39,3,0)))</f>
        <v/>
      </c>
      <c r="H195" s="163" t="str">
        <f>IF(A195="","",F195/IF(A195=$B$3,Resumen!#REF!,VLOOKUP(A195,Graf_PowerBI!$A$4:$D$39,4,0)))</f>
        <v/>
      </c>
      <c r="P195" s="163" t="str">
        <f>IF(J195="","",N195/IF(J195=$B$3,Resumen!#REF!,VLOOKUP(J195,Graf_PowerBI!$A$4:$D$39,3,0)))</f>
        <v/>
      </c>
      <c r="Q195" s="163" t="str">
        <f>IF(J195="","",O195/IF(J195=$B$3,Resumen!#REF!,VLOOKUP(J195,Graf_PowerBI!$A$4:$D$39,4,0)))</f>
        <v/>
      </c>
      <c r="S195" s="215" t="str">
        <f t="shared" si="2"/>
        <v/>
      </c>
    </row>
    <row r="196" spans="7:19">
      <c r="G196" s="163" t="str">
        <f>IF(A196="","",E196/IF(A196=$B$3,Resumen!#REF!,VLOOKUP(A196,Graf_PowerBI!$A$4:$D$39,3,0)))</f>
        <v/>
      </c>
      <c r="H196" s="163" t="str">
        <f>IF(A196="","",F196/IF(A196=$B$3,Resumen!#REF!,VLOOKUP(A196,Graf_PowerBI!$A$4:$D$39,4,0)))</f>
        <v/>
      </c>
      <c r="P196" s="163" t="str">
        <f>IF(J196="","",N196/IF(J196=$B$3,Resumen!#REF!,VLOOKUP(J196,Graf_PowerBI!$A$4:$D$39,3,0)))</f>
        <v/>
      </c>
      <c r="Q196" s="163" t="str">
        <f>IF(J196="","",O196/IF(J196=$B$3,Resumen!#REF!,VLOOKUP(J196,Graf_PowerBI!$A$4:$D$39,4,0)))</f>
        <v/>
      </c>
      <c r="S196" s="215" t="str">
        <f t="shared" si="2"/>
        <v/>
      </c>
    </row>
    <row r="197" spans="7:19">
      <c r="G197" s="163" t="str">
        <f>IF(A197="","",E197/IF(A197=$B$3,Resumen!#REF!,VLOOKUP(A197,Graf_PowerBI!$A$4:$D$39,3,0)))</f>
        <v/>
      </c>
      <c r="H197" s="163" t="str">
        <f>IF(A197="","",F197/IF(A197=$B$3,Resumen!#REF!,VLOOKUP(A197,Graf_PowerBI!$A$4:$D$39,4,0)))</f>
        <v/>
      </c>
      <c r="P197" s="163" t="str">
        <f>IF(J197="","",N197/IF(J197=$B$3,Resumen!#REF!,VLOOKUP(J197,Graf_PowerBI!$A$4:$D$39,3,0)))</f>
        <v/>
      </c>
      <c r="Q197" s="163" t="str">
        <f>IF(J197="","",O197/IF(J197=$B$3,Resumen!#REF!,VLOOKUP(J197,Graf_PowerBI!$A$4:$D$39,4,0)))</f>
        <v/>
      </c>
      <c r="S197" s="215" t="str">
        <f t="shared" si="2"/>
        <v/>
      </c>
    </row>
    <row r="198" spans="7:19">
      <c r="G198" s="163" t="str">
        <f>IF(A198="","",E198/IF(A198=$B$3,Resumen!#REF!,VLOOKUP(A198,Graf_PowerBI!$A$4:$D$39,3,0)))</f>
        <v/>
      </c>
      <c r="H198" s="163" t="str">
        <f>IF(A198="","",F198/IF(A198=$B$3,Resumen!#REF!,VLOOKUP(A198,Graf_PowerBI!$A$4:$D$39,4,0)))</f>
        <v/>
      </c>
      <c r="P198" s="163" t="str">
        <f>IF(J198="","",N198/IF(J198=$B$3,Resumen!#REF!,VLOOKUP(J198,Graf_PowerBI!$A$4:$D$39,3,0)))</f>
        <v/>
      </c>
      <c r="Q198" s="163" t="str">
        <f>IF(J198="","",O198/IF(J198=$B$3,Resumen!#REF!,VLOOKUP(J198,Graf_PowerBI!$A$4:$D$39,4,0)))</f>
        <v/>
      </c>
      <c r="S198" s="215" t="str">
        <f t="shared" si="2"/>
        <v/>
      </c>
    </row>
    <row r="199" spans="7:19">
      <c r="G199" s="163" t="str">
        <f>IF(A199="","",E199/IF(A199=$B$3,Resumen!#REF!,VLOOKUP(A199,Graf_PowerBI!$A$4:$D$39,3,0)))</f>
        <v/>
      </c>
      <c r="H199" s="163" t="str">
        <f>IF(A199="","",F199/IF(A199=$B$3,Resumen!#REF!,VLOOKUP(A199,Graf_PowerBI!$A$4:$D$39,4,0)))</f>
        <v/>
      </c>
      <c r="P199" s="163" t="str">
        <f>IF(J199="","",N199/IF(J199=$B$3,Resumen!#REF!,VLOOKUP(J199,Graf_PowerBI!$A$4:$D$39,3,0)))</f>
        <v/>
      </c>
      <c r="Q199" s="163" t="str">
        <f>IF(J199="","",O199/IF(J199=$B$3,Resumen!#REF!,VLOOKUP(J199,Graf_PowerBI!$A$4:$D$39,4,0)))</f>
        <v/>
      </c>
      <c r="S199" s="215" t="str">
        <f t="shared" ref="S199:S253" si="3">IF(A199="","",P199+G199)</f>
        <v/>
      </c>
    </row>
    <row r="200" spans="7:19">
      <c r="G200" s="163" t="str">
        <f>IF(A200="","",E200/IF(A200=$B$3,Resumen!#REF!,VLOOKUP(A200,Graf_PowerBI!$A$4:$D$39,3,0)))</f>
        <v/>
      </c>
      <c r="H200" s="163" t="str">
        <f>IF(A200="","",F200/IF(A200=$B$3,Resumen!#REF!,VLOOKUP(A200,Graf_PowerBI!$A$4:$D$39,4,0)))</f>
        <v/>
      </c>
      <c r="P200" s="163" t="str">
        <f>IF(J200="","",N200/IF(J200=$B$3,Resumen!#REF!,VLOOKUP(J200,Graf_PowerBI!$A$4:$D$39,3,0)))</f>
        <v/>
      </c>
      <c r="Q200" s="163" t="str">
        <f>IF(J200="","",O200/IF(J200=$B$3,Resumen!#REF!,VLOOKUP(J200,Graf_PowerBI!$A$4:$D$39,4,0)))</f>
        <v/>
      </c>
      <c r="S200" s="215" t="str">
        <f t="shared" si="3"/>
        <v/>
      </c>
    </row>
    <row r="201" spans="7:19">
      <c r="G201" s="163" t="str">
        <f>IF(A201="","",E201/IF(A201=$B$3,Resumen!#REF!,VLOOKUP(A201,Graf_PowerBI!$A$4:$D$39,3,0)))</f>
        <v/>
      </c>
      <c r="H201" s="163" t="str">
        <f>IF(A201="","",F201/IF(A201=$B$3,Resumen!#REF!,VLOOKUP(A201,Graf_PowerBI!$A$4:$D$39,4,0)))</f>
        <v/>
      </c>
      <c r="P201" s="163" t="str">
        <f>IF(J201="","",N201/IF(J201=$B$3,Resumen!#REF!,VLOOKUP(J201,Graf_PowerBI!$A$4:$D$39,3,0)))</f>
        <v/>
      </c>
      <c r="Q201" s="163" t="str">
        <f>IF(J201="","",O201/IF(J201=$B$3,Resumen!#REF!,VLOOKUP(J201,Graf_PowerBI!$A$4:$D$39,4,0)))</f>
        <v/>
      </c>
      <c r="S201" s="215" t="str">
        <f t="shared" si="3"/>
        <v/>
      </c>
    </row>
    <row r="202" spans="7:19">
      <c r="G202" s="163" t="str">
        <f>IF(A202="","",E202/IF(A202=$B$3,Resumen!#REF!,VLOOKUP(A202,Graf_PowerBI!$A$4:$D$39,3,0)))</f>
        <v/>
      </c>
      <c r="H202" s="163" t="str">
        <f>IF(A202="","",F202/IF(A202=$B$3,Resumen!#REF!,VLOOKUP(A202,Graf_PowerBI!$A$4:$D$39,4,0)))</f>
        <v/>
      </c>
      <c r="P202" s="163" t="str">
        <f>IF(J202="","",N202/IF(J202=$B$3,Resumen!#REF!,VLOOKUP(J202,Graf_PowerBI!$A$4:$D$39,3,0)))</f>
        <v/>
      </c>
      <c r="Q202" s="163" t="str">
        <f>IF(J202="","",O202/IF(J202=$B$3,Resumen!#REF!,VLOOKUP(J202,Graf_PowerBI!$A$4:$D$39,4,0)))</f>
        <v/>
      </c>
      <c r="S202" s="215" t="str">
        <f t="shared" si="3"/>
        <v/>
      </c>
    </row>
    <row r="203" spans="7:19">
      <c r="G203" s="163" t="str">
        <f>IF(A203="","",E203/IF(A203=$B$3,Resumen!#REF!,VLOOKUP(A203,Graf_PowerBI!$A$4:$D$39,3,0)))</f>
        <v/>
      </c>
      <c r="H203" s="163" t="str">
        <f>IF(A203="","",F203/IF(A203=$B$3,Resumen!#REF!,VLOOKUP(A203,Graf_PowerBI!$A$4:$D$39,4,0)))</f>
        <v/>
      </c>
      <c r="P203" s="163" t="str">
        <f>IF(J203="","",N203/IF(J203=$B$3,Resumen!#REF!,VLOOKUP(J203,Graf_PowerBI!$A$4:$D$39,3,0)))</f>
        <v/>
      </c>
      <c r="Q203" s="163" t="str">
        <f>IF(J203="","",O203/IF(J203=$B$3,Resumen!#REF!,VLOOKUP(J203,Graf_PowerBI!$A$4:$D$39,4,0)))</f>
        <v/>
      </c>
      <c r="S203" s="215" t="str">
        <f t="shared" si="3"/>
        <v/>
      </c>
    </row>
    <row r="204" spans="7:19">
      <c r="G204" s="163" t="str">
        <f>IF(A204="","",E204/IF(A204=$B$3,Resumen!#REF!,VLOOKUP(A204,Graf_PowerBI!$A$4:$D$39,3,0)))</f>
        <v/>
      </c>
      <c r="H204" s="163" t="str">
        <f>IF(A204="","",F204/IF(A204=$B$3,Resumen!#REF!,VLOOKUP(A204,Graf_PowerBI!$A$4:$D$39,4,0)))</f>
        <v/>
      </c>
      <c r="P204" s="163" t="str">
        <f>IF(J204="","",N204/IF(J204=$B$3,Resumen!#REF!,VLOOKUP(J204,Graf_PowerBI!$A$4:$D$39,3,0)))</f>
        <v/>
      </c>
      <c r="Q204" s="163" t="str">
        <f>IF(J204="","",O204/IF(J204=$B$3,Resumen!#REF!,VLOOKUP(J204,Graf_PowerBI!$A$4:$D$39,4,0)))</f>
        <v/>
      </c>
      <c r="S204" s="215" t="str">
        <f t="shared" si="3"/>
        <v/>
      </c>
    </row>
    <row r="205" spans="7:19">
      <c r="G205" s="163" t="str">
        <f>IF(A205="","",E205/IF(A205=$B$3,Resumen!#REF!,VLOOKUP(A205,Graf_PowerBI!$A$4:$D$39,3,0)))</f>
        <v/>
      </c>
      <c r="H205" s="163" t="str">
        <f>IF(A205="","",F205/IF(A205=$B$3,Resumen!#REF!,VLOOKUP(A205,Graf_PowerBI!$A$4:$D$39,4,0)))</f>
        <v/>
      </c>
      <c r="P205" s="163" t="str">
        <f>IF(J205="","",N205/IF(J205=$B$3,Resumen!#REF!,VLOOKUP(J205,Graf_PowerBI!$A$4:$D$39,3,0)))</f>
        <v/>
      </c>
      <c r="Q205" s="163" t="str">
        <f>IF(J205="","",O205/IF(J205=$B$3,Resumen!#REF!,VLOOKUP(J205,Graf_PowerBI!$A$4:$D$39,4,0)))</f>
        <v/>
      </c>
      <c r="S205" s="215" t="str">
        <f t="shared" si="3"/>
        <v/>
      </c>
    </row>
    <row r="206" spans="7:19">
      <c r="G206" s="163" t="str">
        <f>IF(A206="","",E206/IF(A206=$B$3,Resumen!#REF!,VLOOKUP(A206,Graf_PowerBI!$A$4:$D$39,3,0)))</f>
        <v/>
      </c>
      <c r="H206" s="163" t="str">
        <f>IF(A206="","",F206/IF(A206=$B$3,Resumen!#REF!,VLOOKUP(A206,Graf_PowerBI!$A$4:$D$39,4,0)))</f>
        <v/>
      </c>
      <c r="P206" s="163" t="str">
        <f>IF(J206="","",N206/IF(J206=$B$3,Resumen!#REF!,VLOOKUP(J206,Graf_PowerBI!$A$4:$D$39,3,0)))</f>
        <v/>
      </c>
      <c r="Q206" s="163" t="str">
        <f>IF(J206="","",O206/IF(J206=$B$3,Resumen!#REF!,VLOOKUP(J206,Graf_PowerBI!$A$4:$D$39,4,0)))</f>
        <v/>
      </c>
      <c r="S206" s="215" t="str">
        <f t="shared" si="3"/>
        <v/>
      </c>
    </row>
    <row r="207" spans="7:19">
      <c r="G207" s="163" t="str">
        <f>IF(A207="","",E207/IF(A207=$B$3,Resumen!#REF!,VLOOKUP(A207,Graf_PowerBI!$A$4:$D$39,3,0)))</f>
        <v/>
      </c>
      <c r="H207" s="163" t="str">
        <f>IF(A207="","",F207/IF(A207=$B$3,Resumen!#REF!,VLOOKUP(A207,Graf_PowerBI!$A$4:$D$39,4,0)))</f>
        <v/>
      </c>
      <c r="P207" s="163" t="str">
        <f>IF(J207="","",N207/IF(J207=$B$3,Resumen!#REF!,VLOOKUP(J207,Graf_PowerBI!$A$4:$D$39,3,0)))</f>
        <v/>
      </c>
      <c r="Q207" s="163" t="str">
        <f>IF(J207="","",O207/IF(J207=$B$3,Resumen!#REF!,VLOOKUP(J207,Graf_PowerBI!$A$4:$D$39,4,0)))</f>
        <v/>
      </c>
      <c r="S207" s="215" t="str">
        <f t="shared" si="3"/>
        <v/>
      </c>
    </row>
    <row r="208" spans="7:19">
      <c r="G208" s="163" t="str">
        <f>IF(A208="","",E208/IF(A208=$B$3,Resumen!#REF!,VLOOKUP(A208,Graf_PowerBI!$A$4:$D$39,3,0)))</f>
        <v/>
      </c>
      <c r="H208" s="163" t="str">
        <f>IF(A208="","",F208/IF(A208=$B$3,Resumen!#REF!,VLOOKUP(A208,Graf_PowerBI!$A$4:$D$39,4,0)))</f>
        <v/>
      </c>
      <c r="P208" s="163" t="str">
        <f>IF(J208="","",N208/IF(J208=$B$3,Resumen!#REF!,VLOOKUP(J208,Graf_PowerBI!$A$4:$D$39,3,0)))</f>
        <v/>
      </c>
      <c r="Q208" s="163" t="str">
        <f>IF(J208="","",O208/IF(J208=$B$3,Resumen!#REF!,VLOOKUP(J208,Graf_PowerBI!$A$4:$D$39,4,0)))</f>
        <v/>
      </c>
      <c r="S208" s="215" t="str">
        <f t="shared" si="3"/>
        <v/>
      </c>
    </row>
    <row r="209" spans="7:19">
      <c r="G209" s="163" t="str">
        <f>IF(A209="","",E209/IF(A209=$B$3,Resumen!#REF!,VLOOKUP(A209,Graf_PowerBI!$A$4:$D$39,3,0)))</f>
        <v/>
      </c>
      <c r="H209" s="163" t="str">
        <f>IF(A209="","",F209/IF(A209=$B$3,Resumen!#REF!,VLOOKUP(A209,Graf_PowerBI!$A$4:$D$39,4,0)))</f>
        <v/>
      </c>
      <c r="P209" s="163" t="str">
        <f>IF(J209="","",N209/IF(J209=$B$3,Resumen!#REF!,VLOOKUP(J209,Graf_PowerBI!$A$4:$D$39,3,0)))</f>
        <v/>
      </c>
      <c r="Q209" s="163" t="str">
        <f>IF(J209="","",O209/IF(J209=$B$3,Resumen!#REF!,VLOOKUP(J209,Graf_PowerBI!$A$4:$D$39,4,0)))</f>
        <v/>
      </c>
      <c r="S209" s="215" t="str">
        <f t="shared" si="3"/>
        <v/>
      </c>
    </row>
    <row r="210" spans="7:19">
      <c r="G210" s="163" t="str">
        <f>IF(A210="","",E210/IF(A210=$B$3,Resumen!#REF!,VLOOKUP(A210,Graf_PowerBI!$A$4:$D$39,3,0)))</f>
        <v/>
      </c>
      <c r="H210" s="163" t="str">
        <f>IF(A210="","",F210/IF(A210=$B$3,Resumen!#REF!,VLOOKUP(A210,Graf_PowerBI!$A$4:$D$39,4,0)))</f>
        <v/>
      </c>
      <c r="P210" s="163" t="str">
        <f>IF(J210="","",N210/IF(J210=$B$3,Resumen!#REF!,VLOOKUP(J210,Graf_PowerBI!$A$4:$D$39,3,0)))</f>
        <v/>
      </c>
      <c r="Q210" s="163" t="str">
        <f>IF(J210="","",O210/IF(J210=$B$3,Resumen!#REF!,VLOOKUP(J210,Graf_PowerBI!$A$4:$D$39,4,0)))</f>
        <v/>
      </c>
      <c r="S210" s="215" t="str">
        <f t="shared" si="3"/>
        <v/>
      </c>
    </row>
    <row r="211" spans="7:19">
      <c r="G211" s="163" t="str">
        <f>IF(A211="","",E211/IF(A211=$B$3,Resumen!#REF!,VLOOKUP(A211,Graf_PowerBI!$A$4:$D$39,3,0)))</f>
        <v/>
      </c>
      <c r="H211" s="163" t="str">
        <f>IF(A211="","",F211/IF(A211=$B$3,Resumen!#REF!,VLOOKUP(A211,Graf_PowerBI!$A$4:$D$39,4,0)))</f>
        <v/>
      </c>
      <c r="P211" s="163" t="str">
        <f>IF(J211="","",N211/IF(J211=$B$3,Resumen!#REF!,VLOOKUP(J211,Graf_PowerBI!$A$4:$D$39,3,0)))</f>
        <v/>
      </c>
      <c r="Q211" s="163" t="str">
        <f>IF(J211="","",O211/IF(J211=$B$3,Resumen!#REF!,VLOOKUP(J211,Graf_PowerBI!$A$4:$D$39,4,0)))</f>
        <v/>
      </c>
      <c r="S211" s="215" t="str">
        <f t="shared" si="3"/>
        <v/>
      </c>
    </row>
    <row r="212" spans="7:19">
      <c r="G212" s="163" t="str">
        <f>IF(A212="","",E212/IF(A212=$B$3,Resumen!#REF!,VLOOKUP(A212,Graf_PowerBI!$A$4:$D$39,3,0)))</f>
        <v/>
      </c>
      <c r="H212" s="163" t="str">
        <f>IF(A212="","",F212/IF(A212=$B$3,Resumen!#REF!,VLOOKUP(A212,Graf_PowerBI!$A$4:$D$39,4,0)))</f>
        <v/>
      </c>
      <c r="P212" s="163" t="str">
        <f>IF(J212="","",N212/IF(J212=$B$3,Resumen!#REF!,VLOOKUP(J212,Graf_PowerBI!$A$4:$D$39,3,0)))</f>
        <v/>
      </c>
      <c r="Q212" s="163" t="str">
        <f>IF(J212="","",O212/IF(J212=$B$3,Resumen!#REF!,VLOOKUP(J212,Graf_PowerBI!$A$4:$D$39,4,0)))</f>
        <v/>
      </c>
      <c r="S212" s="215" t="str">
        <f t="shared" si="3"/>
        <v/>
      </c>
    </row>
    <row r="213" spans="7:19">
      <c r="G213" s="163" t="str">
        <f>IF(A213="","",E213/IF(A213=$B$3,Resumen!#REF!,VLOOKUP(A213,Graf_PowerBI!$A$4:$D$39,3,0)))</f>
        <v/>
      </c>
      <c r="H213" s="163" t="str">
        <f>IF(A213="","",F213/IF(A213=$B$3,Resumen!#REF!,VLOOKUP(A213,Graf_PowerBI!$A$4:$D$39,4,0)))</f>
        <v/>
      </c>
      <c r="P213" s="163" t="str">
        <f>IF(J213="","",N213/IF(J213=$B$3,Resumen!#REF!,VLOOKUP(J213,Graf_PowerBI!$A$4:$D$39,3,0)))</f>
        <v/>
      </c>
      <c r="Q213" s="163" t="str">
        <f>IF(J213="","",O213/IF(J213=$B$3,Resumen!#REF!,VLOOKUP(J213,Graf_PowerBI!$A$4:$D$39,4,0)))</f>
        <v/>
      </c>
      <c r="S213" s="215" t="str">
        <f t="shared" si="3"/>
        <v/>
      </c>
    </row>
    <row r="214" spans="7:19">
      <c r="G214" s="163" t="str">
        <f>IF(A214="","",E214/IF(A214=$B$3,Resumen!#REF!,VLOOKUP(A214,Graf_PowerBI!$A$4:$D$39,3,0)))</f>
        <v/>
      </c>
      <c r="H214" s="163" t="str">
        <f>IF(A214="","",F214/IF(A214=$B$3,Resumen!#REF!,VLOOKUP(A214,Graf_PowerBI!$A$4:$D$39,4,0)))</f>
        <v/>
      </c>
      <c r="P214" s="163" t="str">
        <f>IF(J214="","",N214/IF(J214=$B$3,Resumen!#REF!,VLOOKUP(J214,Graf_PowerBI!$A$4:$D$39,3,0)))</f>
        <v/>
      </c>
      <c r="Q214" s="163" t="str">
        <f>IF(J214="","",O214/IF(J214=$B$3,Resumen!#REF!,VLOOKUP(J214,Graf_PowerBI!$A$4:$D$39,4,0)))</f>
        <v/>
      </c>
      <c r="S214" s="215" t="str">
        <f t="shared" si="3"/>
        <v/>
      </c>
    </row>
    <row r="215" spans="7:19">
      <c r="G215" s="163" t="str">
        <f>IF(A215="","",E215/IF(A215=$B$3,Resumen!#REF!,VLOOKUP(A215,Graf_PowerBI!$A$4:$D$39,3,0)))</f>
        <v/>
      </c>
      <c r="H215" s="163" t="str">
        <f>IF(A215="","",F215/IF(A215=$B$3,Resumen!#REF!,VLOOKUP(A215,Graf_PowerBI!$A$4:$D$39,4,0)))</f>
        <v/>
      </c>
      <c r="P215" s="163" t="str">
        <f>IF(J215="","",N215/IF(J215=$B$3,Resumen!#REF!,VLOOKUP(J215,Graf_PowerBI!$A$4:$D$39,3,0)))</f>
        <v/>
      </c>
      <c r="Q215" s="163" t="str">
        <f>IF(J215="","",O215/IF(J215=$B$3,Resumen!#REF!,VLOOKUP(J215,Graf_PowerBI!$A$4:$D$39,4,0)))</f>
        <v/>
      </c>
      <c r="S215" s="215" t="str">
        <f t="shared" si="3"/>
        <v/>
      </c>
    </row>
    <row r="216" spans="7:19">
      <c r="G216" s="163" t="str">
        <f>IF(A216="","",E216/IF(A216=$B$3,Resumen!#REF!,VLOOKUP(A216,Graf_PowerBI!$A$4:$D$39,3,0)))</f>
        <v/>
      </c>
      <c r="H216" s="163" t="str">
        <f>IF(A216="","",F216/IF(A216=$B$3,Resumen!#REF!,VLOOKUP(A216,Graf_PowerBI!$A$4:$D$39,4,0)))</f>
        <v/>
      </c>
      <c r="P216" s="163" t="str">
        <f>IF(J216="","",N216/IF(J216=$B$3,Resumen!#REF!,VLOOKUP(J216,Graf_PowerBI!$A$4:$D$39,3,0)))</f>
        <v/>
      </c>
      <c r="Q216" s="163" t="str">
        <f>IF(J216="","",O216/IF(J216=$B$3,Resumen!#REF!,VLOOKUP(J216,Graf_PowerBI!$A$4:$D$39,4,0)))</f>
        <v/>
      </c>
      <c r="S216" s="215" t="str">
        <f t="shared" si="3"/>
        <v/>
      </c>
    </row>
    <row r="217" spans="7:19">
      <c r="G217" s="163" t="str">
        <f>IF(A217="","",E217/IF(A217=$B$3,Resumen!#REF!,VLOOKUP(A217,Graf_PowerBI!$A$4:$D$39,3,0)))</f>
        <v/>
      </c>
      <c r="H217" s="163" t="str">
        <f>IF(A217="","",F217/IF(A217=$B$3,Resumen!#REF!,VLOOKUP(A217,Graf_PowerBI!$A$4:$D$39,4,0)))</f>
        <v/>
      </c>
      <c r="P217" s="163" t="str">
        <f>IF(J217="","",N217/IF(J217=$B$3,Resumen!#REF!,VLOOKUP(J217,Graf_PowerBI!$A$4:$D$39,3,0)))</f>
        <v/>
      </c>
      <c r="Q217" s="163" t="str">
        <f>IF(J217="","",O217/IF(J217=$B$3,Resumen!#REF!,VLOOKUP(J217,Graf_PowerBI!$A$4:$D$39,4,0)))</f>
        <v/>
      </c>
      <c r="S217" s="215" t="str">
        <f t="shared" si="3"/>
        <v/>
      </c>
    </row>
    <row r="218" spans="7:19">
      <c r="G218" s="163" t="str">
        <f>IF(A218="","",E218/IF(A218=$B$3,Resumen!#REF!,VLOOKUP(A218,Graf_PowerBI!$A$4:$D$39,3,0)))</f>
        <v/>
      </c>
      <c r="H218" s="163" t="str">
        <f>IF(A218="","",F218/IF(A218=$B$3,Resumen!#REF!,VLOOKUP(A218,Graf_PowerBI!$A$4:$D$39,4,0)))</f>
        <v/>
      </c>
      <c r="P218" s="163" t="str">
        <f>IF(J218="","",N218/IF(J218=$B$3,Resumen!#REF!,VLOOKUP(J218,Graf_PowerBI!$A$4:$D$39,3,0)))</f>
        <v/>
      </c>
      <c r="Q218" s="163" t="str">
        <f>IF(J218="","",O218/IF(J218=$B$3,Resumen!#REF!,VLOOKUP(J218,Graf_PowerBI!$A$4:$D$39,4,0)))</f>
        <v/>
      </c>
      <c r="S218" s="215" t="str">
        <f t="shared" si="3"/>
        <v/>
      </c>
    </row>
    <row r="219" spans="7:19">
      <c r="G219" s="163" t="str">
        <f>IF(A219="","",E219/IF(A219=$B$3,Resumen!#REF!,VLOOKUP(A219,Graf_PowerBI!$A$4:$D$39,3,0)))</f>
        <v/>
      </c>
      <c r="H219" s="163" t="str">
        <f>IF(A219="","",F219/IF(A219=$B$3,Resumen!#REF!,VLOOKUP(A219,Graf_PowerBI!$A$4:$D$39,4,0)))</f>
        <v/>
      </c>
      <c r="P219" s="163" t="str">
        <f>IF(J219="","",N219/IF(J219=$B$3,Resumen!#REF!,VLOOKUP(J219,Graf_PowerBI!$A$4:$D$39,3,0)))</f>
        <v/>
      </c>
      <c r="Q219" s="163" t="str">
        <f>IF(J219="","",O219/IF(J219=$B$3,Resumen!#REF!,VLOOKUP(J219,Graf_PowerBI!$A$4:$D$39,4,0)))</f>
        <v/>
      </c>
      <c r="S219" s="215" t="str">
        <f t="shared" si="3"/>
        <v/>
      </c>
    </row>
    <row r="220" spans="7:19">
      <c r="G220" s="163" t="str">
        <f>IF(A220="","",E220/IF(A220=$B$3,Resumen!#REF!,VLOOKUP(A220,Graf_PowerBI!$A$4:$D$39,3,0)))</f>
        <v/>
      </c>
      <c r="H220" s="163" t="str">
        <f>IF(A220="","",F220/IF(A220=$B$3,Resumen!#REF!,VLOOKUP(A220,Graf_PowerBI!$A$4:$D$39,4,0)))</f>
        <v/>
      </c>
      <c r="P220" s="163" t="str">
        <f>IF(J220="","",N220/IF(J220=$B$3,Resumen!#REF!,VLOOKUP(J220,Graf_PowerBI!$A$4:$D$39,3,0)))</f>
        <v/>
      </c>
      <c r="Q220" s="163" t="str">
        <f>IF(J220="","",O220/IF(J220=$B$3,Resumen!#REF!,VLOOKUP(J220,Graf_PowerBI!$A$4:$D$39,4,0)))</f>
        <v/>
      </c>
      <c r="S220" s="215" t="str">
        <f t="shared" si="3"/>
        <v/>
      </c>
    </row>
    <row r="221" spans="7:19">
      <c r="G221" s="163" t="str">
        <f>IF(A221="","",E221/IF(A221=$B$3,Resumen!#REF!,VLOOKUP(A221,Graf_PowerBI!$A$4:$D$39,3,0)))</f>
        <v/>
      </c>
      <c r="H221" s="163" t="str">
        <f>IF(A221="","",F221/IF(A221=$B$3,Resumen!#REF!,VLOOKUP(A221,Graf_PowerBI!$A$4:$D$39,4,0)))</f>
        <v/>
      </c>
      <c r="P221" s="163" t="str">
        <f>IF(J221="","",N221/IF(J221=$B$3,Resumen!#REF!,VLOOKUP(J221,Graf_PowerBI!$A$4:$D$39,3,0)))</f>
        <v/>
      </c>
      <c r="Q221" s="163" t="str">
        <f>IF(J221="","",O221/IF(J221=$B$3,Resumen!#REF!,VLOOKUP(J221,Graf_PowerBI!$A$4:$D$39,4,0)))</f>
        <v/>
      </c>
      <c r="S221" s="215" t="str">
        <f t="shared" si="3"/>
        <v/>
      </c>
    </row>
    <row r="222" spans="7:19">
      <c r="G222" s="163" t="str">
        <f>IF(A222="","",E222/IF(A222=$B$3,Resumen!#REF!,VLOOKUP(A222,Graf_PowerBI!$A$4:$D$39,3,0)))</f>
        <v/>
      </c>
      <c r="H222" s="163" t="str">
        <f>IF(A222="","",F222/IF(A222=$B$3,Resumen!#REF!,VLOOKUP(A222,Graf_PowerBI!$A$4:$D$39,4,0)))</f>
        <v/>
      </c>
      <c r="P222" s="163" t="str">
        <f>IF(J222="","",N222/IF(J222=$B$3,Resumen!#REF!,VLOOKUP(J222,Graf_PowerBI!$A$4:$D$39,3,0)))</f>
        <v/>
      </c>
      <c r="Q222" s="163" t="str">
        <f>IF(J222="","",O222/IF(J222=$B$3,Resumen!#REF!,VLOOKUP(J222,Graf_PowerBI!$A$4:$D$39,4,0)))</f>
        <v/>
      </c>
      <c r="S222" s="215" t="str">
        <f t="shared" si="3"/>
        <v/>
      </c>
    </row>
    <row r="223" spans="7:19">
      <c r="G223" s="163" t="str">
        <f>IF(A223="","",E223/IF(A223=$B$3,Resumen!#REF!,VLOOKUP(A223,Graf_PowerBI!$A$4:$D$39,3,0)))</f>
        <v/>
      </c>
      <c r="H223" s="163" t="str">
        <f>IF(A223="","",F223/IF(A223=$B$3,Resumen!#REF!,VLOOKUP(A223,Graf_PowerBI!$A$4:$D$39,4,0)))</f>
        <v/>
      </c>
      <c r="P223" s="163" t="str">
        <f>IF(J223="","",N223/IF(J223=$B$3,Resumen!#REF!,VLOOKUP(J223,Graf_PowerBI!$A$4:$D$39,3,0)))</f>
        <v/>
      </c>
      <c r="Q223" s="163" t="str">
        <f>IF(J223="","",O223/IF(J223=$B$3,Resumen!#REF!,VLOOKUP(J223,Graf_PowerBI!$A$4:$D$39,4,0)))</f>
        <v/>
      </c>
      <c r="S223" s="215" t="str">
        <f t="shared" si="3"/>
        <v/>
      </c>
    </row>
    <row r="224" spans="7:19">
      <c r="G224" s="163" t="str">
        <f>IF(A224="","",E224/IF(A224=$B$3,Resumen!#REF!,VLOOKUP(A224,Graf_PowerBI!$A$4:$D$39,3,0)))</f>
        <v/>
      </c>
      <c r="H224" s="163" t="str">
        <f>IF(A224="","",F224/IF(A224=$B$3,Resumen!#REF!,VLOOKUP(A224,Graf_PowerBI!$A$4:$D$39,4,0)))</f>
        <v/>
      </c>
      <c r="P224" s="163" t="str">
        <f>IF(J224="","",N224/IF(J224=$B$3,Resumen!#REF!,VLOOKUP(J224,Graf_PowerBI!$A$4:$D$39,3,0)))</f>
        <v/>
      </c>
      <c r="Q224" s="163" t="str">
        <f>IF(J224="","",O224/IF(J224=$B$3,Resumen!#REF!,VLOOKUP(J224,Graf_PowerBI!$A$4:$D$39,4,0)))</f>
        <v/>
      </c>
      <c r="S224" s="215" t="str">
        <f t="shared" si="3"/>
        <v/>
      </c>
    </row>
    <row r="225" spans="7:19">
      <c r="G225" s="163" t="str">
        <f>IF(A225="","",E225/IF(A225=$B$3,Resumen!#REF!,VLOOKUP(A225,Graf_PowerBI!$A$4:$D$39,3,0)))</f>
        <v/>
      </c>
      <c r="H225" s="163" t="str">
        <f>IF(A225="","",F225/IF(A225=$B$3,Resumen!#REF!,VLOOKUP(A225,Graf_PowerBI!$A$4:$D$39,4,0)))</f>
        <v/>
      </c>
      <c r="P225" s="163" t="str">
        <f>IF(J225="","",N225/IF(J225=$B$3,Resumen!#REF!,VLOOKUP(J225,Graf_PowerBI!$A$4:$D$39,3,0)))</f>
        <v/>
      </c>
      <c r="Q225" s="163" t="str">
        <f>IF(J225="","",O225/IF(J225=$B$3,Resumen!#REF!,VLOOKUP(J225,Graf_PowerBI!$A$4:$D$39,4,0)))</f>
        <v/>
      </c>
      <c r="S225" s="215" t="str">
        <f t="shared" si="3"/>
        <v/>
      </c>
    </row>
    <row r="226" spans="7:19">
      <c r="G226" s="163" t="str">
        <f>IF(A226="","",E226/IF(A226=$B$3,Resumen!#REF!,VLOOKUP(A226,Graf_PowerBI!$A$4:$D$39,3,0)))</f>
        <v/>
      </c>
      <c r="H226" s="163" t="str">
        <f>IF(A226="","",F226/IF(A226=$B$3,Resumen!#REF!,VLOOKUP(A226,Graf_PowerBI!$A$4:$D$39,4,0)))</f>
        <v/>
      </c>
      <c r="P226" s="163" t="str">
        <f>IF(J226="","",N226/IF(J226=$B$3,Resumen!#REF!,VLOOKUP(J226,Graf_PowerBI!$A$4:$D$39,3,0)))</f>
        <v/>
      </c>
      <c r="Q226" s="163" t="str">
        <f>IF(J226="","",O226/IF(J226=$B$3,Resumen!#REF!,VLOOKUP(J226,Graf_PowerBI!$A$4:$D$39,4,0)))</f>
        <v/>
      </c>
      <c r="S226" s="215" t="str">
        <f t="shared" si="3"/>
        <v/>
      </c>
    </row>
    <row r="227" spans="7:19">
      <c r="G227" s="163" t="str">
        <f>IF(A227="","",E227/IF(A227=$B$3,Resumen!#REF!,VLOOKUP(A227,Graf_PowerBI!$A$4:$D$39,3,0)))</f>
        <v/>
      </c>
      <c r="H227" s="163" t="str">
        <f>IF(A227="","",F227/IF(A227=$B$3,Resumen!#REF!,VLOOKUP(A227,Graf_PowerBI!$A$4:$D$39,4,0)))</f>
        <v/>
      </c>
      <c r="P227" s="163" t="str">
        <f>IF(J227="","",N227/IF(J227=$B$3,Resumen!#REF!,VLOOKUP(J227,Graf_PowerBI!$A$4:$D$39,3,0)))</f>
        <v/>
      </c>
      <c r="Q227" s="163" t="str">
        <f>IF(J227="","",O227/IF(J227=$B$3,Resumen!#REF!,VLOOKUP(J227,Graf_PowerBI!$A$4:$D$39,4,0)))</f>
        <v/>
      </c>
      <c r="S227" s="215" t="str">
        <f t="shared" si="3"/>
        <v/>
      </c>
    </row>
    <row r="228" spans="7:19">
      <c r="G228" s="163" t="str">
        <f>IF(A228="","",E228/IF(A228=$B$3,Resumen!#REF!,VLOOKUP(A228,Graf_PowerBI!$A$4:$D$39,3,0)))</f>
        <v/>
      </c>
      <c r="H228" s="163" t="str">
        <f>IF(A228="","",F228/IF(A228=$B$3,Resumen!#REF!,VLOOKUP(A228,Graf_PowerBI!$A$4:$D$39,4,0)))</f>
        <v/>
      </c>
      <c r="P228" s="163" t="str">
        <f>IF(J228="","",N228/IF(J228=$B$3,Resumen!#REF!,VLOOKUP(J228,Graf_PowerBI!$A$4:$D$39,3,0)))</f>
        <v/>
      </c>
      <c r="Q228" s="163" t="str">
        <f>IF(J228="","",O228/IF(J228=$B$3,Resumen!#REF!,VLOOKUP(J228,Graf_PowerBI!$A$4:$D$39,4,0)))</f>
        <v/>
      </c>
      <c r="S228" s="215" t="str">
        <f t="shared" si="3"/>
        <v/>
      </c>
    </row>
    <row r="229" spans="7:19">
      <c r="G229" s="163" t="str">
        <f>IF(A229="","",E229/IF(A229=$B$3,Resumen!#REF!,VLOOKUP(A229,Graf_PowerBI!$A$4:$D$39,3,0)))</f>
        <v/>
      </c>
      <c r="H229" s="163" t="str">
        <f>IF(A229="","",F229/IF(A229=$B$3,Resumen!#REF!,VLOOKUP(A229,Graf_PowerBI!$A$4:$D$39,4,0)))</f>
        <v/>
      </c>
      <c r="P229" s="163" t="str">
        <f>IF(J229="","",N229/IF(J229=$B$3,Resumen!#REF!,VLOOKUP(J229,Graf_PowerBI!$A$4:$D$39,3,0)))</f>
        <v/>
      </c>
      <c r="Q229" s="163" t="str">
        <f>IF(J229="","",O229/IF(J229=$B$3,Resumen!#REF!,VLOOKUP(J229,Graf_PowerBI!$A$4:$D$39,4,0)))</f>
        <v/>
      </c>
      <c r="S229" s="215" t="str">
        <f t="shared" si="3"/>
        <v/>
      </c>
    </row>
    <row r="230" spans="7:19">
      <c r="G230" s="163" t="str">
        <f>IF(A230="","",E230/IF(A230=$B$3,Resumen!#REF!,VLOOKUP(A230,Graf_PowerBI!$A$4:$D$39,3,0)))</f>
        <v/>
      </c>
      <c r="H230" s="163" t="str">
        <f>IF(A230="","",F230/IF(A230=$B$3,Resumen!#REF!,VLOOKUP(A230,Graf_PowerBI!$A$4:$D$39,4,0)))</f>
        <v/>
      </c>
      <c r="P230" s="163" t="str">
        <f>IF(J230="","",N230/IF(J230=$B$3,Resumen!#REF!,VLOOKUP(J230,Graf_PowerBI!$A$4:$D$39,3,0)))</f>
        <v/>
      </c>
      <c r="Q230" s="163" t="str">
        <f>IF(J230="","",O230/IF(J230=$B$3,Resumen!#REF!,VLOOKUP(J230,Graf_PowerBI!$A$4:$D$39,4,0)))</f>
        <v/>
      </c>
      <c r="S230" s="215" t="str">
        <f t="shared" si="3"/>
        <v/>
      </c>
    </row>
    <row r="231" spans="7:19">
      <c r="G231" s="163" t="str">
        <f>IF(A231="","",E231/IF(A231=$B$3,Resumen!#REF!,VLOOKUP(A231,Graf_PowerBI!$A$4:$D$39,3,0)))</f>
        <v/>
      </c>
      <c r="H231" s="163" t="str">
        <f>IF(A231="","",F231/IF(A231=$B$3,Resumen!#REF!,VLOOKUP(A231,Graf_PowerBI!$A$4:$D$39,4,0)))</f>
        <v/>
      </c>
      <c r="P231" s="163" t="str">
        <f>IF(J231="","",N231/IF(J231=$B$3,Resumen!#REF!,VLOOKUP(J231,Graf_PowerBI!$A$4:$D$39,3,0)))</f>
        <v/>
      </c>
      <c r="Q231" s="163" t="str">
        <f>IF(J231="","",O231/IF(J231=$B$3,Resumen!#REF!,VLOOKUP(J231,Graf_PowerBI!$A$4:$D$39,4,0)))</f>
        <v/>
      </c>
      <c r="S231" s="215" t="str">
        <f t="shared" si="3"/>
        <v/>
      </c>
    </row>
    <row r="232" spans="7:19">
      <c r="G232" s="163" t="str">
        <f>IF(A232="","",E232/IF(A232=$B$3,Resumen!#REF!,VLOOKUP(A232,Graf_PowerBI!$A$4:$D$39,3,0)))</f>
        <v/>
      </c>
      <c r="H232" s="163" t="str">
        <f>IF(A232="","",F232/IF(A232=$B$3,Resumen!#REF!,VLOOKUP(A232,Graf_PowerBI!$A$4:$D$39,4,0)))</f>
        <v/>
      </c>
      <c r="P232" s="163" t="str">
        <f>IF(J232="","",N232/IF(J232=$B$3,Resumen!#REF!,VLOOKUP(J232,Graf_PowerBI!$A$4:$D$39,3,0)))</f>
        <v/>
      </c>
      <c r="Q232" s="163" t="str">
        <f>IF(J232="","",O232/IF(J232=$B$3,Resumen!#REF!,VLOOKUP(J232,Graf_PowerBI!$A$4:$D$39,4,0)))</f>
        <v/>
      </c>
      <c r="S232" s="215" t="str">
        <f t="shared" si="3"/>
        <v/>
      </c>
    </row>
    <row r="233" spans="7:19">
      <c r="G233" s="163" t="str">
        <f>IF(A233="","",E233/IF(A233=$B$3,Resumen!#REF!,VLOOKUP(A233,Graf_PowerBI!$A$4:$D$39,3,0)))</f>
        <v/>
      </c>
      <c r="H233" s="163" t="str">
        <f>IF(A233="","",F233/IF(A233=$B$3,Resumen!#REF!,VLOOKUP(A233,Graf_PowerBI!$A$4:$D$39,4,0)))</f>
        <v/>
      </c>
      <c r="P233" s="163" t="str">
        <f>IF(J233="","",N233/IF(J233=$B$3,Resumen!#REF!,VLOOKUP(J233,Graf_PowerBI!$A$4:$D$39,3,0)))</f>
        <v/>
      </c>
      <c r="Q233" s="163" t="str">
        <f>IF(J233="","",O233/IF(J233=$B$3,Resumen!#REF!,VLOOKUP(J233,Graf_PowerBI!$A$4:$D$39,4,0)))</f>
        <v/>
      </c>
      <c r="S233" s="215" t="str">
        <f t="shared" si="3"/>
        <v/>
      </c>
    </row>
    <row r="234" spans="7:19">
      <c r="G234" s="163" t="str">
        <f>IF(A234="","",E234/IF(A234=$B$3,Resumen!#REF!,VLOOKUP(A234,Graf_PowerBI!$A$4:$D$39,3,0)))</f>
        <v/>
      </c>
      <c r="H234" s="163" t="str">
        <f>IF(A234="","",F234/IF(A234=$B$3,Resumen!#REF!,VLOOKUP(A234,Graf_PowerBI!$A$4:$D$39,4,0)))</f>
        <v/>
      </c>
      <c r="P234" s="163" t="str">
        <f>IF(J234="","",N234/IF(J234=$B$3,Resumen!#REF!,VLOOKUP(J234,Graf_PowerBI!$A$4:$D$39,3,0)))</f>
        <v/>
      </c>
      <c r="Q234" s="163" t="str">
        <f>IF(J234="","",O234/IF(J234=$B$3,Resumen!#REF!,VLOOKUP(J234,Graf_PowerBI!$A$4:$D$39,4,0)))</f>
        <v/>
      </c>
      <c r="S234" s="215" t="str">
        <f t="shared" si="3"/>
        <v/>
      </c>
    </row>
    <row r="235" spans="7:19">
      <c r="G235" s="163" t="str">
        <f>IF(A235="","",E235/IF(A235=$B$3,Resumen!#REF!,VLOOKUP(A235,Graf_PowerBI!$A$4:$D$39,3,0)))</f>
        <v/>
      </c>
      <c r="H235" s="163" t="str">
        <f>IF(A235="","",F235/IF(A235=$B$3,Resumen!#REF!,VLOOKUP(A235,Graf_PowerBI!$A$4:$D$39,4,0)))</f>
        <v/>
      </c>
      <c r="P235" s="163" t="str">
        <f>IF(J235="","",N235/IF(J235=$B$3,Resumen!#REF!,VLOOKUP(J235,Graf_PowerBI!$A$4:$D$39,3,0)))</f>
        <v/>
      </c>
      <c r="Q235" s="163" t="str">
        <f>IF(J235="","",O235/IF(J235=$B$3,Resumen!#REF!,VLOOKUP(J235,Graf_PowerBI!$A$4:$D$39,4,0)))</f>
        <v/>
      </c>
      <c r="S235" s="215" t="str">
        <f t="shared" si="3"/>
        <v/>
      </c>
    </row>
    <row r="236" spans="7:19">
      <c r="G236" s="163" t="str">
        <f>IF(A236="","",E236/IF(A236=$B$3,Resumen!#REF!,VLOOKUP(A236,Graf_PowerBI!$A$4:$D$39,3,0)))</f>
        <v/>
      </c>
      <c r="H236" s="163" t="str">
        <f>IF(A236="","",F236/IF(A236=$B$3,Resumen!#REF!,VLOOKUP(A236,Graf_PowerBI!$A$4:$D$39,4,0)))</f>
        <v/>
      </c>
      <c r="P236" s="163" t="str">
        <f>IF(J236="","",N236/IF(J236=$B$3,Resumen!#REF!,VLOOKUP(J236,Graf_PowerBI!$A$4:$D$39,3,0)))</f>
        <v/>
      </c>
      <c r="Q236" s="163" t="str">
        <f>IF(J236="","",O236/IF(J236=$B$3,Resumen!#REF!,VLOOKUP(J236,Graf_PowerBI!$A$4:$D$39,4,0)))</f>
        <v/>
      </c>
      <c r="S236" s="215" t="str">
        <f t="shared" si="3"/>
        <v/>
      </c>
    </row>
    <row r="237" spans="7:19">
      <c r="G237" s="163" t="str">
        <f>IF(A237="","",E237/IF(A237=$B$3,Resumen!#REF!,VLOOKUP(A237,Graf_PowerBI!$A$4:$D$39,3,0)))</f>
        <v/>
      </c>
      <c r="H237" s="163" t="str">
        <f>IF(A237="","",F237/IF(A237=$B$3,Resumen!#REF!,VLOOKUP(A237,Graf_PowerBI!$A$4:$D$39,4,0)))</f>
        <v/>
      </c>
      <c r="P237" s="163" t="str">
        <f>IF(J237="","",N237/IF(J237=$B$3,Resumen!#REF!,VLOOKUP(J237,Graf_PowerBI!$A$4:$D$39,3,0)))</f>
        <v/>
      </c>
      <c r="Q237" s="163" t="str">
        <f>IF(J237="","",O237/IF(J237=$B$3,Resumen!#REF!,VLOOKUP(J237,Graf_PowerBI!$A$4:$D$39,4,0)))</f>
        <v/>
      </c>
      <c r="S237" s="215" t="str">
        <f t="shared" si="3"/>
        <v/>
      </c>
    </row>
    <row r="238" spans="7:19">
      <c r="G238" s="163" t="str">
        <f>IF(A238="","",E238/IF(A238=$B$3,Resumen!#REF!,VLOOKUP(A238,Graf_PowerBI!$A$4:$D$39,3,0)))</f>
        <v/>
      </c>
      <c r="H238" s="163" t="str">
        <f>IF(A238="","",F238/IF(A238=$B$3,Resumen!#REF!,VLOOKUP(A238,Graf_PowerBI!$A$4:$D$39,4,0)))</f>
        <v/>
      </c>
      <c r="P238" s="163" t="str">
        <f>IF(J238="","",N238/IF(J238=$B$3,Resumen!#REF!,VLOOKUP(J238,Graf_PowerBI!$A$4:$D$39,3,0)))</f>
        <v/>
      </c>
      <c r="Q238" s="163" t="str">
        <f>IF(J238="","",O238/IF(J238=$B$3,Resumen!#REF!,VLOOKUP(J238,Graf_PowerBI!$A$4:$D$39,4,0)))</f>
        <v/>
      </c>
      <c r="S238" s="215" t="str">
        <f t="shared" si="3"/>
        <v/>
      </c>
    </row>
    <row r="239" spans="7:19">
      <c r="G239" s="163" t="str">
        <f>IF(A239="","",E239/IF(A239=$B$3,Resumen!#REF!,VLOOKUP(A239,Graf_PowerBI!$A$4:$D$39,3,0)))</f>
        <v/>
      </c>
      <c r="H239" s="163" t="str">
        <f>IF(A239="","",F239/IF(A239=$B$3,Resumen!#REF!,VLOOKUP(A239,Graf_PowerBI!$A$4:$D$39,4,0)))</f>
        <v/>
      </c>
      <c r="P239" s="163" t="str">
        <f>IF(J239="","",N239/IF(J239=$B$3,Resumen!#REF!,VLOOKUP(J239,Graf_PowerBI!$A$4:$D$39,3,0)))</f>
        <v/>
      </c>
      <c r="Q239" s="163" t="str">
        <f>IF(J239="","",O239/IF(J239=$B$3,Resumen!#REF!,VLOOKUP(J239,Graf_PowerBI!$A$4:$D$39,4,0)))</f>
        <v/>
      </c>
      <c r="S239" s="215" t="str">
        <f t="shared" si="3"/>
        <v/>
      </c>
    </row>
    <row r="240" spans="7:19">
      <c r="G240" s="163" t="str">
        <f>IF(A240="","",E240/IF(A240=$B$3,Resumen!#REF!,VLOOKUP(A240,Graf_PowerBI!$A$4:$D$39,3,0)))</f>
        <v/>
      </c>
      <c r="H240" s="163" t="str">
        <f>IF(A240="","",F240/IF(A240=$B$3,Resumen!#REF!,VLOOKUP(A240,Graf_PowerBI!$A$4:$D$39,4,0)))</f>
        <v/>
      </c>
      <c r="P240" s="163" t="str">
        <f>IF(J240="","",N240/IF(J240=$B$3,Resumen!#REF!,VLOOKUP(J240,Graf_PowerBI!$A$4:$D$39,3,0)))</f>
        <v/>
      </c>
      <c r="Q240" s="163" t="str">
        <f>IF(J240="","",O240/IF(J240=$B$3,Resumen!#REF!,VLOOKUP(J240,Graf_PowerBI!$A$4:$D$39,4,0)))</f>
        <v/>
      </c>
      <c r="S240" s="215" t="str">
        <f t="shared" si="3"/>
        <v/>
      </c>
    </row>
    <row r="241" spans="7:19">
      <c r="G241" s="163" t="str">
        <f>IF(A241="","",E241/IF(A241=$B$3,Resumen!#REF!,VLOOKUP(A241,Graf_PowerBI!$A$4:$D$39,3,0)))</f>
        <v/>
      </c>
      <c r="H241" s="163" t="str">
        <f>IF(A241="","",F241/IF(A241=$B$3,Resumen!#REF!,VLOOKUP(A241,Graf_PowerBI!$A$4:$D$39,4,0)))</f>
        <v/>
      </c>
      <c r="P241" s="163" t="str">
        <f>IF(J241="","",N241/IF(J241=$B$3,Resumen!#REF!,VLOOKUP(J241,Graf_PowerBI!$A$4:$D$39,3,0)))</f>
        <v/>
      </c>
      <c r="Q241" s="163" t="str">
        <f>IF(J241="","",O241/IF(J241=$B$3,Resumen!#REF!,VLOOKUP(J241,Graf_PowerBI!$A$4:$D$39,4,0)))</f>
        <v/>
      </c>
      <c r="S241" s="215" t="str">
        <f t="shared" si="3"/>
        <v/>
      </c>
    </row>
    <row r="242" spans="7:19">
      <c r="G242" s="163" t="str">
        <f>IF(A242="","",E242/IF(A242=$B$3,Resumen!#REF!,VLOOKUP(A242,Graf_PowerBI!$A$4:$D$39,3,0)))</f>
        <v/>
      </c>
      <c r="H242" s="163" t="str">
        <f>IF(A242="","",F242/IF(A242=$B$3,Resumen!#REF!,VLOOKUP(A242,Graf_PowerBI!$A$4:$D$39,4,0)))</f>
        <v/>
      </c>
      <c r="P242" s="163" t="str">
        <f>IF(J242="","",N242/IF(J242=$B$3,Resumen!#REF!,VLOOKUP(J242,Graf_PowerBI!$A$4:$D$39,3,0)))</f>
        <v/>
      </c>
      <c r="Q242" s="163" t="str">
        <f>IF(J242="","",O242/IF(J242=$B$3,Resumen!#REF!,VLOOKUP(J242,Graf_PowerBI!$A$4:$D$39,4,0)))</f>
        <v/>
      </c>
      <c r="S242" s="215" t="str">
        <f t="shared" si="3"/>
        <v/>
      </c>
    </row>
    <row r="243" spans="7:19">
      <c r="G243" s="163" t="str">
        <f>IF(A243="","",E243/IF(A243=$B$3,Resumen!#REF!,VLOOKUP(A243,Graf_PowerBI!$A$4:$D$39,3,0)))</f>
        <v/>
      </c>
      <c r="H243" s="163" t="str">
        <f>IF(A243="","",F243/IF(A243=$B$3,Resumen!#REF!,VLOOKUP(A243,Graf_PowerBI!$A$4:$D$39,4,0)))</f>
        <v/>
      </c>
      <c r="P243" s="163" t="str">
        <f>IF(J243="","",N243/IF(J243=$B$3,Resumen!#REF!,VLOOKUP(J243,Graf_PowerBI!$A$4:$D$39,3,0)))</f>
        <v/>
      </c>
      <c r="Q243" s="163" t="str">
        <f>IF(J243="","",O243/IF(J243=$B$3,Resumen!#REF!,VLOOKUP(J243,Graf_PowerBI!$A$4:$D$39,4,0)))</f>
        <v/>
      </c>
      <c r="S243" s="215" t="str">
        <f t="shared" si="3"/>
        <v/>
      </c>
    </row>
    <row r="244" spans="7:19">
      <c r="G244" s="163" t="str">
        <f>IF(A244="","",E244/IF(A244=$B$3,Resumen!#REF!,VLOOKUP(A244,Graf_PowerBI!$A$4:$D$39,3,0)))</f>
        <v/>
      </c>
      <c r="H244" s="163" t="str">
        <f>IF(A244="","",F244/IF(A244=$B$3,Resumen!#REF!,VLOOKUP(A244,Graf_PowerBI!$A$4:$D$39,4,0)))</f>
        <v/>
      </c>
      <c r="P244" s="163" t="str">
        <f>IF(J244="","",N244/IF(J244=$B$3,Resumen!#REF!,VLOOKUP(J244,Graf_PowerBI!$A$4:$D$39,3,0)))</f>
        <v/>
      </c>
      <c r="Q244" s="163" t="str">
        <f>IF(J244="","",O244/IF(J244=$B$3,Resumen!#REF!,VLOOKUP(J244,Graf_PowerBI!$A$4:$D$39,4,0)))</f>
        <v/>
      </c>
      <c r="S244" s="215" t="str">
        <f t="shared" si="3"/>
        <v/>
      </c>
    </row>
    <row r="245" spans="7:19">
      <c r="G245" s="163" t="str">
        <f>IF(A245="","",E245/IF(A245=$B$3,Resumen!#REF!,VLOOKUP(A245,Graf_PowerBI!$A$4:$D$39,3,0)))</f>
        <v/>
      </c>
      <c r="H245" s="163" t="str">
        <f>IF(A245="","",F245/IF(A245=$B$3,Resumen!#REF!,VLOOKUP(A245,Graf_PowerBI!$A$4:$D$39,4,0)))</f>
        <v/>
      </c>
      <c r="P245" s="163" t="str">
        <f>IF(J245="","",N245/IF(J245=$B$3,Resumen!#REF!,VLOOKUP(J245,Graf_PowerBI!$A$4:$D$39,3,0)))</f>
        <v/>
      </c>
      <c r="Q245" s="163" t="str">
        <f>IF(J245="","",O245/IF(J245=$B$3,Resumen!#REF!,VLOOKUP(J245,Graf_PowerBI!$A$4:$D$39,4,0)))</f>
        <v/>
      </c>
      <c r="S245" s="215" t="str">
        <f t="shared" si="3"/>
        <v/>
      </c>
    </row>
    <row r="246" spans="7:19">
      <c r="G246" s="163" t="str">
        <f>IF(A246="","",E246/IF(A246=$B$3,Resumen!#REF!,VLOOKUP(A246,Graf_PowerBI!$A$4:$D$39,3,0)))</f>
        <v/>
      </c>
      <c r="H246" s="163" t="str">
        <f>IF(A246="","",F246/IF(A246=$B$3,Resumen!#REF!,VLOOKUP(A246,Graf_PowerBI!$A$4:$D$39,4,0)))</f>
        <v/>
      </c>
      <c r="P246" s="163" t="str">
        <f>IF(J246="","",N246/IF(J246=$B$3,Resumen!#REF!,VLOOKUP(J246,Graf_PowerBI!$A$4:$D$39,3,0)))</f>
        <v/>
      </c>
      <c r="Q246" s="163" t="str">
        <f>IF(J246="","",O246/IF(J246=$B$3,Resumen!#REF!,VLOOKUP(J246,Graf_PowerBI!$A$4:$D$39,4,0)))</f>
        <v/>
      </c>
      <c r="S246" s="215" t="str">
        <f t="shared" si="3"/>
        <v/>
      </c>
    </row>
    <row r="247" spans="7:19">
      <c r="G247" s="163" t="str">
        <f>IF(A247="","",E247/IF(A247=$B$3,Resumen!#REF!,VLOOKUP(A247,Graf_PowerBI!$A$4:$D$39,3,0)))</f>
        <v/>
      </c>
      <c r="H247" s="163" t="str">
        <f>IF(A247="","",F247/IF(A247=$B$3,Resumen!#REF!,VLOOKUP(A247,Graf_PowerBI!$A$4:$D$39,4,0)))</f>
        <v/>
      </c>
      <c r="P247" s="163" t="str">
        <f>IF(J247="","",N247/IF(J247=$B$3,Resumen!#REF!,VLOOKUP(J247,Graf_PowerBI!$A$4:$D$39,3,0)))</f>
        <v/>
      </c>
      <c r="Q247" s="163" t="str">
        <f>IF(J247="","",O247/IF(J247=$B$3,Resumen!#REF!,VLOOKUP(J247,Graf_PowerBI!$A$4:$D$39,4,0)))</f>
        <v/>
      </c>
      <c r="S247" s="215" t="str">
        <f t="shared" si="3"/>
        <v/>
      </c>
    </row>
    <row r="248" spans="7:19">
      <c r="G248" s="163" t="str">
        <f>IF(A248="","",E248/IF(A248=$B$3,Resumen!#REF!,VLOOKUP(A248,Graf_PowerBI!$A$4:$D$39,3,0)))</f>
        <v/>
      </c>
      <c r="H248" s="163" t="str">
        <f>IF(A248="","",F248/IF(A248=$B$3,Resumen!#REF!,VLOOKUP(A248,Graf_PowerBI!$A$4:$D$39,4,0)))</f>
        <v/>
      </c>
      <c r="P248" s="163" t="str">
        <f>IF(J248="","",N248/IF(J248=$B$3,Resumen!#REF!,VLOOKUP(J248,Graf_PowerBI!$A$4:$D$39,3,0)))</f>
        <v/>
      </c>
      <c r="Q248" s="163" t="str">
        <f>IF(J248="","",O248/IF(J248=$B$3,Resumen!#REF!,VLOOKUP(J248,Graf_PowerBI!$A$4:$D$39,4,0)))</f>
        <v/>
      </c>
      <c r="S248" s="215" t="str">
        <f t="shared" si="3"/>
        <v/>
      </c>
    </row>
    <row r="249" spans="7:19">
      <c r="G249" s="163" t="str">
        <f>IF(A249="","",E249/IF(A249=$B$3,Resumen!#REF!,VLOOKUP(A249,Graf_PowerBI!$A$4:$D$39,3,0)))</f>
        <v/>
      </c>
      <c r="H249" s="163" t="str">
        <f>IF(A249="","",F249/IF(A249=$B$3,Resumen!#REF!,VLOOKUP(A249,Graf_PowerBI!$A$4:$D$39,4,0)))</f>
        <v/>
      </c>
      <c r="P249" s="163" t="str">
        <f>IF(J249="","",N249/IF(J249=$B$3,Resumen!#REF!,VLOOKUP(J249,Graf_PowerBI!$A$4:$D$39,3,0)))</f>
        <v/>
      </c>
      <c r="Q249" s="163" t="str">
        <f>IF(J249="","",O249/IF(J249=$B$3,Resumen!#REF!,VLOOKUP(J249,Graf_PowerBI!$A$4:$D$39,4,0)))</f>
        <v/>
      </c>
      <c r="S249" s="215" t="str">
        <f t="shared" si="3"/>
        <v/>
      </c>
    </row>
    <row r="250" spans="7:19">
      <c r="G250" s="163" t="str">
        <f>IF(A250="","",E250/IF(A250=$B$3,Resumen!#REF!,VLOOKUP(A250,Graf_PowerBI!$A$4:$D$39,3,0)))</f>
        <v/>
      </c>
      <c r="H250" s="163" t="str">
        <f>IF(A250="","",F250/IF(A250=$B$3,Resumen!#REF!,VLOOKUP(A250,Graf_PowerBI!$A$4:$D$39,4,0)))</f>
        <v/>
      </c>
      <c r="P250" s="163" t="str">
        <f>IF(J250="","",N250/IF(J250=$B$3,Resumen!#REF!,VLOOKUP(J250,Graf_PowerBI!$A$4:$D$39,3,0)))</f>
        <v/>
      </c>
      <c r="Q250" s="163" t="str">
        <f>IF(J250="","",O250/IF(J250=$B$3,Resumen!#REF!,VLOOKUP(J250,Graf_PowerBI!$A$4:$D$39,4,0)))</f>
        <v/>
      </c>
      <c r="S250" s="215" t="str">
        <f t="shared" si="3"/>
        <v/>
      </c>
    </row>
    <row r="251" spans="7:19">
      <c r="G251" s="163" t="str">
        <f>IF(A251="","",E251/IF(A251=$B$3,Resumen!#REF!,VLOOKUP(A251,Graf_PowerBI!$A$4:$D$39,3,0)))</f>
        <v/>
      </c>
      <c r="H251" s="163" t="str">
        <f>IF(A251="","",F251/IF(A251=$B$3,Resumen!#REF!,VLOOKUP(A251,Graf_PowerBI!$A$4:$D$39,4,0)))</f>
        <v/>
      </c>
      <c r="P251" s="163" t="str">
        <f>IF(J251="","",N251/IF(J251=$B$3,Resumen!#REF!,VLOOKUP(J251,Graf_PowerBI!$A$4:$D$39,3,0)))</f>
        <v/>
      </c>
      <c r="Q251" s="163" t="str">
        <f>IF(J251="","",O251/IF(J251=$B$3,Resumen!#REF!,VLOOKUP(J251,Graf_PowerBI!$A$4:$D$39,4,0)))</f>
        <v/>
      </c>
      <c r="S251" s="215" t="str">
        <f t="shared" si="3"/>
        <v/>
      </c>
    </row>
    <row r="252" spans="7:19">
      <c r="G252" s="163" t="str">
        <f>IF(A252="","",E252/IF(A252=$B$3,Resumen!#REF!,VLOOKUP(A252,Graf_PowerBI!$A$4:$D$39,3,0)))</f>
        <v/>
      </c>
      <c r="H252" s="163" t="str">
        <f>IF(A252="","",F252/IF(A252=$B$3,Resumen!#REF!,VLOOKUP(A252,Graf_PowerBI!$A$4:$D$39,4,0)))</f>
        <v/>
      </c>
      <c r="P252" s="163" t="str">
        <f>IF(J252="","",N252/IF(J252=$B$3,Resumen!#REF!,VLOOKUP(J252,Graf_PowerBI!$A$4:$D$39,3,0)))</f>
        <v/>
      </c>
      <c r="Q252" s="163" t="str">
        <f>IF(J252="","",O252/IF(J252=$B$3,Resumen!#REF!,VLOOKUP(J252,Graf_PowerBI!$A$4:$D$39,4,0)))</f>
        <v/>
      </c>
      <c r="S252" s="215" t="str">
        <f t="shared" si="3"/>
        <v/>
      </c>
    </row>
    <row r="253" spans="7:19">
      <c r="G253" s="163" t="str">
        <f>IF(A253="","",E253/IF(A253=$B$3,Resumen!#REF!,VLOOKUP(A253,Graf_PowerBI!$A$4:$D$39,3,0)))</f>
        <v/>
      </c>
      <c r="H253" s="163" t="str">
        <f>IF(A253="","",F253/IF(A253=$B$3,Resumen!#REF!,VLOOKUP(A253,Graf_PowerBI!$A$4:$D$39,4,0)))</f>
        <v/>
      </c>
      <c r="P253" s="163" t="str">
        <f>IF(J253="","",N253/IF(J253=$B$3,Resumen!#REF!,VLOOKUP(J253,Graf_PowerBI!$A$4:$D$39,3,0)))</f>
        <v/>
      </c>
      <c r="Q253" s="163" t="str">
        <f>IF(J253="","",O253/IF(J253=$B$3,Resumen!#REF!,VLOOKUP(J253,Graf_PowerBI!$A$4:$D$39,4,0)))</f>
        <v/>
      </c>
      <c r="S253" s="215" t="str">
        <f t="shared" si="3"/>
        <v/>
      </c>
    </row>
  </sheetData>
  <dataConsolidate/>
  <mergeCells count="2">
    <mergeCell ref="A1:H1"/>
    <mergeCell ref="J1:Q1"/>
  </mergeCells>
  <pageMargins left="0.7" right="0.7" top="0.75" bottom="0.75" header="0.3" footer="0.3"/>
  <pageSetup orientation="portrait" horizontalDpi="300" verticalDpi="300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"/>
  <sheetViews>
    <sheetView topLeftCell="A76" workbookViewId="0">
      <selection activeCell="B87" sqref="B87:F100"/>
    </sheetView>
  </sheetViews>
  <sheetFormatPr baseColWidth="10" defaultColWidth="11.453125" defaultRowHeight="14.5"/>
  <sheetData>
    <row r="1" spans="2:13">
      <c r="B1" t="s">
        <v>71</v>
      </c>
      <c r="I1" t="s">
        <v>72</v>
      </c>
    </row>
    <row r="2" spans="2:13">
      <c r="B2" t="s">
        <v>35</v>
      </c>
      <c r="C2" t="s">
        <v>73</v>
      </c>
      <c r="D2" t="s">
        <v>56</v>
      </c>
      <c r="E2" t="s">
        <v>33</v>
      </c>
      <c r="F2" t="s">
        <v>57</v>
      </c>
      <c r="I2" t="s">
        <v>35</v>
      </c>
      <c r="J2" t="s">
        <v>74</v>
      </c>
      <c r="K2" t="s">
        <v>57</v>
      </c>
      <c r="L2" t="s">
        <v>58</v>
      </c>
      <c r="M2" t="s">
        <v>59</v>
      </c>
    </row>
    <row r="3" spans="2:13">
      <c r="B3">
        <v>202301</v>
      </c>
      <c r="C3" s="353">
        <v>44927</v>
      </c>
      <c r="D3">
        <v>6.1854640500000002</v>
      </c>
      <c r="E3">
        <v>0.76703633000000004</v>
      </c>
      <c r="F3">
        <v>1.4159999999999999</v>
      </c>
      <c r="I3">
        <v>202301</v>
      </c>
      <c r="J3" s="353">
        <v>44927</v>
      </c>
      <c r="K3">
        <v>1.55</v>
      </c>
      <c r="L3">
        <v>3.1055162071</v>
      </c>
      <c r="M3">
        <v>0.54206018735999995</v>
      </c>
    </row>
    <row r="4" spans="2:13">
      <c r="B4">
        <v>202301</v>
      </c>
      <c r="C4" s="353">
        <v>44928</v>
      </c>
      <c r="D4">
        <v>14.589980049999999</v>
      </c>
      <c r="E4">
        <v>1.8920802699999999</v>
      </c>
      <c r="F4">
        <v>3.052</v>
      </c>
      <c r="I4">
        <v>202301</v>
      </c>
      <c r="J4" s="353">
        <v>44928</v>
      </c>
      <c r="K4">
        <v>6.3079999999999998</v>
      </c>
      <c r="L4">
        <v>24.598104378879999</v>
      </c>
      <c r="M4">
        <v>3.4881359490600001</v>
      </c>
    </row>
    <row r="5" spans="2:13">
      <c r="B5">
        <v>202301</v>
      </c>
      <c r="C5" s="353">
        <v>44929</v>
      </c>
      <c r="D5">
        <v>11.58947886</v>
      </c>
      <c r="E5">
        <v>1.5372219300000001</v>
      </c>
      <c r="F5">
        <v>2.4460000000000002</v>
      </c>
      <c r="I5">
        <v>202301</v>
      </c>
      <c r="J5" s="353">
        <v>44929</v>
      </c>
      <c r="K5">
        <v>6.7370000000000001</v>
      </c>
      <c r="L5">
        <v>26.932851765599999</v>
      </c>
      <c r="M5">
        <v>3.60226100096</v>
      </c>
    </row>
    <row r="6" spans="2:13">
      <c r="B6">
        <v>202301</v>
      </c>
      <c r="C6" s="353">
        <v>44930</v>
      </c>
      <c r="D6">
        <v>27.0384168</v>
      </c>
      <c r="E6">
        <v>3.3006167500000001</v>
      </c>
      <c r="F6">
        <v>5.407</v>
      </c>
      <c r="I6">
        <v>202301</v>
      </c>
      <c r="J6" s="353">
        <v>44930</v>
      </c>
      <c r="K6">
        <v>6.25</v>
      </c>
      <c r="L6">
        <v>28.227533495839999</v>
      </c>
      <c r="M6">
        <v>3.58538429136</v>
      </c>
    </row>
    <row r="7" spans="2:13">
      <c r="B7">
        <v>202301</v>
      </c>
      <c r="C7" s="353">
        <v>44931</v>
      </c>
      <c r="D7">
        <v>27.767183060000001</v>
      </c>
      <c r="E7">
        <v>3.1470802500000001</v>
      </c>
      <c r="F7">
        <v>4.7140000000000004</v>
      </c>
      <c r="I7">
        <v>202301</v>
      </c>
      <c r="J7" s="353">
        <v>44931</v>
      </c>
      <c r="K7">
        <v>6.6429999999999998</v>
      </c>
      <c r="L7">
        <v>28.60397974128</v>
      </c>
      <c r="M7">
        <v>3.8312493610299998</v>
      </c>
    </row>
    <row r="8" spans="2:13">
      <c r="B8">
        <v>202301</v>
      </c>
      <c r="C8" s="353">
        <v>44932</v>
      </c>
      <c r="D8">
        <v>21.41793389</v>
      </c>
      <c r="E8">
        <v>2.6034629800000002</v>
      </c>
      <c r="F8">
        <v>3.802</v>
      </c>
      <c r="I8">
        <v>202301</v>
      </c>
      <c r="J8" s="353">
        <v>44932</v>
      </c>
      <c r="K8">
        <v>6.3949999999999996</v>
      </c>
      <c r="L8">
        <v>29.630911852579999</v>
      </c>
      <c r="M8">
        <v>3.5662648629599998</v>
      </c>
    </row>
    <row r="9" spans="2:13">
      <c r="B9">
        <v>202301</v>
      </c>
      <c r="C9" s="353">
        <v>44933</v>
      </c>
      <c r="D9">
        <v>13.7525479</v>
      </c>
      <c r="E9">
        <v>1.6265303499999999</v>
      </c>
      <c r="F9">
        <v>2.4900000000000002</v>
      </c>
      <c r="I9">
        <v>202301</v>
      </c>
      <c r="J9" s="353">
        <v>44933</v>
      </c>
      <c r="K9">
        <v>7.1689999999999996</v>
      </c>
      <c r="L9">
        <v>26.93949414447</v>
      </c>
      <c r="M9">
        <v>3.6891741362500001</v>
      </c>
    </row>
    <row r="10" spans="2:13">
      <c r="B10">
        <v>202301</v>
      </c>
      <c r="C10" s="353">
        <v>44934</v>
      </c>
      <c r="D10">
        <v>8.4692875500000007</v>
      </c>
      <c r="E10">
        <v>1.1466034700000001</v>
      </c>
      <c r="F10">
        <v>1.6870000000000001</v>
      </c>
      <c r="I10">
        <v>202301</v>
      </c>
      <c r="J10" s="353">
        <v>44934</v>
      </c>
      <c r="K10">
        <v>5.8140000000000001</v>
      </c>
      <c r="L10">
        <v>20.800428435400001</v>
      </c>
      <c r="M10">
        <v>2.6852187495300002</v>
      </c>
    </row>
    <row r="11" spans="2:13">
      <c r="B11">
        <v>202301</v>
      </c>
      <c r="C11" s="353">
        <v>44935</v>
      </c>
      <c r="D11">
        <v>15.83653312</v>
      </c>
      <c r="E11">
        <v>1.85350606</v>
      </c>
      <c r="F11">
        <v>2.6019999999999999</v>
      </c>
      <c r="I11">
        <v>202301</v>
      </c>
      <c r="J11" s="353">
        <v>44935</v>
      </c>
      <c r="K11">
        <v>6.8019999999999996</v>
      </c>
      <c r="L11">
        <v>33.434136531900002</v>
      </c>
      <c r="M11">
        <v>4.0693647030199998</v>
      </c>
    </row>
    <row r="12" spans="2:13">
      <c r="B12">
        <v>202301</v>
      </c>
      <c r="C12" s="353">
        <v>44936</v>
      </c>
      <c r="D12">
        <v>27.648181300000001</v>
      </c>
      <c r="E12">
        <v>3.1127898900000002</v>
      </c>
      <c r="F12">
        <v>4.5510000000000002</v>
      </c>
      <c r="I12">
        <v>202301</v>
      </c>
      <c r="J12" s="353">
        <v>44936</v>
      </c>
      <c r="K12">
        <v>6.6349999999999998</v>
      </c>
      <c r="L12">
        <v>27.043691945639999</v>
      </c>
      <c r="M12">
        <v>3.7160100441199999</v>
      </c>
    </row>
    <row r="13" spans="2:13">
      <c r="B13">
        <v>202301</v>
      </c>
      <c r="C13" s="353">
        <v>44937</v>
      </c>
      <c r="D13">
        <v>21.733020249999999</v>
      </c>
      <c r="E13">
        <v>2.5520683100000001</v>
      </c>
      <c r="F13">
        <v>3.7530000000000001</v>
      </c>
      <c r="I13">
        <v>202301</v>
      </c>
      <c r="J13" s="353">
        <v>44937</v>
      </c>
      <c r="K13">
        <v>6.7290000000000001</v>
      </c>
      <c r="L13">
        <v>36.066126616239998</v>
      </c>
      <c r="M13">
        <v>3.9656070562600001</v>
      </c>
    </row>
    <row r="14" spans="2:13">
      <c r="B14">
        <v>202301</v>
      </c>
      <c r="C14" s="353">
        <v>44938</v>
      </c>
      <c r="D14">
        <v>16.719165520000001</v>
      </c>
      <c r="E14">
        <v>1.83719601</v>
      </c>
      <c r="F14">
        <v>2.7330000000000001</v>
      </c>
      <c r="I14">
        <v>202301</v>
      </c>
      <c r="J14" s="353">
        <v>44938</v>
      </c>
      <c r="K14">
        <v>6.54</v>
      </c>
      <c r="L14">
        <v>32.453568885700001</v>
      </c>
      <c r="M14">
        <v>3.8631775245300002</v>
      </c>
    </row>
    <row r="15" spans="2:13">
      <c r="B15">
        <v>202301</v>
      </c>
      <c r="C15" s="353">
        <v>44939</v>
      </c>
      <c r="D15">
        <v>12.327119189999999</v>
      </c>
      <c r="E15">
        <v>1.5522520399999999</v>
      </c>
      <c r="F15">
        <v>2.5830000000000002</v>
      </c>
      <c r="I15">
        <v>202301</v>
      </c>
      <c r="J15" s="353">
        <v>44939</v>
      </c>
      <c r="K15">
        <v>6.3140000000000001</v>
      </c>
      <c r="L15">
        <v>26.376414151639999</v>
      </c>
      <c r="M15">
        <v>3.4872926413999998</v>
      </c>
    </row>
    <row r="18" spans="2:13">
      <c r="B18">
        <v>202301</v>
      </c>
      <c r="C18" s="353">
        <v>44940</v>
      </c>
      <c r="D18">
        <v>10.6189401</v>
      </c>
      <c r="E18">
        <v>1.27127433</v>
      </c>
      <c r="F18">
        <v>2.0670000000000002</v>
      </c>
    </row>
    <row r="19" spans="2:13">
      <c r="B19">
        <v>202301</v>
      </c>
      <c r="C19" s="353">
        <v>44941</v>
      </c>
      <c r="D19">
        <v>8.2438488000000003</v>
      </c>
      <c r="E19">
        <v>0.93700832999999994</v>
      </c>
      <c r="F19">
        <v>1.726</v>
      </c>
    </row>
    <row r="20" spans="2:13">
      <c r="B20">
        <v>202301</v>
      </c>
      <c r="C20" s="353">
        <v>44942</v>
      </c>
      <c r="D20">
        <v>10.95337436</v>
      </c>
      <c r="E20">
        <v>1.5161362300000001</v>
      </c>
      <c r="F20">
        <v>2.423</v>
      </c>
    </row>
    <row r="21" spans="2:13">
      <c r="B21">
        <v>202301</v>
      </c>
      <c r="C21" s="353">
        <v>44943</v>
      </c>
      <c r="D21">
        <v>25.493636299999999</v>
      </c>
      <c r="E21">
        <v>2.6062979099999999</v>
      </c>
      <c r="F21">
        <v>4.1779999999999999</v>
      </c>
    </row>
    <row r="22" spans="2:13">
      <c r="B22">
        <v>202301</v>
      </c>
      <c r="C22" s="353">
        <v>44944</v>
      </c>
      <c r="D22">
        <v>5.3566889999999999E-2</v>
      </c>
      <c r="E22">
        <v>7.0490600000000002E-3</v>
      </c>
      <c r="F22">
        <v>1.4999999999999999E-2</v>
      </c>
    </row>
    <row r="25" spans="2:13">
      <c r="B25" t="s">
        <v>35</v>
      </c>
      <c r="C25" t="s">
        <v>73</v>
      </c>
      <c r="D25" t="s">
        <v>56</v>
      </c>
      <c r="E25" t="s">
        <v>33</v>
      </c>
      <c r="F25" t="s">
        <v>57</v>
      </c>
      <c r="I25" t="s">
        <v>35</v>
      </c>
      <c r="J25" t="s">
        <v>74</v>
      </c>
      <c r="K25" t="s">
        <v>57</v>
      </c>
      <c r="L25" t="s">
        <v>58</v>
      </c>
      <c r="M25" t="s">
        <v>59</v>
      </c>
    </row>
    <row r="26" spans="2:13">
      <c r="B26">
        <v>202301</v>
      </c>
      <c r="C26" s="353">
        <v>44927</v>
      </c>
      <c r="D26">
        <v>6.1854640500000002</v>
      </c>
      <c r="E26">
        <v>0.76703633000000004</v>
      </c>
      <c r="F26">
        <v>1.4159999999999999</v>
      </c>
      <c r="I26">
        <v>202301</v>
      </c>
      <c r="J26" s="353">
        <v>44927</v>
      </c>
      <c r="K26">
        <v>1.55</v>
      </c>
      <c r="L26">
        <v>3.1055162071</v>
      </c>
      <c r="M26">
        <v>0.54206018735999995</v>
      </c>
    </row>
    <row r="27" spans="2:13">
      <c r="B27">
        <v>202301</v>
      </c>
      <c r="C27" s="353">
        <v>44928</v>
      </c>
      <c r="D27">
        <v>14.589980049999999</v>
      </c>
      <c r="E27">
        <v>1.8920802699999999</v>
      </c>
      <c r="F27">
        <v>3.052</v>
      </c>
      <c r="I27">
        <v>202301</v>
      </c>
      <c r="J27" s="353">
        <v>44928</v>
      </c>
      <c r="K27">
        <v>6.3079999999999998</v>
      </c>
      <c r="L27">
        <v>24.598104378879999</v>
      </c>
      <c r="M27">
        <v>3.4881359490600001</v>
      </c>
    </row>
    <row r="28" spans="2:13">
      <c r="B28">
        <v>202301</v>
      </c>
      <c r="C28" s="353">
        <v>44929</v>
      </c>
      <c r="D28">
        <v>11.58947886</v>
      </c>
      <c r="E28">
        <v>1.5372219300000001</v>
      </c>
      <c r="F28">
        <v>2.4460000000000002</v>
      </c>
      <c r="I28">
        <v>202301</v>
      </c>
      <c r="J28" s="353">
        <v>44929</v>
      </c>
      <c r="K28">
        <v>6.7380000000000004</v>
      </c>
      <c r="L28">
        <v>26.932893765599999</v>
      </c>
      <c r="M28">
        <v>3.6022820009599998</v>
      </c>
    </row>
    <row r="29" spans="2:13">
      <c r="B29">
        <v>202301</v>
      </c>
      <c r="C29" s="353">
        <v>44930</v>
      </c>
      <c r="D29">
        <v>27.0384168</v>
      </c>
      <c r="E29">
        <v>3.3006167500000001</v>
      </c>
      <c r="F29">
        <v>5.407</v>
      </c>
      <c r="I29">
        <v>202301</v>
      </c>
      <c r="J29" s="353">
        <v>44930</v>
      </c>
      <c r="K29">
        <v>6.25</v>
      </c>
      <c r="L29">
        <v>28.227533495839999</v>
      </c>
      <c r="M29">
        <v>3.58538429136</v>
      </c>
    </row>
    <row r="30" spans="2:13">
      <c r="B30">
        <v>202301</v>
      </c>
      <c r="C30" s="353">
        <v>44931</v>
      </c>
      <c r="D30">
        <v>27.767183060000001</v>
      </c>
      <c r="E30">
        <v>3.1470802500000001</v>
      </c>
      <c r="F30">
        <v>4.7140000000000004</v>
      </c>
      <c r="I30">
        <v>202301</v>
      </c>
      <c r="J30" s="353">
        <v>44931</v>
      </c>
      <c r="K30">
        <v>6.6429999999999998</v>
      </c>
      <c r="L30">
        <v>28.60397974128</v>
      </c>
      <c r="M30">
        <v>3.8312493610299998</v>
      </c>
    </row>
    <row r="31" spans="2:13">
      <c r="B31">
        <v>202301</v>
      </c>
      <c r="C31" s="353">
        <v>44932</v>
      </c>
      <c r="D31">
        <v>21.41793389</v>
      </c>
      <c r="E31">
        <v>2.6034629800000002</v>
      </c>
      <c r="F31">
        <v>3.802</v>
      </c>
      <c r="I31">
        <v>202301</v>
      </c>
      <c r="J31" s="353">
        <v>44932</v>
      </c>
      <c r="K31">
        <v>6.3959999999999999</v>
      </c>
      <c r="L31">
        <v>29.63115185258</v>
      </c>
      <c r="M31">
        <v>3.5663848629600001</v>
      </c>
    </row>
    <row r="32" spans="2:13">
      <c r="B32">
        <v>202301</v>
      </c>
      <c r="C32" s="353">
        <v>44933</v>
      </c>
      <c r="D32">
        <v>13.7525479</v>
      </c>
      <c r="E32">
        <v>1.6265303499999999</v>
      </c>
      <c r="F32">
        <v>2.4900000000000002</v>
      </c>
      <c r="I32">
        <v>202301</v>
      </c>
      <c r="J32" s="353">
        <v>44933</v>
      </c>
      <c r="K32">
        <v>7.1689999999999996</v>
      </c>
      <c r="L32">
        <v>26.93949414447</v>
      </c>
      <c r="M32">
        <v>3.6891741362500001</v>
      </c>
    </row>
    <row r="33" spans="2:13">
      <c r="B33">
        <v>202301</v>
      </c>
      <c r="C33" s="353">
        <v>44934</v>
      </c>
      <c r="D33">
        <v>8.4692875500000007</v>
      </c>
      <c r="E33">
        <v>1.1466034700000001</v>
      </c>
      <c r="F33">
        <v>1.6870000000000001</v>
      </c>
      <c r="I33">
        <v>202301</v>
      </c>
      <c r="J33" s="353">
        <v>44934</v>
      </c>
      <c r="K33">
        <v>5.8140000000000001</v>
      </c>
      <c r="L33">
        <v>20.801028435399999</v>
      </c>
      <c r="M33">
        <v>2.6853687495299998</v>
      </c>
    </row>
    <row r="34" spans="2:13">
      <c r="B34">
        <v>202301</v>
      </c>
      <c r="C34" s="353">
        <v>44935</v>
      </c>
      <c r="D34">
        <v>15.83653312</v>
      </c>
      <c r="E34">
        <v>1.85350606</v>
      </c>
      <c r="F34">
        <v>2.6019999999999999</v>
      </c>
      <c r="I34">
        <v>202301</v>
      </c>
      <c r="J34" s="353">
        <v>44935</v>
      </c>
      <c r="K34">
        <v>6.806</v>
      </c>
      <c r="L34">
        <v>33.479356902299998</v>
      </c>
      <c r="M34">
        <v>4.0749329243199996</v>
      </c>
    </row>
    <row r="35" spans="2:13">
      <c r="B35">
        <v>202301</v>
      </c>
      <c r="C35" s="353">
        <v>44936</v>
      </c>
      <c r="D35">
        <v>27.648181300000001</v>
      </c>
      <c r="E35">
        <v>3.1127898900000002</v>
      </c>
      <c r="F35">
        <v>4.5510000000000002</v>
      </c>
      <c r="I35">
        <v>202301</v>
      </c>
      <c r="J35" s="353">
        <v>44936</v>
      </c>
      <c r="K35">
        <v>6.6390000000000002</v>
      </c>
      <c r="L35">
        <v>27.052035464319999</v>
      </c>
      <c r="M35">
        <v>3.7186668836800001</v>
      </c>
    </row>
    <row r="36" spans="2:13">
      <c r="B36">
        <v>202301</v>
      </c>
      <c r="C36" s="353">
        <v>44937</v>
      </c>
      <c r="D36">
        <v>21.733020249999999</v>
      </c>
      <c r="E36">
        <v>2.5520683100000001</v>
      </c>
      <c r="F36">
        <v>3.7530000000000001</v>
      </c>
      <c r="I36">
        <v>202301</v>
      </c>
      <c r="J36" s="353">
        <v>44937</v>
      </c>
      <c r="K36">
        <v>6.73</v>
      </c>
      <c r="L36">
        <v>36.079815489600001</v>
      </c>
      <c r="M36">
        <v>3.9690292746</v>
      </c>
    </row>
    <row r="37" spans="2:13">
      <c r="B37">
        <v>202301</v>
      </c>
      <c r="C37" s="353">
        <v>44938</v>
      </c>
      <c r="D37">
        <v>16.719165520000001</v>
      </c>
      <c r="E37">
        <v>1.83719601</v>
      </c>
      <c r="F37">
        <v>2.7330000000000001</v>
      </c>
      <c r="I37">
        <v>202301</v>
      </c>
      <c r="J37" s="353">
        <v>44938</v>
      </c>
      <c r="K37">
        <v>6.55</v>
      </c>
      <c r="L37">
        <v>32.922492629019999</v>
      </c>
      <c r="M37">
        <v>3.9052403281400001</v>
      </c>
    </row>
    <row r="38" spans="2:13">
      <c r="B38">
        <v>202301</v>
      </c>
      <c r="C38" s="353">
        <v>44939</v>
      </c>
      <c r="D38">
        <v>12.327119189999999</v>
      </c>
      <c r="E38">
        <v>1.5522520399999999</v>
      </c>
      <c r="F38">
        <v>2.5830000000000002</v>
      </c>
      <c r="I38">
        <v>202301</v>
      </c>
      <c r="J38" s="353">
        <v>44939</v>
      </c>
      <c r="K38">
        <v>6.3310000000000004</v>
      </c>
      <c r="L38">
        <v>26.536998363639999</v>
      </c>
      <c r="M38">
        <v>3.5013952374000001</v>
      </c>
    </row>
    <row r="39" spans="2:13">
      <c r="B39">
        <v>202301</v>
      </c>
      <c r="C39" s="353">
        <v>44940</v>
      </c>
      <c r="D39">
        <v>10.6189401</v>
      </c>
      <c r="E39">
        <v>1.27127433</v>
      </c>
      <c r="F39">
        <v>2.0670000000000002</v>
      </c>
      <c r="I39">
        <v>202301</v>
      </c>
      <c r="J39" s="353">
        <v>44940</v>
      </c>
      <c r="K39">
        <v>7.2919999999999998</v>
      </c>
      <c r="L39">
        <v>32.295707452199998</v>
      </c>
      <c r="M39">
        <v>3.8693954086</v>
      </c>
    </row>
    <row r="40" spans="2:13">
      <c r="B40">
        <v>202301</v>
      </c>
      <c r="C40" s="353">
        <v>44941</v>
      </c>
      <c r="D40">
        <v>8.2438488000000003</v>
      </c>
      <c r="E40">
        <v>0.93700832999999994</v>
      </c>
      <c r="F40">
        <v>1.726</v>
      </c>
      <c r="I40">
        <v>202301</v>
      </c>
      <c r="J40" s="353">
        <v>44941</v>
      </c>
      <c r="K40">
        <v>5.7919999999999998</v>
      </c>
      <c r="L40">
        <v>20.486176498439999</v>
      </c>
      <c r="M40">
        <v>2.6493814549999999</v>
      </c>
    </row>
    <row r="41" spans="2:13">
      <c r="B41">
        <v>202301</v>
      </c>
      <c r="C41" s="353">
        <v>44942</v>
      </c>
      <c r="D41">
        <v>10.95337436</v>
      </c>
      <c r="E41">
        <v>1.5161362300000001</v>
      </c>
      <c r="F41">
        <v>2.423</v>
      </c>
      <c r="I41">
        <v>202301</v>
      </c>
      <c r="J41" s="353">
        <v>44942</v>
      </c>
      <c r="K41">
        <v>6.798</v>
      </c>
      <c r="L41">
        <v>31.837996516810001</v>
      </c>
      <c r="M41">
        <v>3.8989816341200001</v>
      </c>
    </row>
    <row r="42" spans="2:13">
      <c r="B42">
        <v>202301</v>
      </c>
      <c r="C42" s="353">
        <v>44943</v>
      </c>
      <c r="D42">
        <v>25.493636299999999</v>
      </c>
      <c r="E42">
        <v>2.6062979099999999</v>
      </c>
      <c r="F42">
        <v>4.1779999999999999</v>
      </c>
      <c r="I42">
        <v>202301</v>
      </c>
      <c r="J42" s="353">
        <v>44943</v>
      </c>
      <c r="K42">
        <v>6.3630000000000004</v>
      </c>
      <c r="L42">
        <v>27.729696719690001</v>
      </c>
      <c r="M42">
        <v>3.46765185811</v>
      </c>
    </row>
    <row r="43" spans="2:13">
      <c r="B43">
        <v>202301</v>
      </c>
      <c r="C43" s="353">
        <v>44944</v>
      </c>
      <c r="D43">
        <v>17.42470526</v>
      </c>
      <c r="E43">
        <v>2.0421386699999999</v>
      </c>
      <c r="F43">
        <v>3.4340000000000002</v>
      </c>
      <c r="I43">
        <v>202301</v>
      </c>
      <c r="J43" s="353">
        <v>44944</v>
      </c>
      <c r="K43">
        <v>6.5570000000000004</v>
      </c>
      <c r="L43">
        <v>28.654720738959998</v>
      </c>
      <c r="M43">
        <v>3.5796704136800002</v>
      </c>
    </row>
    <row r="44" spans="2:13">
      <c r="B44">
        <v>202301</v>
      </c>
      <c r="C44" s="353">
        <v>44945</v>
      </c>
      <c r="D44">
        <v>15.219819790000001</v>
      </c>
      <c r="E44">
        <v>1.7726216299999999</v>
      </c>
      <c r="F44">
        <v>2.8149999999999999</v>
      </c>
      <c r="I44">
        <v>202301</v>
      </c>
      <c r="J44" s="353">
        <v>44945</v>
      </c>
      <c r="K44">
        <v>6.1440000000000001</v>
      </c>
      <c r="L44">
        <v>26.54631105016</v>
      </c>
      <c r="M44">
        <v>3.40390780209</v>
      </c>
    </row>
    <row r="45" spans="2:13">
      <c r="B45">
        <v>202301</v>
      </c>
      <c r="C45" s="353">
        <v>44946</v>
      </c>
      <c r="D45">
        <v>15.968884559999999</v>
      </c>
      <c r="E45">
        <v>2.0052134399999999</v>
      </c>
      <c r="F45">
        <v>3.105</v>
      </c>
      <c r="I45">
        <v>202301</v>
      </c>
      <c r="J45" s="353">
        <v>44946</v>
      </c>
      <c r="K45">
        <v>6.4109999999999996</v>
      </c>
      <c r="L45">
        <v>24.309333327249998</v>
      </c>
      <c r="M45">
        <v>3.3131980968499999</v>
      </c>
    </row>
    <row r="46" spans="2:13">
      <c r="B46">
        <v>202301</v>
      </c>
      <c r="C46" s="353">
        <v>44947</v>
      </c>
      <c r="D46">
        <v>8.81280164</v>
      </c>
      <c r="E46">
        <v>1.0475035100000001</v>
      </c>
      <c r="F46">
        <v>2.0880000000000001</v>
      </c>
    </row>
    <row r="47" spans="2:13">
      <c r="B47">
        <v>202301</v>
      </c>
      <c r="C47" s="353">
        <v>44948</v>
      </c>
      <c r="D47">
        <v>6.7917638800000004</v>
      </c>
      <c r="E47">
        <v>0.81391181000000001</v>
      </c>
      <c r="F47">
        <v>1.3979999999999999</v>
      </c>
    </row>
    <row r="48" spans="2:13">
      <c r="B48">
        <v>202301</v>
      </c>
      <c r="C48" s="353">
        <v>44949</v>
      </c>
      <c r="D48">
        <v>8.4667581500000004</v>
      </c>
      <c r="E48">
        <v>1.15541545</v>
      </c>
      <c r="F48">
        <v>2.0659999999999998</v>
      </c>
    </row>
    <row r="49" spans="2:13">
      <c r="B49">
        <v>202301</v>
      </c>
      <c r="C49" s="353">
        <v>44950</v>
      </c>
      <c r="D49">
        <v>19.5668851</v>
      </c>
      <c r="E49">
        <v>2.2258440199999998</v>
      </c>
      <c r="F49">
        <v>3.8919999999999999</v>
      </c>
    </row>
    <row r="50" spans="2:13">
      <c r="B50">
        <v>202301</v>
      </c>
      <c r="C50" s="353">
        <v>44951</v>
      </c>
      <c r="D50">
        <v>14.322173599999999</v>
      </c>
      <c r="E50">
        <v>1.6034033599999999</v>
      </c>
      <c r="F50">
        <v>2.7410000000000001</v>
      </c>
    </row>
    <row r="51" spans="2:13">
      <c r="B51">
        <v>202301</v>
      </c>
      <c r="C51" s="353">
        <v>44952</v>
      </c>
      <c r="D51">
        <v>1.56124E-2</v>
      </c>
      <c r="E51">
        <v>2.5672999999999998E-3</v>
      </c>
      <c r="F51">
        <v>4.0000000000000001E-3</v>
      </c>
    </row>
    <row r="53" spans="2:13">
      <c r="B53" t="s">
        <v>35</v>
      </c>
      <c r="C53" t="s">
        <v>73</v>
      </c>
      <c r="D53" t="s">
        <v>56</v>
      </c>
      <c r="E53" t="s">
        <v>33</v>
      </c>
      <c r="F53" t="s">
        <v>57</v>
      </c>
      <c r="I53" t="s">
        <v>35</v>
      </c>
      <c r="J53" t="s">
        <v>74</v>
      </c>
      <c r="K53" t="s">
        <v>57</v>
      </c>
      <c r="L53" t="s">
        <v>58</v>
      </c>
      <c r="M53" t="s">
        <v>59</v>
      </c>
    </row>
    <row r="54" spans="2:13">
      <c r="B54">
        <v>202301</v>
      </c>
      <c r="C54" s="353">
        <v>44927</v>
      </c>
      <c r="D54">
        <v>6.1854640500000002</v>
      </c>
      <c r="E54">
        <v>0.76703633000000004</v>
      </c>
      <c r="F54">
        <v>1.4159999999999999</v>
      </c>
      <c r="I54">
        <v>202301</v>
      </c>
      <c r="J54" s="353">
        <v>44927</v>
      </c>
      <c r="K54">
        <v>1.55</v>
      </c>
      <c r="L54">
        <v>3.1055162071</v>
      </c>
      <c r="M54">
        <v>0.54206018735999995</v>
      </c>
    </row>
    <row r="55" spans="2:13">
      <c r="B55">
        <v>202301</v>
      </c>
      <c r="C55" s="353">
        <v>44928</v>
      </c>
      <c r="D55">
        <v>14.589980049999999</v>
      </c>
      <c r="E55">
        <v>1.8920802699999999</v>
      </c>
      <c r="F55">
        <v>3.052</v>
      </c>
      <c r="I55">
        <v>202301</v>
      </c>
      <c r="J55" s="353">
        <v>44928</v>
      </c>
      <c r="K55">
        <v>6.3079999999999998</v>
      </c>
      <c r="L55">
        <v>24.598104378879999</v>
      </c>
      <c r="M55">
        <v>3.4881359490600001</v>
      </c>
    </row>
    <row r="56" spans="2:13">
      <c r="B56">
        <v>202301</v>
      </c>
      <c r="C56" s="353">
        <v>44929</v>
      </c>
      <c r="D56">
        <v>11.58947886</v>
      </c>
      <c r="E56">
        <v>1.5372219300000001</v>
      </c>
      <c r="F56">
        <v>2.4460000000000002</v>
      </c>
      <c r="I56">
        <v>202301</v>
      </c>
      <c r="J56" s="353">
        <v>44929</v>
      </c>
      <c r="K56">
        <v>6.7380000000000004</v>
      </c>
      <c r="L56">
        <v>26.932893765599999</v>
      </c>
      <c r="M56">
        <v>3.6022820009599998</v>
      </c>
    </row>
    <row r="57" spans="2:13">
      <c r="B57">
        <v>202301</v>
      </c>
      <c r="C57" s="353">
        <v>44930</v>
      </c>
      <c r="D57">
        <v>27.0384168</v>
      </c>
      <c r="E57">
        <v>3.3006167500000001</v>
      </c>
      <c r="F57">
        <v>5.407</v>
      </c>
      <c r="I57">
        <v>202301</v>
      </c>
      <c r="J57" s="353">
        <v>44930</v>
      </c>
      <c r="K57">
        <v>6.25</v>
      </c>
      <c r="L57">
        <v>28.227533495839999</v>
      </c>
      <c r="M57">
        <v>3.58538429136</v>
      </c>
    </row>
    <row r="58" spans="2:13">
      <c r="B58">
        <v>202301</v>
      </c>
      <c r="C58" s="353">
        <v>44931</v>
      </c>
      <c r="D58">
        <v>27.767183060000001</v>
      </c>
      <c r="E58">
        <v>3.1470802500000001</v>
      </c>
      <c r="F58">
        <v>4.7140000000000004</v>
      </c>
      <c r="I58">
        <v>202301</v>
      </c>
      <c r="J58" s="353">
        <v>44931</v>
      </c>
      <c r="K58">
        <v>6.6429999999999998</v>
      </c>
      <c r="L58">
        <v>28.60397974128</v>
      </c>
      <c r="M58">
        <v>3.8312493610299998</v>
      </c>
    </row>
    <row r="59" spans="2:13">
      <c r="B59">
        <v>202301</v>
      </c>
      <c r="C59" s="353">
        <v>44932</v>
      </c>
      <c r="D59">
        <v>21.41793389</v>
      </c>
      <c r="E59">
        <v>2.6034629800000002</v>
      </c>
      <c r="F59">
        <v>3.802</v>
      </c>
      <c r="I59">
        <v>202301</v>
      </c>
      <c r="J59" s="353">
        <v>44932</v>
      </c>
      <c r="K59">
        <v>6.3959999999999999</v>
      </c>
      <c r="L59">
        <v>29.63115185258</v>
      </c>
      <c r="M59">
        <v>3.5663848629600001</v>
      </c>
    </row>
    <row r="60" spans="2:13">
      <c r="B60">
        <v>202301</v>
      </c>
      <c r="C60" s="353">
        <v>44933</v>
      </c>
      <c r="D60">
        <v>13.7525479</v>
      </c>
      <c r="E60">
        <v>1.6265303499999999</v>
      </c>
      <c r="F60">
        <v>2.4900000000000002</v>
      </c>
      <c r="I60">
        <v>202301</v>
      </c>
      <c r="J60" s="353">
        <v>44933</v>
      </c>
      <c r="K60">
        <v>7.1689999999999996</v>
      </c>
      <c r="L60">
        <v>26.93949414447</v>
      </c>
      <c r="M60">
        <v>3.6891741362500001</v>
      </c>
    </row>
    <row r="61" spans="2:13">
      <c r="B61">
        <v>202301</v>
      </c>
      <c r="C61" s="353">
        <v>44934</v>
      </c>
      <c r="D61">
        <v>8.4692875500000007</v>
      </c>
      <c r="E61">
        <v>1.1466034700000001</v>
      </c>
      <c r="F61">
        <v>1.6870000000000001</v>
      </c>
      <c r="I61">
        <v>202301</v>
      </c>
      <c r="J61" s="353">
        <v>44934</v>
      </c>
      <c r="K61">
        <v>5.8140000000000001</v>
      </c>
      <c r="L61">
        <v>20.801028435399999</v>
      </c>
      <c r="M61">
        <v>2.6853687495299998</v>
      </c>
    </row>
    <row r="62" spans="2:13">
      <c r="B62">
        <v>202301</v>
      </c>
      <c r="C62" s="353">
        <v>44935</v>
      </c>
      <c r="D62">
        <v>15.83653312</v>
      </c>
      <c r="E62">
        <v>1.85350606</v>
      </c>
      <c r="F62">
        <v>2.6019999999999999</v>
      </c>
      <c r="I62">
        <v>202301</v>
      </c>
      <c r="J62" s="353">
        <v>44935</v>
      </c>
      <c r="K62">
        <v>6.806</v>
      </c>
      <c r="L62">
        <v>33.479356902299998</v>
      </c>
      <c r="M62">
        <v>4.0749329243199996</v>
      </c>
    </row>
    <row r="63" spans="2:13">
      <c r="B63">
        <v>202301</v>
      </c>
      <c r="C63" s="353">
        <v>44936</v>
      </c>
      <c r="D63">
        <v>27.648181300000001</v>
      </c>
      <c r="E63">
        <v>3.1127898900000002</v>
      </c>
      <c r="F63">
        <v>4.5510000000000002</v>
      </c>
      <c r="I63">
        <v>202301</v>
      </c>
      <c r="J63" s="353">
        <v>44936</v>
      </c>
      <c r="K63">
        <v>6.6390000000000002</v>
      </c>
      <c r="L63">
        <v>27.052035464319999</v>
      </c>
      <c r="M63">
        <v>3.7186668836800001</v>
      </c>
    </row>
    <row r="64" spans="2:13">
      <c r="B64">
        <v>202301</v>
      </c>
      <c r="C64" s="353">
        <v>44937</v>
      </c>
      <c r="D64">
        <v>21.733020249999999</v>
      </c>
      <c r="E64">
        <v>2.5520683100000001</v>
      </c>
      <c r="F64">
        <v>3.7530000000000001</v>
      </c>
      <c r="I64">
        <v>202301</v>
      </c>
      <c r="J64" s="353">
        <v>44937</v>
      </c>
      <c r="K64">
        <v>6.73</v>
      </c>
      <c r="L64">
        <v>36.079815489600001</v>
      </c>
      <c r="M64">
        <v>3.9690292746</v>
      </c>
    </row>
    <row r="65" spans="2:13">
      <c r="B65">
        <v>202301</v>
      </c>
      <c r="C65" s="353">
        <v>44938</v>
      </c>
      <c r="D65">
        <v>16.719165520000001</v>
      </c>
      <c r="E65">
        <v>1.83719601</v>
      </c>
      <c r="F65">
        <v>2.7330000000000001</v>
      </c>
      <c r="I65">
        <v>202301</v>
      </c>
      <c r="J65" s="353">
        <v>44938</v>
      </c>
      <c r="K65">
        <v>6.55</v>
      </c>
      <c r="L65">
        <v>32.922492629019999</v>
      </c>
      <c r="M65">
        <v>3.9052403281400001</v>
      </c>
    </row>
    <row r="66" spans="2:13">
      <c r="B66">
        <v>202301</v>
      </c>
      <c r="C66" s="353">
        <v>44939</v>
      </c>
      <c r="D66">
        <v>12.327119189999999</v>
      </c>
      <c r="E66">
        <v>1.5522520399999999</v>
      </c>
      <c r="F66">
        <v>2.5830000000000002</v>
      </c>
      <c r="I66">
        <v>202301</v>
      </c>
      <c r="J66" s="353">
        <v>44939</v>
      </c>
      <c r="K66">
        <v>6.3310000000000004</v>
      </c>
      <c r="L66">
        <v>26.536998363639999</v>
      </c>
      <c r="M66">
        <v>3.5013952374000001</v>
      </c>
    </row>
    <row r="67" spans="2:13">
      <c r="B67">
        <v>202301</v>
      </c>
      <c r="C67" s="353">
        <v>44940</v>
      </c>
      <c r="D67">
        <v>10.6189401</v>
      </c>
      <c r="E67">
        <v>1.27127433</v>
      </c>
      <c r="F67">
        <v>2.0670000000000002</v>
      </c>
      <c r="I67">
        <v>202301</v>
      </c>
      <c r="J67" s="353">
        <v>44940</v>
      </c>
      <c r="K67">
        <v>7.2919999999999998</v>
      </c>
      <c r="L67">
        <v>32.295707452199998</v>
      </c>
      <c r="M67">
        <v>3.8693954086</v>
      </c>
    </row>
    <row r="68" spans="2:13">
      <c r="B68">
        <v>202301</v>
      </c>
      <c r="C68" s="353">
        <v>44941</v>
      </c>
      <c r="D68">
        <v>8.2438488000000003</v>
      </c>
      <c r="E68">
        <v>0.93700832999999994</v>
      </c>
      <c r="F68">
        <v>1.726</v>
      </c>
      <c r="I68">
        <v>202301</v>
      </c>
      <c r="J68" s="353">
        <v>44941</v>
      </c>
      <c r="K68">
        <v>5.7919999999999998</v>
      </c>
      <c r="L68">
        <v>20.486176498439999</v>
      </c>
      <c r="M68">
        <v>2.6493814549999999</v>
      </c>
    </row>
    <row r="69" spans="2:13">
      <c r="B69">
        <v>202301</v>
      </c>
      <c r="C69" s="353">
        <v>44942</v>
      </c>
      <c r="D69">
        <v>10.95337436</v>
      </c>
      <c r="E69">
        <v>1.5161362300000001</v>
      </c>
      <c r="F69">
        <v>2.423</v>
      </c>
      <c r="I69">
        <v>202301</v>
      </c>
      <c r="J69" s="353">
        <v>44942</v>
      </c>
      <c r="K69">
        <v>6.798</v>
      </c>
      <c r="L69">
        <v>31.837996516810001</v>
      </c>
      <c r="M69">
        <v>3.8989816341200001</v>
      </c>
    </row>
    <row r="70" spans="2:13">
      <c r="B70">
        <v>202301</v>
      </c>
      <c r="C70" s="353">
        <v>44943</v>
      </c>
      <c r="D70">
        <v>25.493636299999999</v>
      </c>
      <c r="E70">
        <v>2.6062979099999999</v>
      </c>
      <c r="F70">
        <v>4.1779999999999999</v>
      </c>
      <c r="I70">
        <v>202301</v>
      </c>
      <c r="J70" s="353">
        <v>44943</v>
      </c>
      <c r="K70">
        <v>6.3630000000000004</v>
      </c>
      <c r="L70">
        <v>27.729696719690001</v>
      </c>
      <c r="M70">
        <v>3.46765185811</v>
      </c>
    </row>
    <row r="71" spans="2:13">
      <c r="B71">
        <v>202301</v>
      </c>
      <c r="C71" s="353">
        <v>44944</v>
      </c>
      <c r="D71">
        <v>17.42470526</v>
      </c>
      <c r="E71">
        <v>2.0421386699999999</v>
      </c>
      <c r="F71">
        <v>3.4340000000000002</v>
      </c>
      <c r="I71">
        <v>202301</v>
      </c>
      <c r="J71" s="353">
        <v>44944</v>
      </c>
      <c r="K71">
        <v>6.5570000000000004</v>
      </c>
      <c r="L71">
        <v>28.654720738959998</v>
      </c>
      <c r="M71">
        <v>3.5796704136800002</v>
      </c>
    </row>
    <row r="72" spans="2:13">
      <c r="B72">
        <v>202301</v>
      </c>
      <c r="C72" s="353">
        <v>44945</v>
      </c>
      <c r="D72">
        <v>15.219819790000001</v>
      </c>
      <c r="E72">
        <v>1.7726216299999999</v>
      </c>
      <c r="F72">
        <v>2.8149999999999999</v>
      </c>
      <c r="I72">
        <v>202301</v>
      </c>
      <c r="J72" s="353">
        <v>44945</v>
      </c>
      <c r="K72">
        <v>6.1440000000000001</v>
      </c>
      <c r="L72">
        <v>26.54631105016</v>
      </c>
      <c r="M72">
        <v>3.40390780209</v>
      </c>
    </row>
    <row r="73" spans="2:13">
      <c r="B73">
        <v>202301</v>
      </c>
      <c r="C73" s="353">
        <v>44946</v>
      </c>
      <c r="D73">
        <v>15.968884559999999</v>
      </c>
      <c r="E73">
        <v>2.0052134399999999</v>
      </c>
      <c r="F73">
        <v>3.105</v>
      </c>
      <c r="I73">
        <v>202301</v>
      </c>
      <c r="J73" s="353">
        <v>44946</v>
      </c>
      <c r="K73">
        <v>6.4109999999999996</v>
      </c>
      <c r="L73">
        <v>24.309333327249998</v>
      </c>
      <c r="M73">
        <v>3.3131980968499999</v>
      </c>
    </row>
    <row r="74" spans="2:13">
      <c r="B74">
        <v>202301</v>
      </c>
      <c r="C74" s="353">
        <v>44947</v>
      </c>
      <c r="D74">
        <v>8.81280164</v>
      </c>
      <c r="E74">
        <v>1.0475035100000001</v>
      </c>
      <c r="F74">
        <v>2.0880000000000001</v>
      </c>
    </row>
    <row r="75" spans="2:13">
      <c r="B75">
        <v>202301</v>
      </c>
      <c r="C75" s="353">
        <v>44948</v>
      </c>
      <c r="D75">
        <v>6.7917638800000004</v>
      </c>
      <c r="E75">
        <v>0.81391181000000001</v>
      </c>
      <c r="F75">
        <v>1.3979999999999999</v>
      </c>
    </row>
    <row r="76" spans="2:13">
      <c r="B76">
        <v>202301</v>
      </c>
      <c r="C76" s="353">
        <v>44949</v>
      </c>
      <c r="D76">
        <v>8.4667581500000004</v>
      </c>
      <c r="E76">
        <v>1.15541545</v>
      </c>
      <c r="F76">
        <v>2.0659999999999998</v>
      </c>
    </row>
    <row r="77" spans="2:13">
      <c r="B77">
        <v>202301</v>
      </c>
      <c r="C77" s="353">
        <v>44950</v>
      </c>
      <c r="D77">
        <v>19.5668851</v>
      </c>
      <c r="E77">
        <v>2.2258440199999998</v>
      </c>
      <c r="F77">
        <v>3.8919999999999999</v>
      </c>
    </row>
    <row r="78" spans="2:13">
      <c r="B78">
        <v>202301</v>
      </c>
      <c r="C78" s="353">
        <v>44951</v>
      </c>
      <c r="D78">
        <v>14.322173599999999</v>
      </c>
      <c r="E78">
        <v>1.6034033599999999</v>
      </c>
      <c r="F78">
        <v>2.7410000000000001</v>
      </c>
    </row>
    <row r="79" spans="2:13">
      <c r="B79">
        <v>202301</v>
      </c>
      <c r="C79" s="353">
        <v>44952</v>
      </c>
      <c r="D79">
        <v>1.56124E-2</v>
      </c>
      <c r="E79">
        <v>2.5672999999999998E-3</v>
      </c>
      <c r="F79">
        <v>4.0000000000000001E-3</v>
      </c>
    </row>
    <row r="82" spans="1:6">
      <c r="B82" t="s">
        <v>35</v>
      </c>
      <c r="C82" t="s">
        <v>73</v>
      </c>
      <c r="D82" t="s">
        <v>56</v>
      </c>
      <c r="E82" t="s">
        <v>33</v>
      </c>
      <c r="F82" t="s">
        <v>57</v>
      </c>
    </row>
    <row r="83" spans="1:6">
      <c r="B83">
        <v>202302</v>
      </c>
      <c r="C83" s="353">
        <v>44954</v>
      </c>
      <c r="D83">
        <v>10.007195319999999</v>
      </c>
      <c r="E83">
        <v>1.0933855699999999</v>
      </c>
      <c r="F83">
        <v>1.81</v>
      </c>
    </row>
    <row r="84" spans="1:6">
      <c r="B84">
        <v>202302</v>
      </c>
      <c r="C84" s="353">
        <v>44955</v>
      </c>
      <c r="D84">
        <v>6.0731830799999997</v>
      </c>
      <c r="E84">
        <v>0.80198700000000001</v>
      </c>
      <c r="F84">
        <v>1.34</v>
      </c>
    </row>
    <row r="85" spans="1:6">
      <c r="B85">
        <v>202302</v>
      </c>
      <c r="C85" s="353">
        <v>44956</v>
      </c>
      <c r="D85">
        <v>11.23758258</v>
      </c>
      <c r="E85">
        <v>1.3048944600000001</v>
      </c>
      <c r="F85">
        <v>2.137</v>
      </c>
    </row>
    <row r="86" spans="1:6">
      <c r="B86">
        <v>202302</v>
      </c>
      <c r="C86" s="353">
        <v>44957</v>
      </c>
      <c r="D86">
        <v>1.1376600000000001E-2</v>
      </c>
      <c r="E86">
        <v>3.7729E-3</v>
      </c>
      <c r="F86">
        <v>4.0000000000000001E-3</v>
      </c>
    </row>
    <row r="87" spans="1:6">
      <c r="A87" t="s">
        <v>75</v>
      </c>
      <c r="B87">
        <v>202302</v>
      </c>
      <c r="C87" s="353">
        <v>44958</v>
      </c>
      <c r="D87">
        <v>18.82186351</v>
      </c>
      <c r="E87">
        <v>2.1693263900000002</v>
      </c>
      <c r="F87">
        <v>3.7690000000000001</v>
      </c>
    </row>
    <row r="88" spans="1:6">
      <c r="A88" t="s">
        <v>76</v>
      </c>
      <c r="B88">
        <v>202302</v>
      </c>
      <c r="C88" s="353">
        <v>44959</v>
      </c>
      <c r="D88">
        <v>17.03886138</v>
      </c>
      <c r="E88">
        <v>1.9129038</v>
      </c>
      <c r="F88">
        <v>3.109</v>
      </c>
    </row>
    <row r="89" spans="1:6">
      <c r="A89" t="s">
        <v>77</v>
      </c>
      <c r="B89">
        <v>202302</v>
      </c>
      <c r="C89" s="353">
        <v>44960</v>
      </c>
      <c r="D89">
        <v>14.975089479999999</v>
      </c>
      <c r="E89">
        <v>1.7886022100000001</v>
      </c>
      <c r="F89">
        <v>2.9569999999999999</v>
      </c>
    </row>
    <row r="90" spans="1:6">
      <c r="A90" t="s">
        <v>78</v>
      </c>
      <c r="B90">
        <v>202302</v>
      </c>
      <c r="C90" s="353">
        <v>44961</v>
      </c>
      <c r="D90">
        <v>18.40174639</v>
      </c>
      <c r="E90">
        <v>1.69811387</v>
      </c>
      <c r="F90">
        <v>2.66</v>
      </c>
    </row>
    <row r="91" spans="1:6">
      <c r="A91" t="s">
        <v>79</v>
      </c>
      <c r="B91">
        <v>202302</v>
      </c>
      <c r="C91" s="353">
        <v>44962</v>
      </c>
      <c r="D91">
        <v>10.021236650000001</v>
      </c>
      <c r="E91">
        <v>1.2997346700000001</v>
      </c>
      <c r="F91">
        <v>2.137</v>
      </c>
    </row>
    <row r="92" spans="1:6">
      <c r="A92" t="s">
        <v>80</v>
      </c>
      <c r="B92">
        <v>202302</v>
      </c>
      <c r="C92" s="353">
        <v>44963</v>
      </c>
      <c r="D92">
        <v>16.383215140000001</v>
      </c>
      <c r="E92">
        <v>2.0848430100000002</v>
      </c>
      <c r="F92">
        <v>3.0819999999999999</v>
      </c>
    </row>
    <row r="93" spans="1:6">
      <c r="A93" t="s">
        <v>81</v>
      </c>
      <c r="B93">
        <v>202302</v>
      </c>
      <c r="C93" s="353">
        <v>44964</v>
      </c>
      <c r="D93">
        <v>24.486784220000001</v>
      </c>
      <c r="E93">
        <v>2.9401113699999999</v>
      </c>
      <c r="F93">
        <v>4.9930000000000003</v>
      </c>
    </row>
    <row r="94" spans="1:6">
      <c r="A94" t="s">
        <v>75</v>
      </c>
      <c r="B94">
        <v>202302</v>
      </c>
      <c r="C94" s="353">
        <v>44965</v>
      </c>
      <c r="D94">
        <v>16.76027921</v>
      </c>
      <c r="E94">
        <v>2.0780314799999999</v>
      </c>
      <c r="F94">
        <v>3.2829999999999999</v>
      </c>
    </row>
    <row r="95" spans="1:6">
      <c r="A95" t="s">
        <v>76</v>
      </c>
      <c r="B95">
        <v>202302</v>
      </c>
      <c r="C95" s="353">
        <v>44966</v>
      </c>
      <c r="D95">
        <v>4.079692E-2</v>
      </c>
      <c r="E95">
        <v>6.7867800000000001E-3</v>
      </c>
      <c r="F95">
        <v>1.0999999999999999E-2</v>
      </c>
    </row>
    <row r="96" spans="1:6">
      <c r="A96" t="s">
        <v>77</v>
      </c>
      <c r="B96">
        <v>202302</v>
      </c>
      <c r="C96" s="353">
        <v>44967</v>
      </c>
      <c r="D96">
        <v>19.702589960000001</v>
      </c>
      <c r="E96">
        <v>2.30022189</v>
      </c>
      <c r="F96">
        <v>3.3420000000000001</v>
      </c>
    </row>
    <row r="97" spans="1:6">
      <c r="A97" t="s">
        <v>78</v>
      </c>
      <c r="B97">
        <v>202302</v>
      </c>
      <c r="C97" s="353">
        <v>44968</v>
      </c>
      <c r="D97">
        <v>12.94131636</v>
      </c>
      <c r="E97">
        <v>1.2639198300000001</v>
      </c>
      <c r="F97">
        <v>1.9930000000000001</v>
      </c>
    </row>
    <row r="98" spans="1:6">
      <c r="A98" t="s">
        <v>79</v>
      </c>
      <c r="B98">
        <v>202302</v>
      </c>
      <c r="C98" s="353">
        <v>44969</v>
      </c>
      <c r="D98">
        <v>7.1942563699999997</v>
      </c>
      <c r="E98">
        <v>0.90067810999999998</v>
      </c>
      <c r="F98">
        <v>1.546</v>
      </c>
    </row>
    <row r="99" spans="1:6">
      <c r="A99" t="s">
        <v>80</v>
      </c>
      <c r="B99">
        <v>202302</v>
      </c>
      <c r="C99" s="353">
        <v>44970</v>
      </c>
      <c r="D99">
        <v>11.13577261</v>
      </c>
      <c r="E99">
        <v>1.3791877800000001</v>
      </c>
      <c r="F99">
        <v>2.1560000000000001</v>
      </c>
    </row>
    <row r="100" spans="1:6">
      <c r="A100" t="s">
        <v>81</v>
      </c>
      <c r="B100">
        <v>202302</v>
      </c>
      <c r="C100" s="353">
        <v>44971</v>
      </c>
      <c r="D100">
        <v>1.1365419999999999E-2</v>
      </c>
      <c r="E100">
        <v>2.4842599999999999E-3</v>
      </c>
      <c r="F100">
        <v>6.0000000000000001E-3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1"/>
  <sheetViews>
    <sheetView showGridLines="0" zoomScale="70" zoomScaleNormal="70" workbookViewId="0">
      <selection activeCell="I84" sqref="I84"/>
    </sheetView>
  </sheetViews>
  <sheetFormatPr baseColWidth="10" defaultColWidth="11.453125" defaultRowHeight="14.5" outlineLevelRow="1" outlineLevelCol="1"/>
  <cols>
    <col min="1" max="1" width="15.26953125" bestFit="1" customWidth="1"/>
    <col min="2" max="3" width="15.26953125" hidden="1" customWidth="1" outlineLevel="1"/>
    <col min="4" max="5" width="15.7265625" hidden="1" customWidth="1" outlineLevel="1"/>
    <col min="6" max="6" width="15.7265625" bestFit="1" customWidth="1" collapsed="1"/>
    <col min="7" max="7" width="15.26953125" bestFit="1" customWidth="1"/>
    <col min="8" max="14" width="15.26953125" customWidth="1"/>
    <col min="15" max="15" width="16.26953125" bestFit="1" customWidth="1"/>
    <col min="17" max="26" width="18.26953125" customWidth="1"/>
  </cols>
  <sheetData>
    <row r="1" spans="1:26">
      <c r="A1" s="704" t="s">
        <v>82</v>
      </c>
      <c r="B1" s="704"/>
      <c r="C1" s="704"/>
      <c r="D1" s="704"/>
      <c r="E1" s="704"/>
      <c r="F1" s="704"/>
      <c r="G1" s="704"/>
      <c r="H1" s="704"/>
      <c r="I1" s="704"/>
      <c r="J1" s="704"/>
      <c r="K1" s="704"/>
      <c r="L1" s="704"/>
      <c r="M1" s="704"/>
      <c r="N1" s="704"/>
      <c r="O1" s="704"/>
      <c r="Q1" s="314" t="s">
        <v>83</v>
      </c>
      <c r="R1" s="314"/>
      <c r="S1" s="314"/>
      <c r="T1" s="314"/>
      <c r="U1" s="314"/>
      <c r="V1" s="314"/>
      <c r="W1" s="314"/>
      <c r="X1" s="314"/>
      <c r="Y1" s="314"/>
      <c r="Z1" s="314"/>
    </row>
    <row r="3" spans="1:26">
      <c r="A3" s="240" t="s">
        <v>84</v>
      </c>
      <c r="B3" s="265">
        <v>202009</v>
      </c>
      <c r="C3" s="266">
        <v>202010</v>
      </c>
      <c r="D3" s="266">
        <v>202011</v>
      </c>
      <c r="E3" s="267">
        <v>202012</v>
      </c>
      <c r="F3" s="273">
        <v>202101</v>
      </c>
      <c r="G3" s="274">
        <v>202102</v>
      </c>
      <c r="H3" s="274">
        <v>202103</v>
      </c>
      <c r="I3" s="274">
        <v>202104</v>
      </c>
      <c r="J3" s="274">
        <v>202105</v>
      </c>
      <c r="K3" s="274">
        <v>202106</v>
      </c>
      <c r="L3" s="274">
        <v>202107</v>
      </c>
      <c r="M3" s="274">
        <v>202108</v>
      </c>
      <c r="N3" s="274">
        <v>202109</v>
      </c>
      <c r="O3" s="275" t="s">
        <v>85</v>
      </c>
      <c r="Q3" s="276">
        <v>202103</v>
      </c>
      <c r="R3" s="276">
        <v>202104</v>
      </c>
      <c r="S3" s="276">
        <v>202105</v>
      </c>
      <c r="T3" s="276">
        <v>202106</v>
      </c>
      <c r="U3" s="276">
        <v>202107</v>
      </c>
      <c r="V3" s="276">
        <v>202108</v>
      </c>
      <c r="W3" s="276">
        <v>202109</v>
      </c>
      <c r="X3" s="276">
        <v>202110</v>
      </c>
      <c r="Y3" s="276">
        <v>202111</v>
      </c>
      <c r="Z3" s="276">
        <v>202112</v>
      </c>
    </row>
    <row r="4" spans="1:26">
      <c r="A4" s="236" t="s">
        <v>6</v>
      </c>
      <c r="B4" s="226"/>
      <c r="C4" s="226"/>
      <c r="D4" s="226"/>
      <c r="E4" s="226"/>
      <c r="F4" s="225"/>
      <c r="G4" s="226"/>
      <c r="H4" s="226"/>
      <c r="I4" s="226"/>
      <c r="J4" s="226"/>
      <c r="K4" s="226"/>
      <c r="L4" s="226"/>
      <c r="M4" s="226"/>
      <c r="N4" s="226"/>
      <c r="O4" s="277"/>
      <c r="Q4" s="277"/>
      <c r="R4" s="277"/>
      <c r="S4" s="277"/>
      <c r="T4" s="277"/>
      <c r="U4" s="277"/>
      <c r="V4" s="277"/>
      <c r="W4" s="277"/>
      <c r="X4" s="277"/>
      <c r="Y4" s="277"/>
      <c r="Z4" s="277"/>
    </row>
    <row r="5" spans="1:26">
      <c r="A5" s="237" t="s">
        <v>86</v>
      </c>
      <c r="B5" s="228">
        <v>141095520.92469001</v>
      </c>
      <c r="C5" s="228">
        <v>154635852.54717001</v>
      </c>
      <c r="D5" s="228">
        <v>160115163.69179001</v>
      </c>
      <c r="E5" s="228">
        <v>189275000.30377001</v>
      </c>
      <c r="F5" s="227">
        <v>167493569.20706001</v>
      </c>
      <c r="G5" s="137">
        <v>140087816.89498001</v>
      </c>
      <c r="H5" s="137">
        <v>197900877.13093001</v>
      </c>
      <c r="I5" s="137">
        <v>186895413.95276999</v>
      </c>
      <c r="J5" s="137">
        <v>216339510.04268</v>
      </c>
      <c r="K5" s="137">
        <v>213871485.26041999</v>
      </c>
      <c r="L5" s="137">
        <v>244967648.02891001</v>
      </c>
      <c r="M5" s="137">
        <v>248009957.71337</v>
      </c>
      <c r="N5" s="318" t="e">
        <f>Resumen!#REF!*1000000</f>
        <v>#REF!</v>
      </c>
      <c r="O5" s="248" t="e">
        <f>Resumen!B5*Resumen!#REF!*1000000</f>
        <v>#REF!</v>
      </c>
      <c r="P5" s="16" t="e">
        <f>O5/R5</f>
        <v>#REF!</v>
      </c>
      <c r="Q5" s="248">
        <v>162569329</v>
      </c>
      <c r="R5" s="248">
        <v>157859429</v>
      </c>
      <c r="S5" s="248">
        <v>172348068.41550824</v>
      </c>
      <c r="T5" s="248">
        <v>165447858.81213596</v>
      </c>
      <c r="U5" s="248">
        <v>182509568.06759244</v>
      </c>
      <c r="V5" s="248">
        <v>174405581.3695246</v>
      </c>
      <c r="W5" s="248">
        <v>171589873.77497646</v>
      </c>
      <c r="X5" s="248">
        <v>187681193.17484361</v>
      </c>
      <c r="Y5" s="248">
        <v>195875511.7502186</v>
      </c>
      <c r="Z5" s="248">
        <v>215564565.51733571</v>
      </c>
    </row>
    <row r="6" spans="1:26">
      <c r="A6" s="238" t="s">
        <v>24</v>
      </c>
      <c r="B6" s="228">
        <v>141219000</v>
      </c>
      <c r="C6" s="228">
        <v>153477858</v>
      </c>
      <c r="D6" s="228">
        <v>157524919</v>
      </c>
      <c r="E6" s="228">
        <v>169377536</v>
      </c>
      <c r="F6" s="227">
        <v>148670198.22053733</v>
      </c>
      <c r="G6" s="319">
        <v>146301814.31114581</v>
      </c>
      <c r="H6" s="319">
        <v>161464616.419379</v>
      </c>
      <c r="I6" s="319">
        <v>155313777.93694261</v>
      </c>
      <c r="J6" s="319">
        <v>167170393.48224899</v>
      </c>
      <c r="K6" s="319">
        <v>158805276.72267169</v>
      </c>
      <c r="L6" s="319">
        <v>174908195.92071655</v>
      </c>
      <c r="M6" s="319">
        <v>166918628.77469569</v>
      </c>
      <c r="N6" s="319">
        <v>163493739.12482741</v>
      </c>
      <c r="O6" s="242"/>
      <c r="P6" s="18"/>
      <c r="Q6" s="242"/>
      <c r="R6" s="242"/>
      <c r="S6" s="242"/>
      <c r="T6" s="242"/>
      <c r="U6" s="242"/>
      <c r="V6" s="242"/>
      <c r="W6" s="242"/>
      <c r="X6" s="242"/>
      <c r="Y6" s="242"/>
      <c r="Z6" s="242"/>
    </row>
    <row r="7" spans="1:26">
      <c r="A7" s="238" t="s">
        <v>87</v>
      </c>
      <c r="B7" s="230">
        <f t="shared" ref="B7:J7" si="0">B5/B6</f>
        <v>0.99912561995687554</v>
      </c>
      <c r="C7" s="230">
        <f t="shared" si="0"/>
        <v>1.0075450267697248</v>
      </c>
      <c r="D7" s="230">
        <f t="shared" si="0"/>
        <v>1.0164433964367887</v>
      </c>
      <c r="E7" s="235">
        <f t="shared" si="0"/>
        <v>1.1174740451045999</v>
      </c>
      <c r="F7" s="16">
        <f t="shared" si="0"/>
        <v>1.1266115954093241</v>
      </c>
      <c r="G7" s="16">
        <f t="shared" si="0"/>
        <v>0.95752617665458173</v>
      </c>
      <c r="H7" s="16">
        <f t="shared" si="0"/>
        <v>1.2256609622563592</v>
      </c>
      <c r="I7" s="16">
        <f t="shared" si="0"/>
        <v>1.2033408525330542</v>
      </c>
      <c r="J7" s="16">
        <f t="shared" si="0"/>
        <v>1.2941257452124861</v>
      </c>
      <c r="K7" s="16">
        <f>K5/K6</f>
        <v>1.3467530152282832</v>
      </c>
      <c r="L7" s="16">
        <f>L5/L6</f>
        <v>1.400549852677861</v>
      </c>
      <c r="M7" s="16">
        <f>M5/M6</f>
        <v>1.4858135340192027</v>
      </c>
      <c r="N7" s="16" t="e">
        <f>N5/N6</f>
        <v>#REF!</v>
      </c>
      <c r="O7" s="243" t="e">
        <f>O5/N6</f>
        <v>#REF!</v>
      </c>
      <c r="P7" s="18"/>
      <c r="Q7" s="243"/>
      <c r="R7" s="243"/>
      <c r="S7" s="243"/>
      <c r="T7" s="243"/>
      <c r="U7" s="243"/>
      <c r="V7" s="243"/>
      <c r="W7" s="243"/>
      <c r="X7" s="243"/>
      <c r="Y7" s="243"/>
      <c r="Z7" s="243"/>
    </row>
    <row r="8" spans="1:26">
      <c r="A8" s="239" t="s">
        <v>88</v>
      </c>
      <c r="B8" s="271">
        <f t="shared" ref="B8:G8" si="1">+B5/(B5+B29)</f>
        <v>0.26985399620973793</v>
      </c>
      <c r="C8" s="271">
        <f t="shared" si="1"/>
        <v>0.26838625686363682</v>
      </c>
      <c r="D8" s="271">
        <f t="shared" si="1"/>
        <v>0.26677905306729455</v>
      </c>
      <c r="E8" s="272">
        <f t="shared" si="1"/>
        <v>0.26684064309966338</v>
      </c>
      <c r="F8" s="271">
        <f t="shared" si="1"/>
        <v>0.26608771281965143</v>
      </c>
      <c r="G8" s="271">
        <f t="shared" si="1"/>
        <v>0.26092505887255446</v>
      </c>
      <c r="H8" s="271">
        <f t="shared" ref="H8:O8" si="2">+H5/(H5+H29)</f>
        <v>0.26439562805922728</v>
      </c>
      <c r="I8" s="271">
        <f t="shared" si="2"/>
        <v>0.26442489472981623</v>
      </c>
      <c r="J8" s="271">
        <f t="shared" si="2"/>
        <v>0.26713941990561357</v>
      </c>
      <c r="K8" s="271">
        <f t="shared" si="2"/>
        <v>0.26603547879319178</v>
      </c>
      <c r="L8" s="271">
        <f t="shared" si="2"/>
        <v>0.26618220949803334</v>
      </c>
      <c r="M8" s="271">
        <f t="shared" si="2"/>
        <v>0.26539695953047138</v>
      </c>
      <c r="N8" s="271" t="e">
        <f t="shared" si="2"/>
        <v>#REF!</v>
      </c>
      <c r="O8" s="244" t="e">
        <f t="shared" si="2"/>
        <v>#REF!</v>
      </c>
      <c r="P8" s="18"/>
      <c r="Q8" s="244">
        <f>+Q5/(Q5+Q29)</f>
        <v>0.26630914520452964</v>
      </c>
      <c r="R8" s="244">
        <f>+R5/(R5+R29)</f>
        <v>0.270199451289444</v>
      </c>
      <c r="S8" s="244">
        <f>+S5/(S5+S29)</f>
        <v>0.27694699818355689</v>
      </c>
      <c r="T8" s="244"/>
      <c r="U8" s="244"/>
      <c r="V8" s="244"/>
      <c r="W8" s="244"/>
      <c r="X8" s="244"/>
      <c r="Y8" s="244"/>
      <c r="Z8" s="244"/>
    </row>
    <row r="9" spans="1:26">
      <c r="A9" s="5"/>
      <c r="B9" s="278"/>
      <c r="C9" s="278"/>
      <c r="D9" s="278"/>
      <c r="E9" s="278"/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8"/>
    </row>
    <row r="10" spans="1:26">
      <c r="A10" s="336" t="s">
        <v>89</v>
      </c>
      <c r="B10" s="281">
        <v>1871</v>
      </c>
      <c r="C10" s="281">
        <v>2024</v>
      </c>
      <c r="D10" s="281">
        <v>1940</v>
      </c>
      <c r="E10" s="281">
        <v>3484</v>
      </c>
      <c r="F10" s="247">
        <v>3919</v>
      </c>
      <c r="G10" s="320">
        <v>3601</v>
      </c>
      <c r="H10" s="320">
        <v>3922</v>
      </c>
      <c r="I10" s="320">
        <v>3425</v>
      </c>
      <c r="J10" s="320">
        <v>4652</v>
      </c>
      <c r="K10" s="320">
        <v>3815</v>
      </c>
      <c r="L10" s="320">
        <v>4037</v>
      </c>
      <c r="M10" s="320">
        <v>5429</v>
      </c>
      <c r="N10" s="320">
        <v>1112</v>
      </c>
      <c r="O10" s="321" t="e">
        <f>+(Resumen!#REF!*1000)*(N10/(N10+N34))</f>
        <v>#REF!</v>
      </c>
      <c r="P10" s="16" t="e">
        <f>O10/Q10</f>
        <v>#REF!</v>
      </c>
      <c r="Q10" s="137">
        <v>3657.3480320000008</v>
      </c>
      <c r="R10" s="137">
        <v>3547.9293199999997</v>
      </c>
      <c r="S10" s="137">
        <v>3778.0616640000012</v>
      </c>
      <c r="T10" s="137">
        <v>3789.6220960000001</v>
      </c>
      <c r="U10" s="137">
        <v>3948.736688</v>
      </c>
      <c r="V10" s="137">
        <v>4113.4502240000002</v>
      </c>
      <c r="W10" s="137">
        <v>4199.8867039999986</v>
      </c>
      <c r="X10" s="137">
        <v>4195.6763679999995</v>
      </c>
      <c r="Y10" s="137">
        <v>4215.3576400000002</v>
      </c>
      <c r="Z10" s="137">
        <v>4133.9613016000003</v>
      </c>
    </row>
    <row r="11" spans="1:26">
      <c r="A11" s="337"/>
      <c r="B11" s="290"/>
      <c r="C11" s="290"/>
      <c r="D11" s="290"/>
      <c r="E11" s="290"/>
      <c r="F11" s="322">
        <f t="shared" ref="F11:N11" si="3">+F10/(F10+F34)</f>
        <v>0.23004226344212256</v>
      </c>
      <c r="G11" s="16">
        <f t="shared" si="3"/>
        <v>0.23811413079415461</v>
      </c>
      <c r="H11" s="16">
        <f t="shared" si="3"/>
        <v>0.20971019142337718</v>
      </c>
      <c r="I11" s="16">
        <f t="shared" si="3"/>
        <v>0.18939393939393939</v>
      </c>
      <c r="J11" s="16">
        <f t="shared" si="3"/>
        <v>0.18827148002752034</v>
      </c>
      <c r="K11" s="16">
        <f t="shared" si="3"/>
        <v>0.18016528925619835</v>
      </c>
      <c r="L11" s="16">
        <f t="shared" si="3"/>
        <v>0.19211002189016846</v>
      </c>
      <c r="M11" s="16">
        <f t="shared" si="3"/>
        <v>0.20622981956315289</v>
      </c>
      <c r="N11" s="16">
        <f t="shared" si="3"/>
        <v>0.20619321342480995</v>
      </c>
      <c r="O11" s="243"/>
      <c r="P11" s="16"/>
      <c r="Q11" s="16">
        <f t="shared" ref="Q11:Z11" si="4">+Q10/(Q10+Q34)</f>
        <v>0.206439213834125</v>
      </c>
      <c r="R11" s="16">
        <f t="shared" si="4"/>
        <v>0.20746738651842739</v>
      </c>
      <c r="S11" s="16">
        <f t="shared" si="4"/>
        <v>0.20830894327486341</v>
      </c>
      <c r="T11" s="16">
        <f t="shared" si="4"/>
        <v>0.20925510695939956</v>
      </c>
      <c r="U11" s="16">
        <f t="shared" si="4"/>
        <v>0.20737246715701388</v>
      </c>
      <c r="V11" s="16">
        <f t="shared" si="4"/>
        <v>0.20867458794940019</v>
      </c>
      <c r="W11" s="16">
        <f t="shared" si="4"/>
        <v>0.20806174664421123</v>
      </c>
      <c r="X11" s="16">
        <f t="shared" si="4"/>
        <v>0.20932909720851139</v>
      </c>
      <c r="Y11" s="16">
        <f t="shared" si="4"/>
        <v>0.20857949654175398</v>
      </c>
      <c r="Z11" s="16">
        <f t="shared" si="4"/>
        <v>0.21123713025329688</v>
      </c>
    </row>
    <row r="12" spans="1:26">
      <c r="A12" s="337" t="s">
        <v>38</v>
      </c>
      <c r="B12" s="284">
        <v>210260</v>
      </c>
      <c r="C12" s="284">
        <v>208479</v>
      </c>
      <c r="D12" s="284">
        <v>206415</v>
      </c>
      <c r="E12" s="284">
        <v>204649</v>
      </c>
      <c r="F12" s="323">
        <v>202429</v>
      </c>
      <c r="G12" s="137">
        <v>201888</v>
      </c>
      <c r="H12" s="137">
        <v>201788</v>
      </c>
      <c r="I12" s="137">
        <v>197271</v>
      </c>
      <c r="J12" s="137">
        <v>198006</v>
      </c>
      <c r="K12" s="137">
        <v>197653</v>
      </c>
      <c r="L12" s="137">
        <v>197274</v>
      </c>
      <c r="M12" s="137">
        <v>200190</v>
      </c>
      <c r="N12" s="349"/>
      <c r="O12" s="324">
        <f>+(Resumen!B33*1000)*(M12/(M12+M36))</f>
        <v>204534.67677757511</v>
      </c>
      <c r="P12" s="16">
        <f>O12/Q12</f>
        <v>1.0162859164369935</v>
      </c>
      <c r="Q12" s="137">
        <v>201257.02173917275</v>
      </c>
      <c r="R12" s="137">
        <v>203873.63818839777</v>
      </c>
      <c r="S12" s="137">
        <v>206744.49415255719</v>
      </c>
      <c r="T12" s="137">
        <v>208595.86557954957</v>
      </c>
      <c r="U12" s="137">
        <v>209032.99212559074</v>
      </c>
      <c r="V12" s="137">
        <v>209858.44679672454</v>
      </c>
      <c r="W12" s="137">
        <v>210994.1675627463</v>
      </c>
      <c r="X12" s="137">
        <v>212335.4695741625</v>
      </c>
      <c r="Y12" s="137">
        <v>213754.99436851486</v>
      </c>
      <c r="Z12" s="137">
        <v>215368.54005121969</v>
      </c>
    </row>
    <row r="13" spans="1:26">
      <c r="A13" s="338"/>
      <c r="B13" s="290"/>
      <c r="C13" s="290"/>
      <c r="D13" s="290"/>
      <c r="E13" s="290"/>
      <c r="F13" s="315">
        <f t="shared" ref="F13:O13" si="5">+F12/(F12+F36)</f>
        <v>0.23392515005350387</v>
      </c>
      <c r="G13" s="316">
        <f t="shared" si="5"/>
        <v>0.23397565535041068</v>
      </c>
      <c r="H13" s="316">
        <f t="shared" si="5"/>
        <v>0.23313349823868607</v>
      </c>
      <c r="I13" s="316">
        <f t="shared" si="5"/>
        <v>0.23638603331939334</v>
      </c>
      <c r="J13" s="316">
        <f t="shared" si="5"/>
        <v>0.23517129571894319</v>
      </c>
      <c r="K13" s="316">
        <f t="shared" si="5"/>
        <v>0.23479944642104075</v>
      </c>
      <c r="L13" s="316">
        <f t="shared" si="5"/>
        <v>0.23375580023035031</v>
      </c>
      <c r="M13" s="316">
        <f>+M12/(M12+M36)</f>
        <v>0.23270898647965321</v>
      </c>
      <c r="N13" s="316" t="e">
        <f t="shared" si="5"/>
        <v>#DIV/0!</v>
      </c>
      <c r="O13" s="317">
        <f t="shared" si="5"/>
        <v>0.23270898647965321</v>
      </c>
      <c r="P13" s="16"/>
      <c r="Q13" s="163">
        <f t="shared" ref="Q13:Z13" si="6">+Q12/(Q12+Q36)</f>
        <v>0.23466143811925247</v>
      </c>
      <c r="R13" s="163">
        <f t="shared" si="6"/>
        <v>0.23910383396933529</v>
      </c>
      <c r="S13" s="163">
        <f t="shared" si="6"/>
        <v>0.24347767521888719</v>
      </c>
      <c r="T13" s="163">
        <f t="shared" si="6"/>
        <v>0.24817218926724818</v>
      </c>
      <c r="U13" s="163">
        <f t="shared" si="6"/>
        <v>0.24841722839619934</v>
      </c>
      <c r="V13" s="163">
        <f t="shared" si="6"/>
        <v>0.24861161281340946</v>
      </c>
      <c r="W13" s="163">
        <f t="shared" si="6"/>
        <v>0.24873293406592104</v>
      </c>
      <c r="X13" s="163">
        <f t="shared" si="6"/>
        <v>0.24887036148494873</v>
      </c>
      <c r="Y13" s="163">
        <f t="shared" si="6"/>
        <v>0.24898552184698633</v>
      </c>
      <c r="Z13" s="163">
        <f t="shared" si="6"/>
        <v>0.24918496908194054</v>
      </c>
    </row>
    <row r="14" spans="1:26" ht="13.5" customHeight="1">
      <c r="A14" s="285"/>
      <c r="B14" s="286"/>
      <c r="C14" s="287"/>
      <c r="D14" s="287"/>
      <c r="E14" s="287"/>
      <c r="F14" s="286"/>
      <c r="G14" s="325"/>
      <c r="H14" s="325"/>
      <c r="I14" s="325"/>
      <c r="J14" s="325"/>
      <c r="K14" s="325"/>
      <c r="L14" s="325"/>
      <c r="M14" s="325"/>
      <c r="N14" s="325"/>
      <c r="O14" s="288"/>
      <c r="P14" s="16"/>
      <c r="Q14" s="196"/>
      <c r="R14" s="196"/>
      <c r="S14" s="196"/>
      <c r="T14" s="196"/>
      <c r="U14" s="196"/>
      <c r="V14" s="196"/>
      <c r="W14" s="196"/>
      <c r="X14" s="196"/>
      <c r="Y14" s="196"/>
      <c r="Z14" s="196"/>
    </row>
    <row r="15" spans="1:26">
      <c r="A15" s="279" t="s">
        <v>90</v>
      </c>
      <c r="B15" s="289"/>
      <c r="C15" s="281">
        <v>3652</v>
      </c>
      <c r="D15" s="281">
        <v>4088</v>
      </c>
      <c r="E15" s="281">
        <v>3706</v>
      </c>
      <c r="F15" s="247">
        <v>5704</v>
      </c>
      <c r="G15" s="320">
        <v>4142</v>
      </c>
      <c r="H15" s="320">
        <f t="shared" ref="H15:N15" si="7">+G12+H10-H12</f>
        <v>4022</v>
      </c>
      <c r="I15" s="320">
        <f t="shared" si="7"/>
        <v>7942</v>
      </c>
      <c r="J15" s="320">
        <f t="shared" si="7"/>
        <v>3917</v>
      </c>
      <c r="K15" s="320">
        <f t="shared" si="7"/>
        <v>4168</v>
      </c>
      <c r="L15" s="320">
        <f t="shared" si="7"/>
        <v>4416</v>
      </c>
      <c r="M15" s="320">
        <f t="shared" si="7"/>
        <v>2513</v>
      </c>
      <c r="N15" s="320">
        <f t="shared" si="7"/>
        <v>201302</v>
      </c>
      <c r="O15" s="241" t="e">
        <f>+G12+O10-O12</f>
        <v>#REF!</v>
      </c>
      <c r="P15" s="16" t="e">
        <f>O15/Q15</f>
        <v>#REF!</v>
      </c>
      <c r="Q15" s="137">
        <v>4288.3262928272452</v>
      </c>
      <c r="R15" s="137">
        <v>4292.2943815946137</v>
      </c>
      <c r="S15" s="137">
        <v>4268.1872106602295</v>
      </c>
      <c r="T15" s="137">
        <v>5299.2321798272633</v>
      </c>
      <c r="U15" s="137">
        <v>3511.610141958834</v>
      </c>
      <c r="V15" s="137">
        <v>3287.9955528661835</v>
      </c>
      <c r="W15" s="137">
        <v>3064.1659379782373</v>
      </c>
      <c r="X15" s="137">
        <v>2854.3743565837826</v>
      </c>
      <c r="Y15" s="137">
        <v>2795.8328456476429</v>
      </c>
      <c r="Z15" s="137">
        <v>2520.4156188951642</v>
      </c>
    </row>
    <row r="16" spans="1:26" outlineLevel="1">
      <c r="A16" s="709" t="s">
        <v>91</v>
      </c>
      <c r="B16" s="280">
        <v>3511</v>
      </c>
      <c r="C16" s="281">
        <v>4076</v>
      </c>
      <c r="D16" s="281">
        <v>3249</v>
      </c>
      <c r="E16" s="281">
        <v>2966</v>
      </c>
      <c r="F16" s="247">
        <v>2634</v>
      </c>
      <c r="G16" s="320">
        <v>2454</v>
      </c>
      <c r="H16" s="320">
        <v>2333</v>
      </c>
      <c r="I16" s="320">
        <v>1851</v>
      </c>
      <c r="J16" s="320">
        <v>2515</v>
      </c>
      <c r="K16" s="320">
        <v>1825</v>
      </c>
      <c r="L16" s="320">
        <v>2852</v>
      </c>
      <c r="M16" s="320">
        <v>1965</v>
      </c>
      <c r="N16" s="320"/>
      <c r="O16" s="241"/>
      <c r="P16" s="16"/>
      <c r="Q16" s="137"/>
      <c r="R16" s="137"/>
      <c r="S16" s="137"/>
      <c r="T16" s="137"/>
      <c r="U16" s="137"/>
      <c r="V16" s="137"/>
      <c r="W16" s="137"/>
      <c r="X16" s="137"/>
      <c r="Y16" s="137"/>
      <c r="Z16" s="137"/>
    </row>
    <row r="17" spans="1:26" outlineLevel="1">
      <c r="A17" s="710"/>
      <c r="B17" s="291"/>
      <c r="C17" s="292">
        <f t="shared" ref="C17:H17" si="8">+C16/B12</f>
        <v>1.9385522686198042E-2</v>
      </c>
      <c r="D17" s="292">
        <f t="shared" si="8"/>
        <v>1.5584303455024246E-2</v>
      </c>
      <c r="E17" s="292">
        <f t="shared" si="8"/>
        <v>1.4369110771988471E-2</v>
      </c>
      <c r="F17" s="326">
        <f t="shared" si="8"/>
        <v>1.2870817839324892E-2</v>
      </c>
      <c r="G17" s="326">
        <f t="shared" si="8"/>
        <v>1.2122768970849039E-2</v>
      </c>
      <c r="H17" s="326">
        <f t="shared" si="8"/>
        <v>1.1555912188936439E-2</v>
      </c>
      <c r="I17" s="326">
        <f t="shared" ref="I17:N17" si="9">+I16/H12</f>
        <v>9.1729934386583934E-3</v>
      </c>
      <c r="J17" s="326">
        <f t="shared" si="9"/>
        <v>1.2748959553102079E-2</v>
      </c>
      <c r="K17" s="326">
        <f t="shared" si="9"/>
        <v>9.2168924174014927E-3</v>
      </c>
      <c r="L17" s="326">
        <f>+L16/K12</f>
        <v>1.4429328166028342E-2</v>
      </c>
      <c r="M17" s="326">
        <f t="shared" si="9"/>
        <v>9.9607652300860734E-3</v>
      </c>
      <c r="N17" s="326">
        <f t="shared" si="9"/>
        <v>0</v>
      </c>
      <c r="O17" s="249"/>
      <c r="P17" s="16"/>
      <c r="Q17" s="137"/>
      <c r="R17" s="137"/>
      <c r="S17" s="137"/>
      <c r="T17" s="137"/>
      <c r="U17" s="137"/>
      <c r="V17" s="137"/>
      <c r="W17" s="137"/>
      <c r="X17" s="137"/>
      <c r="Y17" s="137"/>
      <c r="Z17" s="137"/>
    </row>
    <row r="18" spans="1:26" outlineLevel="1">
      <c r="A18" s="709" t="s">
        <v>92</v>
      </c>
      <c r="B18" s="280">
        <v>1533</v>
      </c>
      <c r="C18" s="281">
        <v>1478</v>
      </c>
      <c r="D18" s="281">
        <v>1404</v>
      </c>
      <c r="E18" s="281">
        <v>1332</v>
      </c>
      <c r="F18" s="247">
        <v>1332</v>
      </c>
      <c r="G18" s="320">
        <v>1228</v>
      </c>
      <c r="H18" s="320">
        <v>1264</v>
      </c>
      <c r="I18" s="320">
        <v>1112</v>
      </c>
      <c r="J18" s="320">
        <v>1332</v>
      </c>
      <c r="K18" s="320">
        <v>1202</v>
      </c>
      <c r="L18" s="320">
        <v>1317</v>
      </c>
      <c r="M18" s="320">
        <v>1311</v>
      </c>
      <c r="N18" s="320"/>
      <c r="O18" s="241"/>
      <c r="P18" s="16"/>
      <c r="Q18" s="137"/>
      <c r="R18" s="137"/>
      <c r="S18" s="137"/>
      <c r="T18" s="137"/>
      <c r="U18" s="137"/>
      <c r="V18" s="137"/>
      <c r="W18" s="137"/>
      <c r="X18" s="137"/>
      <c r="Y18" s="137"/>
      <c r="Z18" s="137"/>
    </row>
    <row r="19" spans="1:26">
      <c r="A19" s="710"/>
      <c r="B19" s="283"/>
      <c r="C19" s="292">
        <f t="shared" ref="C19:K19" si="10">+C18/B12</f>
        <v>7.0293921811091032E-3</v>
      </c>
      <c r="D19" s="292">
        <f t="shared" si="10"/>
        <v>6.7344912437223891E-3</v>
      </c>
      <c r="E19" s="292">
        <f t="shared" si="10"/>
        <v>6.4530194026596903E-3</v>
      </c>
      <c r="F19" s="326">
        <f t="shared" si="10"/>
        <v>6.5087051488157775E-3</v>
      </c>
      <c r="G19" s="326">
        <f t="shared" si="10"/>
        <v>6.0663244890801216E-3</v>
      </c>
      <c r="H19" s="326">
        <f t="shared" si="10"/>
        <v>6.2608971310825802E-3</v>
      </c>
      <c r="I19" s="326">
        <f t="shared" si="10"/>
        <v>5.510734037702936E-3</v>
      </c>
      <c r="J19" s="326">
        <f t="shared" si="10"/>
        <v>6.7521328527761302E-3</v>
      </c>
      <c r="K19" s="326">
        <f t="shared" si="10"/>
        <v>6.070523115461148E-3</v>
      </c>
      <c r="L19" s="326">
        <f>+L18/K12</f>
        <v>6.6631925647473098E-3</v>
      </c>
      <c r="M19" s="326">
        <f>+M18/L12</f>
        <v>6.6455792451108608E-3</v>
      </c>
      <c r="N19" s="326">
        <f>+N18/M12</f>
        <v>0</v>
      </c>
      <c r="O19" s="249"/>
      <c r="P19" s="16"/>
      <c r="Q19" s="137"/>
      <c r="R19" s="137"/>
      <c r="S19" s="137"/>
      <c r="T19" s="137"/>
      <c r="U19" s="137"/>
      <c r="V19" s="137"/>
      <c r="W19" s="137"/>
      <c r="X19" s="137"/>
      <c r="Y19" s="137"/>
      <c r="Z19" s="137"/>
    </row>
    <row r="20" spans="1:26">
      <c r="A20" s="711" t="s">
        <v>93</v>
      </c>
      <c r="B20" s="293">
        <v>474</v>
      </c>
      <c r="C20" s="290">
        <v>566</v>
      </c>
      <c r="D20" s="290">
        <v>1053</v>
      </c>
      <c r="E20" s="290">
        <v>2373</v>
      </c>
      <c r="F20" s="323">
        <v>2939</v>
      </c>
      <c r="G20" s="137">
        <v>1340</v>
      </c>
      <c r="H20" s="137">
        <v>1531</v>
      </c>
      <c r="I20" s="137">
        <v>1466</v>
      </c>
      <c r="J20" s="137">
        <v>1133</v>
      </c>
      <c r="K20" s="137">
        <v>1806</v>
      </c>
      <c r="L20" s="137">
        <v>1001</v>
      </c>
      <c r="M20" s="137">
        <v>505</v>
      </c>
      <c r="N20" s="137"/>
      <c r="O20" s="248"/>
      <c r="P20" s="16"/>
      <c r="Q20" s="137"/>
      <c r="R20" s="137"/>
      <c r="S20" s="137"/>
      <c r="T20" s="137"/>
      <c r="U20" s="137"/>
      <c r="V20" s="137"/>
      <c r="W20" s="137"/>
      <c r="X20" s="137"/>
      <c r="Y20" s="137"/>
      <c r="Z20" s="137"/>
    </row>
    <row r="21" spans="1:26">
      <c r="A21" s="710"/>
      <c r="B21" s="283"/>
      <c r="C21" s="292">
        <f t="shared" ref="C21:H21" si="11">+C20/B12</f>
        <v>2.691905260154095E-3</v>
      </c>
      <c r="D21" s="292">
        <f t="shared" si="11"/>
        <v>5.050868432791792E-3</v>
      </c>
      <c r="E21" s="292">
        <f t="shared" si="11"/>
        <v>1.1496257539423007E-2</v>
      </c>
      <c r="F21" s="326">
        <f t="shared" si="11"/>
        <v>1.4361174498775954E-2</v>
      </c>
      <c r="G21" s="326">
        <f t="shared" si="11"/>
        <v>6.6196048985076245E-3</v>
      </c>
      <c r="H21" s="326">
        <f t="shared" si="11"/>
        <v>7.5834125851957524E-3</v>
      </c>
      <c r="I21" s="326">
        <f t="shared" ref="I21:N21" si="12">+I20/H12</f>
        <v>7.2650504489860648E-3</v>
      </c>
      <c r="J21" s="326">
        <f t="shared" si="12"/>
        <v>5.7433682599064232E-3</v>
      </c>
      <c r="K21" s="326">
        <f t="shared" si="12"/>
        <v>9.1209357292203266E-3</v>
      </c>
      <c r="L21" s="326">
        <f t="shared" si="12"/>
        <v>5.0644310989461329E-3</v>
      </c>
      <c r="M21" s="326">
        <f t="shared" si="12"/>
        <v>2.5598913186735202E-3</v>
      </c>
      <c r="N21" s="326">
        <f t="shared" si="12"/>
        <v>0</v>
      </c>
      <c r="O21" s="249"/>
      <c r="P21" s="16"/>
      <c r="Q21" s="137"/>
      <c r="R21" s="137"/>
      <c r="S21" s="137"/>
      <c r="T21" s="137"/>
      <c r="U21" s="137"/>
      <c r="V21" s="137"/>
      <c r="W21" s="137"/>
      <c r="X21" s="137"/>
      <c r="Y21" s="137"/>
      <c r="Z21" s="137"/>
    </row>
    <row r="22" spans="1:26">
      <c r="A22" s="285"/>
      <c r="B22" s="286"/>
      <c r="C22" s="287"/>
      <c r="D22" s="287"/>
      <c r="E22" s="287"/>
      <c r="F22" s="286"/>
      <c r="G22" s="325"/>
      <c r="H22" s="325"/>
      <c r="I22" s="325"/>
      <c r="J22" s="325"/>
      <c r="K22" s="325"/>
      <c r="L22" s="325"/>
      <c r="M22" s="325"/>
      <c r="N22" s="325"/>
      <c r="O22" s="288"/>
      <c r="P22" s="16"/>
      <c r="Q22" s="137"/>
      <c r="R22" s="137"/>
      <c r="S22" s="137"/>
      <c r="T22" s="137"/>
      <c r="U22" s="137"/>
      <c r="V22" s="137"/>
      <c r="W22" s="137"/>
      <c r="X22" s="137"/>
      <c r="Y22" s="137"/>
      <c r="Z22" s="137"/>
    </row>
    <row r="23" spans="1:26">
      <c r="A23" s="336" t="s">
        <v>51</v>
      </c>
      <c r="B23" s="280">
        <v>131197</v>
      </c>
      <c r="C23" s="281">
        <v>132707</v>
      </c>
      <c r="D23" s="281">
        <v>132335</v>
      </c>
      <c r="E23" s="281">
        <v>134889</v>
      </c>
      <c r="F23" s="247">
        <v>134168</v>
      </c>
      <c r="G23" s="320">
        <v>132132</v>
      </c>
      <c r="H23" s="320">
        <v>132591</v>
      </c>
      <c r="I23" s="320">
        <v>137395</v>
      </c>
      <c r="J23" s="320">
        <v>140928</v>
      </c>
      <c r="K23" s="320">
        <v>142595</v>
      </c>
      <c r="L23" s="320">
        <v>144924</v>
      </c>
      <c r="M23" s="320">
        <v>140928</v>
      </c>
      <c r="N23" s="320"/>
      <c r="O23" s="327">
        <f>+(Resumen!B17*1000)*(M23/(M23+M46))</f>
        <v>184724.40851661045</v>
      </c>
      <c r="P23" s="16">
        <f>O23/Q23</f>
        <v>1.3744046453677965</v>
      </c>
      <c r="Q23" s="137">
        <v>134403.21897862724</v>
      </c>
      <c r="R23" s="137">
        <v>136945.65909999557</v>
      </c>
      <c r="S23" s="137">
        <v>140368.05143348224</v>
      </c>
      <c r="T23" s="137">
        <v>141781.47276389675</v>
      </c>
      <c r="U23" s="137">
        <v>144154.88091170893</v>
      </c>
      <c r="V23" s="137">
        <v>145114.72596264872</v>
      </c>
      <c r="W23" s="137">
        <v>146587.00027515794</v>
      </c>
      <c r="X23" s="137">
        <v>148442.13072972753</v>
      </c>
      <c r="Y23" s="137">
        <v>150155.03221609126</v>
      </c>
      <c r="Z23" s="137">
        <v>153835.01916303855</v>
      </c>
    </row>
    <row r="24" spans="1:26">
      <c r="A24" s="337" t="s">
        <v>45</v>
      </c>
      <c r="B24" s="295">
        <v>0.624</v>
      </c>
      <c r="C24" s="278">
        <v>0.63700000000000001</v>
      </c>
      <c r="D24" s="278">
        <v>0.64100000000000001</v>
      </c>
      <c r="E24" s="278">
        <v>0.65900000000000003</v>
      </c>
      <c r="F24" s="163">
        <f t="shared" ref="F24:K24" si="13">+F23/F12</f>
        <v>0.66279041046490372</v>
      </c>
      <c r="G24" s="163">
        <f t="shared" si="13"/>
        <v>0.6544816928197813</v>
      </c>
      <c r="H24" s="163">
        <f t="shared" si="13"/>
        <v>0.65708069855491902</v>
      </c>
      <c r="I24" s="163">
        <f t="shared" si="13"/>
        <v>0.69647844842881113</v>
      </c>
      <c r="J24" s="163">
        <f t="shared" si="13"/>
        <v>0.71173600799975756</v>
      </c>
      <c r="K24" s="163">
        <f t="shared" si="13"/>
        <v>0.721441111442781</v>
      </c>
      <c r="L24" s="163">
        <f>+L23/L12</f>
        <v>0.73463304845037869</v>
      </c>
      <c r="M24" s="163">
        <f>+M23/M12</f>
        <v>0.70397122733403272</v>
      </c>
      <c r="N24" s="163" t="e">
        <f>+N23/N12</f>
        <v>#DIV/0!</v>
      </c>
      <c r="O24" s="308">
        <f>+O23/O12</f>
        <v>0.9031446961802585</v>
      </c>
      <c r="P24" s="16">
        <f>O24/Q24</f>
        <v>1.3523798993361384</v>
      </c>
      <c r="Q24" s="163">
        <v>0.66781878126375416</v>
      </c>
      <c r="R24" s="163">
        <v>0.67171832668942377</v>
      </c>
      <c r="S24" s="163">
        <v>0.67894456879661502</v>
      </c>
      <c r="T24" s="163">
        <v>0.67969454893068015</v>
      </c>
      <c r="U24" s="163">
        <v>0.68962740974926151</v>
      </c>
      <c r="V24" s="163">
        <v>0.69148861138389817</v>
      </c>
      <c r="W24" s="163">
        <v>0.69474432382859741</v>
      </c>
      <c r="X24" s="163">
        <v>0.69909248335865559</v>
      </c>
      <c r="Y24" s="163">
        <v>0.70246326950014137</v>
      </c>
      <c r="Z24" s="163">
        <v>0.71428732871780143</v>
      </c>
    </row>
    <row r="25" spans="1:26">
      <c r="A25" s="338" t="s">
        <v>94</v>
      </c>
      <c r="B25" s="283">
        <v>1075</v>
      </c>
      <c r="C25" s="284">
        <v>1165</v>
      </c>
      <c r="D25" s="284">
        <v>1210</v>
      </c>
      <c r="E25" s="284">
        <v>1403</v>
      </c>
      <c r="F25" s="328">
        <f t="shared" ref="F25:K25" si="14">+F5/F23</f>
        <v>1248.3868672638782</v>
      </c>
      <c r="G25" s="328">
        <f t="shared" si="14"/>
        <v>1060.2111289845004</v>
      </c>
      <c r="H25" s="328">
        <f t="shared" si="14"/>
        <v>1492.5664421486376</v>
      </c>
      <c r="I25" s="328">
        <f t="shared" si="14"/>
        <v>1360.278132048255</v>
      </c>
      <c r="J25" s="328">
        <f t="shared" si="14"/>
        <v>1535.1066505072092</v>
      </c>
      <c r="K25" s="328">
        <f t="shared" si="14"/>
        <v>1499.85262639237</v>
      </c>
      <c r="L25" s="328">
        <f>+L5/L23</f>
        <v>1690.3180151590489</v>
      </c>
      <c r="M25" s="328">
        <f>+M5/M23</f>
        <v>1759.8345092059064</v>
      </c>
      <c r="N25" s="328" t="e">
        <f>+N5/N23</f>
        <v>#REF!</v>
      </c>
      <c r="O25" s="249" t="e">
        <f>+O5/O23</f>
        <v>#REF!</v>
      </c>
      <c r="P25" s="16" t="e">
        <f>O25/Q25</f>
        <v>#REF!</v>
      </c>
      <c r="Q25" s="137">
        <v>1209.3529345684906</v>
      </c>
      <c r="R25" s="137">
        <v>1152.715829589551</v>
      </c>
      <c r="S25" s="137">
        <v>1235.1549475508621</v>
      </c>
      <c r="T25" s="137">
        <v>1173.8694126435357</v>
      </c>
      <c r="U25" s="137">
        <v>1272.6469620625162</v>
      </c>
      <c r="V25" s="137">
        <v>1207.1561659009478</v>
      </c>
      <c r="W25" s="137">
        <v>1173.9363203457497</v>
      </c>
      <c r="X25" s="137">
        <v>1241.7110506004547</v>
      </c>
      <c r="Y25" s="137">
        <v>1273.6861234775331</v>
      </c>
      <c r="Z25" s="137">
        <v>1367.1598334392822</v>
      </c>
    </row>
    <row r="26" spans="1:26">
      <c r="P26" s="18"/>
    </row>
    <row r="27" spans="1:26">
      <c r="A27" s="250" t="s">
        <v>95</v>
      </c>
      <c r="B27" s="296">
        <v>202009</v>
      </c>
      <c r="C27" s="297">
        <v>202010</v>
      </c>
      <c r="D27" s="297">
        <v>202011</v>
      </c>
      <c r="E27" s="298">
        <v>202012</v>
      </c>
      <c r="F27" s="297">
        <v>202101</v>
      </c>
      <c r="G27" s="297">
        <v>202102</v>
      </c>
      <c r="H27" s="297">
        <f>H3</f>
        <v>202103</v>
      </c>
      <c r="I27" s="297">
        <v>202104</v>
      </c>
      <c r="J27" s="297">
        <v>202105</v>
      </c>
      <c r="K27" s="297">
        <v>202106</v>
      </c>
      <c r="L27" s="297">
        <v>202107</v>
      </c>
      <c r="M27" s="297">
        <v>202108</v>
      </c>
      <c r="N27" s="297">
        <v>202109</v>
      </c>
      <c r="O27" s="246" t="str">
        <f>O3</f>
        <v>Proyec Set</v>
      </c>
      <c r="P27" s="18"/>
    </row>
    <row r="28" spans="1:26">
      <c r="A28" s="236" t="s">
        <v>6</v>
      </c>
      <c r="B28" s="226"/>
      <c r="C28" s="226"/>
      <c r="D28" s="226"/>
      <c r="E28" s="226"/>
      <c r="F28" s="225"/>
      <c r="G28" s="226"/>
      <c r="H28" s="226"/>
      <c r="I28" s="226"/>
      <c r="J28" s="226"/>
      <c r="K28" s="226"/>
      <c r="L28" s="226"/>
      <c r="M28" s="226"/>
      <c r="N28" s="226"/>
      <c r="O28" s="268"/>
      <c r="P28" s="18"/>
    </row>
    <row r="29" spans="1:26">
      <c r="A29" s="237" t="s">
        <v>86</v>
      </c>
      <c r="B29" s="228">
        <v>381763220.86331999</v>
      </c>
      <c r="C29" s="228">
        <v>421533189.61707997</v>
      </c>
      <c r="D29" s="228">
        <v>440063755.34575999</v>
      </c>
      <c r="E29" s="228">
        <v>520043483.21179003</v>
      </c>
      <c r="F29" s="227">
        <v>461973937.69951999</v>
      </c>
      <c r="G29" s="137">
        <v>396801271.10711998</v>
      </c>
      <c r="H29" s="137">
        <v>550601957.74423003</v>
      </c>
      <c r="I29" s="137">
        <v>519904201.65730995</v>
      </c>
      <c r="J29" s="137">
        <v>593497952.80394006</v>
      </c>
      <c r="K29" s="137">
        <v>590049428.71165001</v>
      </c>
      <c r="L29" s="137">
        <v>675332955.42190003</v>
      </c>
      <c r="M29" s="137">
        <v>686476850.84742999</v>
      </c>
      <c r="N29" s="318" t="e">
        <f>(Resumen!#REF!+Resumen!#REF!)*1000000</f>
        <v>#REF!</v>
      </c>
      <c r="O29" s="241" t="e">
        <f>Resumen!B5*(Resumen!#REF!+Resumen!#REF!)*1000000</f>
        <v>#REF!</v>
      </c>
      <c r="P29" s="16" t="e">
        <f>O29/R29</f>
        <v>#REF!</v>
      </c>
      <c r="Q29" s="241">
        <v>447884093</v>
      </c>
      <c r="R29" s="241">
        <v>426373545</v>
      </c>
      <c r="S29" s="241">
        <v>449966199.46212435</v>
      </c>
      <c r="T29" s="241">
        <v>423376084.1131503</v>
      </c>
      <c r="U29" s="241">
        <v>465668783.28495264</v>
      </c>
      <c r="V29" s="241">
        <v>443450686.04584843</v>
      </c>
      <c r="W29" s="241">
        <v>432859172.23022711</v>
      </c>
      <c r="X29" s="241">
        <v>463382762.62784249</v>
      </c>
      <c r="Y29" s="241">
        <v>482528195.55032665</v>
      </c>
      <c r="Z29" s="241">
        <v>529790008.00552821</v>
      </c>
    </row>
    <row r="30" spans="1:26">
      <c r="A30" s="238" t="s">
        <v>24</v>
      </c>
      <c r="B30" s="228">
        <v>381639741.78801</v>
      </c>
      <c r="C30" s="228">
        <v>415519089.56246197</v>
      </c>
      <c r="D30" s="228">
        <v>423738881.65834796</v>
      </c>
      <c r="E30" s="228">
        <v>452612964.636186</v>
      </c>
      <c r="F30" s="227">
        <v>395005506.08486962</v>
      </c>
      <c r="G30" s="329">
        <v>386989132.14989901</v>
      </c>
      <c r="H30" s="319">
        <v>424733791.03381503</v>
      </c>
      <c r="I30" s="319">
        <v>405988191.48197877</v>
      </c>
      <c r="J30" s="319">
        <v>435297606.51775199</v>
      </c>
      <c r="K30" s="319">
        <v>411128128.84935153</v>
      </c>
      <c r="L30" s="319">
        <v>451880124.33007997</v>
      </c>
      <c r="M30" s="319">
        <v>430037930.94462854</v>
      </c>
      <c r="N30" s="319">
        <v>419509160.0354678</v>
      </c>
      <c r="O30" s="242"/>
      <c r="P30" s="18"/>
      <c r="Q30" s="242"/>
      <c r="R30" s="242"/>
      <c r="S30" s="242"/>
      <c r="T30" s="242"/>
      <c r="U30" s="242"/>
      <c r="V30" s="242"/>
      <c r="W30" s="242"/>
      <c r="X30" s="242"/>
      <c r="Y30" s="242"/>
      <c r="Z30" s="242"/>
    </row>
    <row r="31" spans="1:26">
      <c r="A31" s="238" t="s">
        <v>87</v>
      </c>
      <c r="B31" s="230">
        <f t="shared" ref="B31:N31" si="15">B29/B30</f>
        <v>1.0003235487864326</v>
      </c>
      <c r="C31" s="230">
        <f t="shared" si="15"/>
        <v>1.0144737033885756</v>
      </c>
      <c r="D31" s="230">
        <f t="shared" si="15"/>
        <v>1.0385257865021091</v>
      </c>
      <c r="E31" s="235">
        <f t="shared" si="15"/>
        <v>1.1489805282749803</v>
      </c>
      <c r="F31" s="16">
        <f t="shared" si="15"/>
        <v>1.1695379699346817</v>
      </c>
      <c r="G31" s="16">
        <f t="shared" si="15"/>
        <v>1.0253550762594033</v>
      </c>
      <c r="H31" s="16">
        <f t="shared" si="15"/>
        <v>1.2963460157103301</v>
      </c>
      <c r="I31" s="16">
        <f t="shared" si="15"/>
        <v>1.2805894668007549</v>
      </c>
      <c r="J31" s="16">
        <f t="shared" si="15"/>
        <v>1.3634303150705158</v>
      </c>
      <c r="K31" s="16">
        <f t="shared" si="15"/>
        <v>1.4351959579196296</v>
      </c>
      <c r="L31" s="16">
        <f t="shared" si="15"/>
        <v>1.4944958166130735</v>
      </c>
      <c r="M31" s="16">
        <f t="shared" si="15"/>
        <v>1.5963169791546141</v>
      </c>
      <c r="N31" s="16" t="e">
        <f t="shared" si="15"/>
        <v>#REF!</v>
      </c>
      <c r="O31" s="243" t="e">
        <f>O29/N30</f>
        <v>#REF!</v>
      </c>
      <c r="P31" s="18"/>
      <c r="Q31" s="243"/>
      <c r="R31" s="243"/>
      <c r="S31" s="243"/>
      <c r="T31" s="243"/>
      <c r="U31" s="243"/>
      <c r="V31" s="243"/>
      <c r="W31" s="243"/>
      <c r="X31" s="243"/>
      <c r="Y31" s="243"/>
      <c r="Z31" s="243"/>
    </row>
    <row r="32" spans="1:26">
      <c r="A32" s="239" t="s">
        <v>88</v>
      </c>
      <c r="B32" s="299">
        <f t="shared" ref="B32:O32" si="16">+B29/(B29+B5)</f>
        <v>0.73014600379026207</v>
      </c>
      <c r="C32" s="299">
        <f t="shared" si="16"/>
        <v>0.73161374313636307</v>
      </c>
      <c r="D32" s="299">
        <f t="shared" si="16"/>
        <v>0.73322094693270556</v>
      </c>
      <c r="E32" s="300">
        <f t="shared" si="16"/>
        <v>0.73315935690033662</v>
      </c>
      <c r="F32" s="299">
        <f t="shared" si="16"/>
        <v>0.73391228718034862</v>
      </c>
      <c r="G32" s="299">
        <f t="shared" si="16"/>
        <v>0.73907494112744554</v>
      </c>
      <c r="H32" s="299">
        <f t="shared" si="16"/>
        <v>0.73560437194077277</v>
      </c>
      <c r="I32" s="299">
        <f t="shared" si="16"/>
        <v>0.73557510527018366</v>
      </c>
      <c r="J32" s="299">
        <f t="shared" si="16"/>
        <v>0.73286058009438637</v>
      </c>
      <c r="K32" s="299">
        <f t="shared" si="16"/>
        <v>0.73396452120680822</v>
      </c>
      <c r="L32" s="299">
        <f t="shared" si="16"/>
        <v>0.7338177905019666</v>
      </c>
      <c r="M32" s="299">
        <f t="shared" si="16"/>
        <v>0.73460304046952862</v>
      </c>
      <c r="N32" s="299" t="e">
        <f t="shared" si="16"/>
        <v>#REF!</v>
      </c>
      <c r="O32" s="245" t="e">
        <f t="shared" si="16"/>
        <v>#REF!</v>
      </c>
      <c r="P32" s="18"/>
      <c r="Q32" s="245">
        <f>+Q29/(Q29+Q5)</f>
        <v>0.73369085479547036</v>
      </c>
      <c r="R32" s="245">
        <f>+R29/(R29+R5)</f>
        <v>0.729800548710556</v>
      </c>
      <c r="S32" s="245">
        <f>+S29/(S29+S5)</f>
        <v>0.72305300181644305</v>
      </c>
      <c r="T32" s="245"/>
      <c r="U32" s="245"/>
      <c r="V32" s="245"/>
      <c r="W32" s="245"/>
      <c r="X32" s="245"/>
      <c r="Y32" s="245"/>
      <c r="Z32" s="245"/>
    </row>
    <row r="33" spans="1:26">
      <c r="A33" s="5"/>
      <c r="B33" s="278"/>
      <c r="C33" s="278"/>
      <c r="D33" s="278"/>
      <c r="E33" s="278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8"/>
    </row>
    <row r="34" spans="1:26">
      <c r="A34" s="279" t="s">
        <v>89</v>
      </c>
      <c r="B34" s="280">
        <v>8096</v>
      </c>
      <c r="C34" s="281">
        <v>10022</v>
      </c>
      <c r="D34" s="281">
        <v>9427</v>
      </c>
      <c r="E34" s="281">
        <v>12024</v>
      </c>
      <c r="F34" s="247">
        <v>13117</v>
      </c>
      <c r="G34" s="320">
        <v>11522</v>
      </c>
      <c r="H34" s="320">
        <f>14761+19</f>
        <v>14780</v>
      </c>
      <c r="I34" s="320">
        <v>14659</v>
      </c>
      <c r="J34" s="320">
        <v>20057</v>
      </c>
      <c r="K34" s="320">
        <v>17360</v>
      </c>
      <c r="L34" s="320">
        <v>16977</v>
      </c>
      <c r="M34" s="320">
        <v>20896</v>
      </c>
      <c r="N34" s="320">
        <v>4281</v>
      </c>
      <c r="O34" s="321" t="e">
        <f>+(Resumen!#REF!*1000)*(N34/(N10+N34))</f>
        <v>#REF!</v>
      </c>
      <c r="P34" s="16" t="e">
        <f>O34/Q34</f>
        <v>#REF!</v>
      </c>
      <c r="Q34" s="137">
        <v>14058.995505999999</v>
      </c>
      <c r="R34" s="137">
        <v>13553.213078999999</v>
      </c>
      <c r="S34" s="137">
        <v>14358.757641999997</v>
      </c>
      <c r="T34" s="137">
        <v>14320.435771</v>
      </c>
      <c r="U34" s="137">
        <v>15093.023012</v>
      </c>
      <c r="V34" s="137">
        <v>15598.821713000001</v>
      </c>
      <c r="W34" s="137">
        <v>15985.883971000001</v>
      </c>
      <c r="X34" s="137">
        <v>15847.769211000003</v>
      </c>
      <c r="Y34" s="137">
        <v>15994.479424000003</v>
      </c>
      <c r="Z34" s="137">
        <v>15436.278535700001</v>
      </c>
    </row>
    <row r="35" spans="1:26">
      <c r="A35" s="294"/>
      <c r="B35" s="293"/>
      <c r="C35" s="290"/>
      <c r="D35" s="290"/>
      <c r="E35" s="290"/>
      <c r="F35" s="323"/>
      <c r="G35" s="137"/>
      <c r="H35" s="137"/>
      <c r="I35" s="137"/>
      <c r="J35" s="137"/>
      <c r="K35" s="137"/>
      <c r="L35" s="137"/>
      <c r="M35" s="137"/>
      <c r="N35" s="137"/>
      <c r="O35" s="324"/>
      <c r="P35" s="16"/>
      <c r="Q35" s="137"/>
      <c r="R35" s="137"/>
      <c r="S35" s="137"/>
      <c r="T35" s="137"/>
      <c r="U35" s="137"/>
      <c r="V35" s="137"/>
      <c r="W35" s="137"/>
      <c r="X35" s="137"/>
      <c r="Y35" s="137"/>
      <c r="Z35" s="137"/>
    </row>
    <row r="36" spans="1:26">
      <c r="A36" s="282" t="s">
        <v>38</v>
      </c>
      <c r="B36" s="283">
        <v>683425</v>
      </c>
      <c r="C36" s="284">
        <v>680848</v>
      </c>
      <c r="D36" s="284">
        <v>677354</v>
      </c>
      <c r="E36" s="284">
        <v>671961</v>
      </c>
      <c r="F36" s="330">
        <v>662929</v>
      </c>
      <c r="G36" s="331">
        <f>644191+16780</f>
        <v>660971</v>
      </c>
      <c r="H36" s="331">
        <f>647456+16303</f>
        <v>663759</v>
      </c>
      <c r="I36" s="331">
        <f>623075+14183</f>
        <v>637258</v>
      </c>
      <c r="J36" s="331">
        <v>643959</v>
      </c>
      <c r="K36" s="331">
        <v>644142</v>
      </c>
      <c r="L36" s="331">
        <v>646658</v>
      </c>
      <c r="M36" s="331">
        <v>660069</v>
      </c>
      <c r="N36" s="331"/>
      <c r="O36" s="332">
        <f>+(Resumen!B33*1000)*(M36/(M12+M36))</f>
        <v>674394.32322242483</v>
      </c>
      <c r="P36" s="16">
        <f>O36/Q36</f>
        <v>1.0274270515770527</v>
      </c>
      <c r="Q36" s="137">
        <v>656391.44130696286</v>
      </c>
      <c r="R36" s="137">
        <v>648783.69818264619</v>
      </c>
      <c r="S36" s="137">
        <v>642386.72071834723</v>
      </c>
      <c r="T36" s="137">
        <v>631932.90678389918</v>
      </c>
      <c r="U36" s="137">
        <v>632426.32804766682</v>
      </c>
      <c r="V36" s="137">
        <v>634263.211165527</v>
      </c>
      <c r="W36" s="137">
        <v>637281.78895705682</v>
      </c>
      <c r="X36" s="137">
        <v>640861.62592249911</v>
      </c>
      <c r="Y36" s="137">
        <v>644748.71613991249</v>
      </c>
      <c r="Z36" s="137">
        <v>648923.31850144896</v>
      </c>
    </row>
    <row r="37" spans="1:26">
      <c r="A37" s="301"/>
      <c r="B37" s="302"/>
      <c r="C37" s="303"/>
      <c r="D37" s="303"/>
      <c r="E37" s="303"/>
      <c r="F37" s="302"/>
      <c r="G37" s="333"/>
      <c r="H37" s="333"/>
      <c r="I37" s="333"/>
      <c r="J37" s="333"/>
      <c r="K37" s="333"/>
      <c r="L37" s="333"/>
      <c r="M37" s="333"/>
      <c r="N37" s="333"/>
      <c r="O37" s="304"/>
      <c r="P37" s="16"/>
      <c r="Q37" s="137"/>
      <c r="R37" s="137"/>
      <c r="S37" s="137"/>
      <c r="T37" s="137"/>
      <c r="U37" s="137"/>
      <c r="V37" s="137"/>
      <c r="W37" s="137"/>
      <c r="X37" s="137"/>
      <c r="Y37" s="137"/>
      <c r="Z37" s="137"/>
    </row>
    <row r="38" spans="1:26">
      <c r="A38" s="279" t="s">
        <v>90</v>
      </c>
      <c r="B38" s="289"/>
      <c r="C38" s="281">
        <v>10673</v>
      </c>
      <c r="D38" s="281">
        <v>13516</v>
      </c>
      <c r="E38" s="281">
        <v>14820</v>
      </c>
      <c r="F38" s="247">
        <v>21056</v>
      </c>
      <c r="G38" s="320">
        <v>13478</v>
      </c>
      <c r="H38" s="320">
        <f t="shared" ref="H38:N38" si="17">+G36+H34-H36</f>
        <v>11992</v>
      </c>
      <c r="I38" s="320">
        <f t="shared" si="17"/>
        <v>41160</v>
      </c>
      <c r="J38" s="320">
        <f t="shared" si="17"/>
        <v>13356</v>
      </c>
      <c r="K38" s="320">
        <f t="shared" si="17"/>
        <v>17177</v>
      </c>
      <c r="L38" s="320">
        <f t="shared" si="17"/>
        <v>14461</v>
      </c>
      <c r="M38" s="320">
        <f t="shared" si="17"/>
        <v>7485</v>
      </c>
      <c r="N38" s="320">
        <f t="shared" si="17"/>
        <v>664350</v>
      </c>
      <c r="O38" s="241" t="e">
        <f>+G36+O34-O36</f>
        <v>#REF!</v>
      </c>
      <c r="P38" s="16" t="e">
        <f>O38/Q38</f>
        <v>#REF!</v>
      </c>
      <c r="Q38" s="137">
        <v>18640.554199037189</v>
      </c>
      <c r="R38" s="137">
        <v>17799.974692497053</v>
      </c>
      <c r="S38" s="137">
        <v>17394.753595479258</v>
      </c>
      <c r="T38" s="137">
        <v>21413.268194628443</v>
      </c>
      <c r="U38" s="137">
        <v>14599.60174823237</v>
      </c>
      <c r="V38" s="137">
        <v>13761.938595139722</v>
      </c>
      <c r="W38" s="137">
        <v>12967.306179470181</v>
      </c>
      <c r="X38" s="137">
        <v>12267.932245557706</v>
      </c>
      <c r="Y38" s="137">
        <v>12107.389206586695</v>
      </c>
      <c r="Z38" s="137">
        <v>11261.676174163573</v>
      </c>
    </row>
    <row r="39" spans="1:26">
      <c r="A39" s="709" t="s">
        <v>91</v>
      </c>
      <c r="B39" s="280">
        <v>11887</v>
      </c>
      <c r="C39" s="281">
        <v>14830</v>
      </c>
      <c r="D39" s="281">
        <v>11935</v>
      </c>
      <c r="E39" s="281">
        <v>10043</v>
      </c>
      <c r="F39" s="247">
        <v>9055</v>
      </c>
      <c r="G39" s="320">
        <v>8887</v>
      </c>
      <c r="H39" s="320">
        <v>8502</v>
      </c>
      <c r="I39" s="320">
        <v>8108</v>
      </c>
      <c r="J39" s="320">
        <v>8848</v>
      </c>
      <c r="K39" s="320">
        <v>7087</v>
      </c>
      <c r="L39" s="320">
        <v>10627</v>
      </c>
      <c r="M39" s="320">
        <v>6856</v>
      </c>
      <c r="N39" s="320"/>
      <c r="O39" s="241"/>
      <c r="P39" s="16"/>
      <c r="Q39" s="137"/>
      <c r="R39" s="137"/>
      <c r="S39" s="137"/>
      <c r="T39" s="137"/>
      <c r="U39" s="137"/>
      <c r="V39" s="137"/>
      <c r="W39" s="137"/>
      <c r="X39" s="137"/>
      <c r="Y39" s="137"/>
      <c r="Z39" s="137"/>
    </row>
    <row r="40" spans="1:26">
      <c r="A40" s="710"/>
      <c r="B40" s="291"/>
      <c r="C40" s="292">
        <f t="shared" ref="C40:K40" si="18">+C39/B36</f>
        <v>2.1699528112082526E-2</v>
      </c>
      <c r="D40" s="292">
        <f t="shared" si="18"/>
        <v>1.75296101332456E-2</v>
      </c>
      <c r="E40" s="292">
        <f t="shared" si="18"/>
        <v>1.4826811386660447E-2</v>
      </c>
      <c r="F40" s="326">
        <f t="shared" si="18"/>
        <v>1.3475484440317221E-2</v>
      </c>
      <c r="G40" s="326">
        <f t="shared" si="18"/>
        <v>1.3405658826209142E-2</v>
      </c>
      <c r="H40" s="326">
        <f t="shared" si="18"/>
        <v>1.2862894136051354E-2</v>
      </c>
      <c r="I40" s="326">
        <f t="shared" si="18"/>
        <v>1.2215276930331642E-2</v>
      </c>
      <c r="J40" s="326">
        <f t="shared" si="18"/>
        <v>1.3884486346189455E-2</v>
      </c>
      <c r="K40" s="326">
        <f t="shared" si="18"/>
        <v>1.100535903683309E-2</v>
      </c>
      <c r="L40" s="326">
        <f>+L39/K36</f>
        <v>1.6497915055996969E-2</v>
      </c>
      <c r="M40" s="326">
        <f>+M39/L36</f>
        <v>1.0602203947063208E-2</v>
      </c>
      <c r="N40" s="326">
        <f>+N39/M36</f>
        <v>0</v>
      </c>
      <c r="O40" s="249"/>
      <c r="P40" s="16"/>
      <c r="Q40" s="137"/>
      <c r="R40" s="137"/>
      <c r="S40" s="137"/>
      <c r="T40" s="137"/>
      <c r="U40" s="137"/>
      <c r="V40" s="137"/>
      <c r="W40" s="137"/>
      <c r="X40" s="137"/>
      <c r="Y40" s="137"/>
      <c r="Z40" s="137"/>
    </row>
    <row r="41" spans="1:26">
      <c r="A41" s="709" t="s">
        <v>92</v>
      </c>
      <c r="B41" s="280">
        <v>4437</v>
      </c>
      <c r="C41" s="281">
        <v>4277</v>
      </c>
      <c r="D41" s="281">
        <v>3862</v>
      </c>
      <c r="E41" s="281">
        <v>3859</v>
      </c>
      <c r="F41" s="247">
        <v>3902</v>
      </c>
      <c r="G41" s="320">
        <v>3521</v>
      </c>
      <c r="H41" s="320">
        <v>3744</v>
      </c>
      <c r="I41" s="320">
        <v>3464</v>
      </c>
      <c r="J41" s="320">
        <v>4346</v>
      </c>
      <c r="K41" s="320">
        <v>4183</v>
      </c>
      <c r="L41" s="320">
        <v>4344</v>
      </c>
      <c r="M41" s="320">
        <v>5110</v>
      </c>
      <c r="N41" s="320"/>
      <c r="O41" s="241"/>
      <c r="P41" s="16"/>
      <c r="Q41" s="137"/>
      <c r="R41" s="137"/>
      <c r="S41" s="137"/>
      <c r="T41" s="137"/>
      <c r="U41" s="137"/>
      <c r="V41" s="137"/>
      <c r="W41" s="137"/>
      <c r="X41" s="137"/>
      <c r="Y41" s="137"/>
      <c r="Z41" s="137"/>
    </row>
    <row r="42" spans="1:26">
      <c r="A42" s="710"/>
      <c r="B42" s="283"/>
      <c r="C42" s="292">
        <f t="shared" ref="C42:H42" si="19">+C41/B36</f>
        <v>6.2581848776383656E-3</v>
      </c>
      <c r="D42" s="292">
        <f t="shared" si="19"/>
        <v>5.6723380255211146E-3</v>
      </c>
      <c r="E42" s="292">
        <f t="shared" si="19"/>
        <v>5.6971686887506388E-3</v>
      </c>
      <c r="F42" s="326">
        <f t="shared" si="19"/>
        <v>5.8068846257446488E-3</v>
      </c>
      <c r="G42" s="326">
        <f t="shared" si="19"/>
        <v>5.3112776783034079E-3</v>
      </c>
      <c r="H42" s="326">
        <f t="shared" si="19"/>
        <v>5.6643937479859173E-3</v>
      </c>
      <c r="I42" s="326">
        <f t="shared" ref="I42:N42" si="20">+I41/H36</f>
        <v>5.2187616288442039E-3</v>
      </c>
      <c r="J42" s="326">
        <f t="shared" si="20"/>
        <v>6.8198437681441428E-3</v>
      </c>
      <c r="K42" s="326">
        <f t="shared" si="20"/>
        <v>6.4957551645368726E-3</v>
      </c>
      <c r="L42" s="326">
        <f t="shared" si="20"/>
        <v>6.7438546159076726E-3</v>
      </c>
      <c r="M42" s="326">
        <f t="shared" si="20"/>
        <v>7.9021677610112296E-3</v>
      </c>
      <c r="N42" s="326">
        <f t="shared" si="20"/>
        <v>0</v>
      </c>
      <c r="O42" s="249"/>
      <c r="P42" s="16"/>
      <c r="Q42" s="137"/>
      <c r="R42" s="137"/>
      <c r="S42" s="137"/>
      <c r="T42" s="137"/>
      <c r="U42" s="137"/>
      <c r="V42" s="137"/>
      <c r="W42" s="137"/>
      <c r="X42" s="137"/>
      <c r="Y42" s="137"/>
      <c r="Z42" s="137"/>
    </row>
    <row r="43" spans="1:26">
      <c r="A43" s="711" t="s">
        <v>93</v>
      </c>
      <c r="B43" s="293">
        <v>1893</v>
      </c>
      <c r="C43" s="290">
        <v>2000</v>
      </c>
      <c r="D43" s="290">
        <v>3778</v>
      </c>
      <c r="E43" s="290">
        <v>8875</v>
      </c>
      <c r="F43" s="323">
        <v>12286</v>
      </c>
      <c r="G43" s="137">
        <v>5111</v>
      </c>
      <c r="H43" s="137">
        <v>5388</v>
      </c>
      <c r="I43" s="137">
        <v>5377</v>
      </c>
      <c r="J43" s="137">
        <v>4709</v>
      </c>
      <c r="K43" s="137">
        <v>8144</v>
      </c>
      <c r="L43" s="137">
        <v>3827</v>
      </c>
      <c r="M43" s="137">
        <v>2205</v>
      </c>
      <c r="N43" s="137"/>
      <c r="O43" s="248"/>
      <c r="P43" s="16"/>
      <c r="Q43" s="137"/>
      <c r="R43" s="137"/>
      <c r="S43" s="137"/>
      <c r="T43" s="137"/>
      <c r="U43" s="137"/>
      <c r="V43" s="137"/>
      <c r="W43" s="137"/>
      <c r="X43" s="137"/>
      <c r="Y43" s="137"/>
      <c r="Z43" s="137"/>
    </row>
    <row r="44" spans="1:26">
      <c r="A44" s="710"/>
      <c r="B44" s="283"/>
      <c r="C44" s="292">
        <f t="shared" ref="C44:H44" si="21">+C43/B36</f>
        <v>2.9264366975161869E-3</v>
      </c>
      <c r="D44" s="292">
        <f t="shared" si="21"/>
        <v>5.5489624703311162E-3</v>
      </c>
      <c r="E44" s="292">
        <f t="shared" si="21"/>
        <v>1.3102454551091453E-2</v>
      </c>
      <c r="F44" s="326">
        <f t="shared" si="21"/>
        <v>1.8283799208585021E-2</v>
      </c>
      <c r="G44" s="326">
        <f t="shared" si="21"/>
        <v>7.7097245708062255E-3</v>
      </c>
      <c r="H44" s="326">
        <f t="shared" si="21"/>
        <v>8.1516435668130671E-3</v>
      </c>
      <c r="I44" s="326">
        <f t="shared" ref="I44:N44" si="22">+I43/H36</f>
        <v>8.1008317777988698E-3</v>
      </c>
      <c r="J44" s="326">
        <f t="shared" si="22"/>
        <v>7.3894717681064811E-3</v>
      </c>
      <c r="K44" s="326">
        <f t="shared" si="22"/>
        <v>1.2646767884290771E-2</v>
      </c>
      <c r="L44" s="326">
        <f t="shared" si="22"/>
        <v>5.941236559640576E-3</v>
      </c>
      <c r="M44" s="326">
        <f t="shared" si="22"/>
        <v>3.4098395133130648E-3</v>
      </c>
      <c r="N44" s="326">
        <f t="shared" si="22"/>
        <v>0</v>
      </c>
      <c r="O44" s="249"/>
      <c r="P44" s="16"/>
      <c r="Q44" s="137"/>
      <c r="R44" s="137"/>
      <c r="S44" s="137"/>
      <c r="T44" s="137"/>
      <c r="U44" s="137"/>
      <c r="V44" s="137"/>
      <c r="W44" s="137"/>
      <c r="X44" s="137"/>
      <c r="Y44" s="137"/>
      <c r="Z44" s="137"/>
    </row>
    <row r="45" spans="1:26">
      <c r="A45" s="301"/>
      <c r="B45" s="302"/>
      <c r="C45" s="303"/>
      <c r="D45" s="303"/>
      <c r="E45" s="303"/>
      <c r="F45" s="302"/>
      <c r="G45" s="333"/>
      <c r="H45" s="333"/>
      <c r="I45" s="333"/>
      <c r="J45" s="333"/>
      <c r="K45" s="333"/>
      <c r="L45" s="333"/>
      <c r="M45" s="333"/>
      <c r="N45" s="333"/>
      <c r="O45" s="304"/>
      <c r="P45" s="16"/>
      <c r="Q45" s="137"/>
      <c r="R45" s="137"/>
      <c r="S45" s="137"/>
      <c r="T45" s="137"/>
      <c r="U45" s="137"/>
      <c r="V45" s="137"/>
      <c r="W45" s="137"/>
      <c r="X45" s="137"/>
      <c r="Y45" s="137"/>
      <c r="Z45" s="137"/>
    </row>
    <row r="46" spans="1:26">
      <c r="A46" s="279" t="s">
        <v>51</v>
      </c>
      <c r="B46" s="280">
        <v>392801</v>
      </c>
      <c r="C46" s="281">
        <v>399152</v>
      </c>
      <c r="D46" s="281">
        <v>400174</v>
      </c>
      <c r="E46" s="281">
        <v>410224</v>
      </c>
      <c r="F46" s="247">
        <v>406744</v>
      </c>
      <c r="G46" s="320">
        <v>398727</v>
      </c>
      <c r="H46" s="320">
        <f>395565+7839</f>
        <v>403404</v>
      </c>
      <c r="I46" s="320">
        <v>419816</v>
      </c>
      <c r="J46" s="320">
        <v>434794</v>
      </c>
      <c r="K46" s="320">
        <v>443791</v>
      </c>
      <c r="L46" s="320">
        <v>452522</v>
      </c>
      <c r="M46" s="320">
        <v>434794</v>
      </c>
      <c r="N46" s="320"/>
      <c r="O46" s="327">
        <f>+(Resumen!B17*1000)*(M46/(M46+M23))</f>
        <v>569915.59148338961</v>
      </c>
      <c r="P46" s="16">
        <f>O46/Q46</f>
        <v>1.4167865003091293</v>
      </c>
      <c r="Q46" s="137">
        <v>402259.33219933946</v>
      </c>
      <c r="R46" s="137">
        <v>401421.15546991437</v>
      </c>
      <c r="S46" s="137">
        <v>403458.38169547968</v>
      </c>
      <c r="T46" s="137">
        <v>398180.30371666391</v>
      </c>
      <c r="U46" s="137">
        <v>404509.63321039354</v>
      </c>
      <c r="V46" s="137">
        <v>406121.47925274156</v>
      </c>
      <c r="W46" s="137">
        <v>408325.73747017246</v>
      </c>
      <c r="X46" s="137">
        <v>412957.01223442366</v>
      </c>
      <c r="Y46" s="137">
        <v>417146.2833255998</v>
      </c>
      <c r="Z46" s="137">
        <v>427747.2666203822</v>
      </c>
    </row>
    <row r="47" spans="1:26">
      <c r="A47" s="294" t="s">
        <v>45</v>
      </c>
      <c r="B47" s="295">
        <v>0.57499999999999996</v>
      </c>
      <c r="C47" s="278">
        <v>0.58599999999999997</v>
      </c>
      <c r="D47" s="278">
        <v>0.59099999999999997</v>
      </c>
      <c r="E47" s="278">
        <v>0.61</v>
      </c>
      <c r="F47" s="163">
        <f t="shared" ref="F47:K47" si="23">+F46/F36</f>
        <v>0.6135559011598527</v>
      </c>
      <c r="G47" s="163">
        <f t="shared" si="23"/>
        <v>0.60324431782937527</v>
      </c>
      <c r="H47" s="163">
        <f t="shared" si="23"/>
        <v>0.60775673098217875</v>
      </c>
      <c r="I47" s="163">
        <f t="shared" si="23"/>
        <v>0.65878498190685719</v>
      </c>
      <c r="J47" s="163">
        <f t="shared" si="23"/>
        <v>0.67518894836472509</v>
      </c>
      <c r="K47" s="163">
        <f t="shared" si="23"/>
        <v>0.68896454508477945</v>
      </c>
      <c r="L47" s="163">
        <f>+L46/L36</f>
        <v>0.69978566723059177</v>
      </c>
      <c r="M47" s="163">
        <f>+M46/M36</f>
        <v>0.65870992275050033</v>
      </c>
      <c r="N47" s="163" t="e">
        <f>+N46/N36</f>
        <v>#DIV/0!</v>
      </c>
      <c r="O47" s="308">
        <f>+O46/O36</f>
        <v>0.84507768208989409</v>
      </c>
      <c r="P47" s="16">
        <f>O47/Q47</f>
        <v>1.3789655412853186</v>
      </c>
      <c r="Q47" s="163">
        <v>0.61283451746169559</v>
      </c>
      <c r="R47" s="163">
        <v>0.61872879450325824</v>
      </c>
      <c r="S47" s="163">
        <v>0.62806152226234291</v>
      </c>
      <c r="T47" s="163">
        <v>0.6300990175414759</v>
      </c>
      <c r="U47" s="163">
        <v>0.63961542281001482</v>
      </c>
      <c r="V47" s="163">
        <v>0.6403043280824211</v>
      </c>
      <c r="W47" s="163">
        <v>0.64073027747806466</v>
      </c>
      <c r="X47" s="163">
        <v>0.64437781188721621</v>
      </c>
      <c r="Y47" s="163">
        <v>0.64699048308779838</v>
      </c>
      <c r="Z47" s="163">
        <v>0.65916457988930643</v>
      </c>
    </row>
    <row r="48" spans="1:26">
      <c r="A48" s="282" t="s">
        <v>94</v>
      </c>
      <c r="B48" s="283">
        <v>972</v>
      </c>
      <c r="C48" s="284">
        <v>1056</v>
      </c>
      <c r="D48" s="284">
        <v>1100</v>
      </c>
      <c r="E48" s="284">
        <v>1268</v>
      </c>
      <c r="F48" s="328">
        <f t="shared" ref="F48:K48" si="24">+F29/F46</f>
        <v>1135.785500706882</v>
      </c>
      <c r="G48" s="328">
        <f t="shared" si="24"/>
        <v>995.17030727068891</v>
      </c>
      <c r="H48" s="328">
        <f t="shared" si="24"/>
        <v>1364.8896831569098</v>
      </c>
      <c r="I48" s="328">
        <f t="shared" si="24"/>
        <v>1238.4096881903261</v>
      </c>
      <c r="J48" s="328">
        <f t="shared" si="24"/>
        <v>1365.0095281994234</v>
      </c>
      <c r="K48" s="328">
        <f t="shared" si="24"/>
        <v>1329.566009025983</v>
      </c>
      <c r="L48" s="328">
        <f>+L29/L46</f>
        <v>1492.3759627640204</v>
      </c>
      <c r="M48" s="328">
        <f>+M29/M46</f>
        <v>1578.8553909378463</v>
      </c>
      <c r="N48" s="328" t="e">
        <f>+N29/N46</f>
        <v>#REF!</v>
      </c>
      <c r="O48" s="249" t="e">
        <f>+O29/O46</f>
        <v>#REF!</v>
      </c>
      <c r="P48" s="16" t="e">
        <f>O48/Q48</f>
        <v>#REF!</v>
      </c>
      <c r="Q48" s="137">
        <v>1113.4212619080829</v>
      </c>
      <c r="R48" s="137">
        <v>1062.160125804467</v>
      </c>
      <c r="S48" s="137">
        <v>1129.2081195597514</v>
      </c>
      <c r="T48" s="137">
        <v>1065.8625989685445</v>
      </c>
      <c r="U48" s="137">
        <v>1153.9901427481411</v>
      </c>
      <c r="V48" s="137">
        <v>1094.561462029907</v>
      </c>
      <c r="W48" s="137">
        <v>1062.6387771270313</v>
      </c>
      <c r="X48" s="137">
        <v>1124.7990975955588</v>
      </c>
      <c r="Y48" s="137">
        <v>1159.4925385423267</v>
      </c>
      <c r="Z48" s="137">
        <v>1241.4907398052924</v>
      </c>
    </row>
    <row r="49" spans="1:26">
      <c r="P49" s="18"/>
    </row>
    <row r="50" spans="1:26">
      <c r="P50" s="18"/>
    </row>
    <row r="51" spans="1:26">
      <c r="A51" s="704" t="s">
        <v>96</v>
      </c>
      <c r="B51" s="704"/>
      <c r="C51" s="704"/>
      <c r="D51" s="704"/>
      <c r="E51" s="704"/>
      <c r="F51" s="704"/>
      <c r="G51" s="704"/>
      <c r="H51" s="704"/>
      <c r="I51" s="704"/>
      <c r="J51" s="704"/>
      <c r="K51" s="704"/>
      <c r="L51" s="704"/>
      <c r="M51" s="704"/>
      <c r="N51" s="704"/>
      <c r="O51" s="704"/>
      <c r="P51" s="18"/>
    </row>
    <row r="52" spans="1:26">
      <c r="P52" s="18"/>
    </row>
    <row r="53" spans="1:26">
      <c r="A53" s="240" t="s">
        <v>84</v>
      </c>
      <c r="B53" s="265">
        <v>202009</v>
      </c>
      <c r="C53" s="266">
        <v>202010</v>
      </c>
      <c r="D53" s="266">
        <v>202011</v>
      </c>
      <c r="E53" s="267">
        <v>202012</v>
      </c>
      <c r="F53" s="273">
        <v>202101</v>
      </c>
      <c r="G53" s="274">
        <v>202102</v>
      </c>
      <c r="H53" s="274">
        <v>202103</v>
      </c>
      <c r="I53" s="274">
        <v>202104</v>
      </c>
      <c r="J53" s="274">
        <v>202105</v>
      </c>
      <c r="K53" s="274">
        <v>202106</v>
      </c>
      <c r="L53" s="274">
        <v>202107</v>
      </c>
      <c r="M53" s="274">
        <v>202108</v>
      </c>
      <c r="N53" s="274">
        <v>202109</v>
      </c>
      <c r="O53" s="246" t="str">
        <f>O3</f>
        <v>Proyec Set</v>
      </c>
      <c r="P53" s="18"/>
    </row>
    <row r="54" spans="1:26">
      <c r="A54" s="236" t="s">
        <v>6</v>
      </c>
      <c r="B54" s="226"/>
      <c r="C54" s="226"/>
      <c r="D54" s="226"/>
      <c r="E54" s="226"/>
      <c r="F54" s="225"/>
      <c r="G54" s="226"/>
      <c r="P54" s="18"/>
    </row>
    <row r="55" spans="1:26">
      <c r="A55" s="237" t="s">
        <v>86</v>
      </c>
      <c r="B55" s="228">
        <v>126193959.77033</v>
      </c>
      <c r="C55" s="228">
        <v>137913068.40175</v>
      </c>
      <c r="D55" s="228">
        <v>137407842.63392001</v>
      </c>
      <c r="E55" s="228">
        <v>165951843.76357999</v>
      </c>
      <c r="F55" s="227">
        <v>144546971.35842001</v>
      </c>
      <c r="G55" s="137">
        <v>120054898.53576</v>
      </c>
      <c r="H55" s="137">
        <v>170521194.54987001</v>
      </c>
      <c r="I55" s="137">
        <v>152593912.82211</v>
      </c>
      <c r="J55" s="137">
        <v>167967272.26789999</v>
      </c>
      <c r="K55" s="137">
        <v>170553471.56037</v>
      </c>
      <c r="L55" s="137">
        <v>197638513.47025001</v>
      </c>
      <c r="M55" s="137">
        <v>205162407.66712001</v>
      </c>
      <c r="N55" s="229">
        <f>N81</f>
        <v>179964248.95547</v>
      </c>
      <c r="O55" s="241" t="e">
        <f>N55/N5*O5</f>
        <v>#REF!</v>
      </c>
      <c r="P55" s="16" t="e">
        <f>O55/H55-1</f>
        <v>#REF!</v>
      </c>
    </row>
    <row r="56" spans="1:26">
      <c r="A56" s="239" t="s">
        <v>88</v>
      </c>
      <c r="B56" s="231">
        <f>+B55/(B55+B60)</f>
        <v>0.26805213263285405</v>
      </c>
      <c r="C56" s="231">
        <f t="shared" ref="C56:O56" si="25">+C55/(C55+C60)</f>
        <v>0.26466827174699775</v>
      </c>
      <c r="D56" s="231">
        <f t="shared" si="25"/>
        <v>0.25985125382495622</v>
      </c>
      <c r="E56" s="234">
        <f t="shared" si="25"/>
        <v>0.26166809230416294</v>
      </c>
      <c r="F56" s="231">
        <f t="shared" si="25"/>
        <v>0.26116616961085826</v>
      </c>
      <c r="G56" s="231">
        <f t="shared" si="25"/>
        <v>0.25708853345928273</v>
      </c>
      <c r="H56" s="231">
        <f t="shared" ref="H56:N56" si="26">+H55/(H55+H60)</f>
        <v>0.2589721115389409</v>
      </c>
      <c r="I56" s="231">
        <f t="shared" si="26"/>
        <v>0.25638259057557633</v>
      </c>
      <c r="J56" s="231">
        <f t="shared" si="26"/>
        <v>0.25713507864068652</v>
      </c>
      <c r="K56" s="231">
        <f t="shared" si="26"/>
        <v>0.25603451916921804</v>
      </c>
      <c r="L56" s="231">
        <f t="shared" si="26"/>
        <v>0.25740518570377779</v>
      </c>
      <c r="M56" s="231">
        <f t="shared" si="26"/>
        <v>0.25985440201427351</v>
      </c>
      <c r="N56" s="231">
        <f t="shared" si="26"/>
        <v>0.25736265010804754</v>
      </c>
      <c r="O56" s="244" t="e">
        <f t="shared" si="25"/>
        <v>#REF!</v>
      </c>
      <c r="P56" s="18"/>
    </row>
    <row r="57" spans="1:26">
      <c r="P57" s="18"/>
    </row>
    <row r="58" spans="1:26">
      <c r="A58" s="240" t="s">
        <v>95</v>
      </c>
      <c r="B58" s="296">
        <v>202009</v>
      </c>
      <c r="C58" s="297">
        <v>202010</v>
      </c>
      <c r="D58" s="297">
        <v>202011</v>
      </c>
      <c r="E58" s="298">
        <v>202012</v>
      </c>
      <c r="F58" s="297">
        <v>202101</v>
      </c>
      <c r="G58" s="297">
        <v>202102</v>
      </c>
      <c r="H58" s="297">
        <v>202103</v>
      </c>
      <c r="I58" s="297">
        <v>202104</v>
      </c>
      <c r="J58" s="297">
        <v>202105</v>
      </c>
      <c r="K58" s="297">
        <v>202106</v>
      </c>
      <c r="L58" s="297">
        <v>202107</v>
      </c>
      <c r="M58" s="297">
        <v>202108</v>
      </c>
      <c r="N58" s="297">
        <v>202109</v>
      </c>
      <c r="O58" s="246" t="str">
        <f>O3</f>
        <v>Proyec Set</v>
      </c>
      <c r="P58" s="18"/>
      <c r="Q58" s="137"/>
      <c r="R58" s="137"/>
      <c r="S58" s="137"/>
      <c r="T58" s="137"/>
      <c r="U58" s="137"/>
      <c r="V58" s="137"/>
      <c r="W58" s="137"/>
      <c r="X58" s="137"/>
      <c r="Y58" s="137"/>
      <c r="Z58" s="137"/>
    </row>
    <row r="59" spans="1:26">
      <c r="A59" s="236" t="s">
        <v>6</v>
      </c>
      <c r="B59" s="226"/>
      <c r="C59" s="226"/>
      <c r="D59" s="226"/>
      <c r="E59" s="226"/>
      <c r="F59" s="225"/>
      <c r="G59" s="226"/>
      <c r="P59" s="18"/>
      <c r="Q59" s="137"/>
      <c r="R59" s="137"/>
      <c r="S59" s="137"/>
      <c r="T59" s="137"/>
      <c r="U59" s="137"/>
      <c r="V59" s="137"/>
      <c r="W59" s="137"/>
      <c r="X59" s="137"/>
      <c r="Y59" s="137"/>
      <c r="Z59" s="137"/>
    </row>
    <row r="60" spans="1:26">
      <c r="A60" s="237" t="s">
        <v>86</v>
      </c>
      <c r="B60" s="228">
        <v>344587445.81234998</v>
      </c>
      <c r="C60" s="228">
        <v>383165893.92126</v>
      </c>
      <c r="D60" s="228">
        <v>391386383.33692002</v>
      </c>
      <c r="E60" s="228">
        <v>468255568.77289999</v>
      </c>
      <c r="F60" s="227">
        <v>408920468.83032</v>
      </c>
      <c r="G60" s="137">
        <v>346923915.80632001</v>
      </c>
      <c r="H60" s="137">
        <v>487932696.62995005</v>
      </c>
      <c r="I60" s="137">
        <v>442586565.22648996</v>
      </c>
      <c r="J60" s="137">
        <v>485258546.45678997</v>
      </c>
      <c r="K60" s="137">
        <v>495581204.78632998</v>
      </c>
      <c r="L60" s="137">
        <v>570172410.50116003</v>
      </c>
      <c r="M60" s="137">
        <v>584365905.40663993</v>
      </c>
      <c r="N60" s="229">
        <f>N80+N82</f>
        <v>519299023.62862998</v>
      </c>
      <c r="O60" s="241" t="e">
        <f>N60/N29*O29</f>
        <v>#REF!</v>
      </c>
      <c r="P60" s="16" t="e">
        <f>O60/H60-1</f>
        <v>#REF!</v>
      </c>
      <c r="Q60" s="137"/>
      <c r="R60" s="137"/>
      <c r="S60" s="137"/>
      <c r="T60" s="137"/>
      <c r="U60" s="137"/>
      <c r="V60" s="137"/>
      <c r="W60" s="137"/>
      <c r="X60" s="137"/>
      <c r="Y60" s="137"/>
      <c r="Z60" s="137"/>
    </row>
    <row r="61" spans="1:26">
      <c r="A61" s="239" t="s">
        <v>88</v>
      </c>
      <c r="B61" s="232">
        <f>+B60/(B60+B55)</f>
        <v>0.7319478673671459</v>
      </c>
      <c r="C61" s="232">
        <f t="shared" ref="C61:O61" si="27">+C60/(C60+C55)</f>
        <v>0.7353317282530023</v>
      </c>
      <c r="D61" s="232">
        <f t="shared" si="27"/>
        <v>0.74014874617504378</v>
      </c>
      <c r="E61" s="233">
        <f t="shared" si="27"/>
        <v>0.73833190769583712</v>
      </c>
      <c r="F61" s="232">
        <f t="shared" si="27"/>
        <v>0.73883383038914174</v>
      </c>
      <c r="G61" s="232">
        <f t="shared" si="27"/>
        <v>0.74291146654071738</v>
      </c>
      <c r="H61" s="232">
        <f t="shared" si="27"/>
        <v>0.74102788846105905</v>
      </c>
      <c r="I61" s="232">
        <f t="shared" si="27"/>
        <v>0.74361740942442367</v>
      </c>
      <c r="J61" s="232">
        <f t="shared" si="27"/>
        <v>0.74286492135931348</v>
      </c>
      <c r="K61" s="232">
        <f t="shared" si="27"/>
        <v>0.74396548083078207</v>
      </c>
      <c r="L61" s="232">
        <f t="shared" si="27"/>
        <v>0.74259481429622221</v>
      </c>
      <c r="M61" s="232">
        <f t="shared" si="27"/>
        <v>0.74014559798572654</v>
      </c>
      <c r="N61" s="232">
        <f t="shared" si="27"/>
        <v>0.7426373498919524</v>
      </c>
      <c r="O61" s="245" t="e">
        <f t="shared" si="27"/>
        <v>#REF!</v>
      </c>
      <c r="P61" s="18"/>
      <c r="Q61" s="137"/>
      <c r="R61" s="137"/>
      <c r="S61" s="137"/>
      <c r="T61" s="137"/>
      <c r="U61" s="137"/>
      <c r="V61" s="137"/>
      <c r="W61" s="137"/>
      <c r="X61" s="137"/>
      <c r="Y61" s="137"/>
      <c r="Z61" s="137"/>
    </row>
    <row r="62" spans="1:26">
      <c r="P62" s="18"/>
    </row>
    <row r="63" spans="1:26">
      <c r="P63" s="18"/>
    </row>
    <row r="64" spans="1:26">
      <c r="A64" s="704" t="s">
        <v>97</v>
      </c>
      <c r="B64" s="704"/>
      <c r="C64" s="704"/>
      <c r="D64" s="704"/>
      <c r="E64" s="704"/>
      <c r="F64" s="704"/>
      <c r="G64" s="704"/>
      <c r="H64" s="704"/>
      <c r="I64" s="704"/>
      <c r="J64" s="704"/>
      <c r="K64" s="704"/>
      <c r="L64" s="704"/>
      <c r="M64" s="704"/>
      <c r="N64" s="704"/>
      <c r="O64" s="704"/>
      <c r="P64" s="18"/>
      <c r="Q64" s="314" t="s">
        <v>83</v>
      </c>
      <c r="R64" s="314"/>
      <c r="S64" s="314"/>
      <c r="T64" s="314"/>
      <c r="U64" s="314"/>
      <c r="V64" s="314"/>
      <c r="W64" s="314"/>
      <c r="X64" s="314"/>
      <c r="Y64" s="314"/>
      <c r="Z64" s="314"/>
    </row>
    <row r="65" spans="1:26">
      <c r="P65" s="18"/>
    </row>
    <row r="66" spans="1:26">
      <c r="A66" s="240" t="s">
        <v>84</v>
      </c>
      <c r="B66" s="265">
        <v>202009</v>
      </c>
      <c r="C66" s="266">
        <v>202010</v>
      </c>
      <c r="D66" s="266">
        <v>202011</v>
      </c>
      <c r="E66" s="267">
        <v>202012</v>
      </c>
      <c r="F66" s="265">
        <v>202101</v>
      </c>
      <c r="G66" s="266">
        <v>202102</v>
      </c>
      <c r="H66" s="274">
        <v>202103</v>
      </c>
      <c r="I66" s="274">
        <v>202104</v>
      </c>
      <c r="J66" s="274">
        <v>202105</v>
      </c>
      <c r="K66" s="274">
        <v>202106</v>
      </c>
      <c r="L66" s="274">
        <v>202107</v>
      </c>
      <c r="M66" s="274">
        <v>202108</v>
      </c>
      <c r="N66" s="274">
        <v>202109</v>
      </c>
      <c r="O66" s="334" t="str">
        <f>O3</f>
        <v>Proyec Set</v>
      </c>
      <c r="P66" s="18"/>
      <c r="Q66" s="276">
        <v>202103</v>
      </c>
      <c r="R66" s="276">
        <v>202104</v>
      </c>
      <c r="S66" s="276">
        <v>202105</v>
      </c>
      <c r="T66" s="276">
        <v>202106</v>
      </c>
      <c r="U66" s="276">
        <v>202107</v>
      </c>
      <c r="V66" s="276">
        <v>202108</v>
      </c>
      <c r="W66" s="276">
        <v>202109</v>
      </c>
      <c r="X66" s="276">
        <v>202110</v>
      </c>
      <c r="Y66" s="276">
        <v>202111</v>
      </c>
      <c r="Z66" s="276">
        <v>202112</v>
      </c>
    </row>
    <row r="67" spans="1:26">
      <c r="A67" s="236" t="s">
        <v>6</v>
      </c>
      <c r="B67" s="225"/>
      <c r="C67" s="226"/>
      <c r="D67" s="226"/>
      <c r="E67" s="268"/>
      <c r="F67" s="225"/>
      <c r="G67" s="226"/>
      <c r="H67" s="226"/>
      <c r="I67" s="226"/>
      <c r="J67" s="226"/>
      <c r="K67" s="226"/>
      <c r="L67" s="226"/>
      <c r="M67" s="226"/>
      <c r="N67" s="226"/>
      <c r="O67" s="277"/>
      <c r="P67" s="18"/>
    </row>
    <row r="68" spans="1:26">
      <c r="A68" s="237" t="s">
        <v>86</v>
      </c>
      <c r="B68" s="227">
        <v>86044046.082990006</v>
      </c>
      <c r="C68" s="228">
        <v>96806694.510769993</v>
      </c>
      <c r="D68" s="228">
        <v>97264037.762429997</v>
      </c>
      <c r="E68" s="269">
        <v>121336994.95204</v>
      </c>
      <c r="F68" s="227">
        <v>102602854.13123</v>
      </c>
      <c r="G68" s="137">
        <v>76809459.301349998</v>
      </c>
      <c r="H68" s="137">
        <v>118945156.33057</v>
      </c>
      <c r="I68" s="137">
        <v>107194139.30964001</v>
      </c>
      <c r="J68" s="137">
        <v>119071866.75674</v>
      </c>
      <c r="K68" s="137">
        <v>122680761.53026</v>
      </c>
      <c r="L68" s="137">
        <v>142658190.86409</v>
      </c>
      <c r="M68" s="137">
        <v>146431474.42227</v>
      </c>
      <c r="N68" s="318">
        <f>N90</f>
        <v>131443252.96496999</v>
      </c>
      <c r="O68" s="248" t="e">
        <f>N68/N5*O5</f>
        <v>#REF!</v>
      </c>
      <c r="P68" s="163" t="e">
        <f>+O68/R68</f>
        <v>#REF!</v>
      </c>
      <c r="Q68" s="241">
        <f>+Q69*Q5</f>
        <v>99167290.689999998</v>
      </c>
      <c r="R68" s="241">
        <v>94340143</v>
      </c>
      <c r="S68" s="241">
        <v>106756835.20693244</v>
      </c>
      <c r="T68" s="241">
        <v>102068212.92583446</v>
      </c>
      <c r="U68" s="241">
        <v>110214079.58360632</v>
      </c>
      <c r="V68" s="241">
        <v>104188745.32350825</v>
      </c>
      <c r="W68" s="241">
        <v>103111601.50609334</v>
      </c>
      <c r="X68" s="241">
        <v>110152513.57065126</v>
      </c>
      <c r="Y68" s="241">
        <v>118092217.02850547</v>
      </c>
      <c r="Z68" s="241">
        <v>136249780.49819615</v>
      </c>
    </row>
    <row r="69" spans="1:26">
      <c r="A69" s="305" t="s">
        <v>98</v>
      </c>
      <c r="B69" s="306">
        <f t="shared" ref="B69:O69" si="28">+B68/B5</f>
        <v>0.6098283313253875</v>
      </c>
      <c r="C69" s="307">
        <f t="shared" si="28"/>
        <v>0.62603007592459936</v>
      </c>
      <c r="D69" s="307">
        <f t="shared" si="28"/>
        <v>0.60746300050416313</v>
      </c>
      <c r="E69" s="307">
        <f t="shared" si="28"/>
        <v>0.64106191920382838</v>
      </c>
      <c r="F69" s="306">
        <f t="shared" si="28"/>
        <v>0.61257787159810073</v>
      </c>
      <c r="G69" s="163">
        <f t="shared" si="28"/>
        <v>0.5482950695058082</v>
      </c>
      <c r="H69" s="163">
        <f t="shared" si="28"/>
        <v>0.60103400275420005</v>
      </c>
      <c r="I69" s="163">
        <f t="shared" si="28"/>
        <v>0.57355146946906277</v>
      </c>
      <c r="J69" s="163">
        <f t="shared" si="28"/>
        <v>0.55039353067430541</v>
      </c>
      <c r="K69" s="163">
        <f t="shared" si="28"/>
        <v>0.57361906558454079</v>
      </c>
      <c r="L69" s="163">
        <f t="shared" si="28"/>
        <v>0.58235522940259488</v>
      </c>
      <c r="M69" s="163">
        <f t="shared" si="28"/>
        <v>0.59042578682063951</v>
      </c>
      <c r="N69" s="163" t="e">
        <f t="shared" si="28"/>
        <v>#REF!</v>
      </c>
      <c r="O69" s="308" t="e">
        <f t="shared" si="28"/>
        <v>#REF!</v>
      </c>
      <c r="P69" s="163" t="e">
        <f>+O69-R69</f>
        <v>#REF!</v>
      </c>
      <c r="Q69" s="308">
        <v>0.61</v>
      </c>
      <c r="R69" s="308">
        <f>R68/R5</f>
        <v>0.59762121019707981</v>
      </c>
      <c r="S69" s="308">
        <f>S68/S5</f>
        <v>0.61942577128022069</v>
      </c>
      <c r="T69" s="308"/>
      <c r="U69" s="308"/>
      <c r="V69" s="308"/>
      <c r="W69" s="308"/>
      <c r="X69" s="308"/>
      <c r="Y69" s="308"/>
      <c r="Z69" s="308"/>
    </row>
    <row r="70" spans="1:26">
      <c r="A70" s="238" t="s">
        <v>88</v>
      </c>
      <c r="B70" s="270">
        <f t="shared" ref="B70:N70" si="29">+B68/(B68+B74)</f>
        <v>0.25272958183176664</v>
      </c>
      <c r="C70" s="271">
        <f t="shared" si="29"/>
        <v>0.2502728204123138</v>
      </c>
      <c r="D70" s="271">
        <f t="shared" si="29"/>
        <v>0.24620802852931883</v>
      </c>
      <c r="E70" s="272">
        <f t="shared" si="29"/>
        <v>0.24929692341668083</v>
      </c>
      <c r="F70" s="270">
        <f t="shared" si="29"/>
        <v>0.24755103100270709</v>
      </c>
      <c r="G70" s="271">
        <f t="shared" si="29"/>
        <v>0.2364710586542613</v>
      </c>
      <c r="H70" s="271">
        <f t="shared" si="29"/>
        <v>0.24397820767956663</v>
      </c>
      <c r="I70" s="271">
        <f t="shared" si="29"/>
        <v>0.24140032756357005</v>
      </c>
      <c r="J70" s="271">
        <f t="shared" si="29"/>
        <v>0.24225540874400595</v>
      </c>
      <c r="K70" s="271">
        <f t="shared" si="29"/>
        <v>0.24320394180484131</v>
      </c>
      <c r="L70" s="271">
        <f t="shared" si="29"/>
        <v>0.24496288582218731</v>
      </c>
      <c r="M70" s="271">
        <f t="shared" si="29"/>
        <v>0.24725751486610342</v>
      </c>
      <c r="N70" s="271">
        <f t="shared" si="29"/>
        <v>0.24639368110129908</v>
      </c>
      <c r="O70" s="244" t="e">
        <f>+O68/(O68+O74)</f>
        <v>#REF!</v>
      </c>
      <c r="P70" s="215"/>
      <c r="Q70" s="244">
        <f>+Q68/(Q68+Q74)</f>
        <v>0.24362864725474045</v>
      </c>
      <c r="R70" s="244">
        <f>+R68/(R68+R74)</f>
        <v>0.24329220940456242</v>
      </c>
      <c r="S70" s="244">
        <f>+S68/(S68+S74)</f>
        <v>0.25706648304125468</v>
      </c>
      <c r="T70" s="244"/>
      <c r="U70" s="244"/>
      <c r="V70" s="244"/>
      <c r="W70" s="244"/>
      <c r="X70" s="244"/>
      <c r="Y70" s="244"/>
      <c r="Z70" s="244"/>
    </row>
    <row r="71" spans="1:26">
      <c r="P71" s="18"/>
    </row>
    <row r="72" spans="1:26">
      <c r="A72" s="240" t="s">
        <v>95</v>
      </c>
      <c r="B72" s="296">
        <v>202009</v>
      </c>
      <c r="C72" s="297">
        <v>202010</v>
      </c>
      <c r="D72" s="297">
        <v>202011</v>
      </c>
      <c r="E72" s="298">
        <v>202012</v>
      </c>
      <c r="F72" s="335">
        <v>202101</v>
      </c>
      <c r="G72" s="335">
        <v>202102</v>
      </c>
      <c r="H72" s="335">
        <v>202103</v>
      </c>
      <c r="I72" s="335">
        <v>202104</v>
      </c>
      <c r="J72" s="335">
        <v>202105</v>
      </c>
      <c r="K72" s="335">
        <v>202106</v>
      </c>
      <c r="L72" s="335">
        <v>202107</v>
      </c>
      <c r="M72" s="335">
        <v>202108</v>
      </c>
      <c r="N72" s="335">
        <v>202109</v>
      </c>
      <c r="O72" s="275" t="str">
        <f>O3</f>
        <v>Proyec Set</v>
      </c>
      <c r="P72" s="18"/>
    </row>
    <row r="73" spans="1:26">
      <c r="A73" s="236" t="s">
        <v>6</v>
      </c>
      <c r="B73" s="225"/>
      <c r="C73" s="226"/>
      <c r="D73" s="226"/>
      <c r="E73" s="226"/>
      <c r="F73" s="225"/>
      <c r="G73" s="226"/>
      <c r="H73" s="226"/>
      <c r="I73" s="226"/>
      <c r="J73" s="226"/>
      <c r="K73" s="226"/>
      <c r="L73" s="226"/>
      <c r="M73" s="226"/>
      <c r="N73" s="226"/>
      <c r="O73" s="277"/>
      <c r="P73" s="18"/>
    </row>
    <row r="74" spans="1:26">
      <c r="A74" s="237" t="s">
        <v>86</v>
      </c>
      <c r="B74" s="227">
        <v>254414896.07704002</v>
      </c>
      <c r="C74" s="228">
        <v>289997970.69931996</v>
      </c>
      <c r="D74" s="228">
        <v>297784159.25787002</v>
      </c>
      <c r="E74" s="228">
        <v>365379781.52912998</v>
      </c>
      <c r="F74" s="227">
        <v>311868674.08513999</v>
      </c>
      <c r="G74" s="137">
        <v>248006015.95581999</v>
      </c>
      <c r="H74" s="137">
        <v>368578534.66559005</v>
      </c>
      <c r="I74" s="137">
        <v>336857202.25870001</v>
      </c>
      <c r="J74" s="137">
        <v>372441892.93216997</v>
      </c>
      <c r="K74" s="137">
        <v>381754983.30114996</v>
      </c>
      <c r="L74" s="137">
        <v>439708359.82898998</v>
      </c>
      <c r="M74" s="137">
        <v>445791069.35589004</v>
      </c>
      <c r="N74" s="318">
        <f>N89+N91</f>
        <v>402025188.17954999</v>
      </c>
      <c r="O74" s="248" t="e">
        <f>N74/N29*O29</f>
        <v>#REF!</v>
      </c>
      <c r="P74" s="163" t="e">
        <f>+O74/R74</f>
        <v>#REF!</v>
      </c>
      <c r="Q74" s="241">
        <f>+Q75*Q29</f>
        <v>307875525.52820003</v>
      </c>
      <c r="R74" s="241">
        <v>293424608</v>
      </c>
      <c r="S74" s="241">
        <v>308531980.13738388</v>
      </c>
      <c r="T74" s="241">
        <v>289682046.29804105</v>
      </c>
      <c r="U74" s="241">
        <v>316137943.31432694</v>
      </c>
      <c r="V74" s="241">
        <v>301193197.52288455</v>
      </c>
      <c r="W74" s="241">
        <v>293005316.07816362</v>
      </c>
      <c r="X74" s="241">
        <v>310032299.90427768</v>
      </c>
      <c r="Y74" s="241">
        <v>326335392.96434891</v>
      </c>
      <c r="Z74" s="241">
        <v>369785188.51010126</v>
      </c>
    </row>
    <row r="75" spans="1:26">
      <c r="A75" s="237" t="s">
        <v>98</v>
      </c>
      <c r="B75" s="306">
        <f t="shared" ref="B75:N75" si="30">+B74/B29</f>
        <v>0.66642065598070377</v>
      </c>
      <c r="C75" s="307">
        <f t="shared" si="30"/>
        <v>0.68795999423616827</v>
      </c>
      <c r="D75" s="307">
        <f t="shared" si="30"/>
        <v>0.6766841296073105</v>
      </c>
      <c r="E75" s="307">
        <f t="shared" si="30"/>
        <v>0.70259467395407671</v>
      </c>
      <c r="F75" s="306">
        <f t="shared" si="30"/>
        <v>0.67507850256260038</v>
      </c>
      <c r="G75" s="163">
        <f t="shared" si="30"/>
        <v>0.62501315901497856</v>
      </c>
      <c r="H75" s="163">
        <f t="shared" si="30"/>
        <v>0.66941014190291903</v>
      </c>
      <c r="I75" s="163">
        <f t="shared" si="30"/>
        <v>0.64792167707991777</v>
      </c>
      <c r="J75" s="163">
        <f t="shared" si="30"/>
        <v>0.62753694629036882</v>
      </c>
      <c r="K75" s="163">
        <f t="shared" si="30"/>
        <v>0.64698814154383155</v>
      </c>
      <c r="L75" s="163">
        <f t="shared" si="30"/>
        <v>0.65109862668302843</v>
      </c>
      <c r="M75" s="163">
        <f t="shared" si="30"/>
        <v>0.64938980652527123</v>
      </c>
      <c r="N75" s="163" t="e">
        <f t="shared" si="30"/>
        <v>#REF!</v>
      </c>
      <c r="O75" s="308" t="e">
        <f>+O74/O29</f>
        <v>#REF!</v>
      </c>
      <c r="P75" s="163" t="e">
        <f>+O75-R75</f>
        <v>#REF!</v>
      </c>
      <c r="Q75" s="309">
        <v>0.68740000000000001</v>
      </c>
      <c r="R75" s="309">
        <f>R74/R29</f>
        <v>0.68818671195934544</v>
      </c>
      <c r="S75" s="309">
        <f>S74/S29</f>
        <v>0.68567812539295936</v>
      </c>
      <c r="T75" s="309"/>
      <c r="U75" s="309"/>
      <c r="V75" s="309"/>
      <c r="W75" s="309"/>
      <c r="X75" s="309"/>
      <c r="Y75" s="309"/>
      <c r="Z75" s="309"/>
    </row>
    <row r="76" spans="1:26">
      <c r="A76" s="239" t="s">
        <v>88</v>
      </c>
      <c r="B76" s="310">
        <f t="shared" ref="B76:N76" si="31">+B74/(B74+B68)</f>
        <v>0.74727041816823336</v>
      </c>
      <c r="C76" s="299">
        <f t="shared" si="31"/>
        <v>0.74972717958768631</v>
      </c>
      <c r="D76" s="299">
        <f t="shared" si="31"/>
        <v>0.75379197147068111</v>
      </c>
      <c r="E76" s="300">
        <f t="shared" si="31"/>
        <v>0.75070307658331914</v>
      </c>
      <c r="F76" s="310">
        <f t="shared" si="31"/>
        <v>0.75244896899729286</v>
      </c>
      <c r="G76" s="299">
        <f t="shared" si="31"/>
        <v>0.76352894134573879</v>
      </c>
      <c r="H76" s="299">
        <f t="shared" si="31"/>
        <v>0.75602179232043343</v>
      </c>
      <c r="I76" s="299">
        <f t="shared" si="31"/>
        <v>0.75859967243643001</v>
      </c>
      <c r="J76" s="299">
        <f t="shared" si="31"/>
        <v>0.75774459125599403</v>
      </c>
      <c r="K76" s="299">
        <f t="shared" si="31"/>
        <v>0.75679605819515872</v>
      </c>
      <c r="L76" s="299">
        <f t="shared" si="31"/>
        <v>0.75503711417781272</v>
      </c>
      <c r="M76" s="299">
        <f t="shared" si="31"/>
        <v>0.75274248513389652</v>
      </c>
      <c r="N76" s="299">
        <f t="shared" si="31"/>
        <v>0.75360631889870089</v>
      </c>
      <c r="O76" s="245" t="e">
        <f>+O74/(O74+O68)</f>
        <v>#REF!</v>
      </c>
      <c r="P76" s="18"/>
      <c r="Q76" s="245">
        <f>+Q74/(Q74+Q68)</f>
        <v>0.75637135274525957</v>
      </c>
      <c r="R76" s="245">
        <f>+R74/(R74+R68)</f>
        <v>0.75670779059543758</v>
      </c>
      <c r="S76" s="245">
        <f>+S74/(S74+S68)</f>
        <v>0.74293351695874532</v>
      </c>
      <c r="T76" s="245"/>
      <c r="U76" s="245"/>
      <c r="V76" s="245"/>
      <c r="W76" s="245"/>
      <c r="X76" s="245"/>
      <c r="Y76" s="245"/>
      <c r="Z76" s="245"/>
    </row>
    <row r="77" spans="1:26">
      <c r="P77" s="18"/>
    </row>
    <row r="79" spans="1:26">
      <c r="N79" t="s">
        <v>96</v>
      </c>
    </row>
    <row r="80" spans="1:26">
      <c r="N80" s="247">
        <v>514191063.58767998</v>
      </c>
      <c r="O80" s="241" t="s">
        <v>99</v>
      </c>
    </row>
    <row r="81" spans="14:15">
      <c r="N81" s="247">
        <v>179964248.95547</v>
      </c>
      <c r="O81" s="248" t="s">
        <v>84</v>
      </c>
    </row>
    <row r="82" spans="14:15">
      <c r="N82" s="311">
        <v>5107960.0409500003</v>
      </c>
      <c r="O82" s="249" t="s">
        <v>100</v>
      </c>
    </row>
    <row r="88" spans="14:15">
      <c r="N88" t="s">
        <v>101</v>
      </c>
    </row>
    <row r="89" spans="14:15">
      <c r="N89" s="247">
        <v>398283460.31090999</v>
      </c>
      <c r="O89" s="241" t="s">
        <v>99</v>
      </c>
    </row>
    <row r="90" spans="14:15">
      <c r="N90" s="247">
        <v>131443252.96496999</v>
      </c>
      <c r="O90" s="248" t="s">
        <v>84</v>
      </c>
    </row>
    <row r="91" spans="14:15">
      <c r="N91" s="311">
        <v>3741727.86864</v>
      </c>
      <c r="O91" s="249" t="s">
        <v>100</v>
      </c>
    </row>
  </sheetData>
  <mergeCells count="9">
    <mergeCell ref="A41:A42"/>
    <mergeCell ref="A43:A44"/>
    <mergeCell ref="A51:O51"/>
    <mergeCell ref="A64:O64"/>
    <mergeCell ref="A1:O1"/>
    <mergeCell ref="A16:A17"/>
    <mergeCell ref="A18:A19"/>
    <mergeCell ref="A20:A21"/>
    <mergeCell ref="A39:A40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7"/>
  <sheetViews>
    <sheetView zoomScale="70" zoomScaleNormal="70" workbookViewId="0">
      <selection activeCell="P36" sqref="P36"/>
    </sheetView>
  </sheetViews>
  <sheetFormatPr baseColWidth="10" defaultColWidth="11.453125" defaultRowHeight="14.5"/>
  <sheetData>
    <row r="1" spans="1:11">
      <c r="A1" s="149" t="s">
        <v>102</v>
      </c>
    </row>
    <row r="2" spans="1:11" ht="15">
      <c r="A2" s="96" t="s">
        <v>103</v>
      </c>
      <c r="B2" s="96">
        <v>2023</v>
      </c>
      <c r="C2" t="s">
        <v>104</v>
      </c>
      <c r="D2" t="s">
        <v>105</v>
      </c>
      <c r="F2" s="96" t="s">
        <v>103</v>
      </c>
      <c r="G2" s="96">
        <v>2022</v>
      </c>
      <c r="H2" t="s">
        <v>104</v>
      </c>
      <c r="I2" t="s">
        <v>105</v>
      </c>
    </row>
    <row r="3" spans="1:11">
      <c r="A3" s="35">
        <v>1</v>
      </c>
      <c r="B3" s="84">
        <v>58.795133624899997</v>
      </c>
      <c r="C3" s="19">
        <f>+B3</f>
        <v>58.795133624899997</v>
      </c>
      <c r="D3" s="16">
        <f>C3/$C$30</f>
        <v>4.2690214702321774E-2</v>
      </c>
      <c r="F3" s="35">
        <v>1</v>
      </c>
      <c r="G3" s="97">
        <v>44.856199632799999</v>
      </c>
      <c r="H3" s="19">
        <f>+G3</f>
        <v>44.856199632799999</v>
      </c>
      <c r="I3" s="16">
        <f t="shared" ref="I3:I30" si="0">H3/$H$30</f>
        <v>4.0484977628414902E-2</v>
      </c>
      <c r="K3" s="16">
        <f>B3/G3-1</f>
        <v>0.31074710087359914</v>
      </c>
    </row>
    <row r="4" spans="1:11">
      <c r="A4" s="35">
        <f>+A3+1</f>
        <v>2</v>
      </c>
      <c r="B4" s="84">
        <v>52.801426848879998</v>
      </c>
      <c r="C4" s="19">
        <f>+C3+B4</f>
        <v>111.59656047377999</v>
      </c>
      <c r="D4" s="16">
        <f t="shared" ref="D4:D30" si="1">C4/$C$30</f>
        <v>8.1028493906657159E-2</v>
      </c>
      <c r="F4" s="35">
        <f t="shared" ref="F4:F30" si="2">+F3+1</f>
        <v>2</v>
      </c>
      <c r="G4" s="97">
        <v>39.832003285200003</v>
      </c>
      <c r="H4" s="19">
        <f t="shared" ref="H4:H30" si="3">+H3+G4</f>
        <v>84.688202918000002</v>
      </c>
      <c r="I4" s="16">
        <f t="shared" si="0"/>
        <v>7.6435365202423694E-2</v>
      </c>
      <c r="K4" s="16">
        <f t="shared" ref="K4:K30" si="4">B4/G4-1</f>
        <v>0.32560309535069054</v>
      </c>
    </row>
    <row r="5" spans="1:11">
      <c r="A5" s="35">
        <f t="shared" ref="A5:A30" si="5">+A4+1</f>
        <v>3</v>
      </c>
      <c r="B5" s="84">
        <v>49.644028651399999</v>
      </c>
      <c r="C5" s="19">
        <f t="shared" ref="C5:C30" si="6">+C4+B5</f>
        <v>161.24058912517998</v>
      </c>
      <c r="D5" s="16">
        <f t="shared" si="1"/>
        <v>0.11707423632025958</v>
      </c>
      <c r="F5" s="35">
        <f t="shared" si="2"/>
        <v>3</v>
      </c>
      <c r="G5" s="97">
        <v>38.556207453740001</v>
      </c>
      <c r="H5" s="19">
        <f t="shared" si="3"/>
        <v>123.24441037174</v>
      </c>
      <c r="I5" s="16">
        <f t="shared" si="0"/>
        <v>0.11123428283207913</v>
      </c>
      <c r="K5" s="16">
        <f t="shared" si="4"/>
        <v>0.28757551455140495</v>
      </c>
    </row>
    <row r="6" spans="1:11">
      <c r="A6" s="35">
        <f t="shared" si="5"/>
        <v>4</v>
      </c>
      <c r="B6" s="84">
        <v>45.07489891705</v>
      </c>
      <c r="C6" s="19">
        <f t="shared" si="6"/>
        <v>206.31548804222999</v>
      </c>
      <c r="D6" s="16">
        <f t="shared" si="1"/>
        <v>0.14980240604822809</v>
      </c>
      <c r="F6" s="35">
        <f t="shared" si="2"/>
        <v>4</v>
      </c>
      <c r="G6" s="97">
        <v>39.451712746399998</v>
      </c>
      <c r="H6" s="19">
        <f t="shared" si="3"/>
        <v>162.69612311814001</v>
      </c>
      <c r="I6" s="16">
        <f t="shared" si="0"/>
        <v>0.14684143905609284</v>
      </c>
      <c r="K6" s="16">
        <f t="shared" si="4"/>
        <v>0.14253338522452674</v>
      </c>
    </row>
    <row r="7" spans="1:11">
      <c r="A7" s="35">
        <f t="shared" si="5"/>
        <v>5</v>
      </c>
      <c r="B7" s="84">
        <v>34.419709876650003</v>
      </c>
      <c r="C7" s="19">
        <f t="shared" si="6"/>
        <v>240.73519791887998</v>
      </c>
      <c r="D7" s="16">
        <f t="shared" si="1"/>
        <v>0.17479401188418325</v>
      </c>
      <c r="F7" s="35">
        <f t="shared" si="2"/>
        <v>5</v>
      </c>
      <c r="G7" s="97">
        <v>35.794442375999999</v>
      </c>
      <c r="H7" s="19">
        <f t="shared" si="3"/>
        <v>198.49056549414001</v>
      </c>
      <c r="I7" s="16">
        <f t="shared" si="0"/>
        <v>0.17914772471285409</v>
      </c>
      <c r="K7" s="16">
        <f t="shared" si="4"/>
        <v>-3.8406311373961999E-2</v>
      </c>
    </row>
    <row r="8" spans="1:11">
      <c r="A8" s="35">
        <f t="shared" si="5"/>
        <v>6</v>
      </c>
      <c r="B8" s="84">
        <v>52.984139040960002</v>
      </c>
      <c r="C8" s="19">
        <f t="shared" si="6"/>
        <v>293.71933695984001</v>
      </c>
      <c r="D8" s="16">
        <f t="shared" si="1"/>
        <v>0.21326495551544877</v>
      </c>
      <c r="F8" s="35">
        <f t="shared" si="2"/>
        <v>6</v>
      </c>
      <c r="G8" s="97">
        <v>25.382437956899999</v>
      </c>
      <c r="H8" s="19">
        <f t="shared" si="3"/>
        <v>223.87300345104001</v>
      </c>
      <c r="I8" s="16">
        <f t="shared" si="0"/>
        <v>0.20205665238064324</v>
      </c>
      <c r="K8" s="16">
        <f t="shared" si="4"/>
        <v>1.087433016912259</v>
      </c>
    </row>
    <row r="9" spans="1:11">
      <c r="A9" s="35">
        <f t="shared" si="5"/>
        <v>7</v>
      </c>
      <c r="B9" s="84">
        <v>48.44243717162</v>
      </c>
      <c r="C9" s="19">
        <f t="shared" si="6"/>
        <v>342.16177413145999</v>
      </c>
      <c r="D9" s="16">
        <f t="shared" si="1"/>
        <v>0.24843824139916987</v>
      </c>
      <c r="F9" s="35">
        <f t="shared" si="2"/>
        <v>7</v>
      </c>
      <c r="G9" s="97">
        <v>45.967200596360001</v>
      </c>
      <c r="H9" s="19">
        <f t="shared" si="3"/>
        <v>269.84020404739999</v>
      </c>
      <c r="I9" s="16">
        <f t="shared" si="0"/>
        <v>0.24354436429156709</v>
      </c>
      <c r="K9" s="16">
        <f t="shared" si="4"/>
        <v>5.3847885952315488E-2</v>
      </c>
    </row>
    <row r="10" spans="1:11">
      <c r="A10" s="35">
        <f t="shared" si="5"/>
        <v>8</v>
      </c>
      <c r="B10" s="84">
        <v>48.90809947596</v>
      </c>
      <c r="C10" s="19">
        <f t="shared" si="6"/>
        <v>391.06987360741999</v>
      </c>
      <c r="D10" s="16">
        <f t="shared" si="1"/>
        <v>0.28394963730195949</v>
      </c>
      <c r="F10" s="35">
        <f t="shared" si="2"/>
        <v>8</v>
      </c>
      <c r="G10" s="97">
        <v>37.995750736929999</v>
      </c>
      <c r="H10" s="19">
        <f t="shared" si="3"/>
        <v>307.83595478433</v>
      </c>
      <c r="I10" s="16">
        <f t="shared" si="0"/>
        <v>0.27783744152842305</v>
      </c>
      <c r="K10" s="16">
        <f t="shared" si="4"/>
        <v>0.28719918747187001</v>
      </c>
    </row>
    <row r="11" spans="1:11">
      <c r="A11" s="35">
        <f t="shared" si="5"/>
        <v>9</v>
      </c>
      <c r="B11" s="84">
        <v>48.710571279059998</v>
      </c>
      <c r="C11" s="19">
        <f t="shared" si="6"/>
        <v>439.78044488647998</v>
      </c>
      <c r="D11" s="16">
        <f t="shared" si="1"/>
        <v>0.31931761111153273</v>
      </c>
      <c r="F11" s="35">
        <f t="shared" si="2"/>
        <v>9</v>
      </c>
      <c r="G11" s="97">
        <v>38.596292905360002</v>
      </c>
      <c r="H11" s="19">
        <f t="shared" si="3"/>
        <v>346.43224768969003</v>
      </c>
      <c r="I11" s="16">
        <f t="shared" si="0"/>
        <v>0.31267253829552988</v>
      </c>
      <c r="K11" s="16">
        <f t="shared" si="4"/>
        <v>0.26205310438753027</v>
      </c>
    </row>
    <row r="12" spans="1:11">
      <c r="A12" s="35">
        <f t="shared" si="5"/>
        <v>10</v>
      </c>
      <c r="B12" s="84">
        <v>48.098174359360002</v>
      </c>
      <c r="C12" s="19">
        <f t="shared" si="6"/>
        <v>487.87861924584001</v>
      </c>
      <c r="D12" s="16">
        <f t="shared" si="1"/>
        <v>0.35424093322336814</v>
      </c>
      <c r="F12" s="35">
        <f t="shared" si="2"/>
        <v>10</v>
      </c>
      <c r="G12" s="97">
        <v>38.480417557259997</v>
      </c>
      <c r="H12" s="19">
        <f t="shared" si="3"/>
        <v>384.91266524695004</v>
      </c>
      <c r="I12" s="16">
        <f t="shared" si="0"/>
        <v>0.34740305172936464</v>
      </c>
      <c r="K12" s="16">
        <f t="shared" si="4"/>
        <v>0.24993899267824982</v>
      </c>
    </row>
    <row r="13" spans="1:11">
      <c r="A13" s="35">
        <f t="shared" si="5"/>
        <v>11</v>
      </c>
      <c r="B13" s="84">
        <v>45.725752490959998</v>
      </c>
      <c r="C13" s="19">
        <f t="shared" si="6"/>
        <v>533.60437173679998</v>
      </c>
      <c r="D13" s="16">
        <f t="shared" si="1"/>
        <v>0.38744167741621077</v>
      </c>
      <c r="F13" s="35">
        <f t="shared" si="2"/>
        <v>11</v>
      </c>
      <c r="G13" s="97">
        <v>36.855800262039999</v>
      </c>
      <c r="H13" s="19">
        <f t="shared" si="3"/>
        <v>421.76846550899006</v>
      </c>
      <c r="I13" s="16">
        <f t="shared" si="0"/>
        <v>0.38066726629280601</v>
      </c>
      <c r="K13" s="16">
        <f t="shared" si="4"/>
        <v>0.24066638536826712</v>
      </c>
    </row>
    <row r="14" spans="1:11">
      <c r="A14" s="35">
        <f t="shared" si="5"/>
        <v>12</v>
      </c>
      <c r="B14" s="84">
        <v>34.331436175599997</v>
      </c>
      <c r="C14" s="19">
        <f t="shared" si="6"/>
        <v>567.93580791239992</v>
      </c>
      <c r="D14" s="16">
        <f t="shared" si="1"/>
        <v>0.41236918911685128</v>
      </c>
      <c r="F14" s="35">
        <f t="shared" si="2"/>
        <v>12</v>
      </c>
      <c r="G14" s="97">
        <v>39.054950940319998</v>
      </c>
      <c r="H14" s="19">
        <f t="shared" si="3"/>
        <v>460.82341644931006</v>
      </c>
      <c r="I14" s="16">
        <f t="shared" si="0"/>
        <v>0.41591632501916159</v>
      </c>
      <c r="K14" s="16">
        <f t="shared" si="4"/>
        <v>-0.12094535138292761</v>
      </c>
    </row>
    <row r="15" spans="1:11">
      <c r="A15" s="35">
        <f t="shared" si="5"/>
        <v>13</v>
      </c>
      <c r="B15" s="84">
        <v>54.432420875090003</v>
      </c>
      <c r="C15" s="19">
        <f t="shared" si="6"/>
        <v>622.3682287874899</v>
      </c>
      <c r="D15" s="16">
        <f t="shared" si="1"/>
        <v>0.45189170723458583</v>
      </c>
      <c r="F15" s="35">
        <f t="shared" si="2"/>
        <v>13</v>
      </c>
      <c r="G15" s="97">
        <v>28.15260124404</v>
      </c>
      <c r="H15" s="19">
        <f t="shared" si="3"/>
        <v>488.97601769335006</v>
      </c>
      <c r="I15" s="16">
        <f t="shared" si="0"/>
        <v>0.44132546446648174</v>
      </c>
      <c r="K15" s="16">
        <f t="shared" si="4"/>
        <v>0.93347749301189453</v>
      </c>
    </row>
    <row r="16" spans="1:11">
      <c r="A16" s="35">
        <f t="shared" si="5"/>
        <v>14</v>
      </c>
      <c r="B16" s="84">
        <v>53.908180993569999</v>
      </c>
      <c r="C16" s="19">
        <f t="shared" si="6"/>
        <v>676.2764097810599</v>
      </c>
      <c r="D16" s="16">
        <f t="shared" si="1"/>
        <v>0.49103358308283618</v>
      </c>
      <c r="F16" s="35">
        <f t="shared" si="2"/>
        <v>14</v>
      </c>
      <c r="G16" s="97">
        <v>46.358565334559998</v>
      </c>
      <c r="H16" s="19">
        <f t="shared" si="3"/>
        <v>535.33458302791007</v>
      </c>
      <c r="I16" s="16">
        <f t="shared" si="0"/>
        <v>0.48316640274968592</v>
      </c>
      <c r="K16" s="16">
        <f t="shared" si="4"/>
        <v>0.16285265957921724</v>
      </c>
    </row>
    <row r="17" spans="1:11">
      <c r="A17" s="35">
        <f t="shared" si="5"/>
        <v>15</v>
      </c>
      <c r="B17" s="84">
        <v>54.148172988980001</v>
      </c>
      <c r="C17" s="19">
        <f t="shared" si="6"/>
        <v>730.42458277003993</v>
      </c>
      <c r="D17" s="16">
        <f t="shared" si="1"/>
        <v>0.53034971331540781</v>
      </c>
      <c r="F17" s="35">
        <f t="shared" si="2"/>
        <v>15</v>
      </c>
      <c r="G17" s="97">
        <v>42.690827828480003</v>
      </c>
      <c r="H17" s="19">
        <f t="shared" si="3"/>
        <v>578.02541085639007</v>
      </c>
      <c r="I17" s="16">
        <f t="shared" si="0"/>
        <v>0.52169702334891122</v>
      </c>
      <c r="K17" s="16">
        <f t="shared" si="4"/>
        <v>0.26837954997107238</v>
      </c>
    </row>
    <row r="18" spans="1:11" s="149" customFormat="1" ht="15">
      <c r="A18" s="361">
        <f t="shared" si="5"/>
        <v>16</v>
      </c>
      <c r="B18" s="362">
        <v>52.072915979999998</v>
      </c>
      <c r="C18" s="388">
        <f t="shared" si="6"/>
        <v>782.49749875003988</v>
      </c>
      <c r="D18" s="16">
        <f t="shared" si="1"/>
        <v>0.56815903232375353</v>
      </c>
      <c r="F18" s="361">
        <f t="shared" si="2"/>
        <v>16</v>
      </c>
      <c r="G18" s="387">
        <v>40.516734202039999</v>
      </c>
      <c r="H18" s="388">
        <f t="shared" si="3"/>
        <v>618.54214505843004</v>
      </c>
      <c r="I18" s="16">
        <f t="shared" si="0"/>
        <v>0.55826541503554394</v>
      </c>
      <c r="K18" s="16">
        <f t="shared" si="4"/>
        <v>0.28521997158838519</v>
      </c>
    </row>
    <row r="19" spans="1:11">
      <c r="A19" s="35">
        <f t="shared" si="5"/>
        <v>17</v>
      </c>
      <c r="B19" s="84">
        <v>48.831174984640001</v>
      </c>
      <c r="C19" s="19">
        <f t="shared" si="6"/>
        <v>831.32867373467991</v>
      </c>
      <c r="D19" s="163">
        <f t="shared" si="1"/>
        <v>0.60361457457254408</v>
      </c>
      <c r="F19" s="35">
        <f t="shared" si="2"/>
        <v>17</v>
      </c>
      <c r="G19" s="97">
        <v>39.495113927319998</v>
      </c>
      <c r="H19" s="19">
        <f t="shared" si="3"/>
        <v>658.03725898574999</v>
      </c>
      <c r="I19" s="16">
        <f t="shared" si="0"/>
        <v>0.5939117430095715</v>
      </c>
      <c r="K19" s="16">
        <f t="shared" si="4"/>
        <v>0.23638521652325095</v>
      </c>
    </row>
    <row r="20" spans="1:11">
      <c r="A20" s="35">
        <f t="shared" si="5"/>
        <v>18</v>
      </c>
      <c r="B20" s="97">
        <v>48.705638898529543</v>
      </c>
      <c r="C20" s="19">
        <f t="shared" si="6"/>
        <v>880.03431263320942</v>
      </c>
      <c r="D20" s="16">
        <f t="shared" si="1"/>
        <v>0.63897896705878554</v>
      </c>
      <c r="F20" s="35">
        <f t="shared" si="2"/>
        <v>18</v>
      </c>
      <c r="G20" s="97">
        <v>39.612804411699997</v>
      </c>
      <c r="H20" s="19">
        <f t="shared" si="3"/>
        <v>697.65006339745003</v>
      </c>
      <c r="I20" s="16">
        <f t="shared" si="0"/>
        <v>0.62966429256871359</v>
      </c>
      <c r="K20" s="16">
        <f t="shared" si="4"/>
        <v>0.2295428112669522</v>
      </c>
    </row>
    <row r="21" spans="1:11">
      <c r="A21" s="35">
        <f t="shared" si="5"/>
        <v>19</v>
      </c>
      <c r="B21" s="97">
        <v>33.336678243473948</v>
      </c>
      <c r="C21" s="19">
        <f t="shared" si="6"/>
        <v>913.37099087668332</v>
      </c>
      <c r="D21" s="16">
        <f t="shared" si="1"/>
        <v>0.66318420079046658</v>
      </c>
      <c r="F21" s="35">
        <f t="shared" si="2"/>
        <v>19</v>
      </c>
      <c r="G21" s="97">
        <v>38.112377743160003</v>
      </c>
      <c r="H21" s="19">
        <f t="shared" si="3"/>
        <v>735.76244114061001</v>
      </c>
      <c r="I21" s="16">
        <f t="shared" si="0"/>
        <v>0.66406263154813228</v>
      </c>
      <c r="K21" s="16">
        <f t="shared" si="4"/>
        <v>-0.12530573484209195</v>
      </c>
    </row>
    <row r="22" spans="1:11">
      <c r="A22" s="35">
        <f t="shared" si="5"/>
        <v>20</v>
      </c>
      <c r="B22" s="97">
        <v>56.715588593273743</v>
      </c>
      <c r="C22" s="19">
        <f t="shared" si="6"/>
        <v>970.08657946995709</v>
      </c>
      <c r="D22" s="16">
        <f t="shared" si="1"/>
        <v>0.70436449080327845</v>
      </c>
      <c r="F22" s="35">
        <f t="shared" si="2"/>
        <v>20</v>
      </c>
      <c r="G22" s="97">
        <v>27.609623908389999</v>
      </c>
      <c r="H22" s="19">
        <f t="shared" si="3"/>
        <v>763.37206504899996</v>
      </c>
      <c r="I22" s="16">
        <f t="shared" si="0"/>
        <v>0.68898170662382752</v>
      </c>
      <c r="K22" s="16">
        <f t="shared" si="4"/>
        <v>1.0541963476742269</v>
      </c>
    </row>
    <row r="23" spans="1:11">
      <c r="A23" s="35">
        <f t="shared" si="5"/>
        <v>21</v>
      </c>
      <c r="B23" s="97">
        <v>53.874637176179704</v>
      </c>
      <c r="C23" s="19">
        <f t="shared" si="6"/>
        <v>1023.9612166461368</v>
      </c>
      <c r="D23" s="16">
        <f t="shared" si="1"/>
        <v>0.74348201101734546</v>
      </c>
      <c r="F23" s="35">
        <f t="shared" si="2"/>
        <v>21</v>
      </c>
      <c r="G23" s="97">
        <v>44.766838451520002</v>
      </c>
      <c r="H23" s="19">
        <f t="shared" si="3"/>
        <v>808.13890350051997</v>
      </c>
      <c r="I23" s="16">
        <f t="shared" si="0"/>
        <v>0.72938603128889323</v>
      </c>
      <c r="K23" s="16">
        <f t="shared" si="4"/>
        <v>0.20344967479718146</v>
      </c>
    </row>
    <row r="24" spans="1:11">
      <c r="A24" s="35">
        <f t="shared" si="5"/>
        <v>22</v>
      </c>
      <c r="B24" s="97">
        <v>50.131833428675172</v>
      </c>
      <c r="C24" s="19">
        <f t="shared" si="6"/>
        <v>1074.093050074812</v>
      </c>
      <c r="D24" s="16">
        <f t="shared" si="1"/>
        <v>0.77988194074868666</v>
      </c>
      <c r="F24" s="35">
        <f t="shared" si="2"/>
        <v>22</v>
      </c>
      <c r="G24" s="97">
        <v>46.632290031149999</v>
      </c>
      <c r="H24" s="19">
        <f t="shared" si="3"/>
        <v>854.77119353166995</v>
      </c>
      <c r="I24" s="16">
        <f t="shared" si="0"/>
        <v>0.77147401988640196</v>
      </c>
      <c r="K24" s="16">
        <f t="shared" si="4"/>
        <v>7.5045497340737732E-2</v>
      </c>
    </row>
    <row r="25" spans="1:11">
      <c r="A25" s="35">
        <f t="shared" si="5"/>
        <v>23</v>
      </c>
      <c r="B25" s="97">
        <v>51.796015309876196</v>
      </c>
      <c r="C25" s="19">
        <f t="shared" si="6"/>
        <v>1125.8890653846881</v>
      </c>
      <c r="D25" s="16">
        <f t="shared" si="1"/>
        <v>0.81749020656895366</v>
      </c>
      <c r="F25" s="35">
        <f t="shared" si="2"/>
        <v>23</v>
      </c>
      <c r="G25" s="97">
        <v>42.086880001280001</v>
      </c>
      <c r="H25" s="19">
        <f t="shared" si="3"/>
        <v>896.8580735329499</v>
      </c>
      <c r="I25" s="16">
        <f t="shared" si="0"/>
        <v>0.80945954717694124</v>
      </c>
      <c r="K25" s="16">
        <f t="shared" si="4"/>
        <v>0.23069268399798015</v>
      </c>
    </row>
    <row r="26" spans="1:11">
      <c r="A26" s="35">
        <f t="shared" si="5"/>
        <v>24</v>
      </c>
      <c r="B26" s="97">
        <v>52.266378200289537</v>
      </c>
      <c r="C26" s="19">
        <f t="shared" si="6"/>
        <v>1178.1554435849778</v>
      </c>
      <c r="D26" s="16">
        <f t="shared" si="1"/>
        <v>0.85543999542933935</v>
      </c>
      <c r="F26" s="35">
        <f t="shared" si="2"/>
        <v>24</v>
      </c>
      <c r="G26" s="97">
        <v>42.971329061890003</v>
      </c>
      <c r="H26" s="19">
        <f t="shared" si="3"/>
        <v>939.82940259483985</v>
      </c>
      <c r="I26" s="16">
        <f t="shared" si="0"/>
        <v>0.84824333425599108</v>
      </c>
      <c r="K26" s="16">
        <f t="shared" si="4"/>
        <v>0.21630816037856837</v>
      </c>
    </row>
    <row r="27" spans="1:11">
      <c r="A27" s="35">
        <f t="shared" si="5"/>
        <v>25</v>
      </c>
      <c r="B27" s="97">
        <v>46.91925965443555</v>
      </c>
      <c r="C27" s="19">
        <f t="shared" si="6"/>
        <v>1225.0747032394133</v>
      </c>
      <c r="D27" s="16">
        <f t="shared" si="1"/>
        <v>0.88950732625812001</v>
      </c>
      <c r="F27" s="35">
        <f t="shared" si="2"/>
        <v>25</v>
      </c>
      <c r="G27" s="97">
        <v>42.408855365939999</v>
      </c>
      <c r="H27" s="19">
        <f t="shared" si="3"/>
        <v>982.23825796077983</v>
      </c>
      <c r="I27" s="16">
        <f t="shared" si="0"/>
        <v>0.88651946051705988</v>
      </c>
      <c r="K27" s="16">
        <f t="shared" si="4"/>
        <v>0.10635524702508259</v>
      </c>
    </row>
    <row r="28" spans="1:11">
      <c r="A28" s="35">
        <f t="shared" si="5"/>
        <v>26</v>
      </c>
      <c r="B28" s="97">
        <v>32.166968116208835</v>
      </c>
      <c r="C28" s="19">
        <f t="shared" si="6"/>
        <v>1257.2416713556222</v>
      </c>
      <c r="D28" s="16">
        <f t="shared" si="1"/>
        <v>0.91286325200470486</v>
      </c>
      <c r="F28" s="35">
        <f t="shared" si="2"/>
        <v>26</v>
      </c>
      <c r="G28" s="97">
        <v>39.953204917219999</v>
      </c>
      <c r="H28" s="19">
        <f t="shared" si="3"/>
        <v>1022.1914628779998</v>
      </c>
      <c r="I28" s="16">
        <f t="shared" si="0"/>
        <v>0.92257923866363223</v>
      </c>
      <c r="K28" s="16">
        <f t="shared" si="4"/>
        <v>-0.19488391024308693</v>
      </c>
    </row>
    <row r="29" spans="1:11">
      <c r="A29" s="35">
        <f t="shared" si="5"/>
        <v>27</v>
      </c>
      <c r="B29" s="97">
        <v>56.715588593273743</v>
      </c>
      <c r="C29" s="19">
        <f t="shared" si="6"/>
        <v>1313.9572599488959</v>
      </c>
      <c r="D29" s="16">
        <f t="shared" si="1"/>
        <v>0.95404354201751662</v>
      </c>
      <c r="F29" s="35">
        <f t="shared" si="2"/>
        <v>27</v>
      </c>
      <c r="G29" s="97">
        <v>28.915497865159999</v>
      </c>
      <c r="H29" s="19">
        <f t="shared" si="3"/>
        <v>1051.1069607431598</v>
      </c>
      <c r="I29" s="16">
        <f t="shared" si="0"/>
        <v>0.94867693070550274</v>
      </c>
      <c r="K29" s="16">
        <f t="shared" si="4"/>
        <v>0.96142528334640232</v>
      </c>
    </row>
    <row r="30" spans="1:11">
      <c r="A30" s="35">
        <f t="shared" si="5"/>
        <v>28</v>
      </c>
      <c r="B30" s="97">
        <f>59.293569892968+2+1+1</f>
        <v>63.293569892968002</v>
      </c>
      <c r="C30" s="19">
        <f t="shared" si="6"/>
        <v>1377.2508298418638</v>
      </c>
      <c r="D30" s="16">
        <f t="shared" si="1"/>
        <v>1</v>
      </c>
      <c r="F30" s="35">
        <f t="shared" si="2"/>
        <v>28</v>
      </c>
      <c r="G30" s="97">
        <v>56.86449584268</v>
      </c>
      <c r="H30" s="19">
        <f t="shared" si="3"/>
        <v>1107.9714565858399</v>
      </c>
      <c r="I30" s="16">
        <f t="shared" si="0"/>
        <v>1</v>
      </c>
      <c r="K30" s="16">
        <f t="shared" si="4"/>
        <v>0.11305954541608054</v>
      </c>
    </row>
    <row r="31" spans="1:11">
      <c r="A31" s="35"/>
      <c r="B31" s="97">
        <f>SUM(B3:B30)</f>
        <v>1377.2508298418638</v>
      </c>
      <c r="C31" s="84"/>
      <c r="D31" s="84"/>
      <c r="E31" s="84"/>
      <c r="F31" s="84"/>
      <c r="G31" s="97">
        <f t="shared" ref="G31" si="7">SUM(G3:G30)</f>
        <v>1107.9714565858399</v>
      </c>
    </row>
    <row r="32" spans="1:11">
      <c r="A32" s="35"/>
      <c r="B32" s="84"/>
      <c r="C32" s="19"/>
      <c r="D32" s="16"/>
    </row>
    <row r="33" spans="1:4">
      <c r="A33" s="35"/>
      <c r="B33" s="84"/>
      <c r="C33" s="19"/>
      <c r="D33" s="16"/>
    </row>
    <row r="52" s="149" customFormat="1"/>
    <row r="65" spans="1:4">
      <c r="A65" s="35"/>
      <c r="B65" s="97"/>
      <c r="C65" s="19"/>
      <c r="D65" s="16"/>
    </row>
    <row r="66" spans="1:4">
      <c r="A66" s="35"/>
      <c r="B66" s="97"/>
      <c r="C66" s="19"/>
      <c r="D66" s="16"/>
    </row>
    <row r="67" spans="1:4">
      <c r="A67" s="35"/>
      <c r="B67" s="97"/>
      <c r="C67" s="19"/>
      <c r="D67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51"/>
  <sheetViews>
    <sheetView zoomScaleNormal="100" workbookViewId="0">
      <pane ySplit="5" topLeftCell="A58" activePane="bottomLeft" state="frozen"/>
      <selection pane="bottomLeft" activeCell="P66" sqref="P66"/>
    </sheetView>
  </sheetViews>
  <sheetFormatPr baseColWidth="10" defaultColWidth="11.453125" defaultRowHeight="14.5" outlineLevelCol="1"/>
  <cols>
    <col min="1" max="1" width="17.26953125" style="21" bestFit="1" customWidth="1"/>
    <col min="2" max="2" width="11.81640625" bestFit="1" customWidth="1"/>
    <col min="3" max="3" width="11.26953125" bestFit="1" customWidth="1"/>
    <col min="4" max="4" width="21" hidden="1" customWidth="1" outlineLevel="1"/>
    <col min="5" max="5" width="11.7265625" bestFit="1" customWidth="1" collapsed="1"/>
    <col min="6" max="6" width="14.26953125" bestFit="1" customWidth="1"/>
    <col min="7" max="7" width="12.453125" bestFit="1" customWidth="1"/>
    <col min="8" max="8" width="9.7265625" bestFit="1" customWidth="1"/>
    <col min="9" max="9" width="3.26953125" style="5" customWidth="1"/>
    <col min="10" max="10" width="17.26953125" style="21" bestFit="1" customWidth="1"/>
    <col min="11" max="11" width="11.81640625" bestFit="1" customWidth="1"/>
    <col min="12" max="12" width="11.26953125" bestFit="1" customWidth="1"/>
    <col min="13" max="13" width="15.26953125" hidden="1" customWidth="1" outlineLevel="1"/>
    <col min="14" max="14" width="11.7265625" bestFit="1" customWidth="1" collapsed="1"/>
    <col min="15" max="15" width="14.26953125" bestFit="1" customWidth="1"/>
    <col min="16" max="16" width="12.453125" bestFit="1" customWidth="1"/>
    <col min="17" max="17" width="9.7265625" bestFit="1" customWidth="1"/>
    <col min="18" max="18" width="4" customWidth="1"/>
    <col min="19" max="19" width="13" customWidth="1"/>
  </cols>
  <sheetData>
    <row r="1" spans="1:19" ht="15" thickBot="1">
      <c r="A1" s="712" t="s">
        <v>53</v>
      </c>
      <c r="B1" s="713"/>
      <c r="C1" s="713"/>
      <c r="D1" s="713"/>
      <c r="E1" s="713"/>
      <c r="F1" s="713"/>
      <c r="G1" s="713"/>
      <c r="H1" s="714"/>
      <c r="J1" s="712" t="s">
        <v>61</v>
      </c>
      <c r="K1" s="713"/>
      <c r="L1" s="713"/>
      <c r="M1" s="713"/>
      <c r="N1" s="713"/>
      <c r="O1" s="713"/>
      <c r="P1" s="713"/>
      <c r="Q1" s="714"/>
    </row>
    <row r="2" spans="1:19" ht="6.75" customHeight="1"/>
    <row r="3" spans="1:19">
      <c r="A3" s="385" t="s">
        <v>62</v>
      </c>
      <c r="B3" s="149">
        <v>202312</v>
      </c>
    </row>
    <row r="4" spans="1:19" ht="4.5" customHeight="1"/>
    <row r="5" spans="1:19">
      <c r="A5" s="386" t="s">
        <v>35</v>
      </c>
      <c r="B5" s="340" t="s">
        <v>36</v>
      </c>
      <c r="C5" t="s">
        <v>63</v>
      </c>
      <c r="D5" t="s">
        <v>64</v>
      </c>
      <c r="E5" t="s">
        <v>65</v>
      </c>
      <c r="F5" t="s">
        <v>66</v>
      </c>
      <c r="G5" s="341" t="s">
        <v>67</v>
      </c>
      <c r="H5" s="341" t="s">
        <v>68</v>
      </c>
      <c r="J5" s="386" t="s">
        <v>35</v>
      </c>
      <c r="K5" s="340" t="s">
        <v>36</v>
      </c>
      <c r="L5" t="s">
        <v>63</v>
      </c>
      <c r="M5" t="s">
        <v>64</v>
      </c>
      <c r="N5" t="s">
        <v>65</v>
      </c>
      <c r="O5" t="s">
        <v>66</v>
      </c>
      <c r="P5" s="342" t="s">
        <v>67</v>
      </c>
      <c r="Q5" s="342" t="s">
        <v>68</v>
      </c>
      <c r="S5" s="370" t="s">
        <v>69</v>
      </c>
    </row>
    <row r="6" spans="1:19">
      <c r="A6" s="21">
        <v>201901</v>
      </c>
      <c r="C6" s="155">
        <v>8.0340875829202112</v>
      </c>
      <c r="D6" s="155">
        <v>210.84554896999998</v>
      </c>
      <c r="E6" s="155">
        <v>26.24386986</v>
      </c>
      <c r="F6" s="155">
        <v>38.417000000000002</v>
      </c>
      <c r="G6" s="163">
        <f>IF(A6="","",E6/IF(A6=$B$3,Resumen!#REF!,VLOOKUP(A6,Graf_PowerBI!$A$4:$D$39,3,0)))</f>
        <v>4.2424563349638379E-2</v>
      </c>
      <c r="H6" s="163">
        <f>IF(A6="","",F6/IF(A6=$B$3,Resumen!#REF!,VLOOKUP(A6,Graf_PowerBI!$A$4:$D$39,4,0)))</f>
        <v>6.3723205384882048E-2</v>
      </c>
      <c r="J6" s="21">
        <v>201901</v>
      </c>
      <c r="K6" s="21"/>
      <c r="L6" s="155">
        <v>8.0124278087787992</v>
      </c>
      <c r="M6" s="155">
        <v>764.81063635282999</v>
      </c>
      <c r="N6" s="155">
        <v>95.453045519469995</v>
      </c>
      <c r="O6" s="155">
        <v>141.21299999999999</v>
      </c>
      <c r="P6" s="163">
        <f>IF(J6="","",N6/IF(J6=$B$3,Resumen!#REF!,VLOOKUP(J6,Graf_PowerBI!$A$4:$D$39,3,0)))</f>
        <v>0.15430474995339236</v>
      </c>
      <c r="Q6" s="163">
        <f>IF(J6="","",O6/IF(J6=$B$3,Resumen!#REF!,VLOOKUP(J6,Graf_PowerBI!$A$4:$D$39,4,0)))</f>
        <v>0.2342334123438933</v>
      </c>
      <c r="S6" s="371">
        <f>IF(A6="","",P6+G6)</f>
        <v>0.19672931330303073</v>
      </c>
    </row>
    <row r="7" spans="1:19">
      <c r="A7" s="21">
        <v>201902</v>
      </c>
      <c r="C7" s="155">
        <v>8.4577164972457393</v>
      </c>
      <c r="D7" s="155">
        <v>198.39479911200002</v>
      </c>
      <c r="E7" s="155">
        <v>23.457253406</v>
      </c>
      <c r="F7" s="155">
        <v>34.644000000000005</v>
      </c>
      <c r="G7" s="163">
        <f>IF(A7="","",E7/IF(A7=$B$3,Resumen!#REF!,VLOOKUP(A7,Graf_PowerBI!$A$4:$D$39,3,0)))</f>
        <v>3.7916468191910885E-2</v>
      </c>
      <c r="H7" s="163">
        <f>IF(A7="","",F7/IF(A7=$B$3,Resumen!#REF!,VLOOKUP(A7,Graf_PowerBI!$A$4:$D$39,4,0)))</f>
        <v>5.7023969028893867E-2</v>
      </c>
      <c r="J7" s="21">
        <v>201902</v>
      </c>
      <c r="K7" s="21"/>
      <c r="L7" s="155">
        <v>7.9893945878903452</v>
      </c>
      <c r="M7" s="155">
        <v>784.43349415158991</v>
      </c>
      <c r="N7" s="155">
        <v>98.184347452379996</v>
      </c>
      <c r="O7" s="155">
        <v>144.096</v>
      </c>
      <c r="P7" s="163">
        <f>IF(J7="","",N7/IF(J7=$B$3,Resumen!#REF!,VLOOKUP(J7,Graf_PowerBI!$A$4:$D$39,3,0)))</f>
        <v>0.15870586477824628</v>
      </c>
      <c r="Q7" s="163">
        <f>IF(J7="","",O7/IF(J7=$B$3,Resumen!#REF!,VLOOKUP(J7,Graf_PowerBI!$A$4:$D$39,4,0)))</f>
        <v>0.23718178735675699</v>
      </c>
      <c r="S7" s="371">
        <f t="shared" ref="S7:S68" si="0">IF(A7="","",P7+G7)</f>
        <v>0.19662233297015716</v>
      </c>
    </row>
    <row r="8" spans="1:19">
      <c r="A8" s="21">
        <v>201903</v>
      </c>
      <c r="C8" s="155">
        <v>8.2244517752619437</v>
      </c>
      <c r="D8" s="155">
        <v>198.261339566</v>
      </c>
      <c r="E8" s="155">
        <v>24.106328906000002</v>
      </c>
      <c r="F8" s="155">
        <v>34.954999999999998</v>
      </c>
      <c r="G8" s="163">
        <f>IF(A8="","",E8/IF(A8=$B$3,Resumen!#REF!,VLOOKUP(A8,Graf_PowerBI!$A$4:$D$39,3,0)))</f>
        <v>3.4500470288497266E-2</v>
      </c>
      <c r="H8" s="163">
        <f>IF(A8="","",F8/IF(A8=$B$3,Resumen!#REF!,VLOOKUP(A8,Graf_PowerBI!$A$4:$D$39,4,0)))</f>
        <v>5.5917084985010926E-2</v>
      </c>
      <c r="J8" s="21">
        <v>201903</v>
      </c>
      <c r="K8" s="21"/>
      <c r="L8" s="155">
        <v>8.0995954684469602</v>
      </c>
      <c r="M8" s="155">
        <v>985.10086730149999</v>
      </c>
      <c r="N8" s="155">
        <v>121.62346516429</v>
      </c>
      <c r="O8" s="155">
        <v>163.298</v>
      </c>
      <c r="P8" s="163">
        <f>IF(J8="","",N8/IF(J8=$B$3,Resumen!#REF!,VLOOKUP(J8,Graf_PowerBI!$A$4:$D$39,3,0)))</f>
        <v>0.1740649421422388</v>
      </c>
      <c r="Q8" s="163">
        <f>IF(J8="","",O8/IF(J8=$B$3,Resumen!#REF!,VLOOKUP(J8,Graf_PowerBI!$A$4:$D$39,4,0)))</f>
        <v>0.26122580872213746</v>
      </c>
      <c r="S8" s="371">
        <f t="shared" si="0"/>
        <v>0.20856541243073606</v>
      </c>
    </row>
    <row r="9" spans="1:19">
      <c r="A9" s="21">
        <v>201904</v>
      </c>
      <c r="C9" s="155">
        <v>7.9459676925823537</v>
      </c>
      <c r="D9" s="155">
        <v>219.79774509000003</v>
      </c>
      <c r="E9" s="155">
        <v>27.661545276000002</v>
      </c>
      <c r="F9" s="155">
        <v>41.129000000000005</v>
      </c>
      <c r="G9" s="163">
        <f>IF(A9="","",E9/IF(A9=$B$3,Resumen!#REF!,VLOOKUP(A9,Graf_PowerBI!$A$4:$D$39,3,0)))</f>
        <v>4.1550453635649381E-2</v>
      </c>
      <c r="H9" s="163">
        <f>IF(A9="","",F9/IF(A9=$B$3,Resumen!#REF!,VLOOKUP(A9,Graf_PowerBI!$A$4:$D$39,4,0)))</f>
        <v>6.5169717923771922E-2</v>
      </c>
      <c r="J9" s="21">
        <v>201904</v>
      </c>
      <c r="K9" s="21"/>
      <c r="L9" s="155">
        <v>7.9402952617310643</v>
      </c>
      <c r="M9" s="155">
        <v>846.95053058757992</v>
      </c>
      <c r="N9" s="155">
        <v>106.66486606229</v>
      </c>
      <c r="O9" s="155">
        <v>152.714</v>
      </c>
      <c r="P9" s="163">
        <f>IF(J9="","",N9/IF(J9=$B$3,Resumen!#REF!,VLOOKUP(J9,Graf_PowerBI!$A$4:$D$39,3,0)))</f>
        <v>0.160221474529091</v>
      </c>
      <c r="Q9" s="163">
        <f>IF(J9="","",O9/IF(J9=$B$3,Resumen!#REF!,VLOOKUP(J9,Graf_PowerBI!$A$4:$D$39,4,0)))</f>
        <v>0.24197836813467152</v>
      </c>
      <c r="S9" s="371">
        <f t="shared" si="0"/>
        <v>0.20177192816474038</v>
      </c>
    </row>
    <row r="10" spans="1:19">
      <c r="A10" s="21">
        <v>201905</v>
      </c>
      <c r="C10" s="155">
        <v>7.6265675253697456</v>
      </c>
      <c r="D10" s="155">
        <v>254.898514406</v>
      </c>
      <c r="E10" s="155">
        <v>33.422442476000001</v>
      </c>
      <c r="F10" s="155">
        <v>49.010000000000005</v>
      </c>
      <c r="G10" s="163">
        <f>IF(A10="","",E10/IF(A10=$B$3,Resumen!#REF!,VLOOKUP(A10,Graf_PowerBI!$A$4:$D$39,3,0)))</f>
        <v>4.6157786309301188E-2</v>
      </c>
      <c r="H10" s="163">
        <f>IF(A10="","",F10/IF(A10=$B$3,Resumen!#REF!,VLOOKUP(A10,Graf_PowerBI!$A$4:$D$39,4,0)))</f>
        <v>7.61641017033967E-2</v>
      </c>
      <c r="J10" s="21">
        <v>201905</v>
      </c>
      <c r="K10" s="21"/>
      <c r="L10" s="155">
        <v>7.6657275856739133</v>
      </c>
      <c r="M10" s="155">
        <v>909.01235424788001</v>
      </c>
      <c r="N10" s="155">
        <v>118.58135370564</v>
      </c>
      <c r="O10" s="155">
        <v>166.45400000000001</v>
      </c>
      <c r="P10" s="163">
        <f>IF(J10="","",N10/IF(J10=$B$3,Resumen!#REF!,VLOOKUP(J10,Graf_PowerBI!$A$4:$D$39,3,0)))</f>
        <v>0.16376579265692418</v>
      </c>
      <c r="Q10" s="163">
        <f>IF(J10="","",O10/IF(J10=$B$3,Resumen!#REF!,VLOOKUP(J10,Graf_PowerBI!$A$4:$D$39,4,0)))</f>
        <v>0.25867821638312982</v>
      </c>
      <c r="S10" s="371">
        <f t="shared" si="0"/>
        <v>0.20992357896622538</v>
      </c>
    </row>
    <row r="11" spans="1:19">
      <c r="A11" s="21">
        <v>201906</v>
      </c>
      <c r="C11" s="155">
        <v>7.8949815975322704</v>
      </c>
      <c r="D11" s="155">
        <v>258.53724521999999</v>
      </c>
      <c r="E11" s="155">
        <v>32.747035826000001</v>
      </c>
      <c r="F11" s="155">
        <v>48.143000000000001</v>
      </c>
      <c r="G11" s="163">
        <f>IF(A11="","",E11/IF(A11=$B$3,Resumen!#REF!,VLOOKUP(A11,Graf_PowerBI!$A$4:$D$39,3,0)))</f>
        <v>4.7193985457318094E-2</v>
      </c>
      <c r="H11" s="163">
        <f>IF(A11="","",F11/IF(A11=$B$3,Resumen!#REF!,VLOOKUP(A11,Graf_PowerBI!$A$4:$D$39,4,0)))</f>
        <v>7.4503316382589529E-2</v>
      </c>
      <c r="J11" s="21">
        <v>201906</v>
      </c>
      <c r="K11" s="21"/>
      <c r="L11" s="155">
        <v>7.3464946295861351</v>
      </c>
      <c r="M11" s="155">
        <v>788.10695941870995</v>
      </c>
      <c r="N11" s="155">
        <v>107.27659913407001</v>
      </c>
      <c r="O11" s="155">
        <v>158.69199999999998</v>
      </c>
      <c r="P11" s="163">
        <f>IF(J11="","",N11/IF(J11=$B$3,Resumen!#REF!,VLOOKUP(J11,Graf_PowerBI!$A$4:$D$39,3,0)))</f>
        <v>0.15460361928160071</v>
      </c>
      <c r="Q11" s="163">
        <f>IF(J11="","",O11/IF(J11=$B$3,Resumen!#REF!,VLOOKUP(J11,Graf_PowerBI!$A$4:$D$39,4,0)))</f>
        <v>0.245582541249733</v>
      </c>
      <c r="S11" s="371">
        <f t="shared" si="0"/>
        <v>0.20179760473891881</v>
      </c>
    </row>
    <row r="12" spans="1:19">
      <c r="A12" s="21">
        <v>201907</v>
      </c>
      <c r="C12" s="155">
        <v>7.8846541624885482</v>
      </c>
      <c r="D12" s="155">
        <v>288.520955926</v>
      </c>
      <c r="E12" s="155">
        <v>36.592721758000003</v>
      </c>
      <c r="F12" s="155">
        <v>48.533999999999992</v>
      </c>
      <c r="G12" s="163">
        <f>IF(A12="","",E12/IF(A12=$B$3,Resumen!#REF!,VLOOKUP(A12,Graf_PowerBI!$A$4:$D$39,3,0)))</f>
        <v>4.7706243494546614E-2</v>
      </c>
      <c r="H12" s="163">
        <f>IF(A12="","",F12/IF(A12=$B$3,Resumen!#REF!,VLOOKUP(A12,Graf_PowerBI!$A$4:$D$39,4,0)))</f>
        <v>7.3776808963759141E-2</v>
      </c>
      <c r="J12" s="21">
        <v>201907</v>
      </c>
      <c r="K12" s="21"/>
      <c r="L12" s="155">
        <v>7.5266606875082376</v>
      </c>
      <c r="M12" s="155">
        <v>729.38732207118005</v>
      </c>
      <c r="N12" s="155">
        <v>96.907161403160003</v>
      </c>
      <c r="O12" s="155">
        <v>153.899</v>
      </c>
      <c r="P12" s="163">
        <f>IF(J12="","",N12/IF(J12=$B$3,Resumen!#REF!,VLOOKUP(J12,Graf_PowerBI!$A$4:$D$39,3,0)))</f>
        <v>0.12633869294660408</v>
      </c>
      <c r="Q12" s="163">
        <f>IF(J12="","",O12/IF(J12=$B$3,Resumen!#REF!,VLOOKUP(J12,Graf_PowerBI!$A$4:$D$39,4,0)))</f>
        <v>0.23394274369954199</v>
      </c>
      <c r="S12" s="371">
        <f t="shared" si="0"/>
        <v>0.17404493644115068</v>
      </c>
    </row>
    <row r="13" spans="1:19">
      <c r="A13" s="21">
        <v>201908</v>
      </c>
      <c r="C13" s="155">
        <v>8.2417556992130692</v>
      </c>
      <c r="D13" s="155">
        <v>362.88222299199998</v>
      </c>
      <c r="E13" s="155">
        <v>44.029723306000001</v>
      </c>
      <c r="F13" s="155">
        <v>54.977000000000004</v>
      </c>
      <c r="G13" s="163">
        <f>IF(A13="","",E13/IF(A13=$B$3,Resumen!#REF!,VLOOKUP(A13,Graf_PowerBI!$A$4:$D$39,3,0)))</f>
        <v>5.95733773360844E-2</v>
      </c>
      <c r="H13" s="163">
        <f>IF(A13="","",F13/IF(A13=$B$3,Resumen!#REF!,VLOOKUP(A13,Graf_PowerBI!$A$4:$D$39,4,0)))</f>
        <v>8.2931825655661789E-2</v>
      </c>
      <c r="J13" s="21">
        <v>201908</v>
      </c>
      <c r="K13" s="21"/>
      <c r="L13" s="155">
        <v>7.6151639541923783</v>
      </c>
      <c r="M13" s="155">
        <v>735.87248058387013</v>
      </c>
      <c r="N13" s="155">
        <v>96.632519668699985</v>
      </c>
      <c r="O13" s="155">
        <v>155.76000000000002</v>
      </c>
      <c r="P13" s="163">
        <f>IF(J13="","",N13/IF(J13=$B$3,Resumen!#REF!,VLOOKUP(J13,Graf_PowerBI!$A$4:$D$39,3,0)))</f>
        <v>0.13074634871429192</v>
      </c>
      <c r="Q13" s="163">
        <f>IF(J13="","",O13/IF(J13=$B$3,Resumen!#REF!,VLOOKUP(J13,Graf_PowerBI!$A$4:$D$39,4,0)))</f>
        <v>0.23496118675311278</v>
      </c>
      <c r="S13" s="371">
        <f t="shared" si="0"/>
        <v>0.19031972605037631</v>
      </c>
    </row>
    <row r="14" spans="1:19">
      <c r="A14" s="21">
        <v>201909</v>
      </c>
      <c r="C14" s="155">
        <v>8.1190322836745352</v>
      </c>
      <c r="D14" s="155">
        <v>321.98310136200001</v>
      </c>
      <c r="E14" s="155">
        <v>39.657817595999994</v>
      </c>
      <c r="F14" s="155">
        <v>54.454999999999998</v>
      </c>
      <c r="G14" s="163">
        <f>IF(A14="","",E14/IF(A14=$B$3,Resumen!#REF!,VLOOKUP(A14,Graf_PowerBI!$A$4:$D$39,3,0)))</f>
        <v>5.590952044032111E-2</v>
      </c>
      <c r="H14" s="163">
        <f>IF(A14="","",F14/IF(A14=$B$3,Resumen!#REF!,VLOOKUP(A14,Graf_PowerBI!$A$4:$D$39,4,0)))</f>
        <v>8.1795950984014834E-2</v>
      </c>
      <c r="J14" s="21">
        <v>201909</v>
      </c>
      <c r="K14" s="21"/>
      <c r="L14" s="155">
        <v>7.8572180221428125</v>
      </c>
      <c r="M14" s="155">
        <v>701.57699808995994</v>
      </c>
      <c r="N14" s="155">
        <v>89.290763742690004</v>
      </c>
      <c r="O14" s="155">
        <v>150.56399999999999</v>
      </c>
      <c r="P14" s="163">
        <f>IF(J14="","",N14/IF(J14=$B$3,Resumen!#REF!,VLOOKUP(J14,Graf_PowerBI!$A$4:$D$39,3,0)))</f>
        <v>0.12588195930144522</v>
      </c>
      <c r="Q14" s="163">
        <f>IF(J14="","",O14/IF(J14=$B$3,Resumen!#REF!,VLOOKUP(J14,Graf_PowerBI!$A$4:$D$39,4,0)))</f>
        <v>0.22615968348098814</v>
      </c>
      <c r="S14" s="371">
        <f t="shared" si="0"/>
        <v>0.18179147974176632</v>
      </c>
    </row>
    <row r="15" spans="1:19">
      <c r="A15" s="21">
        <v>201910</v>
      </c>
      <c r="C15" s="155">
        <v>8.0794452844488038</v>
      </c>
      <c r="D15" s="155">
        <v>328.359798012</v>
      </c>
      <c r="E15" s="155">
        <v>40.641379012000002</v>
      </c>
      <c r="F15" s="155">
        <v>55.311999999999998</v>
      </c>
      <c r="G15" s="163">
        <f>IF(A15="","",E15/IF(A15=$B$3,Resumen!#REF!,VLOOKUP(A15,Graf_PowerBI!$A$4:$D$39,3,0)))</f>
        <v>5.4062850998557128E-2</v>
      </c>
      <c r="H15" s="163">
        <f>IF(A15="","",F15/IF(A15=$B$3,Resumen!#REF!,VLOOKUP(A15,Graf_PowerBI!$A$4:$D$39,4,0)))</f>
        <v>8.2250406329974143E-2</v>
      </c>
      <c r="J15" s="21">
        <v>201910</v>
      </c>
      <c r="K15" s="21"/>
      <c r="L15" s="155">
        <v>7.7393628289981047</v>
      </c>
      <c r="M15" s="155">
        <v>692.18518647121005</v>
      </c>
      <c r="N15" s="155">
        <v>89.436973270940001</v>
      </c>
      <c r="O15" s="155">
        <v>151.03400000000002</v>
      </c>
      <c r="P15" s="163">
        <f>IF(J15="","",N15/IF(J15=$B$3,Resumen!#REF!,VLOOKUP(J15,Graf_PowerBI!$A$4:$D$39,3,0)))</f>
        <v>0.11897277792372873</v>
      </c>
      <c r="Q15" s="163">
        <f>IF(J15="","",O15/IF(J15=$B$3,Resumen!#REF!,VLOOKUP(J15,Graf_PowerBI!$A$4:$D$39,4,0)))</f>
        <v>0.22459155101318551</v>
      </c>
      <c r="S15" s="371">
        <f t="shared" si="0"/>
        <v>0.17303562892228586</v>
      </c>
    </row>
    <row r="16" spans="1:19">
      <c r="A16" s="21">
        <v>201911</v>
      </c>
      <c r="C16" s="155">
        <v>7.804340488617532</v>
      </c>
      <c r="D16" s="155">
        <v>318.42461563199998</v>
      </c>
      <c r="E16" s="155">
        <v>40.800964040000004</v>
      </c>
      <c r="F16" s="155">
        <v>54.519000000000013</v>
      </c>
      <c r="G16" s="163">
        <f>IF(A16="","",E16/IF(A16=$B$3,Resumen!#REF!,VLOOKUP(A16,Graf_PowerBI!$A$4:$D$39,3,0)))</f>
        <v>5.2368639602534996E-2</v>
      </c>
      <c r="H16" s="163">
        <f>IF(A16="","",F16/IF(A16=$B$3,Resumen!#REF!,VLOOKUP(A16,Graf_PowerBI!$A$4:$D$39,4,0)))</f>
        <v>8.0870846059253987E-2</v>
      </c>
      <c r="J16" s="21">
        <v>201911</v>
      </c>
      <c r="K16" s="21"/>
      <c r="L16" s="155">
        <v>8.5526016326757652</v>
      </c>
      <c r="M16" s="155">
        <v>796.26570959903006</v>
      </c>
      <c r="N16" s="155">
        <v>93.102162803520002</v>
      </c>
      <c r="O16" s="155">
        <v>145.76300000000001</v>
      </c>
      <c r="P16" s="163">
        <f>IF(J16="","",N16/IF(J16=$B$3,Resumen!#REF!,VLOOKUP(J16,Graf_PowerBI!$A$4:$D$39,3,0)))</f>
        <v>0.11949800022602794</v>
      </c>
      <c r="Q16" s="163">
        <f>IF(J16="","",O16/IF(J16=$B$3,Resumen!#REF!,VLOOKUP(J16,Graf_PowerBI!$A$4:$D$39,4,0)))</f>
        <v>0.21621777974898726</v>
      </c>
      <c r="S16" s="371">
        <f t="shared" si="0"/>
        <v>0.17186663982856293</v>
      </c>
    </row>
    <row r="17" spans="1:19">
      <c r="A17" s="21">
        <v>201912</v>
      </c>
      <c r="C17" s="155">
        <v>7.9180255888153104</v>
      </c>
      <c r="D17" s="155">
        <v>356.18899566599998</v>
      </c>
      <c r="E17" s="155">
        <v>44.984572438000008</v>
      </c>
      <c r="F17" s="155">
        <v>56.380999999999993</v>
      </c>
      <c r="G17" s="163">
        <f>IF(A17="","",E17/IF(A17=$B$3,Resumen!#REF!,VLOOKUP(A17,Graf_PowerBI!$A$4:$D$39,3,0)))</f>
        <v>5.2819747740465904E-2</v>
      </c>
      <c r="H17" s="163">
        <f>IF(A17="","",F17/IF(A17=$B$3,Resumen!#REF!,VLOOKUP(A17,Graf_PowerBI!$A$4:$D$39,4,0)))</f>
        <v>8.3014806351300402E-2</v>
      </c>
      <c r="J17" s="21">
        <v>201912</v>
      </c>
      <c r="K17" s="21"/>
      <c r="L17" s="155">
        <v>7.8981925209262744</v>
      </c>
      <c r="M17" s="155">
        <v>899.70260101689007</v>
      </c>
      <c r="N17" s="155">
        <v>113.91246777450999</v>
      </c>
      <c r="O17" s="155">
        <v>167.33100000000002</v>
      </c>
      <c r="P17" s="163">
        <f>IF(J17="","",N17/IF(J17=$B$3,Resumen!#REF!,VLOOKUP(J17,Graf_PowerBI!$A$4:$D$39,3,0)))</f>
        <v>0.13375313993783675</v>
      </c>
      <c r="Q17" s="163">
        <f>IF(J17="","",O17/IF(J17=$B$3,Resumen!#REF!,VLOOKUP(J17,Graf_PowerBI!$A$4:$D$39,4,0)))</f>
        <v>0.24637644883151152</v>
      </c>
      <c r="S17" s="371">
        <f t="shared" si="0"/>
        <v>0.18657288767830266</v>
      </c>
    </row>
    <row r="18" spans="1:19">
      <c r="A18" s="21">
        <v>202001</v>
      </c>
      <c r="C18" s="155">
        <v>8.0195723453407375</v>
      </c>
      <c r="D18" s="155">
        <v>350.48381653199999</v>
      </c>
      <c r="E18" s="155">
        <v>43.703554434000004</v>
      </c>
      <c r="F18" s="155">
        <v>56.690999999999995</v>
      </c>
      <c r="G18" s="163">
        <f>IF(A18="","",E18/IF(A18=$B$3,Resumen!#REF!,VLOOKUP(A18,Graf_PowerBI!$A$4:$D$39,3,0)))</f>
        <v>5.7623728959106058E-2</v>
      </c>
      <c r="H18" s="163">
        <f>IF(A18="","",F18/IF(A18=$B$3,Resumen!#REF!,VLOOKUP(A18,Graf_PowerBI!$A$4:$D$39,4,0)))</f>
        <v>8.3909966741511827E-2</v>
      </c>
      <c r="J18" s="21">
        <v>202001</v>
      </c>
      <c r="K18" s="21"/>
      <c r="L18" s="155">
        <v>8.124333292756166</v>
      </c>
      <c r="M18" s="155">
        <v>751.13921807667998</v>
      </c>
      <c r="N18" s="155">
        <v>92.455490316530003</v>
      </c>
      <c r="O18" s="155">
        <v>142.702</v>
      </c>
      <c r="P18" s="163">
        <f>IF(J18="","",N18/IF(J18=$B$3,Resumen!#REF!,VLOOKUP(J18,Graf_PowerBI!$A$4:$D$39,3,0)))</f>
        <v>0.12190381729309069</v>
      </c>
      <c r="Q18" s="163">
        <f>IF(J18="","",O18/IF(J18=$B$3,Resumen!#REF!,VLOOKUP(J18,Graf_PowerBI!$A$4:$D$39,4,0)))</f>
        <v>0.21121730211051529</v>
      </c>
      <c r="S18" s="371">
        <f t="shared" si="0"/>
        <v>0.17952754625219675</v>
      </c>
    </row>
    <row r="19" spans="1:19">
      <c r="A19" s="21">
        <v>202002</v>
      </c>
      <c r="C19" s="155">
        <v>8.027980660450373</v>
      </c>
      <c r="D19" s="155">
        <v>321.97326690800003</v>
      </c>
      <c r="E19" s="155">
        <v>40.106382977999999</v>
      </c>
      <c r="F19" s="155">
        <v>53.356000000000009</v>
      </c>
      <c r="G19" s="163">
        <f>IF(A19="","",E19/IF(A19=$B$3,Resumen!#REF!,VLOOKUP(A19,Graf_PowerBI!$A$4:$D$39,3,0)))</f>
        <v>5.1475090088181921E-2</v>
      </c>
      <c r="H19" s="163">
        <f>IF(A19="","",F19/IF(A19=$B$3,Resumen!#REF!,VLOOKUP(A19,Graf_PowerBI!$A$4:$D$39,4,0)))</f>
        <v>7.8692335033840544E-2</v>
      </c>
      <c r="J19" s="21">
        <v>202002</v>
      </c>
      <c r="K19" s="21"/>
      <c r="L19" s="155">
        <v>7.5044158967724108</v>
      </c>
      <c r="M19" s="155">
        <v>713.03117509804997</v>
      </c>
      <c r="N19" s="155">
        <v>95.014879892880003</v>
      </c>
      <c r="O19" s="155">
        <v>146.52699999999999</v>
      </c>
      <c r="P19" s="163">
        <f>IF(J19="","",N19/IF(J19=$B$3,Resumen!#REF!,VLOOKUP(J19,Graf_PowerBI!$A$4:$D$39,3,0)))</f>
        <v>0.12194815735157774</v>
      </c>
      <c r="Q19" s="163">
        <f>IF(J19="","",O19/IF(J19=$B$3,Resumen!#REF!,VLOOKUP(J19,Graf_PowerBI!$A$4:$D$39,4,0)))</f>
        <v>0.21610600074037692</v>
      </c>
      <c r="S19" s="371">
        <f t="shared" si="0"/>
        <v>0.17342324743975968</v>
      </c>
    </row>
    <row r="20" spans="1:19">
      <c r="A20" s="21">
        <v>202003</v>
      </c>
      <c r="C20" s="155">
        <v>8.0012474642629847</v>
      </c>
      <c r="D20" s="155">
        <v>293.01520495400001</v>
      </c>
      <c r="E20" s="155">
        <v>36.621190165999998</v>
      </c>
      <c r="F20" s="155">
        <v>49.742999999999995</v>
      </c>
      <c r="G20" s="163">
        <f>IF(A20="","",E20/IF(A20=$B$3,Resumen!#REF!,VLOOKUP(A20,Graf_PowerBI!$A$4:$D$39,3,0)))</f>
        <v>6.8054403988383264E-2</v>
      </c>
      <c r="H20" s="163">
        <f>IF(A20="","",F20/IF(A20=$B$3,Resumen!#REF!,VLOOKUP(A20,Graf_PowerBI!$A$4:$D$39,4,0)))</f>
        <v>7.7840928651683627E-2</v>
      </c>
      <c r="J20" s="21">
        <v>202003</v>
      </c>
      <c r="K20" s="21"/>
      <c r="L20" s="155">
        <v>7.3459395818809625</v>
      </c>
      <c r="M20" s="155">
        <v>472.19990767768996</v>
      </c>
      <c r="N20" s="155">
        <v>64.28039632158</v>
      </c>
      <c r="O20" s="155">
        <v>116.75</v>
      </c>
      <c r="P20" s="163">
        <f>IF(J20="","",N20/IF(J20=$B$3,Resumen!#REF!,VLOOKUP(J20,Graf_PowerBI!$A$4:$D$39,3,0)))</f>
        <v>0.11945444809337853</v>
      </c>
      <c r="Q20" s="163">
        <f>IF(J20="","",O20/IF(J20=$B$3,Resumen!#REF!,VLOOKUP(J20,Graf_PowerBI!$A$4:$D$39,4,0)))</f>
        <v>0.18269763424168353</v>
      </c>
      <c r="S20" s="371">
        <f t="shared" si="0"/>
        <v>0.1875088520817618</v>
      </c>
    </row>
    <row r="21" spans="1:19">
      <c r="A21" s="21">
        <v>202004</v>
      </c>
      <c r="C21" s="155">
        <v>7.8195397510853839</v>
      </c>
      <c r="D21" s="155">
        <v>94.688249160000012</v>
      </c>
      <c r="E21" s="155">
        <v>12.109184450000001</v>
      </c>
      <c r="F21" s="155">
        <v>24.144000000000002</v>
      </c>
      <c r="G21" s="163">
        <f>IF(A21="","",E21/IF(A21=$B$3,Resumen!#REF!,VLOOKUP(A21,Graf_PowerBI!$A$4:$D$39,3,0)))</f>
        <v>4.5093710481008971E-2</v>
      </c>
      <c r="H21" s="163">
        <f>IF(A21="","",F21/IF(A21=$B$3,Resumen!#REF!,VLOOKUP(A21,Graf_PowerBI!$A$4:$D$39,4,0)))</f>
        <v>4.5352342847482463E-2</v>
      </c>
      <c r="J21" s="21">
        <v>202004</v>
      </c>
      <c r="K21" s="21"/>
      <c r="L21" s="155">
        <v>6.7450947013127678</v>
      </c>
      <c r="M21" s="155">
        <v>136.21568367779003</v>
      </c>
      <c r="N21" s="155">
        <v>20.194777050539997</v>
      </c>
      <c r="O21" s="155">
        <v>44.701999999999998</v>
      </c>
      <c r="P21" s="163">
        <f>IF(J21="","",N21/IF(J21=$B$3,Resumen!#REF!,VLOOKUP(J21,Graf_PowerBI!$A$4:$D$39,3,0)))</f>
        <v>7.5203861441352049E-2</v>
      </c>
      <c r="Q21" s="163">
        <f>IF(J21="","",O21/IF(J21=$B$3,Resumen!#REF!,VLOOKUP(J21,Graf_PowerBI!$A$4:$D$39,4,0)))</f>
        <v>8.3968705681252517E-2</v>
      </c>
      <c r="S21" s="371">
        <f t="shared" si="0"/>
        <v>0.12029757192236101</v>
      </c>
    </row>
    <row r="22" spans="1:19">
      <c r="A22" s="21">
        <v>202005</v>
      </c>
      <c r="C22" s="155">
        <v>7.9798781819393882</v>
      </c>
      <c r="D22" s="155">
        <v>139.06041738600001</v>
      </c>
      <c r="E22" s="155">
        <v>17.426383487999999</v>
      </c>
      <c r="F22" s="155">
        <v>27.961000000000002</v>
      </c>
      <c r="G22" s="163">
        <f>IF(A22="","",E22/IF(A22=$B$3,Resumen!#REF!,VLOOKUP(A22,Graf_PowerBI!$A$4:$D$39,3,0)))</f>
        <v>4.685151230838433E-2</v>
      </c>
      <c r="H22" s="163">
        <f>IF(A22="","",F22/IF(A22=$B$3,Resumen!#REF!,VLOOKUP(A22,Graf_PowerBI!$A$4:$D$39,4,0)))</f>
        <v>5.1931577578841807E-2</v>
      </c>
      <c r="J22" s="21">
        <v>202005</v>
      </c>
      <c r="K22" s="21"/>
      <c r="L22" s="155">
        <v>7.4326883055780986</v>
      </c>
      <c r="M22" s="155">
        <v>255.57926038551003</v>
      </c>
      <c r="N22" s="155">
        <v>34.385843974339998</v>
      </c>
      <c r="O22" s="155">
        <v>54.37</v>
      </c>
      <c r="P22" s="163">
        <f>IF(J22="","",N22/IF(J22=$B$3,Resumen!#REF!,VLOOKUP(J22,Graf_PowerBI!$A$4:$D$39,3,0)))</f>
        <v>9.24476838988047E-2</v>
      </c>
      <c r="Q22" s="163">
        <f>IF(J22="","",O22/IF(J22=$B$3,Resumen!#REF!,VLOOKUP(J22,Graf_PowerBI!$A$4:$D$39,4,0)))</f>
        <v>0.10098064707848892</v>
      </c>
      <c r="S22" s="371">
        <f t="shared" si="0"/>
        <v>0.13929919620718903</v>
      </c>
    </row>
    <row r="23" spans="1:19">
      <c r="A23" s="21">
        <v>202006</v>
      </c>
      <c r="C23" s="155">
        <v>8.1669271521547877</v>
      </c>
      <c r="D23" s="155">
        <v>147.62284556199998</v>
      </c>
      <c r="E23" s="155">
        <v>18.075690258000002</v>
      </c>
      <c r="F23" s="155">
        <v>26.847999999999999</v>
      </c>
      <c r="G23" s="163">
        <f>IF(A23="","",E23/IF(A23=$B$3,Resumen!#REF!,VLOOKUP(A23,Graf_PowerBI!$A$4:$D$39,3,0)))</f>
        <v>4.2562842258816028E-2</v>
      </c>
      <c r="H23" s="163">
        <f>IF(A23="","",F23/IF(A23=$B$3,Resumen!#REF!,VLOOKUP(A23,Graf_PowerBI!$A$4:$D$39,4,0)))</f>
        <v>4.9501445513009612E-2</v>
      </c>
      <c r="J23" s="21">
        <v>202006</v>
      </c>
      <c r="K23" s="21"/>
      <c r="L23" s="155">
        <v>7.2885868706947958</v>
      </c>
      <c r="M23" s="155">
        <v>283.36206353408005</v>
      </c>
      <c r="N23" s="155">
        <v>38.877503768720004</v>
      </c>
      <c r="O23" s="155">
        <v>58.866999999999997</v>
      </c>
      <c r="P23" s="163">
        <f>IF(J23="","",N23/IF(J23=$B$3,Resumen!#REF!,VLOOKUP(J23,Graf_PowerBI!$A$4:$D$39,3,0)))</f>
        <v>9.1544889113830435E-2</v>
      </c>
      <c r="Q23" s="163">
        <f>IF(J23="","",O23/IF(J23=$B$3,Resumen!#REF!,VLOOKUP(J23,Graf_PowerBI!$A$4:$D$39,4,0)))</f>
        <v>0.10853700808307273</v>
      </c>
      <c r="S23" s="371">
        <f t="shared" si="0"/>
        <v>0.13410773137264648</v>
      </c>
    </row>
    <row r="24" spans="1:19">
      <c r="A24" s="21">
        <v>202007</v>
      </c>
      <c r="C24" s="155">
        <v>8.1610125316989919</v>
      </c>
      <c r="D24" s="155">
        <v>180.76626562999999</v>
      </c>
      <c r="E24" s="155">
        <v>22.149980155999998</v>
      </c>
      <c r="F24" s="155">
        <v>28.911000000000001</v>
      </c>
      <c r="G24" s="163">
        <f>IF(A24="","",E24/IF(A24=$B$3,Resumen!#REF!,VLOOKUP(A24,Graf_PowerBI!$A$4:$D$39,3,0)))</f>
        <v>4.2099041275663877E-2</v>
      </c>
      <c r="H24" s="163">
        <f>IF(A24="","",F24/IF(A24=$B$3,Resumen!#REF!,VLOOKUP(A24,Graf_PowerBI!$A$4:$D$39,4,0)))</f>
        <v>5.3389792948580629E-2</v>
      </c>
      <c r="J24" s="21">
        <v>202007</v>
      </c>
      <c r="K24" s="21"/>
      <c r="L24" s="155">
        <v>7.3875211970824175</v>
      </c>
      <c r="M24" s="155">
        <v>372.00513497106999</v>
      </c>
      <c r="N24" s="155">
        <v>50.355880551379997</v>
      </c>
      <c r="O24" s="155">
        <v>69.727000000000004</v>
      </c>
      <c r="P24" s="163">
        <f>IF(J24="","",N24/IF(J24=$B$3,Resumen!#REF!,VLOOKUP(J24,Graf_PowerBI!$A$4:$D$39,3,0)))</f>
        <v>9.5708180272599364E-2</v>
      </c>
      <c r="Q24" s="163">
        <f>IF(J24="","",O24/IF(J24=$B$3,Resumen!#REF!,VLOOKUP(J24,Graf_PowerBI!$A$4:$D$39,4,0)))</f>
        <v>0.12876448732059359</v>
      </c>
      <c r="S24" s="371">
        <f t="shared" si="0"/>
        <v>0.13780722154826325</v>
      </c>
    </row>
    <row r="25" spans="1:19">
      <c r="A25" s="21">
        <v>202008</v>
      </c>
      <c r="C25" s="155">
        <v>8.1491477769899934</v>
      </c>
      <c r="D25" s="155">
        <v>104.97491948999999</v>
      </c>
      <c r="E25" s="155">
        <v>12.881705224000001</v>
      </c>
      <c r="F25" s="155">
        <v>18.556999999999999</v>
      </c>
      <c r="G25" s="163">
        <f>IF(A25="","",E25/IF(A25=$B$3,Resumen!#REF!,VLOOKUP(A25,Graf_PowerBI!$A$4:$D$39,3,0)))</f>
        <v>2.4278961652694327E-2</v>
      </c>
      <c r="H25" s="163">
        <f>IF(A25="","",F25/IF(A25=$B$3,Resumen!#REF!,VLOOKUP(A25,Graf_PowerBI!$A$4:$D$39,4,0)))</f>
        <v>3.5181748034451836E-2</v>
      </c>
      <c r="J25" s="21">
        <v>202008</v>
      </c>
      <c r="K25" s="21"/>
      <c r="L25" s="155">
        <v>7.9166252574383797</v>
      </c>
      <c r="M25" s="155">
        <v>404.84367957760003</v>
      </c>
      <c r="N25" s="155">
        <v>51.138416485890005</v>
      </c>
      <c r="O25" s="155">
        <v>69.844999999999999</v>
      </c>
      <c r="P25" s="163">
        <f>IF(J25="","",N25/IF(J25=$B$3,Resumen!#REF!,VLOOKUP(J25,Graf_PowerBI!$A$4:$D$39,3,0)))</f>
        <v>9.6383796341436512E-2</v>
      </c>
      <c r="Q25" s="163">
        <f>IF(J25="","",O25/IF(J25=$B$3,Resumen!#REF!,VLOOKUP(J25,Graf_PowerBI!$A$4:$D$39,4,0)))</f>
        <v>0.1324173730380066</v>
      </c>
      <c r="S25" s="371">
        <f t="shared" si="0"/>
        <v>0.12066275799413084</v>
      </c>
    </row>
    <row r="26" spans="1:19">
      <c r="A26" s="21">
        <v>202009</v>
      </c>
      <c r="C26" s="155">
        <v>7.8489129426724187</v>
      </c>
      <c r="D26" s="155">
        <v>125.82516367199999</v>
      </c>
      <c r="E26" s="155">
        <v>16.030903207999998</v>
      </c>
      <c r="F26" s="155">
        <v>23.997</v>
      </c>
      <c r="G26" s="163">
        <f>IF(A26="","",E26/IF(A26=$B$3,Resumen!#REF!,VLOOKUP(A26,Graf_PowerBI!$A$4:$D$39,3,0)))</f>
        <v>3.0660103631775241E-2</v>
      </c>
      <c r="H26" s="163">
        <f>IF(A26="","",F26/IF(A26=$B$3,Resumen!#REF!,VLOOKUP(A26,Graf_PowerBI!$A$4:$D$39,4,0)))</f>
        <v>4.57959763205203E-2</v>
      </c>
      <c r="J26" s="21">
        <v>202009</v>
      </c>
      <c r="K26" s="21"/>
      <c r="L26" s="155">
        <v>7.7960062725790005</v>
      </c>
      <c r="M26" s="155">
        <v>408.11701915829002</v>
      </c>
      <c r="N26" s="155">
        <v>52.349498562329998</v>
      </c>
      <c r="O26" s="155">
        <v>73.472999999999999</v>
      </c>
      <c r="P26" s="163">
        <f>IF(J26="","",N26/IF(J26=$B$3,Resumen!#REF!,VLOOKUP(J26,Graf_PowerBI!$A$4:$D$39,3,0)))</f>
        <v>0.10012168560730461</v>
      </c>
      <c r="Q26" s="163">
        <f>IF(J26="","",O26/IF(J26=$B$3,Resumen!#REF!,VLOOKUP(J26,Graf_PowerBI!$A$4:$D$39,4,0)))</f>
        <v>0.14021618403123676</v>
      </c>
      <c r="S26" s="371">
        <f t="shared" si="0"/>
        <v>0.13078178923907985</v>
      </c>
    </row>
    <row r="27" spans="1:19">
      <c r="A27" s="21">
        <v>202010</v>
      </c>
      <c r="C27" s="155">
        <v>7.6170898942377869</v>
      </c>
      <c r="D27" s="155">
        <v>150.94579392399999</v>
      </c>
      <c r="E27" s="155">
        <v>19.816727388</v>
      </c>
      <c r="F27" s="155">
        <v>29.072000000000003</v>
      </c>
      <c r="G27" s="163">
        <f>IF(A27="","",E27/IF(A27=$B$3,Resumen!#REF!,VLOOKUP(A27,Graf_PowerBI!$A$4:$D$39,3,0)))</f>
        <v>3.4393946806935166E-2</v>
      </c>
      <c r="H27" s="163">
        <f>IF(A27="","",F27/IF(A27=$B$3,Resumen!#REF!,VLOOKUP(A27,Graf_PowerBI!$A$4:$D$39,4,0)))</f>
        <v>5.4661103788786129E-2</v>
      </c>
      <c r="J27" s="21">
        <v>202010</v>
      </c>
      <c r="K27" s="21"/>
      <c r="L27" s="155">
        <v>7.954138764877607</v>
      </c>
      <c r="M27" s="155">
        <v>446.99409159245999</v>
      </c>
      <c r="N27" s="155">
        <v>56.196416080419993</v>
      </c>
      <c r="O27" s="155">
        <v>78.408999999999992</v>
      </c>
      <c r="P27" s="163">
        <f>IF(J27="","",N27/IF(J27=$B$3,Resumen!#REF!,VLOOKUP(J27,Graf_PowerBI!$A$4:$D$39,3,0)))</f>
        <v>9.7534598300059186E-2</v>
      </c>
      <c r="Q27" s="163">
        <f>IF(J27="","",O27/IF(J27=$B$3,Resumen!#REF!,VLOOKUP(J27,Graf_PowerBI!$A$4:$D$39,4,0)))</f>
        <v>0.14742441135714537</v>
      </c>
      <c r="S27" s="371">
        <f t="shared" si="0"/>
        <v>0.13192854510699437</v>
      </c>
    </row>
    <row r="28" spans="1:19">
      <c r="A28" s="21">
        <v>202011</v>
      </c>
      <c r="C28" s="155">
        <v>7.7503754853996139</v>
      </c>
      <c r="D28" s="155">
        <v>157.542868758</v>
      </c>
      <c r="E28" s="155">
        <v>20.327127254000004</v>
      </c>
      <c r="F28" s="155">
        <v>29.219000000000005</v>
      </c>
      <c r="G28" s="163">
        <f>IF(A28="","",E28/IF(A28=$B$3,Resumen!#REF!,VLOOKUP(A28,Graf_PowerBI!$A$4:$D$39,3,0)))</f>
        <v>3.3868445907091663E-2</v>
      </c>
      <c r="H28" s="163">
        <f>IF(A28="","",F28/IF(A28=$B$3,Resumen!#REF!,VLOOKUP(A28,Graf_PowerBI!$A$4:$D$39,4,0)))</f>
        <v>5.4870434114728583E-2</v>
      </c>
      <c r="J28" s="21">
        <v>202011</v>
      </c>
      <c r="K28" s="21"/>
      <c r="L28" s="155">
        <v>7.7367610274724745</v>
      </c>
      <c r="M28" s="155">
        <v>414.69490029878</v>
      </c>
      <c r="N28" s="155">
        <v>53.600582831270003</v>
      </c>
      <c r="O28" s="155">
        <v>76.183999999999997</v>
      </c>
      <c r="P28" s="163">
        <f>IF(J28="","",N28/IF(J28=$B$3,Resumen!#REF!,VLOOKUP(J28,Graf_PowerBI!$A$4:$D$39,3,0)))</f>
        <v>8.930767331385811E-2</v>
      </c>
      <c r="Q28" s="163">
        <f>IF(J28="","",O28/IF(J28=$B$3,Resumen!#REF!,VLOOKUP(J28,Graf_PowerBI!$A$4:$D$39,4,0)))</f>
        <v>0.14306612658189813</v>
      </c>
      <c r="S28" s="371">
        <f t="shared" si="0"/>
        <v>0.12317611922094977</v>
      </c>
    </row>
    <row r="29" spans="1:19">
      <c r="A29" s="21">
        <v>202012</v>
      </c>
      <c r="C29" s="155">
        <v>7.7093186366066808</v>
      </c>
      <c r="D29" s="155">
        <v>219.99329298800001</v>
      </c>
      <c r="E29" s="155">
        <v>28.536022878000001</v>
      </c>
      <c r="F29" s="155">
        <v>35.616999999999997</v>
      </c>
      <c r="G29" s="163">
        <f>IF(A29="","",E29/IF(A29=$B$3,Resumen!#REF!,VLOOKUP(A29,Graf_PowerBI!$A$4:$D$39,3,0)))</f>
        <v>4.0230197775995256E-2</v>
      </c>
      <c r="H29" s="163">
        <f>IF(A29="","",F29/IF(A29=$B$3,Resumen!#REF!,VLOOKUP(A29,Graf_PowerBI!$A$4:$D$39,4,0)))</f>
        <v>6.5338746278294585E-2</v>
      </c>
      <c r="J29" s="21">
        <v>202012</v>
      </c>
      <c r="K29" s="21"/>
      <c r="L29" s="155">
        <v>7.9073179806322988</v>
      </c>
      <c r="M29" s="155">
        <v>530.82993269169992</v>
      </c>
      <c r="N29" s="155">
        <v>67.131476689300001</v>
      </c>
      <c r="O29" s="155">
        <v>89.903999999999996</v>
      </c>
      <c r="P29" s="163">
        <f>IF(J29="","",N29/IF(J29=$B$3,Resumen!#REF!,VLOOKUP(J29,Graf_PowerBI!$A$4:$D$39,3,0)))</f>
        <v>9.4642221018377548E-2</v>
      </c>
      <c r="Q29" s="163">
        <f>IF(J29="","",O29/IF(J29=$B$3,Resumen!#REF!,VLOOKUP(J29,Graf_PowerBI!$A$4:$D$39,4,0)))</f>
        <v>0.16492727196012569</v>
      </c>
      <c r="S29" s="371">
        <f t="shared" si="0"/>
        <v>0.13487241879437281</v>
      </c>
    </row>
    <row r="30" spans="1:19">
      <c r="A30" s="21">
        <v>202101</v>
      </c>
      <c r="C30" s="155">
        <v>7.7557314431078135</v>
      </c>
      <c r="D30" s="155">
        <v>186.35048911000001</v>
      </c>
      <c r="E30" s="155">
        <v>24.027455112000005</v>
      </c>
      <c r="F30" s="155">
        <v>32.835000000000008</v>
      </c>
      <c r="G30" s="163">
        <f>IF(A30="","",E30/IF(A30=$B$3,Resumen!#REF!,VLOOKUP(A30,Graf_PowerBI!$A$4:$D$39,3,0)))</f>
        <v>3.8076439484405117E-2</v>
      </c>
      <c r="H30" s="163">
        <f>IF(A30="","",F30/IF(A30=$B$3,Resumen!#REF!,VLOOKUP(A30,Graf_PowerBI!$A$4:$D$39,4,0)))</f>
        <v>6.069282425420932E-2</v>
      </c>
      <c r="J30" s="21">
        <v>202101</v>
      </c>
      <c r="K30" s="21"/>
      <c r="L30" s="155">
        <v>7.6221213000652686</v>
      </c>
      <c r="M30" s="155">
        <v>401.48485387808006</v>
      </c>
      <c r="N30" s="155">
        <v>52.673637439309992</v>
      </c>
      <c r="O30" s="155">
        <v>74.584000000000003</v>
      </c>
      <c r="P30" s="163">
        <f>IF(J30="","",N30/IF(J30=$B$3,Resumen!#REF!,VLOOKUP(J30,Graf_PowerBI!$A$4:$D$39,3,0)))</f>
        <v>8.3472201239477739E-2</v>
      </c>
      <c r="Q30" s="163">
        <f>IF(J30="","",O30/IF(J30=$B$3,Resumen!#REF!,VLOOKUP(J30,Graf_PowerBI!$A$4:$D$39,4,0)))</f>
        <v>0.13786245177938014</v>
      </c>
      <c r="S30" s="371">
        <f t="shared" si="0"/>
        <v>0.12154864072388286</v>
      </c>
    </row>
    <row r="31" spans="1:19">
      <c r="A31" s="21">
        <v>202102</v>
      </c>
      <c r="C31" s="155">
        <v>8.0226695227317038</v>
      </c>
      <c r="D31" s="155">
        <v>164.76387198199998</v>
      </c>
      <c r="E31" s="155">
        <v>20.537287684000002</v>
      </c>
      <c r="F31" s="155">
        <v>26.968</v>
      </c>
      <c r="G31" s="163">
        <f>IF(A31="","",E31/IF(A31=$B$3,Resumen!#REF!,VLOOKUP(A31,Graf_PowerBI!$A$4:$D$39,3,0)))</f>
        <v>3.8252384231582059E-2</v>
      </c>
      <c r="H31" s="163">
        <f>IF(A31="","",F31/IF(A31=$B$3,Resumen!#REF!,VLOOKUP(A31,Graf_PowerBI!$A$4:$D$39,4,0)))</f>
        <v>5.0775528033107274E-2</v>
      </c>
      <c r="J31" s="21">
        <v>202102</v>
      </c>
      <c r="K31" s="21"/>
      <c r="L31" s="155">
        <v>7.263670513593274</v>
      </c>
      <c r="M31" s="155">
        <v>303.09813710828001</v>
      </c>
      <c r="N31" s="155">
        <v>41.727957861120004</v>
      </c>
      <c r="O31" s="155">
        <v>61.383000000000003</v>
      </c>
      <c r="P31" s="163">
        <f>IF(J31="","",N31/IF(J31=$B$3,Resumen!#REF!,VLOOKUP(J31,Graf_PowerBI!$A$4:$D$39,3,0)))</f>
        <v>7.7721746993220292E-2</v>
      </c>
      <c r="Q31" s="163">
        <f>IF(J31="","",O31/IF(J31=$B$3,Resumen!#REF!,VLOOKUP(J31,Graf_PowerBI!$A$4:$D$39,4,0)))</f>
        <v>0.11557231671819282</v>
      </c>
      <c r="S31" s="371">
        <f t="shared" si="0"/>
        <v>0.11597413122480235</v>
      </c>
    </row>
    <row r="32" spans="1:19">
      <c r="A32" s="21">
        <v>202103</v>
      </c>
      <c r="C32" s="155">
        <v>8.2222356363785405</v>
      </c>
      <c r="D32" s="155">
        <v>245.01630687600002</v>
      </c>
      <c r="E32" s="155">
        <v>29.799231950000003</v>
      </c>
      <c r="F32" s="155">
        <v>33.833000000000006</v>
      </c>
      <c r="G32" s="163">
        <f>IF(A32="","",E32/IF(A32=$B$3,Resumen!#REF!,VLOOKUP(A32,Graf_PowerBI!$A$4:$D$39,3,0)))</f>
        <v>3.9811782349455094E-2</v>
      </c>
      <c r="H32" s="163">
        <f>IF(A32="","",F32/IF(A32=$B$3,Resumen!#REF!,VLOOKUP(A32,Graf_PowerBI!$A$4:$D$39,4,0)))</f>
        <v>6.0365946134013727E-2</v>
      </c>
      <c r="J32" s="21">
        <v>202103</v>
      </c>
      <c r="K32" s="21"/>
      <c r="L32" s="155">
        <v>7.3517446084036608</v>
      </c>
      <c r="M32" s="155">
        <v>500.92667645041001</v>
      </c>
      <c r="N32" s="155">
        <v>68.137116172099994</v>
      </c>
      <c r="O32" s="155">
        <v>85.11699999999999</v>
      </c>
      <c r="P32" s="163">
        <f>IF(J32="","",N32/IF(J32=$B$3,Resumen!#REF!,VLOOKUP(J32,Graf_PowerBI!$A$4:$D$39,3,0)))</f>
        <v>9.1031206559777852E-2</v>
      </c>
      <c r="Q32" s="163">
        <f>IF(J32="","",O32/IF(J32=$B$3,Resumen!#REF!,VLOOKUP(J32,Graf_PowerBI!$A$4:$D$39,4,0)))</f>
        <v>0.15186853773206174</v>
      </c>
      <c r="S32" s="371">
        <f t="shared" si="0"/>
        <v>0.13084298890923296</v>
      </c>
    </row>
    <row r="33" spans="1:19">
      <c r="A33" s="21">
        <v>202104</v>
      </c>
      <c r="C33" s="155">
        <v>8.1105005822614391</v>
      </c>
      <c r="D33" s="155">
        <v>192.52543253000002</v>
      </c>
      <c r="E33" s="155">
        <v>23.737798990000002</v>
      </c>
      <c r="F33" s="155">
        <v>28.893999999999998</v>
      </c>
      <c r="G33" s="163">
        <f>IF(A33="","",E33/IF(A33=$B$3,Resumen!#REF!,VLOOKUP(A33,Graf_PowerBI!$A$4:$D$39,3,0)))</f>
        <v>3.3538370810281187E-2</v>
      </c>
      <c r="H33" s="163">
        <f>IF(A33="","",F33/IF(A33=$B$3,Resumen!#REF!,VLOOKUP(A33,Graf_PowerBI!$A$4:$D$39,4,0)))</f>
        <v>5.1855520978029507E-2</v>
      </c>
      <c r="J33" s="21">
        <v>202104</v>
      </c>
      <c r="K33" s="21"/>
      <c r="L33" s="155">
        <v>7.0229476299444071</v>
      </c>
      <c r="M33" s="155">
        <v>370.89329852376</v>
      </c>
      <c r="N33" s="155">
        <v>52.811628117849992</v>
      </c>
      <c r="O33" s="155">
        <v>75.331000000000003</v>
      </c>
      <c r="P33" s="163">
        <f>IF(J33="","",N33/IF(J33=$B$3,Resumen!#REF!,VLOOKUP(J33,Graf_PowerBI!$A$4:$D$39,3,0)))</f>
        <v>7.4615846551623594E-2</v>
      </c>
      <c r="Q33" s="163">
        <f>IF(J33="","",O33/IF(J33=$B$3,Resumen!#REF!,VLOOKUP(J33,Graf_PowerBI!$A$4:$D$39,4,0)))</f>
        <v>0.13519513569585179</v>
      </c>
      <c r="S33" s="371">
        <f t="shared" si="0"/>
        <v>0.10815421736190478</v>
      </c>
    </row>
    <row r="34" spans="1:19">
      <c r="A34" s="21">
        <v>202105</v>
      </c>
      <c r="C34" s="155">
        <v>7.8318140946399515</v>
      </c>
      <c r="D34" s="155">
        <v>205.15695339199999</v>
      </c>
      <c r="E34" s="155">
        <v>26.195329831999999</v>
      </c>
      <c r="F34" s="155">
        <v>31.46</v>
      </c>
      <c r="G34" s="163">
        <f>IF(A34="","",E34/IF(A34=$B$3,Resumen!#REF!,VLOOKUP(A34,Graf_PowerBI!$A$4:$D$39,3,0)))</f>
        <v>3.2217221618348633E-2</v>
      </c>
      <c r="H34" s="163">
        <f>IF(A34="","",F34/IF(A34=$B$3,Resumen!#REF!,VLOOKUP(A34,Graf_PowerBI!$A$4:$D$39,4,0)))</f>
        <v>5.4657910281802703E-2</v>
      </c>
      <c r="J34" s="21">
        <v>202105</v>
      </c>
      <c r="K34" s="21"/>
      <c r="L34" s="155">
        <v>6.9117054419776629</v>
      </c>
      <c r="M34" s="155">
        <v>409.37002671522998</v>
      </c>
      <c r="N34" s="155">
        <v>59.228511711300001</v>
      </c>
      <c r="O34" s="155">
        <v>84.503</v>
      </c>
      <c r="P34" s="163">
        <f>IF(J34="","",N34/IF(J34=$B$3,Resumen!#REF!,VLOOKUP(J34,Graf_PowerBI!$A$4:$D$39,3,0)))</f>
        <v>7.2844209260419207E-2</v>
      </c>
      <c r="Q34" s="163">
        <f>IF(J34="","",O34/IF(J34=$B$3,Resumen!#REF!,VLOOKUP(J34,Graf_PowerBI!$A$4:$D$39,4,0)))</f>
        <v>0.1468136488411689</v>
      </c>
      <c r="S34" s="371">
        <f t="shared" si="0"/>
        <v>0.10506143087876785</v>
      </c>
    </row>
    <row r="35" spans="1:19">
      <c r="A35" s="21">
        <v>202106</v>
      </c>
      <c r="C35" s="155">
        <v>7.6293245847318829</v>
      </c>
      <c r="D35" s="155">
        <v>192.337903006</v>
      </c>
      <c r="E35" s="155">
        <v>25.210344752000001</v>
      </c>
      <c r="F35" s="155">
        <v>30.606999999999999</v>
      </c>
      <c r="G35" s="163">
        <f>IF(A35="","",E35/IF(A35=$B$3,Resumen!#REF!,VLOOKUP(A35,Graf_PowerBI!$A$4:$D$39,3,0)))</f>
        <v>3.1360767929288644E-2</v>
      </c>
      <c r="H35" s="163">
        <f>IF(A35="","",F35/IF(A35=$B$3,Resumen!#REF!,VLOOKUP(A35,Graf_PowerBI!$A$4:$D$39,4,0)))</f>
        <v>5.2211575695440715E-2</v>
      </c>
      <c r="J35" s="21">
        <v>202106</v>
      </c>
      <c r="K35" s="21"/>
      <c r="L35" s="155">
        <v>6.5568659131069964</v>
      </c>
      <c r="M35" s="155">
        <v>403.33391820781003</v>
      </c>
      <c r="N35" s="155">
        <v>61.513217374410004</v>
      </c>
      <c r="O35" s="155">
        <v>89.451999999999998</v>
      </c>
      <c r="P35" s="163">
        <f>IF(J35="","",N35/IF(J35=$B$3,Resumen!#REF!,VLOOKUP(J35,Graf_PowerBI!$A$4:$D$39,3,0)))</f>
        <v>7.6520244115650893E-2</v>
      </c>
      <c r="Q35" s="163">
        <f>IF(J35="","",O35/IF(J35=$B$3,Resumen!#REF!,VLOOKUP(J35,Graf_PowerBI!$A$4:$D$39,4,0)))</f>
        <v>0.15259352008065355</v>
      </c>
      <c r="S35" s="371">
        <f t="shared" si="0"/>
        <v>0.10788101204493954</v>
      </c>
    </row>
    <row r="36" spans="1:19">
      <c r="A36" s="21">
        <v>202107</v>
      </c>
      <c r="C36" s="155">
        <v>7.5851959789326333</v>
      </c>
      <c r="D36" s="155">
        <v>224.37060883000001</v>
      </c>
      <c r="E36" s="155">
        <v>29.580067470000003</v>
      </c>
      <c r="F36" s="155">
        <v>32.141000000000005</v>
      </c>
      <c r="G36" s="163">
        <f>IF(A36="","",E36/IF(A36=$B$3,Resumen!#REF!,VLOOKUP(A36,Graf_PowerBI!$A$4:$D$39,3,0)))</f>
        <v>3.2141745163574757E-2</v>
      </c>
      <c r="H36" s="163">
        <f>IF(A36="","",F36/IF(A36=$B$3,Resumen!#REF!,VLOOKUP(A36,Graf_PowerBI!$A$4:$D$39,4,0)))</f>
        <v>5.3809939963770669E-2</v>
      </c>
      <c r="J36" s="21">
        <v>202107</v>
      </c>
      <c r="K36" s="21"/>
      <c r="L36" s="155">
        <v>7.2137936891647989</v>
      </c>
      <c r="M36" s="155">
        <v>520.96057846387009</v>
      </c>
      <c r="N36" s="155">
        <v>72.21728273798</v>
      </c>
      <c r="O36" s="155">
        <v>93.832999999999998</v>
      </c>
      <c r="P36" s="344">
        <f>IF(J36="","",N36/IF(J36=$B$3,Resumen!#REF!,VLOOKUP(J36,Graf_PowerBI!$A$4:$D$39,3,0)))</f>
        <v>7.8471406480871669E-2</v>
      </c>
      <c r="Q36" s="344">
        <f>IF(J36="","",O36/IF(J36=$B$3,Resumen!#REF!,VLOOKUP(J36,Graf_PowerBI!$A$4:$D$39,4,0)))</f>
        <v>0.15709368397437828</v>
      </c>
      <c r="S36" s="371">
        <f>IF(A36="","",P36+G36)</f>
        <v>0.11061315164444643</v>
      </c>
    </row>
    <row r="37" spans="1:19">
      <c r="A37" s="21">
        <v>202108</v>
      </c>
      <c r="C37" s="155">
        <v>7.8079189786971472</v>
      </c>
      <c r="D37" s="155">
        <v>260.87474172000003</v>
      </c>
      <c r="E37" s="155">
        <v>33.411558500000005</v>
      </c>
      <c r="F37" s="155">
        <v>35.121000000000002</v>
      </c>
      <c r="G37" s="344">
        <f>IF(A37="","",E37/IF(A37=$B$3,Resumen!#REF!,VLOOKUP(A37,Graf_PowerBI!$A$4:$D$39,3,0)))</f>
        <v>3.5753911338199662E-2</v>
      </c>
      <c r="H37" s="163">
        <f>IF(A37="","",F37/IF(A37=$B$3,Resumen!#REF!,VLOOKUP(A37,Graf_PowerBI!$A$4:$D$39,4,0)))</f>
        <v>5.7760432598849429E-2</v>
      </c>
      <c r="J37" s="21">
        <v>202108</v>
      </c>
      <c r="K37" s="21"/>
      <c r="L37" s="155">
        <v>7.2133944204403466</v>
      </c>
      <c r="M37" s="155">
        <v>545.14110712186005</v>
      </c>
      <c r="N37" s="155">
        <v>75.573450631940005</v>
      </c>
      <c r="O37" s="155">
        <v>95.69</v>
      </c>
      <c r="P37" s="163">
        <f>IF(J37="","",N37/IF(J37=$B$3,Resumen!#REF!,VLOOKUP(J37,Graf_PowerBI!$A$4:$D$39,3,0)))</f>
        <v>8.0871607752634217E-2</v>
      </c>
      <c r="Q37" s="163">
        <f>IF(J37="","",O37/IF(J37=$B$3,Resumen!#REF!,VLOOKUP(J37,Graf_PowerBI!$A$4:$D$39,4,0)))</f>
        <v>0.15737296191406569</v>
      </c>
      <c r="S37" s="371">
        <f t="shared" si="0"/>
        <v>0.11662551909083388</v>
      </c>
    </row>
    <row r="38" spans="1:19">
      <c r="A38" s="21">
        <v>202109</v>
      </c>
      <c r="C38" s="155">
        <v>8.2551134978298926</v>
      </c>
      <c r="D38" s="155">
        <v>220.70921416000002</v>
      </c>
      <c r="E38" s="155">
        <v>26.73606053</v>
      </c>
      <c r="F38" s="155">
        <v>31.215</v>
      </c>
      <c r="G38" s="344">
        <f>IF(A38="","",E38/IF(A38=$B$3,Resumen!#REF!,VLOOKUP(A38,Graf_PowerBI!$A$4:$D$39,3,0)))</f>
        <v>2.850441561068949E-2</v>
      </c>
      <c r="H38" s="163">
        <f>IF(A38="","",F38/IF(A38=$B$3,Resumen!#REF!,VLOOKUP(A38,Graf_PowerBI!$A$4:$D$39,4,0)))</f>
        <v>4.9962706037140307E-2</v>
      </c>
      <c r="J38" s="21">
        <v>202109</v>
      </c>
      <c r="K38" s="21"/>
      <c r="L38" s="155">
        <v>7.0221813964439868</v>
      </c>
      <c r="M38" s="155">
        <v>522.89622316930001</v>
      </c>
      <c r="N38" s="155">
        <v>74.463502670850005</v>
      </c>
      <c r="O38" s="155">
        <v>97.072000000000003</v>
      </c>
      <c r="P38" s="163">
        <f>IF(J38="","",N38/IF(J38=$B$3,Resumen!#REF!,VLOOKUP(J38,Graf_PowerBI!$A$4:$D$39,3,0)))</f>
        <v>7.9388607965483068E-2</v>
      </c>
      <c r="Q38" s="163">
        <f>IF(J38="","",O38/IF(J38=$B$3,Resumen!#REF!,VLOOKUP(J38,Graf_PowerBI!$A$4:$D$39,4,0)))</f>
        <v>0.15537337179039834</v>
      </c>
      <c r="S38" s="371">
        <f t="shared" si="0"/>
        <v>0.10789302357617256</v>
      </c>
    </row>
    <row r="39" spans="1:19">
      <c r="A39" s="21">
        <v>202110</v>
      </c>
      <c r="C39" s="155">
        <v>8.2723587496563873</v>
      </c>
      <c r="D39" s="155">
        <v>229.76706770999999</v>
      </c>
      <c r="E39" s="155">
        <v>27.775278449999998</v>
      </c>
      <c r="F39" s="155">
        <v>32.453000000000003</v>
      </c>
      <c r="G39" s="163">
        <f>IF(A39="","",E39/IF(A39=$B$3,Resumen!#REF!,VLOOKUP(A39,Graf_PowerBI!$A$4:$D$39,3,0)))</f>
        <v>2.6762001992101873E-2</v>
      </c>
      <c r="H39" s="163">
        <f>IF(A39="","",F39/IF(A39=$B$3,Resumen!#REF!,VLOOKUP(A39,Graf_PowerBI!$A$4:$D$39,4,0)))</f>
        <v>5.0149507436739432E-2</v>
      </c>
      <c r="J39" s="21">
        <v>202110</v>
      </c>
      <c r="K39" s="21"/>
      <c r="L39" s="155">
        <v>6.883462225907337</v>
      </c>
      <c r="M39" s="155">
        <v>563.05495559019005</v>
      </c>
      <c r="N39" s="155">
        <v>81.798219720160006</v>
      </c>
      <c r="O39" s="155">
        <v>106.83900000000001</v>
      </c>
      <c r="P39" s="163">
        <f>IF(J39="","",N39/IF(J39=$B$3,Resumen!#REF!,VLOOKUP(J39,Graf_PowerBI!$A$4:$D$39,3,0)))</f>
        <v>7.8814119651114026E-2</v>
      </c>
      <c r="Q39" s="163">
        <f>IF(J39="","",O39/IF(J39=$B$3,Resumen!#REF!,VLOOKUP(J39,Graf_PowerBI!$A$4:$D$39,4,0)))</f>
        <v>0.16509793316592622</v>
      </c>
      <c r="S39" s="371">
        <f t="shared" si="0"/>
        <v>0.10557612164321589</v>
      </c>
    </row>
    <row r="40" spans="1:19">
      <c r="A40" s="21">
        <v>202111</v>
      </c>
      <c r="C40" s="155">
        <v>8.3616400679409804</v>
      </c>
      <c r="D40" s="155">
        <v>329.50613379999993</v>
      </c>
      <c r="E40" s="155">
        <v>39.406878450000001</v>
      </c>
      <c r="F40" s="155">
        <v>40.335000000000001</v>
      </c>
      <c r="G40" s="163">
        <f>IF(A40="","",E40/IF(A40=$B$3,Resumen!#REF!,VLOOKUP(A40,Graf_PowerBI!$A$4:$D$39,3,0)))</f>
        <v>3.6285202478073625E-2</v>
      </c>
      <c r="H40" s="163">
        <f>IF(A40="","",F40/IF(A40=$B$3,Resumen!#REF!,VLOOKUP(A40,Graf_PowerBI!$A$4:$D$39,4,0)))</f>
        <v>6.115746588085097E-2</v>
      </c>
      <c r="J40" s="21">
        <v>202111</v>
      </c>
      <c r="K40" s="21"/>
      <c r="L40" s="155">
        <v>7.3610756648408815</v>
      </c>
      <c r="M40" s="155">
        <v>603.38572478519995</v>
      </c>
      <c r="N40" s="155">
        <v>81.969776192790007</v>
      </c>
      <c r="O40" s="155">
        <v>103.35600000000001</v>
      </c>
      <c r="P40" s="163">
        <f>IF(J40="","",N40/IF(J40=$B$3,Resumen!#REF!,VLOOKUP(J40,Graf_PowerBI!$A$4:$D$39,3,0)))</f>
        <v>7.5476415367727867E-2</v>
      </c>
      <c r="Q40" s="163">
        <f>IF(J40="","",O40/IF(J40=$B$3,Resumen!#REF!,VLOOKUP(J40,Graf_PowerBI!$A$4:$D$39,4,0)))</f>
        <v>0.15671231048918391</v>
      </c>
      <c r="S40" s="371">
        <f t="shared" si="0"/>
        <v>0.11176161784580149</v>
      </c>
    </row>
    <row r="41" spans="1:19">
      <c r="A41" s="21">
        <v>202112</v>
      </c>
      <c r="C41" s="155">
        <v>8.1241499798937724</v>
      </c>
      <c r="D41" s="155">
        <v>307.1537032</v>
      </c>
      <c r="E41" s="155">
        <v>37.807488039999996</v>
      </c>
      <c r="F41" s="155">
        <v>40.106999999999999</v>
      </c>
      <c r="G41" s="163">
        <f>IF(A41="","",E41/IF(A41=$B$3,Resumen!#REF!,VLOOKUP(A41,Graf_PowerBI!$A$4:$D$39,3,0)))</f>
        <v>3.1359392063862609E-2</v>
      </c>
      <c r="H41" s="163">
        <f>IF(A41="","",F41/IF(A41=$B$3,Resumen!#REF!,VLOOKUP(A41,Graf_PowerBI!$A$4:$D$39,4,0)))</f>
        <v>5.8336012054974636E-2</v>
      </c>
      <c r="J41" s="21">
        <v>202112</v>
      </c>
      <c r="K41" s="21"/>
      <c r="L41" s="155">
        <v>6.7390227682299111</v>
      </c>
      <c r="M41" s="155">
        <v>709.98187906125008</v>
      </c>
      <c r="N41" s="155">
        <v>105.35383296349001</v>
      </c>
      <c r="O41" s="155">
        <v>130.12799999999999</v>
      </c>
      <c r="P41" s="163">
        <f>IF(J41="","",N41/IF(J41=$B$3,Resumen!#REF!,VLOOKUP(J41,Graf_PowerBI!$A$4:$D$39,3,0)))</f>
        <v>8.7385656244534149E-2</v>
      </c>
      <c r="Q41" s="163">
        <f>IF(J41="","",O41/IF(J41=$B$3,Resumen!#REF!,VLOOKUP(J41,Graf_PowerBI!$A$4:$D$39,4,0)))</f>
        <v>0.18927241071857129</v>
      </c>
      <c r="S41" s="371">
        <f t="shared" si="0"/>
        <v>0.11874504830839676</v>
      </c>
    </row>
    <row r="42" spans="1:19">
      <c r="A42" s="21">
        <v>202201</v>
      </c>
      <c r="C42" s="155">
        <v>8.4431776434372345</v>
      </c>
      <c r="D42" s="155">
        <v>333.58613474000003</v>
      </c>
      <c r="E42" s="155">
        <v>39.509548279999997</v>
      </c>
      <c r="F42" s="155">
        <v>43.410000000000004</v>
      </c>
      <c r="G42" s="163">
        <f>IF(A42="","",E42/IF(A42=$B$3,Resumen!#REF!,VLOOKUP(A42,Graf_PowerBI!$A$4:$D$40,3,0)))</f>
        <v>3.7123913224199077E-2</v>
      </c>
      <c r="H42" s="163">
        <f>IF(A42="","",F42/IF(A42=$B$3,Resumen!#REF!,VLOOKUP(A42,Graf_PowerBI!$A$4:$D$45,4,0)))</f>
        <v>6.3084193638392863E-2</v>
      </c>
      <c r="J42" s="21">
        <v>202201</v>
      </c>
      <c r="K42" s="21"/>
      <c r="L42" s="155">
        <v>7.1694973599357823</v>
      </c>
      <c r="M42" s="155">
        <v>553.71401388692993</v>
      </c>
      <c r="N42" s="155">
        <v>77.231915445170003</v>
      </c>
      <c r="O42" s="155">
        <v>101.7</v>
      </c>
      <c r="P42" s="163">
        <f>IF(J42="","",N42/IF(J42=$B$3,Resumen!#REF!,VLOOKUP(J42,Graf_PowerBI!$A$4:$D$40,3,0)))</f>
        <v>7.256855752452486E-2</v>
      </c>
      <c r="Q42" s="163">
        <f>IF(J42="","",O42/IF(J42=$B$3,Resumen!#REF!,VLOOKUP(J42,Graf_PowerBI!$A$4:$D$40,4,0)))</f>
        <v>0.14779227120535715</v>
      </c>
      <c r="S42" s="371">
        <f>IF(A42="","",P42+G42)</f>
        <v>0.10969247074872393</v>
      </c>
    </row>
    <row r="43" spans="1:19">
      <c r="A43" s="21">
        <v>202202</v>
      </c>
      <c r="C43" s="155">
        <v>8.3032871198507916</v>
      </c>
      <c r="D43" s="155">
        <v>350.97507617999997</v>
      </c>
      <c r="E43" s="155">
        <v>42.269413440000001</v>
      </c>
      <c r="F43" s="155">
        <v>44.721000000000004</v>
      </c>
      <c r="G43" s="163">
        <f>IF(A43="","",E43/IF(A43=$B$3,Resumen!#REF!,VLOOKUP(A43,Graf_PowerBI!$A$4:$D$42,3,0)))</f>
        <v>3.8150272905270621E-2</v>
      </c>
      <c r="H43" s="163">
        <f>IF(A43="","",F43/IF(A43=$B$3,Resumen!#REF!,VLOOKUP(A43,Graf_PowerBI!$A$4:$D$45,4,0)))</f>
        <v>6.3678822139002417E-2</v>
      </c>
      <c r="J43" s="21">
        <v>202202</v>
      </c>
      <c r="K43" s="21"/>
      <c r="L43" s="155">
        <v>7.0235538784434688</v>
      </c>
      <c r="M43" s="155">
        <v>644.89231969176001</v>
      </c>
      <c r="N43" s="155">
        <v>91.818519634490002</v>
      </c>
      <c r="O43" s="155">
        <v>117.66399999999999</v>
      </c>
      <c r="P43" s="163">
        <f>IF(J43="","",N43/IF(J43=$B$3,Resumen!#REF!,VLOOKUP(J43,Graf_PowerBI!$A$4:$D$45,3,0)))</f>
        <v>8.287083488362082E-2</v>
      </c>
      <c r="Q43" s="163">
        <f>IF(J43="","",O43/IF(J43=$B$3,Resumen!#REF!,VLOOKUP(J43,Graf_PowerBI!$A$4:$D$45,4,0)))</f>
        <v>0.1675433225590568</v>
      </c>
      <c r="S43" s="371">
        <f>IF(A43="","",P43+G43)</f>
        <v>0.12102110778889144</v>
      </c>
    </row>
    <row r="44" spans="1:19">
      <c r="A44" s="21">
        <v>202203</v>
      </c>
      <c r="C44" s="155">
        <v>8.6801252172067542</v>
      </c>
      <c r="D44" s="155">
        <v>457.85746882999996</v>
      </c>
      <c r="E44" s="155">
        <v>52.747795379999999</v>
      </c>
      <c r="F44" s="155">
        <v>51.606000000000009</v>
      </c>
      <c r="G44" s="163">
        <f>IF(A44="","",E44/IF(A44=$B$3,Resumen!#REF!,VLOOKUP(A44,Graf_PowerBI!$A$4:$D$42,3,0)))</f>
        <v>4.0945984143311694E-2</v>
      </c>
      <c r="H44" s="163">
        <f>IF(A44="","",F44/IF(A44=$B$3,Resumen!#REF!,VLOOKUP(A44,Graf_PowerBI!$A$4:$D$45,4,0)))</f>
        <v>7.0587269780261128E-2</v>
      </c>
      <c r="J44" s="21">
        <v>202203</v>
      </c>
      <c r="K44" s="21"/>
      <c r="L44" s="155">
        <v>6.9051623741551778</v>
      </c>
      <c r="M44" s="155">
        <v>771.45359384027995</v>
      </c>
      <c r="N44" s="155">
        <v>111.72128214214001</v>
      </c>
      <c r="O44" s="155">
        <v>134.12199999999999</v>
      </c>
      <c r="P44" s="163">
        <f>IF(J44="","",N44/IF(J44=$B$3,Resumen!#REF!,VLOOKUP(J44,Graf_PowerBI!$A$4:$D$45,3,0)))</f>
        <v>8.6724721177579525E-2</v>
      </c>
      <c r="Q44" s="163">
        <f>IF(J44="","",O44/IF(J44=$B$3,Resumen!#REF!,VLOOKUP(J44,Graf_PowerBI!$A$4:$D$45,4,0)))</f>
        <v>0.18345358674317289</v>
      </c>
      <c r="S44" s="371">
        <f t="shared" si="0"/>
        <v>0.12767070532089123</v>
      </c>
    </row>
    <row r="45" spans="1:19">
      <c r="A45" s="21">
        <v>202204</v>
      </c>
      <c r="C45" s="155">
        <v>8.4735983641191694</v>
      </c>
      <c r="D45" s="155">
        <v>421.07959008</v>
      </c>
      <c r="E45" s="155">
        <v>49.693125870000003</v>
      </c>
      <c r="F45" s="155">
        <v>51.064</v>
      </c>
      <c r="G45" s="163">
        <f>IF(A45="","",E45/IF(A45=$B$3,Resumen!#REF!,VLOOKUP(A45,Graf_PowerBI!$A$4:$D$48,3,0)))</f>
        <v>4.1004783899959485E-2</v>
      </c>
      <c r="H45" s="163">
        <f>IF(A45="","",F45/IF(A45=$B$3,Resumen!#REF!,VLOOKUP(A45,Graf_PowerBI!$A$4:$D$48,4,0)))</f>
        <v>6.9490997225204784E-2</v>
      </c>
      <c r="J45" s="21">
        <v>202204</v>
      </c>
      <c r="K45" s="21"/>
      <c r="L45" s="155">
        <v>6.8335609114054643</v>
      </c>
      <c r="M45" s="155">
        <v>699.87006446040994</v>
      </c>
      <c r="N45" s="155">
        <v>102.41659853976</v>
      </c>
      <c r="O45" s="155">
        <v>130.679</v>
      </c>
      <c r="P45" s="163">
        <f>IF(J45="","",N45/IF(J45=$B$3,Resumen!#REF!,VLOOKUP(J45,Graf_PowerBI!$A$4:$D$48,3,0)))</f>
        <v>8.4510089018712084E-2</v>
      </c>
      <c r="Q45" s="163">
        <f>IF(J45="","",O45/IF(J45=$B$3,Resumen!#REF!,VLOOKUP(J45,Graf_PowerBI!$A$4:$D$48,4,0)))</f>
        <v>0.17783593189708083</v>
      </c>
      <c r="S45" s="371">
        <f t="shared" si="0"/>
        <v>0.12551487291867158</v>
      </c>
    </row>
    <row r="46" spans="1:19">
      <c r="A46" s="21">
        <v>202205</v>
      </c>
      <c r="C46" s="155">
        <v>8.4300888368347611</v>
      </c>
      <c r="D46" s="155">
        <v>406.25765612999999</v>
      </c>
      <c r="E46" s="155">
        <v>48.191384930000005</v>
      </c>
      <c r="F46" s="155">
        <v>51.616999999999997</v>
      </c>
      <c r="G46" s="163">
        <f>IF(A46="","",E46/IF(A46=$B$3,Resumen!#REF!,VLOOKUP(A46,Graf_PowerBI!$A$4:$D$48,3,0)))</f>
        <v>3.6865770440639233E-2</v>
      </c>
      <c r="H46" s="163">
        <f>IF(A46="","",F46/IF(A46=$B$3,Resumen!#REF!,VLOOKUP(A46,Graf_PowerBI!$A$4:$D$48,4,0)))</f>
        <v>6.8569690222871085E-2</v>
      </c>
      <c r="J46" s="21">
        <v>202205</v>
      </c>
      <c r="K46" s="21"/>
      <c r="L46" s="155">
        <v>7.373964614624942</v>
      </c>
      <c r="M46" s="155">
        <v>868.2922418421399</v>
      </c>
      <c r="N46" s="155">
        <v>117.75107248549</v>
      </c>
      <c r="O46" s="155">
        <v>142.27500000000001</v>
      </c>
      <c r="P46" s="163">
        <f>IF(J46="","",N46/IF(J46=$B$3,Resumen!#REF!,VLOOKUP(J46,Graf_PowerBI!$A$4:$D$48,3,0)))</f>
        <v>9.0078009040300555E-2</v>
      </c>
      <c r="Q46" s="163">
        <f>IF(J46="","",O46/IF(J46=$B$3,Resumen!#REF!,VLOOKUP(J46,Graf_PowerBI!$A$4:$D$48,4,0)))</f>
        <v>0.18900270601660274</v>
      </c>
      <c r="S46" s="371">
        <f t="shared" ref="S46:S52" si="1">IF(A46="","",P46+G46)</f>
        <v>0.12694377948093979</v>
      </c>
    </row>
    <row r="47" spans="1:19">
      <c r="A47" s="21">
        <v>202206</v>
      </c>
      <c r="C47" s="155">
        <v>8.2725407372170174</v>
      </c>
      <c r="D47" s="155">
        <v>401.01528482800001</v>
      </c>
      <c r="E47" s="155">
        <v>48.475468125999996</v>
      </c>
      <c r="F47" s="155">
        <v>51.048000000000002</v>
      </c>
      <c r="G47" s="344">
        <f>IF(A47="","",E47/IF(A47=$B$3,Resumen!#REF!,VLOOKUP(A47,Graf_PowerBI!$A$4:$D$48,3,0)))</f>
        <v>3.8161526192920521E-2</v>
      </c>
      <c r="H47" s="163">
        <f>IF(A47="","",F47/IF(A47=$B$3,Resumen!#REF!,VLOOKUP(A47,Graf_PowerBI!$A$4:$D$48,4,0)))</f>
        <v>6.6831799829280947E-2</v>
      </c>
      <c r="J47" s="21">
        <v>202206</v>
      </c>
      <c r="K47" s="21"/>
      <c r="L47" s="155">
        <v>7.3920669030369561</v>
      </c>
      <c r="M47" s="155">
        <v>821.41597081182999</v>
      </c>
      <c r="N47" s="155">
        <v>111.12128469432001</v>
      </c>
      <c r="O47" s="155">
        <v>136.11599999999999</v>
      </c>
      <c r="P47" s="344">
        <f>IF(J47="","",N47/IF(J47=$B$3,Resumen!#REF!,VLOOKUP(J47,Graf_PowerBI!$A$4:$D$48,3,0)))</f>
        <v>8.7478429407447697E-2</v>
      </c>
      <c r="Q47" s="344">
        <f>IF(J47="","",O47/IF(J47=$B$3,Resumen!#REF!,VLOOKUP(J47,Graf_PowerBI!$A$4:$D$48,4,0)))</f>
        <v>0.17820242253491622</v>
      </c>
      <c r="S47" s="371">
        <f t="shared" si="1"/>
        <v>0.12563995560036822</v>
      </c>
    </row>
    <row r="48" spans="1:19">
      <c r="A48" s="21">
        <v>202207</v>
      </c>
      <c r="C48" s="155">
        <v>8.2190829849112195</v>
      </c>
      <c r="D48" s="155">
        <v>407.89301767199998</v>
      </c>
      <c r="E48" s="155">
        <v>49.627558016000002</v>
      </c>
      <c r="F48" s="155">
        <v>49.496000000000002</v>
      </c>
      <c r="G48" s="344">
        <f>IF(A48="","",E48/IF(A48=$B$3,Resumen!#REF!,VLOOKUP(A48,Graf_PowerBI!$A$4:$D$48,3,0)))</f>
        <v>3.6207400030873034E-2</v>
      </c>
      <c r="H48" s="163">
        <f>IF(A48="","",F48/IF(A48=$B$3,Resumen!#REF!,VLOOKUP(A48,Graf_PowerBI!$A$4:$D$48,4,0)))</f>
        <v>6.4202725788103515E-2</v>
      </c>
      <c r="J48" s="21">
        <v>202207</v>
      </c>
      <c r="K48" s="21"/>
      <c r="L48" s="155">
        <v>7.3172294074724915</v>
      </c>
      <c r="M48" s="155">
        <v>836.72613856100986</v>
      </c>
      <c r="N48" s="155">
        <v>114.35013062547</v>
      </c>
      <c r="O48" s="155">
        <v>135.89099999999999</v>
      </c>
      <c r="P48" s="344">
        <f>IF(J48="","",N48/IF(J48=$B$3,Resumen!#REF!,VLOOKUP(J48,Graf_PowerBI!$A$4:$D$48,3,0)))</f>
        <v>8.3427859210887065E-2</v>
      </c>
      <c r="Q48" s="344">
        <f>IF(J48="","",O48/IF(J48=$B$3,Resumen!#REF!,VLOOKUP(J48,Graf_PowerBI!$A$4:$D$48,4,0)))</f>
        <v>0.1762682360205102</v>
      </c>
      <c r="S48" s="371">
        <f t="shared" si="1"/>
        <v>0.11963525924176011</v>
      </c>
    </row>
    <row r="49" spans="1:19">
      <c r="A49" s="21">
        <v>202208</v>
      </c>
      <c r="C49" s="155">
        <v>8.297066964273073</v>
      </c>
      <c r="D49" s="155">
        <v>448.28831218200003</v>
      </c>
      <c r="E49" s="155">
        <v>54.029732930000002</v>
      </c>
      <c r="F49" s="155">
        <v>52.650999999999996</v>
      </c>
      <c r="G49" s="344">
        <f>IF(A49="","",E49/IF(A49=$B$3,Resumen!#REF!,VLOOKUP(A49,Graf_PowerBI!$A$4:$D$48,3,0)))</f>
        <v>3.9009430173155175E-2</v>
      </c>
      <c r="H49" s="163">
        <f>IF(A49="","",F49/IF(A49=$B$3,Resumen!#REF!,VLOOKUP(A49,Graf_PowerBI!$A$4:$D$48,4,0)))</f>
        <v>6.7875642324719154E-2</v>
      </c>
      <c r="J49" s="21">
        <v>202208</v>
      </c>
      <c r="K49" s="21"/>
      <c r="L49" s="155">
        <v>7.613446536836288</v>
      </c>
      <c r="M49" s="155">
        <v>879.79898699828004</v>
      </c>
      <c r="N49" s="155">
        <v>115.55856900571</v>
      </c>
      <c r="O49" s="155">
        <v>132.59800000000001</v>
      </c>
      <c r="P49" s="344">
        <f>IF(J49="","",N49/IF(J49=$B$3,Resumen!#REF!,VLOOKUP(J49,Graf_PowerBI!$A$4:$D$48,3,0)))</f>
        <v>8.3433207681746321E-2</v>
      </c>
      <c r="Q49" s="344">
        <f>IF(J49="","",O49/IF(J49=$B$3,Resumen!#REF!,VLOOKUP(J49,Graf_PowerBI!$A$4:$D$48,4,0)))</f>
        <v>0.1709402370510173</v>
      </c>
      <c r="S49" s="371">
        <f t="shared" si="1"/>
        <v>0.1224426378549015</v>
      </c>
    </row>
    <row r="50" spans="1:19">
      <c r="A50" s="21">
        <v>202209</v>
      </c>
      <c r="C50" s="155">
        <v>8.2108509518889221</v>
      </c>
      <c r="D50" s="155">
        <v>380.39296704200001</v>
      </c>
      <c r="E50" s="155">
        <v>46.328080885999995</v>
      </c>
      <c r="F50" s="155">
        <v>49.448999999999991</v>
      </c>
      <c r="G50" s="344">
        <f>IF(A50="","",E50/IF(A50=$B$3,Resumen!#REF!,VLOOKUP(A50,Graf_PowerBI!$A$4:$D$51,3,0)))</f>
        <v>3.4971962049342241E-2</v>
      </c>
      <c r="H50" s="163">
        <f>IF(A50="","",F50/IF(A50=$B$3,Resumen!#REF!,VLOOKUP(A50,Graf_PowerBI!$A$4:$D$51,4,0)))</f>
        <v>6.4034777609000518E-2</v>
      </c>
      <c r="J50" s="21">
        <v>202209</v>
      </c>
      <c r="K50" s="21"/>
      <c r="L50" s="155">
        <v>7.5833847541956283</v>
      </c>
      <c r="M50" s="155">
        <v>805.96510867624011</v>
      </c>
      <c r="N50" s="155">
        <v>106.28039256881</v>
      </c>
      <c r="O50" s="155">
        <v>125.46100000000001</v>
      </c>
      <c r="P50" s="344">
        <f>IF(J50="","",N50/IF(J50=$B$3,Resumen!#REF!,VLOOKUP(J50,Graf_PowerBI!$A$4:$D$48,3,0)))</f>
        <v>8.0228530610876619E-2</v>
      </c>
      <c r="Q50" s="344">
        <f>IF(J50="","",O50/IF(J50=$B$3,Resumen!#REF!,VLOOKUP(J50,Graf_PowerBI!$A$4:$D$48,4,0)))</f>
        <v>0.16246773915757279</v>
      </c>
      <c r="S50" s="371">
        <f t="shared" si="1"/>
        <v>0.11520049266021887</v>
      </c>
    </row>
    <row r="51" spans="1:19">
      <c r="A51" s="21">
        <v>202210</v>
      </c>
      <c r="C51" s="155">
        <v>7.6561669465783924</v>
      </c>
      <c r="D51" s="155">
        <v>383.29308184400003</v>
      </c>
      <c r="E51" s="155">
        <v>50.063312950000004</v>
      </c>
      <c r="F51" s="155">
        <v>51.084000000000003</v>
      </c>
      <c r="G51" s="344">
        <f>IF(A51="","",E51/IF(A51=$B$3,Resumen!#REF!,VLOOKUP(A51,Graf_PowerBI!$A$4:$D$51,3,0)))</f>
        <v>3.4920949121841779E-2</v>
      </c>
      <c r="H51" s="163">
        <f>IF(A51="","",F51/IF(A51=$B$3,Resumen!#REF!,VLOOKUP(A51,Graf_PowerBI!$A$4:$D$51,4,0)))</f>
        <v>6.5161238476815875E-2</v>
      </c>
      <c r="J51" s="21">
        <v>202210</v>
      </c>
      <c r="K51" s="21"/>
      <c r="L51" s="155">
        <v>7.960312826523916</v>
      </c>
      <c r="M51" s="155">
        <v>925.68694170405001</v>
      </c>
      <c r="N51" s="155">
        <v>116.28775927243001</v>
      </c>
      <c r="O51" s="155">
        <v>133.21800000000002</v>
      </c>
      <c r="P51" s="344">
        <f>IF(J51="","",N51/IF(J51=$B$3,Resumen!#REF!,VLOOKUP(J51,Graf_PowerBI!$A$4:$D$51,3,0)))</f>
        <v>8.1114866071713143E-2</v>
      </c>
      <c r="Q51" s="344">
        <f>IF(J51="","",O51/IF(J51=$B$3,Resumen!#REF!,VLOOKUP(J51,Graf_PowerBI!$A$4:$D$51,4,0)))</f>
        <v>0.16992893797283803</v>
      </c>
      <c r="S51" s="371">
        <f t="shared" si="1"/>
        <v>0.11603581519355492</v>
      </c>
    </row>
    <row r="52" spans="1:19">
      <c r="A52" s="21">
        <v>202211</v>
      </c>
      <c r="C52" s="155">
        <v>8.6910321725422097</v>
      </c>
      <c r="D52" s="155">
        <v>441.75235038600005</v>
      </c>
      <c r="E52" s="155">
        <v>50.828525497999998</v>
      </c>
      <c r="F52" s="155">
        <v>50.504999999999995</v>
      </c>
      <c r="G52" s="344">
        <f>IF(A52="","",E52/IF(A52=$B$3,Resumen!#REF!,VLOOKUP(A52,Graf_PowerBI!$A$4:$D$51,3,0)))</f>
        <v>3.5039897659314076E-2</v>
      </c>
      <c r="H52" s="163">
        <f>IF(A52="","",F52/IF(A52=$B$3,Resumen!#REF!,VLOOKUP(A52,Graf_PowerBI!$A$4:$D$51,4,0)))</f>
        <v>6.380317720999272E-2</v>
      </c>
      <c r="J52" s="21">
        <v>202211</v>
      </c>
      <c r="K52" s="21"/>
      <c r="L52" s="155">
        <v>7.6843578307370182</v>
      </c>
      <c r="M52" s="155">
        <v>854.51360861940998</v>
      </c>
      <c r="N52" s="155">
        <v>111.20169407018001</v>
      </c>
      <c r="O52" s="155">
        <v>126.36</v>
      </c>
      <c r="P52" s="344">
        <f>IF(J52="","",N52/IF(J52=$B$3,Resumen!#REF!,VLOOKUP(J52,Graf_PowerBI!$A$4:$D$65,3,0)))</f>
        <v>7.6659630425729736E-2</v>
      </c>
      <c r="Q52" s="344">
        <f>IF(J52="","",O52/IF(J52=$B$3,Resumen!#REF!,VLOOKUP(J52,Graf_PowerBI!$A$4:$D$65,4,0)))</f>
        <v>0.15963111518175788</v>
      </c>
      <c r="S52" s="371">
        <f t="shared" si="1"/>
        <v>0.11169952808504381</v>
      </c>
    </row>
    <row r="53" spans="1:19">
      <c r="A53" s="21">
        <v>202212</v>
      </c>
      <c r="C53" s="155">
        <v>8.5091923917088064</v>
      </c>
      <c r="D53" s="155">
        <v>448.07757263600001</v>
      </c>
      <c r="E53" s="155">
        <v>52.658061071999995</v>
      </c>
      <c r="F53" s="155">
        <v>51.593999999999994</v>
      </c>
      <c r="G53" s="344">
        <f>IF(A53="","",E53/IF(A53=$B$3,Resumen!#REF!,VLOOKUP(A53,Graf_PowerBI!$A$4:$D$65,3,0)))</f>
        <v>3.4120970742826273E-2</v>
      </c>
      <c r="H53" s="163">
        <f>IF(A53="","",F53/IF(A53=$B$3,Resumen!#REF!,VLOOKUP(A53,Graf_PowerBI!$A$4:$D$65,4,0)))</f>
        <v>6.4625628795318357E-2</v>
      </c>
      <c r="J53" s="21">
        <v>202212</v>
      </c>
      <c r="K53" s="21"/>
      <c r="L53" s="155">
        <v>7.5035613678140773</v>
      </c>
      <c r="M53" s="155">
        <v>975.85480943494008</v>
      </c>
      <c r="N53" s="155">
        <v>130.05221941953999</v>
      </c>
      <c r="O53" s="155">
        <v>146.40600000000001</v>
      </c>
      <c r="P53" s="344">
        <f>IF(J53="","",N53/IF(J53=$B$3,Resumen!#REF!,VLOOKUP(J53,Graf_PowerBI!$A$4:$D$65,3,0)))</f>
        <v>8.4270250053192983E-2</v>
      </c>
      <c r="Q53" s="344">
        <f>IF(J53="","",O53/IF(J53=$B$3,Resumen!#REF!,VLOOKUP(J53,Graf_PowerBI!$A$4:$D$65,4,0)))</f>
        <v>0.18338527366374732</v>
      </c>
      <c r="S53" s="371">
        <f t="shared" ref="S53:S61" si="2">IF(A53="","",P53+G53)</f>
        <v>0.11839122079601926</v>
      </c>
    </row>
    <row r="54" spans="1:19">
      <c r="A54" s="21">
        <v>202301</v>
      </c>
      <c r="B54" s="21"/>
      <c r="C54" s="392">
        <v>8.459240030182114</v>
      </c>
      <c r="D54" s="392">
        <v>463.39531727799994</v>
      </c>
      <c r="E54" s="392">
        <v>54.779781118000002</v>
      </c>
      <c r="F54" s="392">
        <v>53.489999999999995</v>
      </c>
      <c r="G54" s="344">
        <f>IF(A54="","",E54/IF(A54=$B$3,Resumen!#REF!,VLOOKUP(A54,Graf_PowerBI!$A$4:$D$65,3,0)))</f>
        <v>3.906575536803622E-2</v>
      </c>
      <c r="H54" s="163">
        <f>IF(A54="","",F54/IF(A54=$B$3,Resumen!#REF!,VLOOKUP(A54,Graf_PowerBI!$A$4:$D$65,4,0)))</f>
        <v>6.7076053384964376E-2</v>
      </c>
      <c r="J54" s="21">
        <v>202301</v>
      </c>
      <c r="K54" s="21"/>
      <c r="L54" s="392">
        <v>7.9645575168870479</v>
      </c>
      <c r="M54" s="392">
        <v>863.33330627859993</v>
      </c>
      <c r="N54" s="392">
        <v>108.39689517567001</v>
      </c>
      <c r="O54" s="392">
        <v>123.61200000000001</v>
      </c>
      <c r="P54" s="344">
        <f>IF(J54="","",N54/IF(J54=$B$3,Resumen!#REF!,VLOOKUP(J54,Graf_PowerBI!$A$4:$D$65,3,0)))</f>
        <v>7.7302364178230484E-2</v>
      </c>
      <c r="Q54" s="344">
        <f>IF(J54="","",O54/IF(J54=$B$3,Resumen!#REF!,VLOOKUP(J54,Graf_PowerBI!$A$4:$D$65,4,0)))</f>
        <v>0.15500850833842247</v>
      </c>
      <c r="S54" s="371">
        <f t="shared" si="2"/>
        <v>0.1163681195462667</v>
      </c>
    </row>
    <row r="55" spans="1:19">
      <c r="A55" s="21">
        <v>202302</v>
      </c>
      <c r="C55" s="155">
        <v>8.7123852611071921</v>
      </c>
      <c r="D55" s="155">
        <v>446.86434597799996</v>
      </c>
      <c r="E55" s="155">
        <v>51.290700833999999</v>
      </c>
      <c r="F55" s="155">
        <v>52.051000000000002</v>
      </c>
      <c r="G55" s="344">
        <f>IF(A55="","",E55/IF(A55=$B$3,Resumen!#REF!,VLOOKUP(A55,Graf_PowerBI!$A$4:$D$65,3,0)))</f>
        <v>3.666496342383762E-2</v>
      </c>
      <c r="H55" s="163">
        <f>IF(A55="","",F55/IF(A55=$B$3,Resumen!#REF!,VLOOKUP(A55,Graf_PowerBI!$A$4:$D$65,4,0)))</f>
        <v>6.5281054309532863E-2</v>
      </c>
      <c r="J55" s="21">
        <v>202302</v>
      </c>
      <c r="K55" s="21"/>
      <c r="L55" s="155">
        <v>9.1134147109074224</v>
      </c>
      <c r="M55" s="155">
        <v>1058.5587700395699</v>
      </c>
      <c r="N55" s="155">
        <v>116.15391196591001</v>
      </c>
      <c r="O55" s="155">
        <v>126.41</v>
      </c>
      <c r="P55" s="344">
        <f>IF(J55="","",N55/IF(J55=$B$3,Resumen!#REF!,VLOOKUP(J55,Graf_PowerBI!$A$4:$D$65,3,0)))</f>
        <v>8.303218448016704E-2</v>
      </c>
      <c r="Q55" s="344">
        <f>IF(J55="","",O55/IF(J55=$B$3,Resumen!#REF!,VLOOKUP(J55,Graf_PowerBI!$A$4:$D$65,4,0)))</f>
        <v>0.15854024082665172</v>
      </c>
      <c r="S55" s="371">
        <f t="shared" si="2"/>
        <v>0.11969714790400465</v>
      </c>
    </row>
    <row r="56" spans="1:19">
      <c r="A56" s="21">
        <v>202303</v>
      </c>
      <c r="B56" s="21"/>
      <c r="C56" s="392">
        <v>8.5675974315525938</v>
      </c>
      <c r="D56" s="392">
        <v>470.33152023599996</v>
      </c>
      <c r="E56" s="392">
        <v>54.896547602000005</v>
      </c>
      <c r="F56" s="392">
        <v>53.850999999999999</v>
      </c>
      <c r="G56" s="344">
        <f>IF(A56="","",E56/IF(A56=$B$3,Resumen!#REF!,VLOOKUP(A56,Graf_PowerBI!$A$4:$D$65,3,0)))</f>
        <v>3.4520165475054966E-2</v>
      </c>
      <c r="H56" s="163">
        <f>IF(A56="","",F56/IF(A56=$B$3,Resumen!#REF!,VLOOKUP(A56,Graf_PowerBI!$A$4:$D$65,4,0)))</f>
        <v>6.6346582690824496E-2</v>
      </c>
      <c r="J56" s="21">
        <v>202303</v>
      </c>
      <c r="K56" s="21"/>
      <c r="L56" s="392">
        <v>9.5155480833967232</v>
      </c>
      <c r="M56" s="392">
        <v>1323.64732153202</v>
      </c>
      <c r="N56" s="392">
        <v>139.10363438145998</v>
      </c>
      <c r="O56" s="392">
        <v>139.99799999999999</v>
      </c>
      <c r="P56" s="344">
        <f>IF(J56="","",N56/IF(J56=$B$3,Resumen!#REF!,VLOOKUP(J56,Graf_PowerBI!$A$4:$D$65,3,0)))</f>
        <v>8.7471447418573198E-2</v>
      </c>
      <c r="Q56" s="344">
        <f>IF(J56="","",O56/IF(J56=$B$3,Resumen!#REF!,VLOOKUP(J56,Graf_PowerBI!$A$4:$D$65,4,0)))</f>
        <v>0.17248312721305173</v>
      </c>
      <c r="S56" s="371">
        <f t="shared" si="2"/>
        <v>0.12199161289362817</v>
      </c>
    </row>
    <row r="57" spans="1:19">
      <c r="A57" s="21">
        <v>202304</v>
      </c>
      <c r="C57" s="155">
        <v>8.14252139996076</v>
      </c>
      <c r="D57" s="155">
        <v>390.30330908999997</v>
      </c>
      <c r="E57" s="155">
        <v>47.933961720000013</v>
      </c>
      <c r="F57" s="155">
        <v>78.446999999999989</v>
      </c>
      <c r="G57" s="344">
        <f>IF(A57="","",E57/IF(A57=$B$3,Resumen!#REF!,VLOOKUP(A57,Graf_PowerBI!$A$4:$D$65,3,0)))</f>
        <v>3.3232411406569455E-2</v>
      </c>
      <c r="H57" s="163">
        <f>IF(A57="","",F57/IF(A57=$B$3,Resumen!#REF!,VLOOKUP(A57,Graf_PowerBI!$A$4:$D$65,4,0)))</f>
        <v>9.923191936671294E-2</v>
      </c>
      <c r="J57" s="21">
        <v>202304</v>
      </c>
      <c r="K57" s="21"/>
      <c r="L57" s="392">
        <v>9.2759072952403283</v>
      </c>
      <c r="M57" s="392">
        <v>1143.43822554342</v>
      </c>
      <c r="N57" s="392">
        <v>123.26969094766</v>
      </c>
      <c r="O57" s="392">
        <v>130.41</v>
      </c>
      <c r="P57" s="344">
        <f>IF(J57="","",N57/IF(J57=$B$3,Resumen!#REF!,VLOOKUP(J57,Graf_PowerBI!$A$4:$D$65,3,0)))</f>
        <v>8.5462351463097594E-2</v>
      </c>
      <c r="Q57" s="344">
        <f>IF(J57="","",O57/IF(J57=$B$3,Resumen!#REF!,VLOOKUP(J57,Graf_PowerBI!$A$4:$D$65,4,0)))</f>
        <v>0.16496277237642021</v>
      </c>
      <c r="S57" s="371">
        <f t="shared" si="2"/>
        <v>0.11869476286966704</v>
      </c>
    </row>
    <row r="58" spans="1:19">
      <c r="A58" s="21">
        <v>202305</v>
      </c>
      <c r="C58" s="155">
        <v>7.9792081111245334</v>
      </c>
      <c r="D58" s="155">
        <v>399.89710566999997</v>
      </c>
      <c r="E58" s="155">
        <v>50.117392615999997</v>
      </c>
      <c r="F58" s="155">
        <v>51.347000000000001</v>
      </c>
      <c r="G58" s="344">
        <f>IF(A58="","",E58/IF(A58=$B$3,Resumen!#REF!,VLOOKUP(A58,Graf_PowerBI!$A$4:$D$65,3,0)))</f>
        <v>3.2325648732877153E-2</v>
      </c>
      <c r="H58" s="163">
        <f>IF(A58="","",F58/IF(A58=$B$3,Resumen!#REF!,VLOOKUP(A58,Graf_PowerBI!$A$4:$D$65,4,0)))</f>
        <v>6.445170797590985E-2</v>
      </c>
      <c r="J58" s="21">
        <v>202305</v>
      </c>
      <c r="K58" s="21"/>
      <c r="L58" s="155">
        <v>8.9865730956427132</v>
      </c>
      <c r="M58" s="155">
        <v>1163.8247305356199</v>
      </c>
      <c r="N58" s="155">
        <v>129.50706772750999</v>
      </c>
      <c r="O58" s="155">
        <v>137.298</v>
      </c>
      <c r="P58" s="344">
        <f>IF(J58="","",N58/IF(J58=$B$3,Resumen!#REF!,VLOOKUP(J58,Graf_PowerBI!$A$4:$D$65,3,0)))</f>
        <v>8.3531879079597401E-2</v>
      </c>
      <c r="Q58" s="344">
        <f>IF(J58="","",O58/IF(J58=$B$3,Resumen!#REF!,VLOOKUP(J58,Graf_PowerBI!$A$4:$D$65,4,0)))</f>
        <v>0.17233899938996378</v>
      </c>
      <c r="S58" s="371">
        <f t="shared" ref="S58:S59" si="3">IF(A58="","",P58+G58)</f>
        <v>0.11585752781247455</v>
      </c>
    </row>
    <row r="59" spans="1:19">
      <c r="A59" s="21">
        <v>202306</v>
      </c>
      <c r="C59" s="155">
        <v>8.1750318744308199</v>
      </c>
      <c r="D59" s="155">
        <v>530.16410542400001</v>
      </c>
      <c r="E59" s="155">
        <v>64.851625482000003</v>
      </c>
      <c r="F59" s="155">
        <v>59.036999999999999</v>
      </c>
      <c r="G59" s="344">
        <f>IF(A59="","",E59/IF(A59=$B$3,Resumen!#REF!,VLOOKUP(A59,Graf_PowerBI!$A$4:$D$65,3,0)))</f>
        <v>4.4359055578230562E-2</v>
      </c>
      <c r="H59" s="163">
        <f>IF(A59="","",F59/IF(A59=$B$3,Resumen!#REF!,VLOOKUP(A59,Graf_PowerBI!$A$4:$D$65,4,0)))</f>
        <v>7.5430932598065825E-2</v>
      </c>
      <c r="J59" s="21">
        <v>202306</v>
      </c>
      <c r="K59" s="21"/>
      <c r="L59" s="155">
        <v>8.2826466898462012</v>
      </c>
      <c r="M59" s="155">
        <v>948.32113420072983</v>
      </c>
      <c r="N59" s="155">
        <v>114.49493980749999</v>
      </c>
      <c r="O59" s="155">
        <v>126.783</v>
      </c>
      <c r="P59" s="344">
        <f>IF(J59="","",N59/IF(J59=$B$3,Resumen!#REF!,VLOOKUP(J59,Graf_PowerBI!$A$4:$D$65,3,0)))</f>
        <v>7.831549881130942E-2</v>
      </c>
      <c r="Q59" s="344">
        <f>IF(J59="","",O59/IF(J59=$B$3,Resumen!#REF!,VLOOKUP(J59,Graf_PowerBI!$A$4:$D$65,4,0)))</f>
        <v>0.16198925974525435</v>
      </c>
      <c r="S59" s="371">
        <f t="shared" si="3"/>
        <v>0.12267455438953997</v>
      </c>
    </row>
    <row r="60" spans="1:19">
      <c r="A60" s="21">
        <v>202307</v>
      </c>
      <c r="C60" s="155">
        <v>8.5223837212629547</v>
      </c>
      <c r="D60" s="155">
        <v>430.37472553799995</v>
      </c>
      <c r="E60" s="155">
        <v>50.499336760000006</v>
      </c>
      <c r="F60" s="155">
        <v>46.091999999999999</v>
      </c>
      <c r="G60" s="344">
        <f>IF(A60="","",E60/IF(A60=$B$3,Resumen!#REF!,VLOOKUP(A60,Graf_PowerBI!$A$4:$D$65,3,0)))</f>
        <v>3.2326127789286271E-2</v>
      </c>
      <c r="H60" s="163">
        <f>IF(A60="","",F60/IF(A60=$B$3,Resumen!#REF!,VLOOKUP(A60,Graf_PowerBI!$A$4:$D$65,4,0)))</f>
        <v>6.0309397730350572E-2</v>
      </c>
      <c r="J60" s="21">
        <v>202307</v>
      </c>
      <c r="K60" s="21"/>
      <c r="L60" s="155">
        <v>8.2926091531024397</v>
      </c>
      <c r="M60" s="155">
        <v>1017.97770419584</v>
      </c>
      <c r="N60" s="155">
        <v>122.75722699591998</v>
      </c>
      <c r="O60" s="155">
        <v>126.988</v>
      </c>
      <c r="P60" s="344">
        <f>IF(J60="","",N60/IF(J60=$B$3,Resumen!#REF!,VLOOKUP(J60,Graf_PowerBI!$A$4:$D$65,3,0)))</f>
        <v>7.8580552964247125E-2</v>
      </c>
      <c r="Q60" s="344">
        <f>IF(J60="","",O60/IF(J60=$B$3,Resumen!#REF!,VLOOKUP(J60,Graf_PowerBI!$A$4:$D$65,4,0)))</f>
        <v>0.16615833114166795</v>
      </c>
      <c r="S60" s="460">
        <f t="shared" si="2"/>
        <v>0.1109066807535334</v>
      </c>
    </row>
    <row r="61" spans="1:19">
      <c r="A61" s="21">
        <v>202308</v>
      </c>
      <c r="C61" s="155">
        <v>8.4966353721002381</v>
      </c>
      <c r="D61" s="155">
        <v>468.98733013399999</v>
      </c>
      <c r="E61" s="155">
        <v>55.196829049999998</v>
      </c>
      <c r="F61" s="155">
        <v>47.784999999999997</v>
      </c>
      <c r="G61" s="344">
        <f>IF(A61="","",E61/IF(A61=$B$3,Resumen!#REF!,VLOOKUP(A61,Graf_PowerBI!$A$4:$D$65,3,0)))</f>
        <v>3.5735287476869396E-2</v>
      </c>
      <c r="H61" s="163">
        <f>IF(A61="","",F61/IF(A61=$B$3,Resumen!#REF!,VLOOKUP(A61,Graf_PowerBI!$A$4:$D$65,4,0)))</f>
        <v>6.2870450164790703E-2</v>
      </c>
      <c r="J61" s="21">
        <v>202308</v>
      </c>
      <c r="K61" s="21"/>
      <c r="L61" s="155">
        <v>8.3311122081849369</v>
      </c>
      <c r="M61" s="155">
        <v>998.72112559186007</v>
      </c>
      <c r="N61" s="155">
        <v>119.87848688566001</v>
      </c>
      <c r="O61" s="155">
        <v>122.369</v>
      </c>
      <c r="P61" s="344">
        <f>IF(J61="","",N61/IF(J61=$B$3,Resumen!#REF!,VLOOKUP(J61,Graf_PowerBI!$A$4:$D$65,3,0)))</f>
        <v>7.7611200949072964E-2</v>
      </c>
      <c r="Q61" s="344">
        <f>IF(J61="","",O61/IF(J61=$B$3,Resumen!#REF!,VLOOKUP(J61,Graf_PowerBI!$A$4:$D$65,4,0)))</f>
        <v>0.16100019077566757</v>
      </c>
      <c r="S61" s="460">
        <f t="shared" si="2"/>
        <v>0.11334648842594236</v>
      </c>
    </row>
    <row r="62" spans="1:19">
      <c r="A62" s="21">
        <v>202309</v>
      </c>
      <c r="C62" s="155">
        <v>8.3637071797648836</v>
      </c>
      <c r="D62" s="155">
        <v>355.262123422</v>
      </c>
      <c r="E62" s="155">
        <v>42.476633362000001</v>
      </c>
      <c r="F62" s="155">
        <v>40.975999999999999</v>
      </c>
      <c r="G62" s="344">
        <f>IF(A62="","",E62/IF(A62=$B$3,Resumen!#REF!,VLOOKUP(A62,Graf_PowerBI!$A$4:$D$65,3,0)))</f>
        <v>3.0440223528482458E-2</v>
      </c>
      <c r="H62" s="163">
        <f>IF(A62="","",F62/IF(A62=$B$3,Resumen!#REF!,VLOOKUP(A62,Graf_PowerBI!$A$4:$D$65,4,0)))</f>
        <v>5.6537648532747571E-2</v>
      </c>
      <c r="J62" s="21">
        <v>202309</v>
      </c>
      <c r="K62" s="21"/>
      <c r="L62" s="155">
        <v>8.3466657559228565</v>
      </c>
      <c r="M62" s="155">
        <v>882.03555182624996</v>
      </c>
      <c r="N62" s="155">
        <v>105.67519745239001</v>
      </c>
      <c r="O62" s="155">
        <v>112.61499999999998</v>
      </c>
      <c r="P62" s="344">
        <f>IF(J62="","",N62/IF(J62=$B$3,Resumen!#REF!,VLOOKUP(J62,Graf_PowerBI!$A$4:$D$65,3,0)))</f>
        <v>7.5730498800430604E-2</v>
      </c>
      <c r="Q62" s="344">
        <f>IF(J62="","",O62/IF(J62=$B$3,Resumen!#REF!,VLOOKUP(J62,Graf_PowerBI!$A$4:$D$65,4,0)))</f>
        <v>0.15538332901003923</v>
      </c>
      <c r="S62" s="215"/>
    </row>
    <row r="63" spans="1:19">
      <c r="A63" s="21">
        <v>202310</v>
      </c>
      <c r="C63" s="155">
        <v>8.4658782634474878</v>
      </c>
      <c r="D63" s="155">
        <v>360.77463078199997</v>
      </c>
      <c r="E63" s="155">
        <v>42.615145121999994</v>
      </c>
      <c r="F63" s="155">
        <v>40.027999999999999</v>
      </c>
      <c r="G63" s="344">
        <f>IF(A63="","",E63/IF(A63=$B$3,Resumen!#REF!,VLOOKUP(A63,Graf_PowerBI!$A$4:$D$65,3,0)))</f>
        <v>2.9698304847310744E-2</v>
      </c>
      <c r="H63" s="163">
        <f>IF(A63="","",F63/IF(A63=$B$3,Resumen!#REF!,VLOOKUP(A63,Graf_PowerBI!$A$4:$D$65,4,0)))</f>
        <v>5.6045119115119342E-2</v>
      </c>
      <c r="J63" s="21">
        <v>202310</v>
      </c>
      <c r="K63" s="21"/>
      <c r="L63" s="155">
        <v>9.0989285684060555</v>
      </c>
      <c r="M63" s="155">
        <v>990.49890286719005</v>
      </c>
      <c r="N63" s="155">
        <v>108.85885029436</v>
      </c>
      <c r="O63" s="155">
        <v>111.431</v>
      </c>
      <c r="P63" s="344">
        <f>IF(J63="","",N63/IF(J63=$B$3,Resumen!#REF!,VLOOKUP(J63,Graf_PowerBI!$A$4:$D$65,3,0)))</f>
        <v>7.5863247963003533E-2</v>
      </c>
      <c r="Q63" s="344">
        <f>IF(J63="","",O63/IF(J63=$B$3,Resumen!#REF!,VLOOKUP(J63,Graf_PowerBI!$A$4:$D$65,4,0)))</f>
        <v>0.15601987778846965</v>
      </c>
      <c r="S63" s="215"/>
    </row>
    <row r="64" spans="1:19">
      <c r="A64" s="21">
        <v>202311</v>
      </c>
      <c r="C64" s="155">
        <v>8.1422017234366333</v>
      </c>
      <c r="D64" s="155">
        <v>316.25410023400002</v>
      </c>
      <c r="E64" s="155">
        <v>38.841349179999995</v>
      </c>
      <c r="F64" s="155">
        <v>35.577999999999996</v>
      </c>
      <c r="G64" s="344">
        <f>IF(A64="","",E64/IF(A64=$B$3,Resumen!#REF!,VLOOKUP(A64,Graf_PowerBI!$A$4:$D$65,3,0)))</f>
        <v>2.8332051445577943E-2</v>
      </c>
      <c r="H64" s="163">
        <f>IF(A64="","",F64/IF(A64=$B$3,Resumen!#REF!,VLOOKUP(A64,Graf_PowerBI!$A$4:$D$65,4,0)))</f>
        <v>5.2567190201090408E-2</v>
      </c>
      <c r="J64" s="21">
        <v>202311</v>
      </c>
      <c r="K64" s="21"/>
      <c r="L64" s="155">
        <v>9.3956646152830903</v>
      </c>
      <c r="M64" s="155">
        <v>978.46435390835006</v>
      </c>
      <c r="N64" s="155">
        <v>104.13998306375998</v>
      </c>
      <c r="O64" s="155">
        <v>100.71599999999999</v>
      </c>
      <c r="P64" s="344">
        <f>IF(J64="","",N64/IF(J64=$B$3,Resumen!#REF!,VLOOKUP(J64,Graf_PowerBI!$A$4:$D$65,3,0)))</f>
        <v>7.5962844236711555E-2</v>
      </c>
      <c r="Q64" s="344">
        <f>IF(J64="","",O64/IF(J64=$B$3,Resumen!#REF!,VLOOKUP(J64,Graf_PowerBI!$A$4:$D$65,4,0)))</f>
        <v>0.14880985801037219</v>
      </c>
      <c r="S64" s="215">
        <f t="shared" si="0"/>
        <v>0.1042948956822895</v>
      </c>
    </row>
    <row r="65" spans="1:19">
      <c r="A65" s="21">
        <v>202312</v>
      </c>
      <c r="C65" s="155">
        <v>8.3620291651124035</v>
      </c>
      <c r="D65" s="155">
        <v>42.596541670000001</v>
      </c>
      <c r="E65" s="155">
        <v>5.0940436620000007</v>
      </c>
      <c r="F65" s="155">
        <v>7.5529999999999999</v>
      </c>
      <c r="G65" s="344" t="e">
        <f>IF(A65="","",E65/IF(A65=$B$3,Resumen!#REF!,VLOOKUP(A65,Graf_PowerBI!$A$4:$D$65,3,0)))</f>
        <v>#REF!</v>
      </c>
      <c r="H65" s="163" t="e">
        <f>IF(A65="","",F65/IF(A65=$B$3,Resumen!#REF!,VLOOKUP(A65,Graf_PowerBI!$A$4:$D$65,4,0)))</f>
        <v>#REF!</v>
      </c>
      <c r="J65" s="21">
        <v>202312</v>
      </c>
      <c r="K65" s="21"/>
      <c r="L65" s="155">
        <v>9.0265620195469563</v>
      </c>
      <c r="M65" s="155">
        <v>457.40680087006996</v>
      </c>
      <c r="N65" s="155">
        <v>50.67342360021</v>
      </c>
      <c r="O65" s="155">
        <v>60.089000000000006</v>
      </c>
      <c r="P65" s="344" t="e">
        <f>IF(J65="","",N65/IF(J65=$B$3,Resumen!#REF!,VLOOKUP(J65,Graf_PowerBI!$A$4:$D$65,3,0)))</f>
        <v>#REF!</v>
      </c>
      <c r="Q65" s="344" t="e">
        <f>IF(J65="","",O65/IF(J65=$B$3,Resumen!#REF!,VLOOKUP(J65,Graf_PowerBI!$A$4:$D$65,4,0)))</f>
        <v>#REF!</v>
      </c>
      <c r="S65" s="215" t="e">
        <f t="shared" si="0"/>
        <v>#REF!</v>
      </c>
    </row>
    <row r="66" spans="1:19">
      <c r="A66"/>
      <c r="G66" s="163" t="str">
        <f>IF(A66="","",E66/IF(A66=$B$3,Resumen!#REF!,VLOOKUP(A66,Graf_PowerBI!$A$4:$D$39,3,0)))</f>
        <v/>
      </c>
      <c r="H66" s="163" t="str">
        <f>IF(A66="","",F66/IF(A66=$B$3,Resumen!#REF!,VLOOKUP(A66,Graf_PowerBI!$A$4:$D$39,4,0)))</f>
        <v/>
      </c>
      <c r="J66"/>
      <c r="P66" s="163" t="str">
        <f>IF(J66="","",N66/IF(J66=$B$3,Resumen!#REF!,VLOOKUP(J66,Graf_PowerBI!$A$4:$D$39,3,0)))</f>
        <v/>
      </c>
      <c r="Q66" s="163" t="str">
        <f>IF(J66="","",O66/IF(J66=$B$3,Resumen!#REF!,VLOOKUP(J66,Graf_PowerBI!$A$4:$D$39,4,0)))</f>
        <v/>
      </c>
      <c r="S66" s="215" t="str">
        <f t="shared" si="0"/>
        <v/>
      </c>
    </row>
    <row r="67" spans="1:19">
      <c r="A67"/>
      <c r="G67" s="163" t="str">
        <f>IF(A67="","",E67/IF(A67=$B$3,Resumen!#REF!,VLOOKUP(A67,Graf_PowerBI!$A$4:$D$39,3,0)))</f>
        <v/>
      </c>
      <c r="H67" s="163" t="str">
        <f>IF(A67="","",F67/IF(A67=$B$3,Resumen!#REF!,VLOOKUP(A67,Graf_PowerBI!$A$4:$D$39,4,0)))</f>
        <v/>
      </c>
      <c r="J67"/>
      <c r="P67" s="163" t="str">
        <f>IF(J67="","",N67/IF(J67=$B$3,Resumen!#REF!,VLOOKUP(J67,Graf_PowerBI!$A$4:$D$39,3,0)))</f>
        <v/>
      </c>
      <c r="Q67" s="163" t="str">
        <f>IF(J67="","",O67/IF(J67=$B$3,Resumen!#REF!,VLOOKUP(J67,Graf_PowerBI!$A$4:$D$39,4,0)))</f>
        <v/>
      </c>
      <c r="S67" s="215" t="str">
        <f t="shared" si="0"/>
        <v/>
      </c>
    </row>
    <row r="68" spans="1:19">
      <c r="A68"/>
      <c r="G68" s="163" t="str">
        <f>IF(A68="","",E68/IF(A68=$B$3,Resumen!#REF!,VLOOKUP(A68,Graf_PowerBI!$A$4:$D$39,3,0)))</f>
        <v/>
      </c>
      <c r="H68" s="163" t="str">
        <f>IF(A68="","",F68/IF(A68=$B$3,Resumen!#REF!,VLOOKUP(A68,Graf_PowerBI!$A$4:$D$39,4,0)))</f>
        <v/>
      </c>
      <c r="J68"/>
      <c r="P68" s="163" t="str">
        <f>IF(J68="","",N68/IF(J68=$B$3,Resumen!#REF!,VLOOKUP(J68,Graf_PowerBI!$A$4:$D$39,3,0)))</f>
        <v/>
      </c>
      <c r="Q68" s="163" t="str">
        <f>IF(J68="","",O68/IF(J68=$B$3,Resumen!#REF!,VLOOKUP(J68,Graf_PowerBI!$A$4:$D$39,4,0)))</f>
        <v/>
      </c>
      <c r="S68" s="215" t="str">
        <f t="shared" si="0"/>
        <v/>
      </c>
    </row>
    <row r="69" spans="1:19">
      <c r="A69"/>
      <c r="G69" s="163" t="str">
        <f>IF(A69="","",E69/IF(A69=$B$3,Resumen!#REF!,VLOOKUP(A69,Graf_PowerBI!$A$4:$D$39,3,0)))</f>
        <v/>
      </c>
      <c r="H69" s="163" t="str">
        <f>IF(A69="","",F69/IF(A69=$B$3,Resumen!#REF!,VLOOKUP(A69,Graf_PowerBI!$A$4:$D$39,4,0)))</f>
        <v/>
      </c>
      <c r="J69"/>
      <c r="P69" s="163" t="str">
        <f>IF(J69="","",N69/IF(J69=$B$3,Resumen!#REF!,VLOOKUP(J69,Graf_PowerBI!$A$4:$D$39,3,0)))</f>
        <v/>
      </c>
      <c r="Q69" s="163" t="str">
        <f>IF(J69="","",O69/IF(J69=$B$3,Resumen!#REF!,VLOOKUP(J69,Graf_PowerBI!$A$4:$D$39,4,0)))</f>
        <v/>
      </c>
      <c r="S69" s="215" t="str">
        <f t="shared" ref="S69:S132" si="4">IF(A69="","",P69+G69)</f>
        <v/>
      </c>
    </row>
    <row r="70" spans="1:19">
      <c r="A70"/>
      <c r="G70" s="163" t="str">
        <f>IF(A70="","",E70/IF(A70=$B$3,Resumen!#REF!,VLOOKUP(A70,Graf_PowerBI!$A$4:$D$39,3,0)))</f>
        <v/>
      </c>
      <c r="H70" s="163" t="str">
        <f>IF(A70="","",F70/IF(A70=$B$3,Resumen!#REF!,VLOOKUP(A70,Graf_PowerBI!$A$4:$D$39,4,0)))</f>
        <v/>
      </c>
      <c r="J70"/>
      <c r="P70" s="163" t="str">
        <f>IF(J70="","",N70/IF(J70=$B$3,Resumen!#REF!,VLOOKUP(J70,Graf_PowerBI!$A$4:$D$39,3,0)))</f>
        <v/>
      </c>
      <c r="Q70" s="163" t="str">
        <f>IF(J70="","",O70/IF(J70=$B$3,Resumen!#REF!,VLOOKUP(J70,Graf_PowerBI!$A$4:$D$39,4,0)))</f>
        <v/>
      </c>
      <c r="S70" s="215" t="str">
        <f t="shared" si="4"/>
        <v/>
      </c>
    </row>
    <row r="71" spans="1:19">
      <c r="A71"/>
      <c r="G71" s="163" t="str">
        <f>IF(A71="","",E71/IF(A71=$B$3,Resumen!#REF!,VLOOKUP(A71,Graf_PowerBI!$A$4:$D$39,3,0)))</f>
        <v/>
      </c>
      <c r="H71" s="163" t="str">
        <f>IF(A71="","",F71/IF(A71=$B$3,Resumen!#REF!,VLOOKUP(A71,Graf_PowerBI!$A$4:$D$39,4,0)))</f>
        <v/>
      </c>
      <c r="J71"/>
    </row>
    <row r="72" spans="1:19">
      <c r="A72"/>
      <c r="G72" s="163" t="str">
        <f>IF(A72="","",E72/IF(A72=$B$3,Resumen!#REF!,VLOOKUP(A72,Graf_PowerBI!$A$4:$D$39,3,0)))</f>
        <v/>
      </c>
      <c r="H72" s="163" t="str">
        <f>IF(A72="","",F72/IF(A72=$B$3,Resumen!#REF!,VLOOKUP(A72,Graf_PowerBI!$A$4:$D$39,4,0)))</f>
        <v/>
      </c>
      <c r="J72"/>
      <c r="P72" s="163" t="str">
        <f>IF(J72="","",N72/IF(J72=$B$3,Resumen!#REF!,VLOOKUP(J72,Graf_PowerBI!$A$4:$D$39,3,0)))</f>
        <v/>
      </c>
      <c r="Q72" s="163" t="str">
        <f>IF(J72="","",O72/IF(J72=$B$3,Resumen!#REF!,VLOOKUP(J72,Graf_PowerBI!$A$4:$D$39,4,0)))</f>
        <v/>
      </c>
      <c r="S72" s="215" t="str">
        <f t="shared" si="4"/>
        <v/>
      </c>
    </row>
    <row r="73" spans="1:19">
      <c r="A73"/>
      <c r="G73" s="163" t="str">
        <f>IF(A73="","",E73/IF(A73=$B$3,Resumen!#REF!,VLOOKUP(A73,Graf_PowerBI!$A$4:$D$39,3,0)))</f>
        <v/>
      </c>
      <c r="H73" s="163" t="str">
        <f>IF(A73="","",F73/IF(A73=$B$3,Resumen!#REF!,VLOOKUP(A73,Graf_PowerBI!$A$4:$D$39,4,0)))</f>
        <v/>
      </c>
      <c r="J73"/>
      <c r="P73" s="163" t="str">
        <f>IF(J73="","",N73/IF(J73=$B$3,Resumen!#REF!,VLOOKUP(J73,Graf_PowerBI!$A$4:$D$39,3,0)))</f>
        <v/>
      </c>
      <c r="Q73" s="163" t="str">
        <f>IF(J73="","",O73/IF(J73=$B$3,Resumen!#REF!,VLOOKUP(J73,Graf_PowerBI!$A$4:$D$39,4,0)))</f>
        <v/>
      </c>
      <c r="S73" s="215" t="str">
        <f t="shared" si="4"/>
        <v/>
      </c>
    </row>
    <row r="74" spans="1:19">
      <c r="A74"/>
      <c r="G74" s="163" t="str">
        <f>IF(A74="","",E74/IF(A74=$B$3,Resumen!#REF!,VLOOKUP(A74,Graf_PowerBI!$A$4:$D$39,3,0)))</f>
        <v/>
      </c>
      <c r="H74" s="163" t="str">
        <f>IF(A74="","",F74/IF(A74=$B$3,Resumen!#REF!,VLOOKUP(A74,Graf_PowerBI!$A$4:$D$39,4,0)))</f>
        <v/>
      </c>
      <c r="J74"/>
      <c r="P74" s="163" t="str">
        <f>IF(J74="","",N74/IF(J74=$B$3,Resumen!#REF!,VLOOKUP(J74,Graf_PowerBI!$A$4:$D$39,3,0)))</f>
        <v/>
      </c>
      <c r="Q74" s="163" t="str">
        <f>IF(J74="","",O74/IF(J74=$B$3,Resumen!#REF!,VLOOKUP(J74,Graf_PowerBI!$A$4:$D$39,4,0)))</f>
        <v/>
      </c>
      <c r="S74" s="215" t="str">
        <f t="shared" si="4"/>
        <v/>
      </c>
    </row>
    <row r="75" spans="1:19">
      <c r="A75"/>
      <c r="G75" s="163" t="str">
        <f>IF(A75="","",E75/IF(A75=$B$3,Resumen!#REF!,VLOOKUP(A75,Graf_PowerBI!$A$4:$D$39,3,0)))</f>
        <v/>
      </c>
      <c r="H75" s="163" t="str">
        <f>IF(A75="","",F75/IF(A75=$B$3,Resumen!#REF!,VLOOKUP(A75,Graf_PowerBI!$A$4:$D$39,4,0)))</f>
        <v/>
      </c>
      <c r="J75"/>
      <c r="P75" s="163" t="str">
        <f>IF(J75="","",N75/IF(J75=$B$3,Resumen!#REF!,VLOOKUP(J75,Graf_PowerBI!$A$4:$D$39,3,0)))</f>
        <v/>
      </c>
      <c r="Q75" s="163" t="str">
        <f>IF(J75="","",O75/IF(J75=$B$3,Resumen!#REF!,VLOOKUP(J75,Graf_PowerBI!$A$4:$D$39,4,0)))</f>
        <v/>
      </c>
      <c r="S75" s="215" t="str">
        <f t="shared" si="4"/>
        <v/>
      </c>
    </row>
    <row r="76" spans="1:19">
      <c r="A76"/>
      <c r="G76" s="163" t="str">
        <f>IF(A76="","",E76/IF(A76=$B$3,Resumen!#REF!,VLOOKUP(A76,Graf_PowerBI!$A$4:$D$39,3,0)))</f>
        <v/>
      </c>
      <c r="H76" s="163" t="str">
        <f>IF(A76="","",F76/IF(A76=$B$3,Resumen!#REF!,VLOOKUP(A76,Graf_PowerBI!$A$4:$D$39,4,0)))</f>
        <v/>
      </c>
      <c r="J76"/>
      <c r="P76" s="163" t="str">
        <f>IF(J76="","",N76/IF(J76=$B$3,Resumen!#REF!,VLOOKUP(J76,Graf_PowerBI!$A$4:$D$39,3,0)))</f>
        <v/>
      </c>
      <c r="Q76" s="163" t="str">
        <f>IF(J76="","",O76/IF(J76=$B$3,Resumen!#REF!,VLOOKUP(J76,Graf_PowerBI!$A$4:$D$39,4,0)))</f>
        <v/>
      </c>
      <c r="S76" s="215" t="str">
        <f t="shared" si="4"/>
        <v/>
      </c>
    </row>
    <row r="77" spans="1:19">
      <c r="A77"/>
      <c r="G77" s="163" t="str">
        <f>IF(A77="","",E77/IF(A77=$B$3,Resumen!#REF!,VLOOKUP(A77,Graf_PowerBI!$A$4:$D$39,3,0)))</f>
        <v/>
      </c>
      <c r="H77" s="163" t="str">
        <f>IF(A77="","",F77/IF(A77=$B$3,Resumen!#REF!,VLOOKUP(A77,Graf_PowerBI!$A$4:$D$39,4,0)))</f>
        <v/>
      </c>
      <c r="J77"/>
      <c r="P77" s="163" t="str">
        <f>IF(J77="","",N77/IF(J77=$B$3,Resumen!#REF!,VLOOKUP(J77,Graf_PowerBI!$A$4:$D$39,3,0)))</f>
        <v/>
      </c>
      <c r="Q77" s="163" t="str">
        <f>IF(J77="","",O77/IF(J77=$B$3,Resumen!#REF!,VLOOKUP(J77,Graf_PowerBI!$A$4:$D$39,4,0)))</f>
        <v/>
      </c>
      <c r="S77" s="215" t="str">
        <f t="shared" si="4"/>
        <v/>
      </c>
    </row>
    <row r="78" spans="1:19">
      <c r="A78"/>
      <c r="G78" s="163" t="str">
        <f>IF(A78="","",E78/IF(A78=$B$3,Resumen!#REF!,VLOOKUP(A78,Graf_PowerBI!$A$4:$D$39,3,0)))</f>
        <v/>
      </c>
      <c r="H78" s="163" t="str">
        <f>IF(A78="","",F78/IF(A78=$B$3,Resumen!#REF!,VLOOKUP(A78,Graf_PowerBI!$A$4:$D$39,4,0)))</f>
        <v/>
      </c>
      <c r="J78"/>
      <c r="P78" s="163" t="str">
        <f>IF(J78="","",N78/IF(J78=$B$3,Resumen!#REF!,VLOOKUP(J78,Graf_PowerBI!$A$4:$D$39,3,0)))</f>
        <v/>
      </c>
      <c r="Q78" s="163" t="str">
        <f>IF(J78="","",O78/IF(J78=$B$3,Resumen!#REF!,VLOOKUP(J78,Graf_PowerBI!$A$4:$D$39,4,0)))</f>
        <v/>
      </c>
      <c r="S78" s="215" t="str">
        <f t="shared" si="4"/>
        <v/>
      </c>
    </row>
    <row r="79" spans="1:19">
      <c r="A79"/>
      <c r="G79" s="163" t="str">
        <f>IF(A79="","",E79/IF(A79=$B$3,Resumen!#REF!,VLOOKUP(A79,Graf_PowerBI!$A$4:$D$39,3,0)))</f>
        <v/>
      </c>
      <c r="H79" s="163" t="str">
        <f>IF(A79="","",F79/IF(A79=$B$3,Resumen!#REF!,VLOOKUP(A79,Graf_PowerBI!$A$4:$D$39,4,0)))</f>
        <v/>
      </c>
      <c r="J79"/>
      <c r="P79" s="163" t="str">
        <f>IF(J79="","",N79/IF(J79=$B$3,Resumen!#REF!,VLOOKUP(J79,Graf_PowerBI!$A$4:$D$39,3,0)))</f>
        <v/>
      </c>
      <c r="Q79" s="163" t="str">
        <f>IF(J79="","",O79/IF(J79=$B$3,Resumen!#REF!,VLOOKUP(J79,Graf_PowerBI!$A$4:$D$39,4,0)))</f>
        <v/>
      </c>
      <c r="S79" s="215" t="str">
        <f t="shared" si="4"/>
        <v/>
      </c>
    </row>
    <row r="80" spans="1:19">
      <c r="G80" s="163" t="str">
        <f>IF(A80="","",E80/IF(A80=$B$3,Resumen!#REF!,VLOOKUP(A80,Graf_PowerBI!$A$4:$D$39,3,0)))</f>
        <v/>
      </c>
      <c r="H80" s="163" t="str">
        <f>IF(A80="","",F80/IF(A80=$B$3,Resumen!#REF!,VLOOKUP(A80,Graf_PowerBI!$A$4:$D$39,4,0)))</f>
        <v/>
      </c>
      <c r="P80" s="163" t="str">
        <f>IF(J80="","",N80/IF(J80=$B$3,Resumen!#REF!,VLOOKUP(J80,Graf_PowerBI!$A$4:$D$39,3,0)))</f>
        <v/>
      </c>
      <c r="Q80" s="163" t="str">
        <f>IF(J80="","",O80/IF(J80=$B$3,Resumen!#REF!,VLOOKUP(J80,Graf_PowerBI!$A$4:$D$39,4,0)))</f>
        <v/>
      </c>
      <c r="S80" s="215" t="str">
        <f t="shared" si="4"/>
        <v/>
      </c>
    </row>
    <row r="81" spans="7:19">
      <c r="G81" s="163" t="str">
        <f>IF(A81="","",E81/IF(A81=$B$3,Resumen!#REF!,VLOOKUP(A81,Graf_PowerBI!$A$4:$D$39,3,0)))</f>
        <v/>
      </c>
      <c r="H81" s="163" t="str">
        <f>IF(A81="","",F81/IF(A81=$B$3,Resumen!#REF!,VLOOKUP(A81,Graf_PowerBI!$A$4:$D$39,4,0)))</f>
        <v/>
      </c>
      <c r="P81" s="163" t="str">
        <f>IF(J81="","",N81/IF(J81=$B$3,Resumen!#REF!,VLOOKUP(J81,Graf_PowerBI!$A$4:$D$39,3,0)))</f>
        <v/>
      </c>
      <c r="Q81" s="163" t="str">
        <f>IF(J81="","",O81/IF(J81=$B$3,Resumen!#REF!,VLOOKUP(J81,Graf_PowerBI!$A$4:$D$39,4,0)))</f>
        <v/>
      </c>
      <c r="S81" s="215" t="str">
        <f t="shared" si="4"/>
        <v/>
      </c>
    </row>
    <row r="82" spans="7:19">
      <c r="G82" s="163" t="str">
        <f>IF(A82="","",E82/IF(A82=$B$3,Resumen!#REF!,VLOOKUP(A82,Graf_PowerBI!$A$4:$D$39,3,0)))</f>
        <v/>
      </c>
      <c r="H82" s="163" t="str">
        <f>IF(A82="","",F82/IF(A82=$B$3,Resumen!#REF!,VLOOKUP(A82,Graf_PowerBI!$A$4:$D$39,4,0)))</f>
        <v/>
      </c>
      <c r="P82" s="163" t="str">
        <f>IF(J82="","",N82/IF(J82=$B$3,Resumen!#REF!,VLOOKUP(J82,Graf_PowerBI!$A$4:$D$39,3,0)))</f>
        <v/>
      </c>
      <c r="Q82" s="163" t="str">
        <f>IF(J82="","",O82/IF(J82=$B$3,Resumen!#REF!,VLOOKUP(J82,Graf_PowerBI!$A$4:$D$39,4,0)))</f>
        <v/>
      </c>
      <c r="S82" s="215" t="str">
        <f t="shared" si="4"/>
        <v/>
      </c>
    </row>
    <row r="83" spans="7:19">
      <c r="G83" s="163" t="str">
        <f>IF(A83="","",E83/IF(A83=$B$3,Resumen!#REF!,VLOOKUP(A83,Graf_PowerBI!$A$4:$D$39,3,0)))</f>
        <v/>
      </c>
      <c r="H83" s="163" t="str">
        <f>IF(A83="","",F83/IF(A83=$B$3,Resumen!#REF!,VLOOKUP(A83,Graf_PowerBI!$A$4:$D$39,4,0)))</f>
        <v/>
      </c>
      <c r="P83" s="163" t="str">
        <f>IF(J83="","",N83/IF(J83=$B$3,Resumen!#REF!,VLOOKUP(J83,Graf_PowerBI!$A$4:$D$39,3,0)))</f>
        <v/>
      </c>
      <c r="Q83" s="163" t="str">
        <f>IF(J83="","",O83/IF(J83=$B$3,Resumen!#REF!,VLOOKUP(J83,Graf_PowerBI!$A$4:$D$39,4,0)))</f>
        <v/>
      </c>
      <c r="S83" s="215" t="str">
        <f t="shared" si="4"/>
        <v/>
      </c>
    </row>
    <row r="84" spans="7:19">
      <c r="G84" s="163" t="str">
        <f>IF(A84="","",E84/IF(A84=$B$3,Resumen!#REF!,VLOOKUP(A84,Graf_PowerBI!$A$4:$D$39,3,0)))</f>
        <v/>
      </c>
      <c r="H84" s="163" t="str">
        <f>IF(A84="","",F84/IF(A84=$B$3,Resumen!#REF!,VLOOKUP(A84,Graf_PowerBI!$A$4:$D$39,4,0)))</f>
        <v/>
      </c>
      <c r="P84" s="163" t="str">
        <f>IF(J84="","",N84/IF(J84=$B$3,Resumen!#REF!,VLOOKUP(J84,Graf_PowerBI!$A$4:$D$39,3,0)))</f>
        <v/>
      </c>
      <c r="Q84" s="163" t="str">
        <f>IF(J84="","",O84/IF(J84=$B$3,Resumen!#REF!,VLOOKUP(J84,Graf_PowerBI!$A$4:$D$39,4,0)))</f>
        <v/>
      </c>
      <c r="S84" s="215" t="str">
        <f t="shared" si="4"/>
        <v/>
      </c>
    </row>
    <row r="85" spans="7:19">
      <c r="G85" s="163" t="str">
        <f>IF(A85="","",E85/IF(A85=$B$3,Resumen!#REF!,VLOOKUP(A85,Graf_PowerBI!$A$4:$D$39,3,0)))</f>
        <v/>
      </c>
      <c r="H85" s="163" t="str">
        <f>IF(A85="","",F85/IF(A85=$B$3,Resumen!#REF!,VLOOKUP(A85,Graf_PowerBI!$A$4:$D$39,4,0)))</f>
        <v/>
      </c>
      <c r="P85" s="163" t="str">
        <f>IF(J85="","",N85/IF(J85=$B$3,Resumen!#REF!,VLOOKUP(J85,Graf_PowerBI!$A$4:$D$39,3,0)))</f>
        <v/>
      </c>
      <c r="Q85" s="163" t="str">
        <f>IF(J85="","",O85/IF(J85=$B$3,Resumen!#REF!,VLOOKUP(J85,Graf_PowerBI!$A$4:$D$39,4,0)))</f>
        <v/>
      </c>
      <c r="S85" s="215" t="str">
        <f t="shared" si="4"/>
        <v/>
      </c>
    </row>
    <row r="86" spans="7:19">
      <c r="G86" s="163" t="str">
        <f>IF(A86="","",E86/IF(A86=$B$3,Resumen!#REF!,VLOOKUP(A86,Graf_PowerBI!$A$4:$D$39,3,0)))</f>
        <v/>
      </c>
      <c r="H86" s="163" t="str">
        <f>IF(A86="","",F86/IF(A86=$B$3,Resumen!#REF!,VLOOKUP(A86,Graf_PowerBI!$A$4:$D$39,4,0)))</f>
        <v/>
      </c>
      <c r="P86" s="163" t="str">
        <f>IF(J86="","",N86/IF(J86=$B$3,Resumen!#REF!,VLOOKUP(J86,Graf_PowerBI!$A$4:$D$39,3,0)))</f>
        <v/>
      </c>
      <c r="Q86" s="163" t="str">
        <f>IF(J86="","",O86/IF(J86=$B$3,Resumen!#REF!,VLOOKUP(J86,Graf_PowerBI!$A$4:$D$39,4,0)))</f>
        <v/>
      </c>
      <c r="S86" s="215" t="str">
        <f t="shared" si="4"/>
        <v/>
      </c>
    </row>
    <row r="87" spans="7:19">
      <c r="G87" s="163" t="str">
        <f>IF(A87="","",E87/IF(A87=$B$3,Resumen!#REF!,VLOOKUP(A87,Graf_PowerBI!$A$4:$D$39,3,0)))</f>
        <v/>
      </c>
      <c r="H87" s="163" t="str">
        <f>IF(A87="","",F87/IF(A87=$B$3,Resumen!#REF!,VLOOKUP(A87,Graf_PowerBI!$A$4:$D$39,4,0)))</f>
        <v/>
      </c>
      <c r="P87" s="163" t="str">
        <f>IF(J87="","",N87/IF(J87=$B$3,Resumen!#REF!,VLOOKUP(J87,Graf_PowerBI!$A$4:$D$39,3,0)))</f>
        <v/>
      </c>
      <c r="Q87" s="163" t="str">
        <f>IF(J87="","",O87/IF(J87=$B$3,Resumen!#REF!,VLOOKUP(J87,Graf_PowerBI!$A$4:$D$39,4,0)))</f>
        <v/>
      </c>
      <c r="S87" s="215" t="str">
        <f t="shared" si="4"/>
        <v/>
      </c>
    </row>
    <row r="88" spans="7:19">
      <c r="G88" s="163" t="str">
        <f>IF(A88="","",E88/IF(A88=$B$3,Resumen!#REF!,VLOOKUP(A88,Graf_PowerBI!$A$4:$D$39,3,0)))</f>
        <v/>
      </c>
      <c r="H88" s="163" t="str">
        <f>IF(A88="","",F88/IF(A88=$B$3,Resumen!#REF!,VLOOKUP(A88,Graf_PowerBI!$A$4:$D$39,4,0)))</f>
        <v/>
      </c>
      <c r="P88" s="163" t="str">
        <f>IF(J88="","",N88/IF(J88=$B$3,Resumen!#REF!,VLOOKUP(J88,Graf_PowerBI!$A$4:$D$39,3,0)))</f>
        <v/>
      </c>
      <c r="Q88" s="163" t="str">
        <f>IF(J88="","",O88/IF(J88=$B$3,Resumen!#REF!,VLOOKUP(J88,Graf_PowerBI!$A$4:$D$39,4,0)))</f>
        <v/>
      </c>
      <c r="S88" s="215" t="str">
        <f t="shared" si="4"/>
        <v/>
      </c>
    </row>
    <row r="89" spans="7:19">
      <c r="G89" s="163" t="str">
        <f>IF(A89="","",E89/IF(A89=$B$3,Resumen!#REF!,VLOOKUP(A89,Graf_PowerBI!$A$4:$D$39,3,0)))</f>
        <v/>
      </c>
      <c r="H89" s="163" t="str">
        <f>IF(A89="","",F89/IF(A89=$B$3,Resumen!#REF!,VLOOKUP(A89,Graf_PowerBI!$A$4:$D$39,4,0)))</f>
        <v/>
      </c>
      <c r="P89" s="163" t="str">
        <f>IF(J89="","",N89/IF(J89=$B$3,Resumen!#REF!,VLOOKUP(J89,Graf_PowerBI!$A$4:$D$39,3,0)))</f>
        <v/>
      </c>
      <c r="Q89" s="163" t="str">
        <f>IF(J89="","",O89/IF(J89=$B$3,Resumen!#REF!,VLOOKUP(J89,Graf_PowerBI!$A$4:$D$39,4,0)))</f>
        <v/>
      </c>
      <c r="S89" s="215" t="str">
        <f t="shared" si="4"/>
        <v/>
      </c>
    </row>
    <row r="90" spans="7:19">
      <c r="G90" s="163" t="str">
        <f>IF(A90="","",E90/IF(A90=$B$3,Resumen!#REF!,VLOOKUP(A90,Graf_PowerBI!$A$4:$D$39,3,0)))</f>
        <v/>
      </c>
      <c r="H90" s="163" t="str">
        <f>IF(A90="","",F90/IF(A90=$B$3,Resumen!#REF!,VLOOKUP(A90,Graf_PowerBI!$A$4:$D$39,4,0)))</f>
        <v/>
      </c>
      <c r="P90" s="163" t="str">
        <f>IF(J90="","",N90/IF(J90=$B$3,Resumen!#REF!,VLOOKUP(J90,Graf_PowerBI!$A$4:$D$39,3,0)))</f>
        <v/>
      </c>
      <c r="Q90" s="163" t="str">
        <f>IF(J90="","",O90/IF(J90=$B$3,Resumen!#REF!,VLOOKUP(J90,Graf_PowerBI!$A$4:$D$39,4,0)))</f>
        <v/>
      </c>
      <c r="S90" s="215" t="str">
        <f t="shared" si="4"/>
        <v/>
      </c>
    </row>
    <row r="91" spans="7:19">
      <c r="G91" s="163" t="str">
        <f>IF(A91="","",E91/IF(A91=$B$3,Resumen!#REF!,VLOOKUP(A91,Graf_PowerBI!$A$4:$D$39,3,0)))</f>
        <v/>
      </c>
      <c r="H91" s="163" t="str">
        <f>IF(A91="","",F91/IF(A91=$B$3,Resumen!#REF!,VLOOKUP(A91,Graf_PowerBI!$A$4:$D$39,4,0)))</f>
        <v/>
      </c>
      <c r="P91" s="163" t="str">
        <f>IF(J91="","",N91/IF(J91=$B$3,Resumen!#REF!,VLOOKUP(J91,Graf_PowerBI!$A$4:$D$39,3,0)))</f>
        <v/>
      </c>
      <c r="Q91" s="163" t="str">
        <f>IF(J91="","",O91/IF(J91=$B$3,Resumen!#REF!,VLOOKUP(J91,Graf_PowerBI!$A$4:$D$39,4,0)))</f>
        <v/>
      </c>
      <c r="S91" s="215" t="str">
        <f t="shared" si="4"/>
        <v/>
      </c>
    </row>
    <row r="92" spans="7:19">
      <c r="G92" s="163" t="str">
        <f>IF(A92="","",E92/IF(A92=$B$3,Resumen!#REF!,VLOOKUP(A92,Graf_PowerBI!$A$4:$D$39,3,0)))</f>
        <v/>
      </c>
      <c r="H92" s="163" t="str">
        <f>IF(A92="","",F92/IF(A92=$B$3,Resumen!#REF!,VLOOKUP(A92,Graf_PowerBI!$A$4:$D$39,4,0)))</f>
        <v/>
      </c>
      <c r="P92" s="163" t="str">
        <f>IF(J92="","",N92/IF(J92=$B$3,Resumen!#REF!,VLOOKUP(J92,Graf_PowerBI!$A$4:$D$39,3,0)))</f>
        <v/>
      </c>
      <c r="Q92" s="163" t="str">
        <f>IF(J92="","",O92/IF(J92=$B$3,Resumen!#REF!,VLOOKUP(J92,Graf_PowerBI!$A$4:$D$39,4,0)))</f>
        <v/>
      </c>
      <c r="S92" s="215" t="str">
        <f t="shared" si="4"/>
        <v/>
      </c>
    </row>
    <row r="93" spans="7:19">
      <c r="G93" s="163" t="str">
        <f>IF(A93="","",E93/IF(A93=$B$3,Resumen!#REF!,VLOOKUP(A93,Graf_PowerBI!$A$4:$D$39,3,0)))</f>
        <v/>
      </c>
      <c r="H93" s="163" t="str">
        <f>IF(A93="","",F93/IF(A93=$B$3,Resumen!#REF!,VLOOKUP(A93,Graf_PowerBI!$A$4:$D$39,4,0)))</f>
        <v/>
      </c>
      <c r="P93" s="163" t="str">
        <f>IF(J93="","",N93/IF(J93=$B$3,Resumen!#REF!,VLOOKUP(J93,Graf_PowerBI!$A$4:$D$39,3,0)))</f>
        <v/>
      </c>
      <c r="Q93" s="163" t="str">
        <f>IF(J93="","",O93/IF(J93=$B$3,Resumen!#REF!,VLOOKUP(J93,Graf_PowerBI!$A$4:$D$39,4,0)))</f>
        <v/>
      </c>
      <c r="S93" s="215" t="str">
        <f t="shared" si="4"/>
        <v/>
      </c>
    </row>
    <row r="94" spans="7:19">
      <c r="G94" s="163" t="str">
        <f>IF(A94="","",E94/IF(A94=$B$3,Resumen!#REF!,VLOOKUP(A94,Graf_PowerBI!$A$4:$D$39,3,0)))</f>
        <v/>
      </c>
      <c r="H94" s="163" t="str">
        <f>IF(A94="","",F94/IF(A94=$B$3,Resumen!#REF!,VLOOKUP(A94,Graf_PowerBI!$A$4:$D$39,4,0)))</f>
        <v/>
      </c>
      <c r="P94" s="163" t="str">
        <f>IF(J94="","",N94/IF(J94=$B$3,Resumen!#REF!,VLOOKUP(J94,Graf_PowerBI!$A$4:$D$39,3,0)))</f>
        <v/>
      </c>
      <c r="Q94" s="163" t="str">
        <f>IF(J94="","",O94/IF(J94=$B$3,Resumen!#REF!,VLOOKUP(J94,Graf_PowerBI!$A$4:$D$39,4,0)))</f>
        <v/>
      </c>
      <c r="S94" s="215" t="str">
        <f t="shared" si="4"/>
        <v/>
      </c>
    </row>
    <row r="95" spans="7:19">
      <c r="G95" s="163" t="str">
        <f>IF(A95="","",E95/IF(A95=$B$3,Resumen!#REF!,VLOOKUP(A95,Graf_PowerBI!$A$4:$D$39,3,0)))</f>
        <v/>
      </c>
      <c r="H95" s="163" t="str">
        <f>IF(A95="","",F95/IF(A95=$B$3,Resumen!#REF!,VLOOKUP(A95,Graf_PowerBI!$A$4:$D$39,4,0)))</f>
        <v/>
      </c>
      <c r="P95" s="163" t="str">
        <f>IF(J95="","",N95/IF(J95=$B$3,Resumen!#REF!,VLOOKUP(J95,Graf_PowerBI!$A$4:$D$39,3,0)))</f>
        <v/>
      </c>
      <c r="Q95" s="163" t="str">
        <f>IF(J95="","",O95/IF(J95=$B$3,Resumen!#REF!,VLOOKUP(J95,Graf_PowerBI!$A$4:$D$39,4,0)))</f>
        <v/>
      </c>
      <c r="S95" s="215" t="str">
        <f t="shared" si="4"/>
        <v/>
      </c>
    </row>
    <row r="96" spans="7:19">
      <c r="G96" s="163" t="str">
        <f>IF(A96="","",E96/IF(A96=$B$3,Resumen!#REF!,VLOOKUP(A96,Graf_PowerBI!$A$4:$D$39,3,0)))</f>
        <v/>
      </c>
      <c r="H96" s="163" t="str">
        <f>IF(A96="","",F96/IF(A96=$B$3,Resumen!#REF!,VLOOKUP(A96,Graf_PowerBI!$A$4:$D$39,4,0)))</f>
        <v/>
      </c>
      <c r="P96" s="163" t="str">
        <f>IF(J96="","",N96/IF(J96=$B$3,Resumen!#REF!,VLOOKUP(J96,Graf_PowerBI!$A$4:$D$39,3,0)))</f>
        <v/>
      </c>
      <c r="Q96" s="163" t="str">
        <f>IF(J96="","",O96/IF(J96=$B$3,Resumen!#REF!,VLOOKUP(J96,Graf_PowerBI!$A$4:$D$39,4,0)))</f>
        <v/>
      </c>
      <c r="S96" s="215" t="str">
        <f t="shared" si="4"/>
        <v/>
      </c>
    </row>
    <row r="97" spans="7:19">
      <c r="G97" s="163" t="str">
        <f>IF(A97="","",E97/IF(A97=$B$3,Resumen!#REF!,VLOOKUP(A97,Graf_PowerBI!$A$4:$D$39,3,0)))</f>
        <v/>
      </c>
      <c r="H97" s="163" t="str">
        <f>IF(A97="","",F97/IF(A97=$B$3,Resumen!#REF!,VLOOKUP(A97,Graf_PowerBI!$A$4:$D$39,4,0)))</f>
        <v/>
      </c>
      <c r="P97" s="163" t="str">
        <f>IF(J97="","",N97/IF(J97=$B$3,Resumen!#REF!,VLOOKUP(J97,Graf_PowerBI!$A$4:$D$39,3,0)))</f>
        <v/>
      </c>
      <c r="Q97" s="163" t="str">
        <f>IF(J97="","",O97/IF(J97=$B$3,Resumen!#REF!,VLOOKUP(J97,Graf_PowerBI!$A$4:$D$39,4,0)))</f>
        <v/>
      </c>
      <c r="S97" s="215" t="str">
        <f t="shared" si="4"/>
        <v/>
      </c>
    </row>
    <row r="98" spans="7:19">
      <c r="G98" s="163" t="str">
        <f>IF(A98="","",E98/IF(A98=$B$3,Resumen!#REF!,VLOOKUP(A98,Graf_PowerBI!$A$4:$D$39,3,0)))</f>
        <v/>
      </c>
      <c r="H98" s="163" t="str">
        <f>IF(A98="","",F98/IF(A98=$B$3,Resumen!#REF!,VLOOKUP(A98,Graf_PowerBI!$A$4:$D$39,4,0)))</f>
        <v/>
      </c>
      <c r="P98" s="163" t="str">
        <f>IF(J98="","",N98/IF(J98=$B$3,Resumen!#REF!,VLOOKUP(J98,Graf_PowerBI!$A$4:$D$39,3,0)))</f>
        <v/>
      </c>
      <c r="Q98" s="163" t="str">
        <f>IF(J98="","",O98/IF(J98=$B$3,Resumen!#REF!,VLOOKUP(J98,Graf_PowerBI!$A$4:$D$39,4,0)))</f>
        <v/>
      </c>
      <c r="S98" s="215" t="str">
        <f t="shared" si="4"/>
        <v/>
      </c>
    </row>
    <row r="99" spans="7:19">
      <c r="G99" s="163" t="str">
        <f>IF(A99="","",E99/IF(A99=$B$3,Resumen!#REF!,VLOOKUP(A99,Graf_PowerBI!$A$4:$D$39,3,0)))</f>
        <v/>
      </c>
      <c r="H99" s="163" t="str">
        <f>IF(A99="","",F99/IF(A99=$B$3,Resumen!#REF!,VLOOKUP(A99,Graf_PowerBI!$A$4:$D$39,4,0)))</f>
        <v/>
      </c>
      <c r="P99" s="163" t="str">
        <f>IF(J99="","",N99/IF(J99=$B$3,Resumen!#REF!,VLOOKUP(J99,Graf_PowerBI!$A$4:$D$39,3,0)))</f>
        <v/>
      </c>
      <c r="Q99" s="163" t="str">
        <f>IF(J99="","",O99/IF(J99=$B$3,Resumen!#REF!,VLOOKUP(J99,Graf_PowerBI!$A$4:$D$39,4,0)))</f>
        <v/>
      </c>
      <c r="S99" s="215" t="str">
        <f t="shared" si="4"/>
        <v/>
      </c>
    </row>
    <row r="100" spans="7:19">
      <c r="G100" s="163" t="str">
        <f>IF(A100="","",E100/IF(A100=$B$3,Resumen!#REF!,VLOOKUP(A100,Graf_PowerBI!$A$4:$D$39,3,0)))</f>
        <v/>
      </c>
      <c r="H100" s="163" t="str">
        <f>IF(A100="","",F100/IF(A100=$B$3,Resumen!#REF!,VLOOKUP(A100,Graf_PowerBI!$A$4:$D$39,4,0)))</f>
        <v/>
      </c>
      <c r="P100" s="163" t="str">
        <f>IF(J100="","",N100/IF(J100=$B$3,Resumen!#REF!,VLOOKUP(J100,Graf_PowerBI!$A$4:$D$39,3,0)))</f>
        <v/>
      </c>
      <c r="Q100" s="163" t="str">
        <f>IF(J100="","",O100/IF(J100=$B$3,Resumen!#REF!,VLOOKUP(J100,Graf_PowerBI!$A$4:$D$39,4,0)))</f>
        <v/>
      </c>
      <c r="S100" s="215" t="str">
        <f t="shared" si="4"/>
        <v/>
      </c>
    </row>
    <row r="101" spans="7:19">
      <c r="G101" s="163" t="str">
        <f>IF(A101="","",E101/IF(A101=$B$3,Resumen!#REF!,VLOOKUP(A101,Graf_PowerBI!$A$4:$D$39,3,0)))</f>
        <v/>
      </c>
      <c r="H101" s="163" t="str">
        <f>IF(A101="","",F101/IF(A101=$B$3,Resumen!#REF!,VLOOKUP(A101,Graf_PowerBI!$A$4:$D$39,4,0)))</f>
        <v/>
      </c>
      <c r="P101" s="163" t="str">
        <f>IF(J101="","",N101/IF(J101=$B$3,Resumen!#REF!,VLOOKUP(J101,Graf_PowerBI!$A$4:$D$39,3,0)))</f>
        <v/>
      </c>
      <c r="Q101" s="163" t="str">
        <f>IF(J101="","",O101/IF(J101=$B$3,Resumen!#REF!,VLOOKUP(J101,Graf_PowerBI!$A$4:$D$39,4,0)))</f>
        <v/>
      </c>
      <c r="S101" s="215" t="str">
        <f t="shared" si="4"/>
        <v/>
      </c>
    </row>
    <row r="102" spans="7:19">
      <c r="G102" s="163" t="str">
        <f>IF(A102="","",E102/IF(A102=$B$3,Resumen!#REF!,VLOOKUP(A102,Graf_PowerBI!$A$4:$D$39,3,0)))</f>
        <v/>
      </c>
      <c r="H102" s="163" t="str">
        <f>IF(A102="","",F102/IF(A102=$B$3,Resumen!#REF!,VLOOKUP(A102,Graf_PowerBI!$A$4:$D$39,4,0)))</f>
        <v/>
      </c>
      <c r="P102" s="163" t="str">
        <f>IF(J102="","",N102/IF(J102=$B$3,Resumen!#REF!,VLOOKUP(J102,Graf_PowerBI!$A$4:$D$39,3,0)))</f>
        <v/>
      </c>
      <c r="Q102" s="163" t="str">
        <f>IF(J102="","",O102/IF(J102=$B$3,Resumen!#REF!,VLOOKUP(J102,Graf_PowerBI!$A$4:$D$39,4,0)))</f>
        <v/>
      </c>
      <c r="S102" s="215" t="str">
        <f t="shared" si="4"/>
        <v/>
      </c>
    </row>
    <row r="103" spans="7:19">
      <c r="G103" s="163" t="str">
        <f>IF(A103="","",E103/IF(A103=$B$3,Resumen!#REF!,VLOOKUP(A103,Graf_PowerBI!$A$4:$D$39,3,0)))</f>
        <v/>
      </c>
      <c r="H103" s="163" t="str">
        <f>IF(A103="","",F103/IF(A103=$B$3,Resumen!#REF!,VLOOKUP(A103,Graf_PowerBI!$A$4:$D$39,4,0)))</f>
        <v/>
      </c>
      <c r="P103" s="163" t="str">
        <f>IF(J103="","",N103/IF(J103=$B$3,Resumen!#REF!,VLOOKUP(J103,Graf_PowerBI!$A$4:$D$39,3,0)))</f>
        <v/>
      </c>
      <c r="Q103" s="163" t="str">
        <f>IF(J103="","",O103/IF(J103=$B$3,Resumen!#REF!,VLOOKUP(J103,Graf_PowerBI!$A$4:$D$39,4,0)))</f>
        <v/>
      </c>
      <c r="S103" s="215" t="str">
        <f t="shared" si="4"/>
        <v/>
      </c>
    </row>
    <row r="104" spans="7:19">
      <c r="G104" s="163" t="str">
        <f>IF(A104="","",E104/IF(A104=$B$3,Resumen!#REF!,VLOOKUP(A104,Graf_PowerBI!$A$4:$D$39,3,0)))</f>
        <v/>
      </c>
      <c r="H104" s="163" t="str">
        <f>IF(A104="","",F104/IF(A104=$B$3,Resumen!#REF!,VLOOKUP(A104,Graf_PowerBI!$A$4:$D$39,4,0)))</f>
        <v/>
      </c>
      <c r="P104" s="163" t="str">
        <f>IF(J104="","",N104/IF(J104=$B$3,Resumen!#REF!,VLOOKUP(J104,Graf_PowerBI!$A$4:$D$39,3,0)))</f>
        <v/>
      </c>
      <c r="Q104" s="163" t="str">
        <f>IF(J104="","",O104/IF(J104=$B$3,Resumen!#REF!,VLOOKUP(J104,Graf_PowerBI!$A$4:$D$39,4,0)))</f>
        <v/>
      </c>
      <c r="S104" s="215" t="str">
        <f t="shared" si="4"/>
        <v/>
      </c>
    </row>
    <row r="105" spans="7:19">
      <c r="G105" s="163" t="str">
        <f>IF(A105="","",E105/IF(A105=$B$3,Resumen!#REF!,VLOOKUP(A105,Graf_PowerBI!$A$4:$D$39,3,0)))</f>
        <v/>
      </c>
      <c r="H105" s="163" t="str">
        <f>IF(A105="","",F105/IF(A105=$B$3,Resumen!#REF!,VLOOKUP(A105,Graf_PowerBI!$A$4:$D$39,4,0)))</f>
        <v/>
      </c>
      <c r="P105" s="163" t="str">
        <f>IF(J105="","",N105/IF(J105=$B$3,Resumen!#REF!,VLOOKUP(J105,Graf_PowerBI!$A$4:$D$39,3,0)))</f>
        <v/>
      </c>
      <c r="Q105" s="163" t="str">
        <f>IF(J105="","",O105/IF(J105=$B$3,Resumen!#REF!,VLOOKUP(J105,Graf_PowerBI!$A$4:$D$39,4,0)))</f>
        <v/>
      </c>
      <c r="S105" s="215" t="str">
        <f t="shared" si="4"/>
        <v/>
      </c>
    </row>
    <row r="106" spans="7:19">
      <c r="G106" s="163" t="str">
        <f>IF(A106="","",E106/IF(A106=$B$3,Resumen!#REF!,VLOOKUP(A106,Graf_PowerBI!$A$4:$D$39,3,0)))</f>
        <v/>
      </c>
      <c r="H106" s="163" t="str">
        <f>IF(A106="","",F106/IF(A106=$B$3,Resumen!#REF!,VLOOKUP(A106,Graf_PowerBI!$A$4:$D$39,4,0)))</f>
        <v/>
      </c>
      <c r="P106" s="163" t="str">
        <f>IF(J106="","",N106/IF(J106=$B$3,Resumen!#REF!,VLOOKUP(J106,Graf_PowerBI!$A$4:$D$39,3,0)))</f>
        <v/>
      </c>
      <c r="Q106" s="163" t="str">
        <f>IF(J106="","",O106/IF(J106=$B$3,Resumen!#REF!,VLOOKUP(J106,Graf_PowerBI!$A$4:$D$39,4,0)))</f>
        <v/>
      </c>
      <c r="S106" s="215" t="str">
        <f t="shared" si="4"/>
        <v/>
      </c>
    </row>
    <row r="107" spans="7:19">
      <c r="G107" s="163" t="str">
        <f>IF(A107="","",E107/IF(A107=$B$3,Resumen!#REF!,VLOOKUP(A107,Graf_PowerBI!$A$4:$D$39,3,0)))</f>
        <v/>
      </c>
      <c r="H107" s="163" t="str">
        <f>IF(A107="","",F107/IF(A107=$B$3,Resumen!#REF!,VLOOKUP(A107,Graf_PowerBI!$A$4:$D$39,4,0)))</f>
        <v/>
      </c>
      <c r="P107" s="163" t="str">
        <f>IF(J107="","",N107/IF(J107=$B$3,Resumen!#REF!,VLOOKUP(J107,Graf_PowerBI!$A$4:$D$39,3,0)))</f>
        <v/>
      </c>
      <c r="Q107" s="163" t="str">
        <f>IF(J107="","",O107/IF(J107=$B$3,Resumen!#REF!,VLOOKUP(J107,Graf_PowerBI!$A$4:$D$39,4,0)))</f>
        <v/>
      </c>
      <c r="S107" s="215" t="str">
        <f t="shared" si="4"/>
        <v/>
      </c>
    </row>
    <row r="108" spans="7:19">
      <c r="G108" s="163" t="str">
        <f>IF(A108="","",E108/IF(A108=$B$3,Resumen!#REF!,VLOOKUP(A108,Graf_PowerBI!$A$4:$D$39,3,0)))</f>
        <v/>
      </c>
      <c r="H108" s="163" t="str">
        <f>IF(A108="","",F108/IF(A108=$B$3,Resumen!#REF!,VLOOKUP(A108,Graf_PowerBI!$A$4:$D$39,4,0)))</f>
        <v/>
      </c>
      <c r="P108" s="163" t="str">
        <f>IF(J108="","",N108/IF(J108=$B$3,Resumen!#REF!,VLOOKUP(J108,Graf_PowerBI!$A$4:$D$39,3,0)))</f>
        <v/>
      </c>
      <c r="Q108" s="163" t="str">
        <f>IF(J108="","",O108/IF(J108=$B$3,Resumen!#REF!,VLOOKUP(J108,Graf_PowerBI!$A$4:$D$39,4,0)))</f>
        <v/>
      </c>
      <c r="S108" s="215" t="str">
        <f t="shared" si="4"/>
        <v/>
      </c>
    </row>
    <row r="109" spans="7:19">
      <c r="G109" s="163" t="str">
        <f>IF(A109="","",E109/IF(A109=$B$3,Resumen!#REF!,VLOOKUP(A109,Graf_PowerBI!$A$4:$D$39,3,0)))</f>
        <v/>
      </c>
      <c r="H109" s="163" t="str">
        <f>IF(A109="","",F109/IF(A109=$B$3,Resumen!#REF!,VLOOKUP(A109,Graf_PowerBI!$A$4:$D$39,4,0)))</f>
        <v/>
      </c>
      <c r="P109" s="163" t="str">
        <f>IF(J109="","",N109/IF(J109=$B$3,Resumen!#REF!,VLOOKUP(J109,Graf_PowerBI!$A$4:$D$39,3,0)))</f>
        <v/>
      </c>
      <c r="Q109" s="163" t="str">
        <f>IF(J109="","",O109/IF(J109=$B$3,Resumen!#REF!,VLOOKUP(J109,Graf_PowerBI!$A$4:$D$39,4,0)))</f>
        <v/>
      </c>
      <c r="S109" s="215" t="str">
        <f t="shared" si="4"/>
        <v/>
      </c>
    </row>
    <row r="110" spans="7:19">
      <c r="G110" s="163" t="str">
        <f>IF(A110="","",E110/IF(A110=$B$3,Resumen!#REF!,VLOOKUP(A110,Graf_PowerBI!$A$4:$D$39,3,0)))</f>
        <v/>
      </c>
      <c r="H110" s="163" t="str">
        <f>IF(A110="","",F110/IF(A110=$B$3,Resumen!#REF!,VLOOKUP(A110,Graf_PowerBI!$A$4:$D$39,4,0)))</f>
        <v/>
      </c>
      <c r="P110" s="163" t="str">
        <f>IF(J110="","",N110/IF(J110=$B$3,Resumen!#REF!,VLOOKUP(J110,Graf_PowerBI!$A$4:$D$39,3,0)))</f>
        <v/>
      </c>
      <c r="Q110" s="163" t="str">
        <f>IF(J110="","",O110/IF(J110=$B$3,Resumen!#REF!,VLOOKUP(J110,Graf_PowerBI!$A$4:$D$39,4,0)))</f>
        <v/>
      </c>
      <c r="S110" s="215" t="str">
        <f t="shared" si="4"/>
        <v/>
      </c>
    </row>
    <row r="111" spans="7:19">
      <c r="G111" s="163" t="str">
        <f>IF(A111="","",E111/IF(A111=$B$3,Resumen!#REF!,VLOOKUP(A111,Graf_PowerBI!$A$4:$D$39,3,0)))</f>
        <v/>
      </c>
      <c r="H111" s="163" t="str">
        <f>IF(A111="","",F111/IF(A111=$B$3,Resumen!#REF!,VLOOKUP(A111,Graf_PowerBI!$A$4:$D$39,4,0)))</f>
        <v/>
      </c>
      <c r="P111" s="163" t="str">
        <f>IF(J111="","",N111/IF(J111=$B$3,Resumen!#REF!,VLOOKUP(J111,Graf_PowerBI!$A$4:$D$39,3,0)))</f>
        <v/>
      </c>
      <c r="Q111" s="163" t="str">
        <f>IF(J111="","",O111/IF(J111=$B$3,Resumen!#REF!,VLOOKUP(J111,Graf_PowerBI!$A$4:$D$39,4,0)))</f>
        <v/>
      </c>
      <c r="S111" s="215" t="str">
        <f t="shared" si="4"/>
        <v/>
      </c>
    </row>
    <row r="112" spans="7:19">
      <c r="G112" s="163" t="str">
        <f>IF(A112="","",E112/IF(A112=$B$3,Resumen!#REF!,VLOOKUP(A112,Graf_PowerBI!$A$4:$D$39,3,0)))</f>
        <v/>
      </c>
      <c r="H112" s="163" t="str">
        <f>IF(A112="","",F112/IF(A112=$B$3,Resumen!#REF!,VLOOKUP(A112,Graf_PowerBI!$A$4:$D$39,4,0)))</f>
        <v/>
      </c>
      <c r="P112" s="163" t="str">
        <f>IF(J112="","",N112/IF(J112=$B$3,Resumen!#REF!,VLOOKUP(J112,Graf_PowerBI!$A$4:$D$39,3,0)))</f>
        <v/>
      </c>
      <c r="Q112" s="163" t="str">
        <f>IF(J112="","",O112/IF(J112=$B$3,Resumen!#REF!,VLOOKUP(J112,Graf_PowerBI!$A$4:$D$39,4,0)))</f>
        <v/>
      </c>
      <c r="S112" s="215" t="str">
        <f t="shared" si="4"/>
        <v/>
      </c>
    </row>
    <row r="113" spans="7:19">
      <c r="G113" s="163" t="str">
        <f>IF(A113="","",E113/IF(A113=$B$3,Resumen!#REF!,VLOOKUP(A113,Graf_PowerBI!$A$4:$D$39,3,0)))</f>
        <v/>
      </c>
      <c r="H113" s="163" t="str">
        <f>IF(A113="","",F113/IF(A113=$B$3,Resumen!#REF!,VLOOKUP(A113,Graf_PowerBI!$A$4:$D$39,4,0)))</f>
        <v/>
      </c>
      <c r="P113" s="163" t="str">
        <f>IF(J113="","",N113/IF(J113=$B$3,Resumen!#REF!,VLOOKUP(J113,Graf_PowerBI!$A$4:$D$39,3,0)))</f>
        <v/>
      </c>
      <c r="Q113" s="163" t="str">
        <f>IF(J113="","",O113/IF(J113=$B$3,Resumen!#REF!,VLOOKUP(J113,Graf_PowerBI!$A$4:$D$39,4,0)))</f>
        <v/>
      </c>
      <c r="S113" s="215" t="str">
        <f t="shared" si="4"/>
        <v/>
      </c>
    </row>
    <row r="114" spans="7:19">
      <c r="G114" s="163" t="str">
        <f>IF(A114="","",E114/IF(A114=$B$3,Resumen!#REF!,VLOOKUP(A114,Graf_PowerBI!$A$4:$D$39,3,0)))</f>
        <v/>
      </c>
      <c r="H114" s="163" t="str">
        <f>IF(A114="","",F114/IF(A114=$B$3,Resumen!#REF!,VLOOKUP(A114,Graf_PowerBI!$A$4:$D$39,4,0)))</f>
        <v/>
      </c>
      <c r="P114" s="163" t="str">
        <f>IF(J114="","",N114/IF(J114=$B$3,Resumen!#REF!,VLOOKUP(J114,Graf_PowerBI!$A$4:$D$39,3,0)))</f>
        <v/>
      </c>
      <c r="Q114" s="163" t="str">
        <f>IF(J114="","",O114/IF(J114=$B$3,Resumen!#REF!,VLOOKUP(J114,Graf_PowerBI!$A$4:$D$39,4,0)))</f>
        <v/>
      </c>
      <c r="S114" s="215" t="str">
        <f t="shared" si="4"/>
        <v/>
      </c>
    </row>
    <row r="115" spans="7:19">
      <c r="G115" s="163" t="str">
        <f>IF(A115="","",E115/IF(A115=$B$3,Resumen!#REF!,VLOOKUP(A115,Graf_PowerBI!$A$4:$D$39,3,0)))</f>
        <v/>
      </c>
      <c r="H115" s="163" t="str">
        <f>IF(A115="","",F115/IF(A115=$B$3,Resumen!#REF!,VLOOKUP(A115,Graf_PowerBI!$A$4:$D$39,4,0)))</f>
        <v/>
      </c>
      <c r="P115" s="163" t="str">
        <f>IF(J115="","",N115/IF(J115=$B$3,Resumen!#REF!,VLOOKUP(J115,Graf_PowerBI!$A$4:$D$39,3,0)))</f>
        <v/>
      </c>
      <c r="Q115" s="163" t="str">
        <f>IF(J115="","",O115/IF(J115=$B$3,Resumen!#REF!,VLOOKUP(J115,Graf_PowerBI!$A$4:$D$39,4,0)))</f>
        <v/>
      </c>
      <c r="S115" s="215" t="str">
        <f t="shared" si="4"/>
        <v/>
      </c>
    </row>
    <row r="116" spans="7:19">
      <c r="G116" s="163" t="str">
        <f>IF(A116="","",E116/IF(A116=$B$3,Resumen!#REF!,VLOOKUP(A116,Graf_PowerBI!$A$4:$D$39,3,0)))</f>
        <v/>
      </c>
      <c r="H116" s="163" t="str">
        <f>IF(A116="","",F116/IF(A116=$B$3,Resumen!#REF!,VLOOKUP(A116,Graf_PowerBI!$A$4:$D$39,4,0)))</f>
        <v/>
      </c>
      <c r="P116" s="163" t="str">
        <f>IF(J116="","",N116/IF(J116=$B$3,Resumen!#REF!,VLOOKUP(J116,Graf_PowerBI!$A$4:$D$39,3,0)))</f>
        <v/>
      </c>
      <c r="Q116" s="163" t="str">
        <f>IF(J116="","",O116/IF(J116=$B$3,Resumen!#REF!,VLOOKUP(J116,Graf_PowerBI!$A$4:$D$39,4,0)))</f>
        <v/>
      </c>
      <c r="S116" s="215" t="str">
        <f t="shared" si="4"/>
        <v/>
      </c>
    </row>
    <row r="117" spans="7:19">
      <c r="G117" s="163" t="str">
        <f>IF(A117="","",E117/IF(A117=$B$3,Resumen!#REF!,VLOOKUP(A117,Graf_PowerBI!$A$4:$D$39,3,0)))</f>
        <v/>
      </c>
      <c r="H117" s="163" t="str">
        <f>IF(A117="","",F117/IF(A117=$B$3,Resumen!#REF!,VLOOKUP(A117,Graf_PowerBI!$A$4:$D$39,4,0)))</f>
        <v/>
      </c>
      <c r="P117" s="163" t="str">
        <f>IF(J117="","",N117/IF(J117=$B$3,Resumen!#REF!,VLOOKUP(J117,Graf_PowerBI!$A$4:$D$39,3,0)))</f>
        <v/>
      </c>
      <c r="Q117" s="163" t="str">
        <f>IF(J117="","",O117/IF(J117=$B$3,Resumen!#REF!,VLOOKUP(J117,Graf_PowerBI!$A$4:$D$39,4,0)))</f>
        <v/>
      </c>
      <c r="S117" s="215" t="str">
        <f t="shared" si="4"/>
        <v/>
      </c>
    </row>
    <row r="118" spans="7:19">
      <c r="G118" s="163" t="str">
        <f>IF(A118="","",E118/IF(A118=$B$3,Resumen!#REF!,VLOOKUP(A118,Graf_PowerBI!$A$4:$D$39,3,0)))</f>
        <v/>
      </c>
      <c r="H118" s="163" t="str">
        <f>IF(A118="","",F118/IF(A118=$B$3,Resumen!#REF!,VLOOKUP(A118,Graf_PowerBI!$A$4:$D$39,4,0)))</f>
        <v/>
      </c>
      <c r="P118" s="163" t="str">
        <f>IF(J118="","",N118/IF(J118=$B$3,Resumen!#REF!,VLOOKUP(J118,Graf_PowerBI!$A$4:$D$39,3,0)))</f>
        <v/>
      </c>
      <c r="Q118" s="163" t="str">
        <f>IF(J118="","",O118/IF(J118=$B$3,Resumen!#REF!,VLOOKUP(J118,Graf_PowerBI!$A$4:$D$39,4,0)))</f>
        <v/>
      </c>
      <c r="S118" s="215" t="str">
        <f t="shared" si="4"/>
        <v/>
      </c>
    </row>
    <row r="119" spans="7:19">
      <c r="G119" s="163" t="str">
        <f>IF(A119="","",E119/IF(A119=$B$3,Resumen!#REF!,VLOOKUP(A119,Graf_PowerBI!$A$4:$D$39,3,0)))</f>
        <v/>
      </c>
      <c r="H119" s="163" t="str">
        <f>IF(A119="","",F119/IF(A119=$B$3,Resumen!#REF!,VLOOKUP(A119,Graf_PowerBI!$A$4:$D$39,4,0)))</f>
        <v/>
      </c>
      <c r="P119" s="163" t="str">
        <f>IF(J119="","",N119/IF(J119=$B$3,Resumen!#REF!,VLOOKUP(J119,Graf_PowerBI!$A$4:$D$39,3,0)))</f>
        <v/>
      </c>
      <c r="Q119" s="163" t="str">
        <f>IF(J119="","",O119/IF(J119=$B$3,Resumen!#REF!,VLOOKUP(J119,Graf_PowerBI!$A$4:$D$39,4,0)))</f>
        <v/>
      </c>
      <c r="S119" s="215" t="str">
        <f t="shared" si="4"/>
        <v/>
      </c>
    </row>
    <row r="120" spans="7:19">
      <c r="G120" s="163" t="str">
        <f>IF(A120="","",E120/IF(A120=$B$3,Resumen!#REF!,VLOOKUP(A120,Graf_PowerBI!$A$4:$D$39,3,0)))</f>
        <v/>
      </c>
      <c r="H120" s="163" t="str">
        <f>IF(A120="","",F120/IF(A120=$B$3,Resumen!#REF!,VLOOKUP(A120,Graf_PowerBI!$A$4:$D$39,4,0)))</f>
        <v/>
      </c>
      <c r="P120" s="163" t="str">
        <f>IF(J120="","",N120/IF(J120=$B$3,Resumen!#REF!,VLOOKUP(J120,Graf_PowerBI!$A$4:$D$39,3,0)))</f>
        <v/>
      </c>
      <c r="Q120" s="163" t="str">
        <f>IF(J120="","",O120/IF(J120=$B$3,Resumen!#REF!,VLOOKUP(J120,Graf_PowerBI!$A$4:$D$39,4,0)))</f>
        <v/>
      </c>
      <c r="S120" s="215" t="str">
        <f t="shared" si="4"/>
        <v/>
      </c>
    </row>
    <row r="121" spans="7:19">
      <c r="G121" s="163" t="str">
        <f>IF(A121="","",E121/IF(A121=$B$3,Resumen!#REF!,VLOOKUP(A121,Graf_PowerBI!$A$4:$D$39,3,0)))</f>
        <v/>
      </c>
      <c r="H121" s="163" t="str">
        <f>IF(A121="","",F121/IF(A121=$B$3,Resumen!#REF!,VLOOKUP(A121,Graf_PowerBI!$A$4:$D$39,4,0)))</f>
        <v/>
      </c>
      <c r="P121" s="163" t="str">
        <f>IF(J121="","",N121/IF(J121=$B$3,Resumen!#REF!,VLOOKUP(J121,Graf_PowerBI!$A$4:$D$39,3,0)))</f>
        <v/>
      </c>
      <c r="Q121" s="163" t="str">
        <f>IF(J121="","",O121/IF(J121=$B$3,Resumen!#REF!,VLOOKUP(J121,Graf_PowerBI!$A$4:$D$39,4,0)))</f>
        <v/>
      </c>
      <c r="S121" s="215" t="str">
        <f t="shared" si="4"/>
        <v/>
      </c>
    </row>
    <row r="122" spans="7:19">
      <c r="G122" s="163" t="str">
        <f>IF(A122="","",E122/IF(A122=$B$3,Resumen!#REF!,VLOOKUP(A122,Graf_PowerBI!$A$4:$D$39,3,0)))</f>
        <v/>
      </c>
      <c r="H122" s="163" t="str">
        <f>IF(A122="","",F122/IF(A122=$B$3,Resumen!#REF!,VLOOKUP(A122,Graf_PowerBI!$A$4:$D$39,4,0)))</f>
        <v/>
      </c>
      <c r="P122" s="163" t="str">
        <f>IF(J122="","",N122/IF(J122=$B$3,Resumen!#REF!,VLOOKUP(J122,Graf_PowerBI!$A$4:$D$39,3,0)))</f>
        <v/>
      </c>
      <c r="Q122" s="163" t="str">
        <f>IF(J122="","",O122/IF(J122=$B$3,Resumen!#REF!,VLOOKUP(J122,Graf_PowerBI!$A$4:$D$39,4,0)))</f>
        <v/>
      </c>
      <c r="S122" s="215" t="str">
        <f t="shared" si="4"/>
        <v/>
      </c>
    </row>
    <row r="123" spans="7:19">
      <c r="G123" s="163" t="str">
        <f>IF(A123="","",E123/IF(A123=$B$3,Resumen!#REF!,VLOOKUP(A123,Graf_PowerBI!$A$4:$D$39,3,0)))</f>
        <v/>
      </c>
      <c r="H123" s="163" t="str">
        <f>IF(A123="","",F123/IF(A123=$B$3,Resumen!#REF!,VLOOKUP(A123,Graf_PowerBI!$A$4:$D$39,4,0)))</f>
        <v/>
      </c>
      <c r="P123" s="163" t="str">
        <f>IF(J123="","",N123/IF(J123=$B$3,Resumen!#REF!,VLOOKUP(J123,Graf_PowerBI!$A$4:$D$39,3,0)))</f>
        <v/>
      </c>
      <c r="Q123" s="163" t="str">
        <f>IF(J123="","",O123/IF(J123=$B$3,Resumen!#REF!,VLOOKUP(J123,Graf_PowerBI!$A$4:$D$39,4,0)))</f>
        <v/>
      </c>
      <c r="S123" s="215" t="str">
        <f t="shared" si="4"/>
        <v/>
      </c>
    </row>
    <row r="124" spans="7:19">
      <c r="G124" s="163" t="str">
        <f>IF(A124="","",E124/IF(A124=$B$3,Resumen!#REF!,VLOOKUP(A124,Graf_PowerBI!$A$4:$D$39,3,0)))</f>
        <v/>
      </c>
      <c r="H124" s="163" t="str">
        <f>IF(A124="","",F124/IF(A124=$B$3,Resumen!#REF!,VLOOKUP(A124,Graf_PowerBI!$A$4:$D$39,4,0)))</f>
        <v/>
      </c>
      <c r="P124" s="163" t="str">
        <f>IF(J124="","",N124/IF(J124=$B$3,Resumen!#REF!,VLOOKUP(J124,Graf_PowerBI!$A$4:$D$39,3,0)))</f>
        <v/>
      </c>
      <c r="Q124" s="163" t="str">
        <f>IF(J124="","",O124/IF(J124=$B$3,Resumen!#REF!,VLOOKUP(J124,Graf_PowerBI!$A$4:$D$39,4,0)))</f>
        <v/>
      </c>
      <c r="S124" s="215" t="str">
        <f t="shared" si="4"/>
        <v/>
      </c>
    </row>
    <row r="125" spans="7:19">
      <c r="G125" s="163" t="str">
        <f>IF(A125="","",E125/IF(A125=$B$3,Resumen!#REF!,VLOOKUP(A125,Graf_PowerBI!$A$4:$D$39,3,0)))</f>
        <v/>
      </c>
      <c r="H125" s="163" t="str">
        <f>IF(A125="","",F125/IF(A125=$B$3,Resumen!#REF!,VLOOKUP(A125,Graf_PowerBI!$A$4:$D$39,4,0)))</f>
        <v/>
      </c>
      <c r="P125" s="163" t="str">
        <f>IF(J125="","",N125/IF(J125=$B$3,Resumen!#REF!,VLOOKUP(J125,Graf_PowerBI!$A$4:$D$39,3,0)))</f>
        <v/>
      </c>
      <c r="Q125" s="163" t="str">
        <f>IF(J125="","",O125/IF(J125=$B$3,Resumen!#REF!,VLOOKUP(J125,Graf_PowerBI!$A$4:$D$39,4,0)))</f>
        <v/>
      </c>
      <c r="S125" s="215" t="str">
        <f t="shared" si="4"/>
        <v/>
      </c>
    </row>
    <row r="126" spans="7:19">
      <c r="G126" s="163" t="str">
        <f>IF(A126="","",E126/IF(A126=$B$3,Resumen!#REF!,VLOOKUP(A126,Graf_PowerBI!$A$4:$D$39,3,0)))</f>
        <v/>
      </c>
      <c r="H126" s="163" t="str">
        <f>IF(A126="","",F126/IF(A126=$B$3,Resumen!#REF!,VLOOKUP(A126,Graf_PowerBI!$A$4:$D$39,4,0)))</f>
        <v/>
      </c>
      <c r="P126" s="163" t="str">
        <f>IF(J126="","",N126/IF(J126=$B$3,Resumen!#REF!,VLOOKUP(J126,Graf_PowerBI!$A$4:$D$39,3,0)))</f>
        <v/>
      </c>
      <c r="Q126" s="163" t="str">
        <f>IF(J126="","",O126/IF(J126=$B$3,Resumen!#REF!,VLOOKUP(J126,Graf_PowerBI!$A$4:$D$39,4,0)))</f>
        <v/>
      </c>
      <c r="S126" s="215" t="str">
        <f t="shared" si="4"/>
        <v/>
      </c>
    </row>
    <row r="127" spans="7:19">
      <c r="G127" s="163" t="str">
        <f>IF(A127="","",E127/IF(A127=$B$3,Resumen!#REF!,VLOOKUP(A127,Graf_PowerBI!$A$4:$D$39,3,0)))</f>
        <v/>
      </c>
      <c r="H127" s="163" t="str">
        <f>IF(A127="","",F127/IF(A127=$B$3,Resumen!#REF!,VLOOKUP(A127,Graf_PowerBI!$A$4:$D$39,4,0)))</f>
        <v/>
      </c>
      <c r="P127" s="163" t="str">
        <f>IF(J127="","",N127/IF(J127=$B$3,Resumen!#REF!,VLOOKUP(J127,Graf_PowerBI!$A$4:$D$39,3,0)))</f>
        <v/>
      </c>
      <c r="Q127" s="163" t="str">
        <f>IF(J127="","",O127/IF(J127=$B$3,Resumen!#REF!,VLOOKUP(J127,Graf_PowerBI!$A$4:$D$39,4,0)))</f>
        <v/>
      </c>
      <c r="S127" s="215" t="str">
        <f t="shared" si="4"/>
        <v/>
      </c>
    </row>
    <row r="128" spans="7:19">
      <c r="G128" s="163" t="str">
        <f>IF(A128="","",E128/IF(A128=$B$3,Resumen!#REF!,VLOOKUP(A128,Graf_PowerBI!$A$4:$D$39,3,0)))</f>
        <v/>
      </c>
      <c r="H128" s="163" t="str">
        <f>IF(A128="","",F128/IF(A128=$B$3,Resumen!#REF!,VLOOKUP(A128,Graf_PowerBI!$A$4:$D$39,4,0)))</f>
        <v/>
      </c>
      <c r="P128" s="163" t="str">
        <f>IF(J128="","",N128/IF(J128=$B$3,Resumen!#REF!,VLOOKUP(J128,Graf_PowerBI!$A$4:$D$39,3,0)))</f>
        <v/>
      </c>
      <c r="Q128" s="163" t="str">
        <f>IF(J128="","",O128/IF(J128=$B$3,Resumen!#REF!,VLOOKUP(J128,Graf_PowerBI!$A$4:$D$39,4,0)))</f>
        <v/>
      </c>
      <c r="S128" s="215" t="str">
        <f t="shared" si="4"/>
        <v/>
      </c>
    </row>
    <row r="129" spans="7:19">
      <c r="G129" s="163" t="str">
        <f>IF(A129="","",E129/IF(A129=$B$3,Resumen!#REF!,VLOOKUP(A129,Graf_PowerBI!$A$4:$D$39,3,0)))</f>
        <v/>
      </c>
      <c r="H129" s="163" t="str">
        <f>IF(A129="","",F129/IF(A129=$B$3,Resumen!#REF!,VLOOKUP(A129,Graf_PowerBI!$A$4:$D$39,4,0)))</f>
        <v/>
      </c>
      <c r="P129" s="163" t="str">
        <f>IF(J129="","",N129/IF(J129=$B$3,Resumen!#REF!,VLOOKUP(J129,Graf_PowerBI!$A$4:$D$39,3,0)))</f>
        <v/>
      </c>
      <c r="Q129" s="163" t="str">
        <f>IF(J129="","",O129/IF(J129=$B$3,Resumen!#REF!,VLOOKUP(J129,Graf_PowerBI!$A$4:$D$39,4,0)))</f>
        <v/>
      </c>
      <c r="S129" s="215" t="str">
        <f t="shared" si="4"/>
        <v/>
      </c>
    </row>
    <row r="130" spans="7:19">
      <c r="G130" s="163" t="str">
        <f>IF(A130="","",E130/IF(A130=$B$3,Resumen!#REF!,VLOOKUP(A130,Graf_PowerBI!$A$4:$D$39,3,0)))</f>
        <v/>
      </c>
      <c r="H130" s="163" t="str">
        <f>IF(A130="","",F130/IF(A130=$B$3,Resumen!#REF!,VLOOKUP(A130,Graf_PowerBI!$A$4:$D$39,4,0)))</f>
        <v/>
      </c>
      <c r="P130" s="163" t="str">
        <f>IF(J130="","",N130/IF(J130=$B$3,Resumen!#REF!,VLOOKUP(J130,Graf_PowerBI!$A$4:$D$39,3,0)))</f>
        <v/>
      </c>
      <c r="Q130" s="163" t="str">
        <f>IF(J130="","",O130/IF(J130=$B$3,Resumen!#REF!,VLOOKUP(J130,Graf_PowerBI!$A$4:$D$39,4,0)))</f>
        <v/>
      </c>
      <c r="S130" s="215" t="str">
        <f t="shared" si="4"/>
        <v/>
      </c>
    </row>
    <row r="131" spans="7:19">
      <c r="G131" s="163" t="str">
        <f>IF(A131="","",E131/IF(A131=$B$3,Resumen!#REF!,VLOOKUP(A131,Graf_PowerBI!$A$4:$D$39,3,0)))</f>
        <v/>
      </c>
      <c r="H131" s="163" t="str">
        <f>IF(A131="","",F131/IF(A131=$B$3,Resumen!#REF!,VLOOKUP(A131,Graf_PowerBI!$A$4:$D$39,4,0)))</f>
        <v/>
      </c>
      <c r="P131" s="163" t="str">
        <f>IF(J131="","",N131/IF(J131=$B$3,Resumen!#REF!,VLOOKUP(J131,Graf_PowerBI!$A$4:$D$39,3,0)))</f>
        <v/>
      </c>
      <c r="Q131" s="163" t="str">
        <f>IF(J131="","",O131/IF(J131=$B$3,Resumen!#REF!,VLOOKUP(J131,Graf_PowerBI!$A$4:$D$39,4,0)))</f>
        <v/>
      </c>
      <c r="S131" s="215" t="str">
        <f t="shared" si="4"/>
        <v/>
      </c>
    </row>
    <row r="132" spans="7:19">
      <c r="G132" s="163" t="str">
        <f>IF(A132="","",E132/IF(A132=$B$3,Resumen!#REF!,VLOOKUP(A132,Graf_PowerBI!$A$4:$D$39,3,0)))</f>
        <v/>
      </c>
      <c r="H132" s="163" t="str">
        <f>IF(A132="","",F132/IF(A132=$B$3,Resumen!#REF!,VLOOKUP(A132,Graf_PowerBI!$A$4:$D$39,4,0)))</f>
        <v/>
      </c>
      <c r="P132" s="163" t="str">
        <f>IF(J132="","",N132/IF(J132=$B$3,Resumen!#REF!,VLOOKUP(J132,Graf_PowerBI!$A$4:$D$39,3,0)))</f>
        <v/>
      </c>
      <c r="Q132" s="163" t="str">
        <f>IF(J132="","",O132/IF(J132=$B$3,Resumen!#REF!,VLOOKUP(J132,Graf_PowerBI!$A$4:$D$39,4,0)))</f>
        <v/>
      </c>
      <c r="S132" s="215" t="str">
        <f t="shared" si="4"/>
        <v/>
      </c>
    </row>
    <row r="133" spans="7:19">
      <c r="G133" s="163" t="str">
        <f>IF(A133="","",E133/IF(A133=$B$3,Resumen!#REF!,VLOOKUP(A133,Graf_PowerBI!$A$4:$D$39,3,0)))</f>
        <v/>
      </c>
      <c r="H133" s="163" t="str">
        <f>IF(A133="","",F133/IF(A133=$B$3,Resumen!#REF!,VLOOKUP(A133,Graf_PowerBI!$A$4:$D$39,4,0)))</f>
        <v/>
      </c>
      <c r="P133" s="163" t="str">
        <f>IF(J133="","",N133/IF(J133=$B$3,Resumen!#REF!,VLOOKUP(J133,Graf_PowerBI!$A$4:$D$39,3,0)))</f>
        <v/>
      </c>
      <c r="Q133" s="163" t="str">
        <f>IF(J133="","",O133/IF(J133=$B$3,Resumen!#REF!,VLOOKUP(J133,Graf_PowerBI!$A$4:$D$39,4,0)))</f>
        <v/>
      </c>
      <c r="S133" s="215" t="str">
        <f t="shared" ref="S133:S196" si="5">IF(A133="","",P133+G133)</f>
        <v/>
      </c>
    </row>
    <row r="134" spans="7:19">
      <c r="G134" s="163" t="str">
        <f>IF(A134="","",E134/IF(A134=$B$3,Resumen!#REF!,VLOOKUP(A134,Graf_PowerBI!$A$4:$D$39,3,0)))</f>
        <v/>
      </c>
      <c r="H134" s="163" t="str">
        <f>IF(A134="","",F134/IF(A134=$B$3,Resumen!#REF!,VLOOKUP(A134,Graf_PowerBI!$A$4:$D$39,4,0)))</f>
        <v/>
      </c>
      <c r="P134" s="163" t="str">
        <f>IF(J134="","",N134/IF(J134=$B$3,Resumen!#REF!,VLOOKUP(J134,Graf_PowerBI!$A$4:$D$39,3,0)))</f>
        <v/>
      </c>
      <c r="Q134" s="163" t="str">
        <f>IF(J134="","",O134/IF(J134=$B$3,Resumen!#REF!,VLOOKUP(J134,Graf_PowerBI!$A$4:$D$39,4,0)))</f>
        <v/>
      </c>
      <c r="S134" s="215" t="str">
        <f t="shared" si="5"/>
        <v/>
      </c>
    </row>
    <row r="135" spans="7:19">
      <c r="G135" s="163" t="str">
        <f>IF(A135="","",E135/IF(A135=$B$3,Resumen!#REF!,VLOOKUP(A135,Graf_PowerBI!$A$4:$D$39,3,0)))</f>
        <v/>
      </c>
      <c r="H135" s="163" t="str">
        <f>IF(A135="","",F135/IF(A135=$B$3,Resumen!#REF!,VLOOKUP(A135,Graf_PowerBI!$A$4:$D$39,4,0)))</f>
        <v/>
      </c>
      <c r="P135" s="163" t="str">
        <f>IF(J135="","",N135/IF(J135=$B$3,Resumen!#REF!,VLOOKUP(J135,Graf_PowerBI!$A$4:$D$39,3,0)))</f>
        <v/>
      </c>
      <c r="Q135" s="163" t="str">
        <f>IF(J135="","",O135/IF(J135=$B$3,Resumen!#REF!,VLOOKUP(J135,Graf_PowerBI!$A$4:$D$39,4,0)))</f>
        <v/>
      </c>
      <c r="S135" s="215" t="str">
        <f t="shared" si="5"/>
        <v/>
      </c>
    </row>
    <row r="136" spans="7:19">
      <c r="G136" s="163" t="str">
        <f>IF(A136="","",E136/IF(A136=$B$3,Resumen!#REF!,VLOOKUP(A136,Graf_PowerBI!$A$4:$D$39,3,0)))</f>
        <v/>
      </c>
      <c r="H136" s="163" t="str">
        <f>IF(A136="","",F136/IF(A136=$B$3,Resumen!#REF!,VLOOKUP(A136,Graf_PowerBI!$A$4:$D$39,4,0)))</f>
        <v/>
      </c>
      <c r="P136" s="163" t="str">
        <f>IF(J136="","",N136/IF(J136=$B$3,Resumen!#REF!,VLOOKUP(J136,Graf_PowerBI!$A$4:$D$39,3,0)))</f>
        <v/>
      </c>
      <c r="Q136" s="163" t="str">
        <f>IF(J136="","",O136/IF(J136=$B$3,Resumen!#REF!,VLOOKUP(J136,Graf_PowerBI!$A$4:$D$39,4,0)))</f>
        <v/>
      </c>
      <c r="S136" s="215" t="str">
        <f t="shared" si="5"/>
        <v/>
      </c>
    </row>
    <row r="137" spans="7:19">
      <c r="G137" s="163" t="str">
        <f>IF(A137="","",E137/IF(A137=$B$3,Resumen!#REF!,VLOOKUP(A137,Graf_PowerBI!$A$4:$D$39,3,0)))</f>
        <v/>
      </c>
      <c r="H137" s="163" t="str">
        <f>IF(A137="","",F137/IF(A137=$B$3,Resumen!#REF!,VLOOKUP(A137,Graf_PowerBI!$A$4:$D$39,4,0)))</f>
        <v/>
      </c>
      <c r="P137" s="163" t="str">
        <f>IF(J137="","",N137/IF(J137=$B$3,Resumen!#REF!,VLOOKUP(J137,Graf_PowerBI!$A$4:$D$39,3,0)))</f>
        <v/>
      </c>
      <c r="Q137" s="163" t="str">
        <f>IF(J137="","",O137/IF(J137=$B$3,Resumen!#REF!,VLOOKUP(J137,Graf_PowerBI!$A$4:$D$39,4,0)))</f>
        <v/>
      </c>
      <c r="S137" s="215" t="str">
        <f t="shared" si="5"/>
        <v/>
      </c>
    </row>
    <row r="138" spans="7:19">
      <c r="G138" s="163" t="str">
        <f>IF(A138="","",E138/IF(A138=$B$3,Resumen!#REF!,VLOOKUP(A138,Graf_PowerBI!$A$4:$D$39,3,0)))</f>
        <v/>
      </c>
      <c r="H138" s="163" t="str">
        <f>IF(A138="","",F138/IF(A138=$B$3,Resumen!#REF!,VLOOKUP(A138,Graf_PowerBI!$A$4:$D$39,4,0)))</f>
        <v/>
      </c>
      <c r="P138" s="163" t="str">
        <f>IF(J138="","",N138/IF(J138=$B$3,Resumen!#REF!,VLOOKUP(J138,Graf_PowerBI!$A$4:$D$39,3,0)))</f>
        <v/>
      </c>
      <c r="Q138" s="163" t="str">
        <f>IF(J138="","",O138/IF(J138=$B$3,Resumen!#REF!,VLOOKUP(J138,Graf_PowerBI!$A$4:$D$39,4,0)))</f>
        <v/>
      </c>
      <c r="S138" s="215" t="str">
        <f t="shared" si="5"/>
        <v/>
      </c>
    </row>
    <row r="139" spans="7:19">
      <c r="G139" s="163" t="str">
        <f>IF(A139="","",E139/IF(A139=$B$3,Resumen!#REF!,VLOOKUP(A139,Graf_PowerBI!$A$4:$D$39,3,0)))</f>
        <v/>
      </c>
      <c r="H139" s="163" t="str">
        <f>IF(A139="","",F139/IF(A139=$B$3,Resumen!#REF!,VLOOKUP(A139,Graf_PowerBI!$A$4:$D$39,4,0)))</f>
        <v/>
      </c>
      <c r="P139" s="163" t="str">
        <f>IF(J139="","",N139/IF(J139=$B$3,Resumen!#REF!,VLOOKUP(J139,Graf_PowerBI!$A$4:$D$39,3,0)))</f>
        <v/>
      </c>
      <c r="Q139" s="163" t="str">
        <f>IF(J139="","",O139/IF(J139=$B$3,Resumen!#REF!,VLOOKUP(J139,Graf_PowerBI!$A$4:$D$39,4,0)))</f>
        <v/>
      </c>
      <c r="S139" s="215" t="str">
        <f t="shared" si="5"/>
        <v/>
      </c>
    </row>
    <row r="140" spans="7:19">
      <c r="G140" s="163" t="str">
        <f>IF(A140="","",E140/IF(A140=$B$3,Resumen!#REF!,VLOOKUP(A140,Graf_PowerBI!$A$4:$D$39,3,0)))</f>
        <v/>
      </c>
      <c r="H140" s="163" t="str">
        <f>IF(A140="","",F140/IF(A140=$B$3,Resumen!#REF!,VLOOKUP(A140,Graf_PowerBI!$A$4:$D$39,4,0)))</f>
        <v/>
      </c>
      <c r="P140" s="163" t="str">
        <f>IF(J140="","",N140/IF(J140=$B$3,Resumen!#REF!,VLOOKUP(J140,Graf_PowerBI!$A$4:$D$39,3,0)))</f>
        <v/>
      </c>
      <c r="Q140" s="163" t="str">
        <f>IF(J140="","",O140/IF(J140=$B$3,Resumen!#REF!,VLOOKUP(J140,Graf_PowerBI!$A$4:$D$39,4,0)))</f>
        <v/>
      </c>
      <c r="S140" s="215" t="str">
        <f t="shared" si="5"/>
        <v/>
      </c>
    </row>
    <row r="141" spans="7:19">
      <c r="G141" s="163" t="str">
        <f>IF(A141="","",E141/IF(A141=$B$3,Resumen!#REF!,VLOOKUP(A141,Graf_PowerBI!$A$4:$D$39,3,0)))</f>
        <v/>
      </c>
      <c r="H141" s="163" t="str">
        <f>IF(A141="","",F141/IF(A141=$B$3,Resumen!#REF!,VLOOKUP(A141,Graf_PowerBI!$A$4:$D$39,4,0)))</f>
        <v/>
      </c>
      <c r="P141" s="163" t="str">
        <f>IF(J141="","",N141/IF(J141=$B$3,Resumen!#REF!,VLOOKUP(J141,Graf_PowerBI!$A$4:$D$39,3,0)))</f>
        <v/>
      </c>
      <c r="Q141" s="163" t="str">
        <f>IF(J141="","",O141/IF(J141=$B$3,Resumen!#REF!,VLOOKUP(J141,Graf_PowerBI!$A$4:$D$39,4,0)))</f>
        <v/>
      </c>
      <c r="S141" s="215" t="str">
        <f t="shared" si="5"/>
        <v/>
      </c>
    </row>
    <row r="142" spans="7:19">
      <c r="G142" s="163" t="str">
        <f>IF(A142="","",E142/IF(A142=$B$3,Resumen!#REF!,VLOOKUP(A142,Graf_PowerBI!$A$4:$D$39,3,0)))</f>
        <v/>
      </c>
      <c r="H142" s="163" t="str">
        <f>IF(A142="","",F142/IF(A142=$B$3,Resumen!#REF!,VLOOKUP(A142,Graf_PowerBI!$A$4:$D$39,4,0)))</f>
        <v/>
      </c>
      <c r="P142" s="163" t="str">
        <f>IF(J142="","",N142/IF(J142=$B$3,Resumen!#REF!,VLOOKUP(J142,Graf_PowerBI!$A$4:$D$39,3,0)))</f>
        <v/>
      </c>
      <c r="Q142" s="163" t="str">
        <f>IF(J142="","",O142/IF(J142=$B$3,Resumen!#REF!,VLOOKUP(J142,Graf_PowerBI!$A$4:$D$39,4,0)))</f>
        <v/>
      </c>
      <c r="S142" s="215" t="str">
        <f t="shared" si="5"/>
        <v/>
      </c>
    </row>
    <row r="143" spans="7:19">
      <c r="G143" s="163" t="str">
        <f>IF(A143="","",E143/IF(A143=$B$3,Resumen!#REF!,VLOOKUP(A143,Graf_PowerBI!$A$4:$D$39,3,0)))</f>
        <v/>
      </c>
      <c r="H143" s="163" t="str">
        <f>IF(A143="","",F143/IF(A143=$B$3,Resumen!#REF!,VLOOKUP(A143,Graf_PowerBI!$A$4:$D$39,4,0)))</f>
        <v/>
      </c>
      <c r="P143" s="163" t="str">
        <f>IF(J143="","",N143/IF(J143=$B$3,Resumen!#REF!,VLOOKUP(J143,Graf_PowerBI!$A$4:$D$39,3,0)))</f>
        <v/>
      </c>
      <c r="Q143" s="163" t="str">
        <f>IF(J143="","",O143/IF(J143=$B$3,Resumen!#REF!,VLOOKUP(J143,Graf_PowerBI!$A$4:$D$39,4,0)))</f>
        <v/>
      </c>
      <c r="S143" s="215" t="str">
        <f t="shared" si="5"/>
        <v/>
      </c>
    </row>
    <row r="144" spans="7:19">
      <c r="G144" s="163" t="str">
        <f>IF(A144="","",E144/IF(A144=$B$3,Resumen!#REF!,VLOOKUP(A144,Graf_PowerBI!$A$4:$D$39,3,0)))</f>
        <v/>
      </c>
      <c r="H144" s="163" t="str">
        <f>IF(A144="","",F144/IF(A144=$B$3,Resumen!#REF!,VLOOKUP(A144,Graf_PowerBI!$A$4:$D$39,4,0)))</f>
        <v/>
      </c>
      <c r="P144" s="163" t="str">
        <f>IF(J144="","",N144/IF(J144=$B$3,Resumen!#REF!,VLOOKUP(J144,Graf_PowerBI!$A$4:$D$39,3,0)))</f>
        <v/>
      </c>
      <c r="Q144" s="163" t="str">
        <f>IF(J144="","",O144/IF(J144=$B$3,Resumen!#REF!,VLOOKUP(J144,Graf_PowerBI!$A$4:$D$39,4,0)))</f>
        <v/>
      </c>
      <c r="S144" s="215" t="str">
        <f t="shared" si="5"/>
        <v/>
      </c>
    </row>
    <row r="145" spans="7:19">
      <c r="G145" s="163" t="str">
        <f>IF(A145="","",E145/IF(A145=$B$3,Resumen!#REF!,VLOOKUP(A145,Graf_PowerBI!$A$4:$D$39,3,0)))</f>
        <v/>
      </c>
      <c r="H145" s="163" t="str">
        <f>IF(A145="","",F145/IF(A145=$B$3,Resumen!#REF!,VLOOKUP(A145,Graf_PowerBI!$A$4:$D$39,4,0)))</f>
        <v/>
      </c>
      <c r="P145" s="163" t="str">
        <f>IF(J145="","",N145/IF(J145=$B$3,Resumen!#REF!,VLOOKUP(J145,Graf_PowerBI!$A$4:$D$39,3,0)))</f>
        <v/>
      </c>
      <c r="Q145" s="163" t="str">
        <f>IF(J145="","",O145/IF(J145=$B$3,Resumen!#REF!,VLOOKUP(J145,Graf_PowerBI!$A$4:$D$39,4,0)))</f>
        <v/>
      </c>
      <c r="S145" s="215" t="str">
        <f t="shared" si="5"/>
        <v/>
      </c>
    </row>
    <row r="146" spans="7:19">
      <c r="G146" s="163" t="str">
        <f>IF(A146="","",E146/IF(A146=$B$3,Resumen!#REF!,VLOOKUP(A146,Graf_PowerBI!$A$4:$D$39,3,0)))</f>
        <v/>
      </c>
      <c r="H146" s="163" t="str">
        <f>IF(A146="","",F146/IF(A146=$B$3,Resumen!#REF!,VLOOKUP(A146,Graf_PowerBI!$A$4:$D$39,4,0)))</f>
        <v/>
      </c>
      <c r="P146" s="163" t="str">
        <f>IF(J146="","",N146/IF(J146=$B$3,Resumen!#REF!,VLOOKUP(J146,Graf_PowerBI!$A$4:$D$39,3,0)))</f>
        <v/>
      </c>
      <c r="Q146" s="163" t="str">
        <f>IF(J146="","",O146/IF(J146=$B$3,Resumen!#REF!,VLOOKUP(J146,Graf_PowerBI!$A$4:$D$39,4,0)))</f>
        <v/>
      </c>
      <c r="S146" s="215" t="str">
        <f t="shared" si="5"/>
        <v/>
      </c>
    </row>
    <row r="147" spans="7:19">
      <c r="G147" s="163" t="str">
        <f>IF(A147="","",E147/IF(A147=$B$3,Resumen!#REF!,VLOOKUP(A147,Graf_PowerBI!$A$4:$D$39,3,0)))</f>
        <v/>
      </c>
      <c r="H147" s="163" t="str">
        <f>IF(A147="","",F147/IF(A147=$B$3,Resumen!#REF!,VLOOKUP(A147,Graf_PowerBI!$A$4:$D$39,4,0)))</f>
        <v/>
      </c>
      <c r="P147" s="163" t="str">
        <f>IF(J147="","",N147/IF(J147=$B$3,Resumen!#REF!,VLOOKUP(J147,Graf_PowerBI!$A$4:$D$39,3,0)))</f>
        <v/>
      </c>
      <c r="Q147" s="163" t="str">
        <f>IF(J147="","",O147/IF(J147=$B$3,Resumen!#REF!,VLOOKUP(J147,Graf_PowerBI!$A$4:$D$39,4,0)))</f>
        <v/>
      </c>
      <c r="S147" s="215" t="str">
        <f t="shared" si="5"/>
        <v/>
      </c>
    </row>
    <row r="148" spans="7:19">
      <c r="G148" s="163" t="str">
        <f>IF(A148="","",E148/IF(A148=$B$3,Resumen!#REF!,VLOOKUP(A148,Graf_PowerBI!$A$4:$D$39,3,0)))</f>
        <v/>
      </c>
      <c r="H148" s="163" t="str">
        <f>IF(A148="","",F148/IF(A148=$B$3,Resumen!#REF!,VLOOKUP(A148,Graf_PowerBI!$A$4:$D$39,4,0)))</f>
        <v/>
      </c>
      <c r="P148" s="163" t="str">
        <f>IF(J148="","",N148/IF(J148=$B$3,Resumen!#REF!,VLOOKUP(J148,Graf_PowerBI!$A$4:$D$39,3,0)))</f>
        <v/>
      </c>
      <c r="Q148" s="163" t="str">
        <f>IF(J148="","",O148/IF(J148=$B$3,Resumen!#REF!,VLOOKUP(J148,Graf_PowerBI!$A$4:$D$39,4,0)))</f>
        <v/>
      </c>
      <c r="S148" s="215" t="str">
        <f t="shared" si="5"/>
        <v/>
      </c>
    </row>
    <row r="149" spans="7:19">
      <c r="G149" s="163" t="str">
        <f>IF(A149="","",E149/IF(A149=$B$3,Resumen!#REF!,VLOOKUP(A149,Graf_PowerBI!$A$4:$D$39,3,0)))</f>
        <v/>
      </c>
      <c r="H149" s="163" t="str">
        <f>IF(A149="","",F149/IF(A149=$B$3,Resumen!#REF!,VLOOKUP(A149,Graf_PowerBI!$A$4:$D$39,4,0)))</f>
        <v/>
      </c>
      <c r="P149" s="163" t="str">
        <f>IF(J149="","",N149/IF(J149=$B$3,Resumen!#REF!,VLOOKUP(J149,Graf_PowerBI!$A$4:$D$39,3,0)))</f>
        <v/>
      </c>
      <c r="Q149" s="163" t="str">
        <f>IF(J149="","",O149/IF(J149=$B$3,Resumen!#REF!,VLOOKUP(J149,Graf_PowerBI!$A$4:$D$39,4,0)))</f>
        <v/>
      </c>
      <c r="S149" s="215" t="str">
        <f t="shared" si="5"/>
        <v/>
      </c>
    </row>
    <row r="150" spans="7:19">
      <c r="G150" s="163" t="str">
        <f>IF(A150="","",E150/IF(A150=$B$3,Resumen!#REF!,VLOOKUP(A150,Graf_PowerBI!$A$4:$D$39,3,0)))</f>
        <v/>
      </c>
      <c r="H150" s="163" t="str">
        <f>IF(A150="","",F150/IF(A150=$B$3,Resumen!#REF!,VLOOKUP(A150,Graf_PowerBI!$A$4:$D$39,4,0)))</f>
        <v/>
      </c>
      <c r="P150" s="163" t="str">
        <f>IF(J150="","",N150/IF(J150=$B$3,Resumen!#REF!,VLOOKUP(J150,Graf_PowerBI!$A$4:$D$39,3,0)))</f>
        <v/>
      </c>
      <c r="Q150" s="163" t="str">
        <f>IF(J150="","",O150/IF(J150=$B$3,Resumen!#REF!,VLOOKUP(J150,Graf_PowerBI!$A$4:$D$39,4,0)))</f>
        <v/>
      </c>
      <c r="S150" s="215" t="str">
        <f t="shared" si="5"/>
        <v/>
      </c>
    </row>
    <row r="151" spans="7:19">
      <c r="G151" s="163" t="str">
        <f>IF(A151="","",E151/IF(A151=$B$3,Resumen!#REF!,VLOOKUP(A151,Graf_PowerBI!$A$4:$D$39,3,0)))</f>
        <v/>
      </c>
      <c r="H151" s="163" t="str">
        <f>IF(A151="","",F151/IF(A151=$B$3,Resumen!#REF!,VLOOKUP(A151,Graf_PowerBI!$A$4:$D$39,4,0)))</f>
        <v/>
      </c>
      <c r="P151" s="163" t="str">
        <f>IF(J151="","",N151/IF(J151=$B$3,Resumen!#REF!,VLOOKUP(J151,Graf_PowerBI!$A$4:$D$39,3,0)))</f>
        <v/>
      </c>
      <c r="Q151" s="163" t="str">
        <f>IF(J151="","",O151/IF(J151=$B$3,Resumen!#REF!,VLOOKUP(J151,Graf_PowerBI!$A$4:$D$39,4,0)))</f>
        <v/>
      </c>
      <c r="S151" s="215" t="str">
        <f t="shared" si="5"/>
        <v/>
      </c>
    </row>
    <row r="152" spans="7:19">
      <c r="G152" s="163" t="str">
        <f>IF(A152="","",E152/IF(A152=$B$3,Resumen!#REF!,VLOOKUP(A152,Graf_PowerBI!$A$4:$D$39,3,0)))</f>
        <v/>
      </c>
      <c r="H152" s="163" t="str">
        <f>IF(A152="","",F152/IF(A152=$B$3,Resumen!#REF!,VLOOKUP(A152,Graf_PowerBI!$A$4:$D$39,4,0)))</f>
        <v/>
      </c>
      <c r="P152" s="163" t="str">
        <f>IF(J152="","",N152/IF(J152=$B$3,Resumen!#REF!,VLOOKUP(J152,Graf_PowerBI!$A$4:$D$39,3,0)))</f>
        <v/>
      </c>
      <c r="Q152" s="163" t="str">
        <f>IF(J152="","",O152/IF(J152=$B$3,Resumen!#REF!,VLOOKUP(J152,Graf_PowerBI!$A$4:$D$39,4,0)))</f>
        <v/>
      </c>
      <c r="S152" s="215" t="str">
        <f t="shared" si="5"/>
        <v/>
      </c>
    </row>
    <row r="153" spans="7:19">
      <c r="G153" s="163" t="str">
        <f>IF(A153="","",E153/IF(A153=$B$3,Resumen!#REF!,VLOOKUP(A153,Graf_PowerBI!$A$4:$D$39,3,0)))</f>
        <v/>
      </c>
      <c r="H153" s="163" t="str">
        <f>IF(A153="","",F153/IF(A153=$B$3,Resumen!#REF!,VLOOKUP(A153,Graf_PowerBI!$A$4:$D$39,4,0)))</f>
        <v/>
      </c>
      <c r="P153" s="163" t="str">
        <f>IF(J153="","",N153/IF(J153=$B$3,Resumen!#REF!,VLOOKUP(J153,Graf_PowerBI!$A$4:$D$39,3,0)))</f>
        <v/>
      </c>
      <c r="Q153" s="163" t="str">
        <f>IF(J153="","",O153/IF(J153=$B$3,Resumen!#REF!,VLOOKUP(J153,Graf_PowerBI!$A$4:$D$39,4,0)))</f>
        <v/>
      </c>
      <c r="S153" s="215" t="str">
        <f t="shared" si="5"/>
        <v/>
      </c>
    </row>
    <row r="154" spans="7:19">
      <c r="G154" s="163" t="str">
        <f>IF(A154="","",E154/IF(A154=$B$3,Resumen!#REF!,VLOOKUP(A154,Graf_PowerBI!$A$4:$D$39,3,0)))</f>
        <v/>
      </c>
      <c r="H154" s="163" t="str">
        <f>IF(A154="","",F154/IF(A154=$B$3,Resumen!#REF!,VLOOKUP(A154,Graf_PowerBI!$A$4:$D$39,4,0)))</f>
        <v/>
      </c>
      <c r="P154" s="163" t="str">
        <f>IF(J154="","",N154/IF(J154=$B$3,Resumen!#REF!,VLOOKUP(J154,Graf_PowerBI!$A$4:$D$39,3,0)))</f>
        <v/>
      </c>
      <c r="Q154" s="163" t="str">
        <f>IF(J154="","",O154/IF(J154=$B$3,Resumen!#REF!,VLOOKUP(J154,Graf_PowerBI!$A$4:$D$39,4,0)))</f>
        <v/>
      </c>
      <c r="S154" s="215" t="str">
        <f t="shared" si="5"/>
        <v/>
      </c>
    </row>
    <row r="155" spans="7:19">
      <c r="G155" s="163" t="str">
        <f>IF(A155="","",E155/IF(A155=$B$3,Resumen!#REF!,VLOOKUP(A155,Graf_PowerBI!$A$4:$D$39,3,0)))</f>
        <v/>
      </c>
      <c r="H155" s="163" t="str">
        <f>IF(A155="","",F155/IF(A155=$B$3,Resumen!#REF!,VLOOKUP(A155,Graf_PowerBI!$A$4:$D$39,4,0)))</f>
        <v/>
      </c>
      <c r="P155" s="163" t="str">
        <f>IF(J155="","",N155/IF(J155=$B$3,Resumen!#REF!,VLOOKUP(J155,Graf_PowerBI!$A$4:$D$39,3,0)))</f>
        <v/>
      </c>
      <c r="Q155" s="163" t="str">
        <f>IF(J155="","",O155/IF(J155=$B$3,Resumen!#REF!,VLOOKUP(J155,Graf_PowerBI!$A$4:$D$39,4,0)))</f>
        <v/>
      </c>
      <c r="S155" s="215" t="str">
        <f t="shared" si="5"/>
        <v/>
      </c>
    </row>
    <row r="156" spans="7:19">
      <c r="G156" s="163" t="str">
        <f>IF(A156="","",E156/IF(A156=$B$3,Resumen!#REF!,VLOOKUP(A156,Graf_PowerBI!$A$4:$D$39,3,0)))</f>
        <v/>
      </c>
      <c r="H156" s="163" t="str">
        <f>IF(A156="","",F156/IF(A156=$B$3,Resumen!#REF!,VLOOKUP(A156,Graf_PowerBI!$A$4:$D$39,4,0)))</f>
        <v/>
      </c>
      <c r="P156" s="163" t="str">
        <f>IF(J156="","",N156/IF(J156=$B$3,Resumen!#REF!,VLOOKUP(J156,Graf_PowerBI!$A$4:$D$39,3,0)))</f>
        <v/>
      </c>
      <c r="Q156" s="163" t="str">
        <f>IF(J156="","",O156/IF(J156=$B$3,Resumen!#REF!,VLOOKUP(J156,Graf_PowerBI!$A$4:$D$39,4,0)))</f>
        <v/>
      </c>
      <c r="S156" s="215" t="str">
        <f t="shared" si="5"/>
        <v/>
      </c>
    </row>
    <row r="157" spans="7:19">
      <c r="G157" s="163" t="str">
        <f>IF(A157="","",E157/IF(A157=$B$3,Resumen!#REF!,VLOOKUP(A157,Graf_PowerBI!$A$4:$D$39,3,0)))</f>
        <v/>
      </c>
      <c r="H157" s="163" t="str">
        <f>IF(A157="","",F157/IF(A157=$B$3,Resumen!#REF!,VLOOKUP(A157,Graf_PowerBI!$A$4:$D$39,4,0)))</f>
        <v/>
      </c>
      <c r="P157" s="163" t="str">
        <f>IF(J157="","",N157/IF(J157=$B$3,Resumen!#REF!,VLOOKUP(J157,Graf_PowerBI!$A$4:$D$39,3,0)))</f>
        <v/>
      </c>
      <c r="Q157" s="163" t="str">
        <f>IF(J157="","",O157/IF(J157=$B$3,Resumen!#REF!,VLOOKUP(J157,Graf_PowerBI!$A$4:$D$39,4,0)))</f>
        <v/>
      </c>
      <c r="S157" s="215" t="str">
        <f t="shared" si="5"/>
        <v/>
      </c>
    </row>
    <row r="158" spans="7:19">
      <c r="G158" s="163" t="str">
        <f>IF(A158="","",E158/IF(A158=$B$3,Resumen!#REF!,VLOOKUP(A158,Graf_PowerBI!$A$4:$D$39,3,0)))</f>
        <v/>
      </c>
      <c r="H158" s="163" t="str">
        <f>IF(A158="","",F158/IF(A158=$B$3,Resumen!#REF!,VLOOKUP(A158,Graf_PowerBI!$A$4:$D$39,4,0)))</f>
        <v/>
      </c>
      <c r="P158" s="163" t="str">
        <f>IF(J158="","",N158/IF(J158=$B$3,Resumen!#REF!,VLOOKUP(J158,Graf_PowerBI!$A$4:$D$39,3,0)))</f>
        <v/>
      </c>
      <c r="Q158" s="163" t="str">
        <f>IF(J158="","",O158/IF(J158=$B$3,Resumen!#REF!,VLOOKUP(J158,Graf_PowerBI!$A$4:$D$39,4,0)))</f>
        <v/>
      </c>
      <c r="S158" s="215" t="str">
        <f t="shared" si="5"/>
        <v/>
      </c>
    </row>
    <row r="159" spans="7:19">
      <c r="G159" s="163" t="str">
        <f>IF(A159="","",E159/IF(A159=$B$3,Resumen!#REF!,VLOOKUP(A159,Graf_PowerBI!$A$4:$D$39,3,0)))</f>
        <v/>
      </c>
      <c r="H159" s="163" t="str">
        <f>IF(A159="","",F159/IF(A159=$B$3,Resumen!#REF!,VLOOKUP(A159,Graf_PowerBI!$A$4:$D$39,4,0)))</f>
        <v/>
      </c>
      <c r="P159" s="163" t="str">
        <f>IF(J159="","",N159/IF(J159=$B$3,Resumen!#REF!,VLOOKUP(J159,Graf_PowerBI!$A$4:$D$39,3,0)))</f>
        <v/>
      </c>
      <c r="Q159" s="163" t="str">
        <f>IF(J159="","",O159/IF(J159=$B$3,Resumen!#REF!,VLOOKUP(J159,Graf_PowerBI!$A$4:$D$39,4,0)))</f>
        <v/>
      </c>
      <c r="S159" s="215" t="str">
        <f t="shared" si="5"/>
        <v/>
      </c>
    </row>
    <row r="160" spans="7:19">
      <c r="G160" s="163" t="str">
        <f>IF(A160="","",E160/IF(A160=$B$3,Resumen!#REF!,VLOOKUP(A160,Graf_PowerBI!$A$4:$D$39,3,0)))</f>
        <v/>
      </c>
      <c r="H160" s="163" t="str">
        <f>IF(A160="","",F160/IF(A160=$B$3,Resumen!#REF!,VLOOKUP(A160,Graf_PowerBI!$A$4:$D$39,4,0)))</f>
        <v/>
      </c>
      <c r="P160" s="163" t="str">
        <f>IF(J160="","",N160/IF(J160=$B$3,Resumen!#REF!,VLOOKUP(J160,Graf_PowerBI!$A$4:$D$39,3,0)))</f>
        <v/>
      </c>
      <c r="Q160" s="163" t="str">
        <f>IF(J160="","",O160/IF(J160=$B$3,Resumen!#REF!,VLOOKUP(J160,Graf_PowerBI!$A$4:$D$39,4,0)))</f>
        <v/>
      </c>
      <c r="S160" s="215" t="str">
        <f t="shared" si="5"/>
        <v/>
      </c>
    </row>
    <row r="161" spans="7:19">
      <c r="G161" s="163" t="str">
        <f>IF(A161="","",E161/IF(A161=$B$3,Resumen!#REF!,VLOOKUP(A161,Graf_PowerBI!$A$4:$D$39,3,0)))</f>
        <v/>
      </c>
      <c r="H161" s="163" t="str">
        <f>IF(A161="","",F161/IF(A161=$B$3,Resumen!#REF!,VLOOKUP(A161,Graf_PowerBI!$A$4:$D$39,4,0)))</f>
        <v/>
      </c>
      <c r="P161" s="163" t="str">
        <f>IF(J161="","",N161/IF(J161=$B$3,Resumen!#REF!,VLOOKUP(J161,Graf_PowerBI!$A$4:$D$39,3,0)))</f>
        <v/>
      </c>
      <c r="Q161" s="163" t="str">
        <f>IF(J161="","",O161/IF(J161=$B$3,Resumen!#REF!,VLOOKUP(J161,Graf_PowerBI!$A$4:$D$39,4,0)))</f>
        <v/>
      </c>
      <c r="S161" s="215" t="str">
        <f t="shared" si="5"/>
        <v/>
      </c>
    </row>
    <row r="162" spans="7:19">
      <c r="G162" s="163" t="str">
        <f>IF(A162="","",E162/IF(A162=$B$3,Resumen!#REF!,VLOOKUP(A162,Graf_PowerBI!$A$4:$D$39,3,0)))</f>
        <v/>
      </c>
      <c r="H162" s="163" t="str">
        <f>IF(A162="","",F162/IF(A162=$B$3,Resumen!#REF!,VLOOKUP(A162,Graf_PowerBI!$A$4:$D$39,4,0)))</f>
        <v/>
      </c>
      <c r="P162" s="163" t="str">
        <f>IF(J162="","",N162/IF(J162=$B$3,Resumen!#REF!,VLOOKUP(J162,Graf_PowerBI!$A$4:$D$39,3,0)))</f>
        <v/>
      </c>
      <c r="Q162" s="163" t="str">
        <f>IF(J162="","",O162/IF(J162=$B$3,Resumen!#REF!,VLOOKUP(J162,Graf_PowerBI!$A$4:$D$39,4,0)))</f>
        <v/>
      </c>
      <c r="S162" s="215" t="str">
        <f t="shared" si="5"/>
        <v/>
      </c>
    </row>
    <row r="163" spans="7:19">
      <c r="G163" s="163" t="str">
        <f>IF(A163="","",E163/IF(A163=$B$3,Resumen!#REF!,VLOOKUP(A163,Graf_PowerBI!$A$4:$D$39,3,0)))</f>
        <v/>
      </c>
      <c r="H163" s="163" t="str">
        <f>IF(A163="","",F163/IF(A163=$B$3,Resumen!#REF!,VLOOKUP(A163,Graf_PowerBI!$A$4:$D$39,4,0)))</f>
        <v/>
      </c>
      <c r="P163" s="163" t="str">
        <f>IF(J163="","",N163/IF(J163=$B$3,Resumen!#REF!,VLOOKUP(J163,Graf_PowerBI!$A$4:$D$39,3,0)))</f>
        <v/>
      </c>
      <c r="Q163" s="163" t="str">
        <f>IF(J163="","",O163/IF(J163=$B$3,Resumen!#REF!,VLOOKUP(J163,Graf_PowerBI!$A$4:$D$39,4,0)))</f>
        <v/>
      </c>
      <c r="S163" s="215" t="str">
        <f t="shared" si="5"/>
        <v/>
      </c>
    </row>
    <row r="164" spans="7:19">
      <c r="G164" s="163" t="str">
        <f>IF(A164="","",E164/IF(A164=$B$3,Resumen!#REF!,VLOOKUP(A164,Graf_PowerBI!$A$4:$D$39,3,0)))</f>
        <v/>
      </c>
      <c r="H164" s="163" t="str">
        <f>IF(A164="","",F164/IF(A164=$B$3,Resumen!#REF!,VLOOKUP(A164,Graf_PowerBI!$A$4:$D$39,4,0)))</f>
        <v/>
      </c>
      <c r="P164" s="163" t="str">
        <f>IF(J164="","",N164/IF(J164=$B$3,Resumen!#REF!,VLOOKUP(J164,Graf_PowerBI!$A$4:$D$39,3,0)))</f>
        <v/>
      </c>
      <c r="Q164" s="163" t="str">
        <f>IF(J164="","",O164/IF(J164=$B$3,Resumen!#REF!,VLOOKUP(J164,Graf_PowerBI!$A$4:$D$39,4,0)))</f>
        <v/>
      </c>
      <c r="S164" s="215" t="str">
        <f t="shared" si="5"/>
        <v/>
      </c>
    </row>
    <row r="165" spans="7:19">
      <c r="G165" s="163" t="str">
        <f>IF(A165="","",E165/IF(A165=$B$3,Resumen!#REF!,VLOOKUP(A165,Graf_PowerBI!$A$4:$D$39,3,0)))</f>
        <v/>
      </c>
      <c r="H165" s="163" t="str">
        <f>IF(A165="","",F165/IF(A165=$B$3,Resumen!#REF!,VLOOKUP(A165,Graf_PowerBI!$A$4:$D$39,4,0)))</f>
        <v/>
      </c>
      <c r="P165" s="163" t="str">
        <f>IF(J165="","",N165/IF(J165=$B$3,Resumen!#REF!,VLOOKUP(J165,Graf_PowerBI!$A$4:$D$39,3,0)))</f>
        <v/>
      </c>
      <c r="Q165" s="163" t="str">
        <f>IF(J165="","",O165/IF(J165=$B$3,Resumen!#REF!,VLOOKUP(J165,Graf_PowerBI!$A$4:$D$39,4,0)))</f>
        <v/>
      </c>
      <c r="S165" s="215" t="str">
        <f t="shared" si="5"/>
        <v/>
      </c>
    </row>
    <row r="166" spans="7:19">
      <c r="G166" s="163" t="str">
        <f>IF(A166="","",E166/IF(A166=$B$3,Resumen!#REF!,VLOOKUP(A166,Graf_PowerBI!$A$4:$D$39,3,0)))</f>
        <v/>
      </c>
      <c r="H166" s="163" t="str">
        <f>IF(A166="","",F166/IF(A166=$B$3,Resumen!#REF!,VLOOKUP(A166,Graf_PowerBI!$A$4:$D$39,4,0)))</f>
        <v/>
      </c>
      <c r="P166" s="163" t="str">
        <f>IF(J166="","",N166/IF(J166=$B$3,Resumen!#REF!,VLOOKUP(J166,Graf_PowerBI!$A$4:$D$39,3,0)))</f>
        <v/>
      </c>
      <c r="Q166" s="163" t="str">
        <f>IF(J166="","",O166/IF(J166=$B$3,Resumen!#REF!,VLOOKUP(J166,Graf_PowerBI!$A$4:$D$39,4,0)))</f>
        <v/>
      </c>
      <c r="S166" s="215" t="str">
        <f t="shared" si="5"/>
        <v/>
      </c>
    </row>
    <row r="167" spans="7:19">
      <c r="G167" s="163" t="str">
        <f>IF(A167="","",E167/IF(A167=$B$3,Resumen!#REF!,VLOOKUP(A167,Graf_PowerBI!$A$4:$D$39,3,0)))</f>
        <v/>
      </c>
      <c r="H167" s="163" t="str">
        <f>IF(A167="","",F167/IF(A167=$B$3,Resumen!#REF!,VLOOKUP(A167,Graf_PowerBI!$A$4:$D$39,4,0)))</f>
        <v/>
      </c>
      <c r="P167" s="163" t="str">
        <f>IF(J167="","",N167/IF(J167=$B$3,Resumen!#REF!,VLOOKUP(J167,Graf_PowerBI!$A$4:$D$39,3,0)))</f>
        <v/>
      </c>
      <c r="Q167" s="163" t="str">
        <f>IF(J167="","",O167/IF(J167=$B$3,Resumen!#REF!,VLOOKUP(J167,Graf_PowerBI!$A$4:$D$39,4,0)))</f>
        <v/>
      </c>
      <c r="S167" s="215" t="str">
        <f t="shared" si="5"/>
        <v/>
      </c>
    </row>
    <row r="168" spans="7:19">
      <c r="G168" s="163" t="str">
        <f>IF(A168="","",E168/IF(A168=$B$3,Resumen!#REF!,VLOOKUP(A168,Graf_PowerBI!$A$4:$D$39,3,0)))</f>
        <v/>
      </c>
      <c r="H168" s="163" t="str">
        <f>IF(A168="","",F168/IF(A168=$B$3,Resumen!#REF!,VLOOKUP(A168,Graf_PowerBI!$A$4:$D$39,4,0)))</f>
        <v/>
      </c>
      <c r="P168" s="163" t="str">
        <f>IF(J168="","",N168/IF(J168=$B$3,Resumen!#REF!,VLOOKUP(J168,Graf_PowerBI!$A$4:$D$39,3,0)))</f>
        <v/>
      </c>
      <c r="Q168" s="163" t="str">
        <f>IF(J168="","",O168/IF(J168=$B$3,Resumen!#REF!,VLOOKUP(J168,Graf_PowerBI!$A$4:$D$39,4,0)))</f>
        <v/>
      </c>
      <c r="S168" s="215" t="str">
        <f t="shared" si="5"/>
        <v/>
      </c>
    </row>
    <row r="169" spans="7:19">
      <c r="G169" s="163" t="str">
        <f>IF(A169="","",E169/IF(A169=$B$3,Resumen!#REF!,VLOOKUP(A169,Graf_PowerBI!$A$4:$D$39,3,0)))</f>
        <v/>
      </c>
      <c r="H169" s="163" t="str">
        <f>IF(A169="","",F169/IF(A169=$B$3,Resumen!#REF!,VLOOKUP(A169,Graf_PowerBI!$A$4:$D$39,4,0)))</f>
        <v/>
      </c>
      <c r="P169" s="163" t="str">
        <f>IF(J169="","",N169/IF(J169=$B$3,Resumen!#REF!,VLOOKUP(J169,Graf_PowerBI!$A$4:$D$39,3,0)))</f>
        <v/>
      </c>
      <c r="Q169" s="163" t="str">
        <f>IF(J169="","",O169/IF(J169=$B$3,Resumen!#REF!,VLOOKUP(J169,Graf_PowerBI!$A$4:$D$39,4,0)))</f>
        <v/>
      </c>
      <c r="S169" s="215" t="str">
        <f t="shared" si="5"/>
        <v/>
      </c>
    </row>
    <row r="170" spans="7:19">
      <c r="G170" s="163" t="str">
        <f>IF(A170="","",E170/IF(A170=$B$3,Resumen!#REF!,VLOOKUP(A170,Graf_PowerBI!$A$4:$D$39,3,0)))</f>
        <v/>
      </c>
      <c r="H170" s="163" t="str">
        <f>IF(A170="","",F170/IF(A170=$B$3,Resumen!#REF!,VLOOKUP(A170,Graf_PowerBI!$A$4:$D$39,4,0)))</f>
        <v/>
      </c>
      <c r="P170" s="163" t="str">
        <f>IF(J170="","",N170/IF(J170=$B$3,Resumen!#REF!,VLOOKUP(J170,Graf_PowerBI!$A$4:$D$39,3,0)))</f>
        <v/>
      </c>
      <c r="Q170" s="163" t="str">
        <f>IF(J170="","",O170/IF(J170=$B$3,Resumen!#REF!,VLOOKUP(J170,Graf_PowerBI!$A$4:$D$39,4,0)))</f>
        <v/>
      </c>
      <c r="S170" s="215" t="str">
        <f t="shared" si="5"/>
        <v/>
      </c>
    </row>
    <row r="171" spans="7:19">
      <c r="G171" s="163" t="str">
        <f>IF(A171="","",E171/IF(A171=$B$3,Resumen!#REF!,VLOOKUP(A171,Graf_PowerBI!$A$4:$D$39,3,0)))</f>
        <v/>
      </c>
      <c r="H171" s="163" t="str">
        <f>IF(A171="","",F171/IF(A171=$B$3,Resumen!#REF!,VLOOKUP(A171,Graf_PowerBI!$A$4:$D$39,4,0)))</f>
        <v/>
      </c>
      <c r="P171" s="163" t="str">
        <f>IF(J171="","",N171/IF(J171=$B$3,Resumen!#REF!,VLOOKUP(J171,Graf_PowerBI!$A$4:$D$39,3,0)))</f>
        <v/>
      </c>
      <c r="Q171" s="163" t="str">
        <f>IF(J171="","",O171/IF(J171=$B$3,Resumen!#REF!,VLOOKUP(J171,Graf_PowerBI!$A$4:$D$39,4,0)))</f>
        <v/>
      </c>
      <c r="S171" s="215" t="str">
        <f t="shared" si="5"/>
        <v/>
      </c>
    </row>
    <row r="172" spans="7:19">
      <c r="G172" s="163" t="str">
        <f>IF(A172="","",E172/IF(A172=$B$3,Resumen!#REF!,VLOOKUP(A172,Graf_PowerBI!$A$4:$D$39,3,0)))</f>
        <v/>
      </c>
      <c r="H172" s="163" t="str">
        <f>IF(A172="","",F172/IF(A172=$B$3,Resumen!#REF!,VLOOKUP(A172,Graf_PowerBI!$A$4:$D$39,4,0)))</f>
        <v/>
      </c>
      <c r="P172" s="163" t="str">
        <f>IF(J172="","",N172/IF(J172=$B$3,Resumen!#REF!,VLOOKUP(J172,Graf_PowerBI!$A$4:$D$39,3,0)))</f>
        <v/>
      </c>
      <c r="Q172" s="163" t="str">
        <f>IF(J172="","",O172/IF(J172=$B$3,Resumen!#REF!,VLOOKUP(J172,Graf_PowerBI!$A$4:$D$39,4,0)))</f>
        <v/>
      </c>
      <c r="S172" s="215" t="str">
        <f t="shared" si="5"/>
        <v/>
      </c>
    </row>
    <row r="173" spans="7:19">
      <c r="G173" s="163" t="str">
        <f>IF(A173="","",E173/IF(A173=$B$3,Resumen!#REF!,VLOOKUP(A173,Graf_PowerBI!$A$4:$D$39,3,0)))</f>
        <v/>
      </c>
      <c r="H173" s="163" t="str">
        <f>IF(A173="","",F173/IF(A173=$B$3,Resumen!#REF!,VLOOKUP(A173,Graf_PowerBI!$A$4:$D$39,4,0)))</f>
        <v/>
      </c>
      <c r="P173" s="163" t="str">
        <f>IF(J173="","",N173/IF(J173=$B$3,Resumen!#REF!,VLOOKUP(J173,Graf_PowerBI!$A$4:$D$39,3,0)))</f>
        <v/>
      </c>
      <c r="Q173" s="163" t="str">
        <f>IF(J173="","",O173/IF(J173=$B$3,Resumen!#REF!,VLOOKUP(J173,Graf_PowerBI!$A$4:$D$39,4,0)))</f>
        <v/>
      </c>
      <c r="S173" s="215" t="str">
        <f t="shared" si="5"/>
        <v/>
      </c>
    </row>
    <row r="174" spans="7:19">
      <c r="G174" s="163" t="str">
        <f>IF(A174="","",E174/IF(A174=$B$3,Resumen!#REF!,VLOOKUP(A174,Graf_PowerBI!$A$4:$D$39,3,0)))</f>
        <v/>
      </c>
      <c r="H174" s="163" t="str">
        <f>IF(A174="","",F174/IF(A174=$B$3,Resumen!#REF!,VLOOKUP(A174,Graf_PowerBI!$A$4:$D$39,4,0)))</f>
        <v/>
      </c>
      <c r="P174" s="163" t="str">
        <f>IF(J174="","",N174/IF(J174=$B$3,Resumen!#REF!,VLOOKUP(J174,Graf_PowerBI!$A$4:$D$39,3,0)))</f>
        <v/>
      </c>
      <c r="Q174" s="163" t="str">
        <f>IF(J174="","",O174/IF(J174=$B$3,Resumen!#REF!,VLOOKUP(J174,Graf_PowerBI!$A$4:$D$39,4,0)))</f>
        <v/>
      </c>
      <c r="S174" s="215" t="str">
        <f t="shared" si="5"/>
        <v/>
      </c>
    </row>
    <row r="175" spans="7:19">
      <c r="G175" s="163" t="str">
        <f>IF(A175="","",E175/IF(A175=$B$3,Resumen!#REF!,VLOOKUP(A175,Graf_PowerBI!$A$4:$D$39,3,0)))</f>
        <v/>
      </c>
      <c r="H175" s="163" t="str">
        <f>IF(A175="","",F175/IF(A175=$B$3,Resumen!#REF!,VLOOKUP(A175,Graf_PowerBI!$A$4:$D$39,4,0)))</f>
        <v/>
      </c>
      <c r="P175" s="163" t="str">
        <f>IF(J175="","",N175/IF(J175=$B$3,Resumen!#REF!,VLOOKUP(J175,Graf_PowerBI!$A$4:$D$39,3,0)))</f>
        <v/>
      </c>
      <c r="Q175" s="163" t="str">
        <f>IF(J175="","",O175/IF(J175=$B$3,Resumen!#REF!,VLOOKUP(J175,Graf_PowerBI!$A$4:$D$39,4,0)))</f>
        <v/>
      </c>
      <c r="S175" s="215" t="str">
        <f t="shared" si="5"/>
        <v/>
      </c>
    </row>
    <row r="176" spans="7:19">
      <c r="G176" s="163" t="str">
        <f>IF(A176="","",E176/IF(A176=$B$3,Resumen!#REF!,VLOOKUP(A176,Graf_PowerBI!$A$4:$D$39,3,0)))</f>
        <v/>
      </c>
      <c r="H176" s="163" t="str">
        <f>IF(A176="","",F176/IF(A176=$B$3,Resumen!#REF!,VLOOKUP(A176,Graf_PowerBI!$A$4:$D$39,4,0)))</f>
        <v/>
      </c>
      <c r="P176" s="163" t="str">
        <f>IF(J176="","",N176/IF(J176=$B$3,Resumen!#REF!,VLOOKUP(J176,Graf_PowerBI!$A$4:$D$39,3,0)))</f>
        <v/>
      </c>
      <c r="Q176" s="163" t="str">
        <f>IF(J176="","",O176/IF(J176=$B$3,Resumen!#REF!,VLOOKUP(J176,Graf_PowerBI!$A$4:$D$39,4,0)))</f>
        <v/>
      </c>
      <c r="S176" s="215" t="str">
        <f t="shared" si="5"/>
        <v/>
      </c>
    </row>
    <row r="177" spans="7:19">
      <c r="G177" s="163" t="str">
        <f>IF(A177="","",E177/IF(A177=$B$3,Resumen!#REF!,VLOOKUP(A177,Graf_PowerBI!$A$4:$D$39,3,0)))</f>
        <v/>
      </c>
      <c r="H177" s="163" t="str">
        <f>IF(A177="","",F177/IF(A177=$B$3,Resumen!#REF!,VLOOKUP(A177,Graf_PowerBI!$A$4:$D$39,4,0)))</f>
        <v/>
      </c>
      <c r="P177" s="163" t="str">
        <f>IF(J177="","",N177/IF(J177=$B$3,Resumen!#REF!,VLOOKUP(J177,Graf_PowerBI!$A$4:$D$39,3,0)))</f>
        <v/>
      </c>
      <c r="Q177" s="163" t="str">
        <f>IF(J177="","",O177/IF(J177=$B$3,Resumen!#REF!,VLOOKUP(J177,Graf_PowerBI!$A$4:$D$39,4,0)))</f>
        <v/>
      </c>
      <c r="S177" s="215" t="str">
        <f t="shared" si="5"/>
        <v/>
      </c>
    </row>
    <row r="178" spans="7:19">
      <c r="G178" s="163" t="str">
        <f>IF(A178="","",E178/IF(A178=$B$3,Resumen!#REF!,VLOOKUP(A178,Graf_PowerBI!$A$4:$D$39,3,0)))</f>
        <v/>
      </c>
      <c r="H178" s="163" t="str">
        <f>IF(A178="","",F178/IF(A178=$B$3,Resumen!#REF!,VLOOKUP(A178,Graf_PowerBI!$A$4:$D$39,4,0)))</f>
        <v/>
      </c>
      <c r="P178" s="163" t="str">
        <f>IF(J178="","",N178/IF(J178=$B$3,Resumen!#REF!,VLOOKUP(J178,Graf_PowerBI!$A$4:$D$39,3,0)))</f>
        <v/>
      </c>
      <c r="Q178" s="163" t="str">
        <f>IF(J178="","",O178/IF(J178=$B$3,Resumen!#REF!,VLOOKUP(J178,Graf_PowerBI!$A$4:$D$39,4,0)))</f>
        <v/>
      </c>
      <c r="S178" s="215" t="str">
        <f t="shared" si="5"/>
        <v/>
      </c>
    </row>
    <row r="179" spans="7:19">
      <c r="G179" s="163" t="str">
        <f>IF(A179="","",E179/IF(A179=$B$3,Resumen!#REF!,VLOOKUP(A179,Graf_PowerBI!$A$4:$D$39,3,0)))</f>
        <v/>
      </c>
      <c r="H179" s="163" t="str">
        <f>IF(A179="","",F179/IF(A179=$B$3,Resumen!#REF!,VLOOKUP(A179,Graf_PowerBI!$A$4:$D$39,4,0)))</f>
        <v/>
      </c>
      <c r="P179" s="163" t="str">
        <f>IF(J179="","",N179/IF(J179=$B$3,Resumen!#REF!,VLOOKUP(J179,Graf_PowerBI!$A$4:$D$39,3,0)))</f>
        <v/>
      </c>
      <c r="Q179" s="163" t="str">
        <f>IF(J179="","",O179/IF(J179=$B$3,Resumen!#REF!,VLOOKUP(J179,Graf_PowerBI!$A$4:$D$39,4,0)))</f>
        <v/>
      </c>
      <c r="S179" s="215" t="str">
        <f t="shared" si="5"/>
        <v/>
      </c>
    </row>
    <row r="180" spans="7:19">
      <c r="G180" s="163" t="str">
        <f>IF(A180="","",E180/IF(A180=$B$3,Resumen!#REF!,VLOOKUP(A180,Graf_PowerBI!$A$4:$D$39,3,0)))</f>
        <v/>
      </c>
      <c r="H180" s="163" t="str">
        <f>IF(A180="","",F180/IF(A180=$B$3,Resumen!#REF!,VLOOKUP(A180,Graf_PowerBI!$A$4:$D$39,4,0)))</f>
        <v/>
      </c>
      <c r="P180" s="163" t="str">
        <f>IF(J180="","",N180/IF(J180=$B$3,Resumen!#REF!,VLOOKUP(J180,Graf_PowerBI!$A$4:$D$39,3,0)))</f>
        <v/>
      </c>
      <c r="Q180" s="163" t="str">
        <f>IF(J180="","",O180/IF(J180=$B$3,Resumen!#REF!,VLOOKUP(J180,Graf_PowerBI!$A$4:$D$39,4,0)))</f>
        <v/>
      </c>
      <c r="S180" s="215" t="str">
        <f t="shared" si="5"/>
        <v/>
      </c>
    </row>
    <row r="181" spans="7:19">
      <c r="G181" s="163" t="str">
        <f>IF(A181="","",E181/IF(A181=$B$3,Resumen!#REF!,VLOOKUP(A181,Graf_PowerBI!$A$4:$D$39,3,0)))</f>
        <v/>
      </c>
      <c r="H181" s="163" t="str">
        <f>IF(A181="","",F181/IF(A181=$B$3,Resumen!#REF!,VLOOKUP(A181,Graf_PowerBI!$A$4:$D$39,4,0)))</f>
        <v/>
      </c>
      <c r="P181" s="163" t="str">
        <f>IF(J181="","",N181/IF(J181=$B$3,Resumen!#REF!,VLOOKUP(J181,Graf_PowerBI!$A$4:$D$39,3,0)))</f>
        <v/>
      </c>
      <c r="Q181" s="163" t="str">
        <f>IF(J181="","",O181/IF(J181=$B$3,Resumen!#REF!,VLOOKUP(J181,Graf_PowerBI!$A$4:$D$39,4,0)))</f>
        <v/>
      </c>
      <c r="S181" s="215" t="str">
        <f t="shared" si="5"/>
        <v/>
      </c>
    </row>
    <row r="182" spans="7:19">
      <c r="G182" s="163" t="str">
        <f>IF(A182="","",E182/IF(A182=$B$3,Resumen!#REF!,VLOOKUP(A182,Graf_PowerBI!$A$4:$D$39,3,0)))</f>
        <v/>
      </c>
      <c r="H182" s="163" t="str">
        <f>IF(A182="","",F182/IF(A182=$B$3,Resumen!#REF!,VLOOKUP(A182,Graf_PowerBI!$A$4:$D$39,4,0)))</f>
        <v/>
      </c>
      <c r="P182" s="163" t="str">
        <f>IF(J182="","",N182/IF(J182=$B$3,Resumen!#REF!,VLOOKUP(J182,Graf_PowerBI!$A$4:$D$39,3,0)))</f>
        <v/>
      </c>
      <c r="Q182" s="163" t="str">
        <f>IF(J182="","",O182/IF(J182=$B$3,Resumen!#REF!,VLOOKUP(J182,Graf_PowerBI!$A$4:$D$39,4,0)))</f>
        <v/>
      </c>
      <c r="S182" s="215" t="str">
        <f t="shared" si="5"/>
        <v/>
      </c>
    </row>
    <row r="183" spans="7:19">
      <c r="G183" s="163" t="str">
        <f>IF(A183="","",E183/IF(A183=$B$3,Resumen!#REF!,VLOOKUP(A183,Graf_PowerBI!$A$4:$D$39,3,0)))</f>
        <v/>
      </c>
      <c r="H183" s="163" t="str">
        <f>IF(A183="","",F183/IF(A183=$B$3,Resumen!#REF!,VLOOKUP(A183,Graf_PowerBI!$A$4:$D$39,4,0)))</f>
        <v/>
      </c>
      <c r="P183" s="163" t="str">
        <f>IF(J183="","",N183/IF(J183=$B$3,Resumen!#REF!,VLOOKUP(J183,Graf_PowerBI!$A$4:$D$39,3,0)))</f>
        <v/>
      </c>
      <c r="Q183" s="163" t="str">
        <f>IF(J183="","",O183/IF(J183=$B$3,Resumen!#REF!,VLOOKUP(J183,Graf_PowerBI!$A$4:$D$39,4,0)))</f>
        <v/>
      </c>
      <c r="S183" s="215" t="str">
        <f t="shared" si="5"/>
        <v/>
      </c>
    </row>
    <row r="184" spans="7:19">
      <c r="G184" s="163" t="str">
        <f>IF(A184="","",E184/IF(A184=$B$3,Resumen!#REF!,VLOOKUP(A184,Graf_PowerBI!$A$4:$D$39,3,0)))</f>
        <v/>
      </c>
      <c r="H184" s="163" t="str">
        <f>IF(A184="","",F184/IF(A184=$B$3,Resumen!#REF!,VLOOKUP(A184,Graf_PowerBI!$A$4:$D$39,4,0)))</f>
        <v/>
      </c>
      <c r="P184" s="163" t="str">
        <f>IF(J184="","",N184/IF(J184=$B$3,Resumen!#REF!,VLOOKUP(J184,Graf_PowerBI!$A$4:$D$39,3,0)))</f>
        <v/>
      </c>
      <c r="Q184" s="163" t="str">
        <f>IF(J184="","",O184/IF(J184=$B$3,Resumen!#REF!,VLOOKUP(J184,Graf_PowerBI!$A$4:$D$39,4,0)))</f>
        <v/>
      </c>
      <c r="S184" s="215" t="str">
        <f t="shared" si="5"/>
        <v/>
      </c>
    </row>
    <row r="185" spans="7:19">
      <c r="G185" s="163" t="str">
        <f>IF(A185="","",E185/IF(A185=$B$3,Resumen!#REF!,VLOOKUP(A185,Graf_PowerBI!$A$4:$D$39,3,0)))</f>
        <v/>
      </c>
      <c r="H185" s="163" t="str">
        <f>IF(A185="","",F185/IF(A185=$B$3,Resumen!#REF!,VLOOKUP(A185,Graf_PowerBI!$A$4:$D$39,4,0)))</f>
        <v/>
      </c>
      <c r="P185" s="163" t="str">
        <f>IF(J185="","",N185/IF(J185=$B$3,Resumen!#REF!,VLOOKUP(J185,Graf_PowerBI!$A$4:$D$39,3,0)))</f>
        <v/>
      </c>
      <c r="Q185" s="163" t="str">
        <f>IF(J185="","",O185/IF(J185=$B$3,Resumen!#REF!,VLOOKUP(J185,Graf_PowerBI!$A$4:$D$39,4,0)))</f>
        <v/>
      </c>
      <c r="S185" s="215" t="str">
        <f t="shared" si="5"/>
        <v/>
      </c>
    </row>
    <row r="186" spans="7:19">
      <c r="G186" s="163" t="str">
        <f>IF(A186="","",E186/IF(A186=$B$3,Resumen!#REF!,VLOOKUP(A186,Graf_PowerBI!$A$4:$D$39,3,0)))</f>
        <v/>
      </c>
      <c r="H186" s="163" t="str">
        <f>IF(A186="","",F186/IF(A186=$B$3,Resumen!#REF!,VLOOKUP(A186,Graf_PowerBI!$A$4:$D$39,4,0)))</f>
        <v/>
      </c>
      <c r="P186" s="163" t="str">
        <f>IF(J186="","",N186/IF(J186=$B$3,Resumen!#REF!,VLOOKUP(J186,Graf_PowerBI!$A$4:$D$39,3,0)))</f>
        <v/>
      </c>
      <c r="Q186" s="163" t="str">
        <f>IF(J186="","",O186/IF(J186=$B$3,Resumen!#REF!,VLOOKUP(J186,Graf_PowerBI!$A$4:$D$39,4,0)))</f>
        <v/>
      </c>
      <c r="S186" s="215" t="str">
        <f t="shared" si="5"/>
        <v/>
      </c>
    </row>
    <row r="187" spans="7:19">
      <c r="G187" s="163" t="str">
        <f>IF(A187="","",E187/IF(A187=$B$3,Resumen!#REF!,VLOOKUP(A187,Graf_PowerBI!$A$4:$D$39,3,0)))</f>
        <v/>
      </c>
      <c r="H187" s="163" t="str">
        <f>IF(A187="","",F187/IF(A187=$B$3,Resumen!#REF!,VLOOKUP(A187,Graf_PowerBI!$A$4:$D$39,4,0)))</f>
        <v/>
      </c>
      <c r="P187" s="163" t="str">
        <f>IF(J187="","",N187/IF(J187=$B$3,Resumen!#REF!,VLOOKUP(J187,Graf_PowerBI!$A$4:$D$39,3,0)))</f>
        <v/>
      </c>
      <c r="Q187" s="163" t="str">
        <f>IF(J187="","",O187/IF(J187=$B$3,Resumen!#REF!,VLOOKUP(J187,Graf_PowerBI!$A$4:$D$39,4,0)))</f>
        <v/>
      </c>
      <c r="S187" s="215" t="str">
        <f t="shared" si="5"/>
        <v/>
      </c>
    </row>
    <row r="188" spans="7:19">
      <c r="G188" s="163" t="str">
        <f>IF(A188="","",E188/IF(A188=$B$3,Resumen!#REF!,VLOOKUP(A188,Graf_PowerBI!$A$4:$D$39,3,0)))</f>
        <v/>
      </c>
      <c r="H188" s="163" t="str">
        <f>IF(A188="","",F188/IF(A188=$B$3,Resumen!#REF!,VLOOKUP(A188,Graf_PowerBI!$A$4:$D$39,4,0)))</f>
        <v/>
      </c>
      <c r="P188" s="163" t="str">
        <f>IF(J188="","",N188/IF(J188=$B$3,Resumen!#REF!,VLOOKUP(J188,Graf_PowerBI!$A$4:$D$39,3,0)))</f>
        <v/>
      </c>
      <c r="Q188" s="163" t="str">
        <f>IF(J188="","",O188/IF(J188=$B$3,Resumen!#REF!,VLOOKUP(J188,Graf_PowerBI!$A$4:$D$39,4,0)))</f>
        <v/>
      </c>
      <c r="S188" s="215" t="str">
        <f t="shared" si="5"/>
        <v/>
      </c>
    </row>
    <row r="189" spans="7:19">
      <c r="G189" s="163" t="str">
        <f>IF(A189="","",E189/IF(A189=$B$3,Resumen!#REF!,VLOOKUP(A189,Graf_PowerBI!$A$4:$D$39,3,0)))</f>
        <v/>
      </c>
      <c r="H189" s="163" t="str">
        <f>IF(A189="","",F189/IF(A189=$B$3,Resumen!#REF!,VLOOKUP(A189,Graf_PowerBI!$A$4:$D$39,4,0)))</f>
        <v/>
      </c>
      <c r="P189" s="163" t="str">
        <f>IF(J189="","",N189/IF(J189=$B$3,Resumen!#REF!,VLOOKUP(J189,Graf_PowerBI!$A$4:$D$39,3,0)))</f>
        <v/>
      </c>
      <c r="Q189" s="163" t="str">
        <f>IF(J189="","",O189/IF(J189=$B$3,Resumen!#REF!,VLOOKUP(J189,Graf_PowerBI!$A$4:$D$39,4,0)))</f>
        <v/>
      </c>
      <c r="S189" s="215" t="str">
        <f t="shared" si="5"/>
        <v/>
      </c>
    </row>
    <row r="190" spans="7:19">
      <c r="G190" s="163" t="str">
        <f>IF(A190="","",E190/IF(A190=$B$3,Resumen!#REF!,VLOOKUP(A190,Graf_PowerBI!$A$4:$D$39,3,0)))</f>
        <v/>
      </c>
      <c r="H190" s="163" t="str">
        <f>IF(A190="","",F190/IF(A190=$B$3,Resumen!#REF!,VLOOKUP(A190,Graf_PowerBI!$A$4:$D$39,4,0)))</f>
        <v/>
      </c>
      <c r="P190" s="163" t="str">
        <f>IF(J190="","",N190/IF(J190=$B$3,Resumen!#REF!,VLOOKUP(J190,Graf_PowerBI!$A$4:$D$39,3,0)))</f>
        <v/>
      </c>
      <c r="Q190" s="163" t="str">
        <f>IF(J190="","",O190/IF(J190=$B$3,Resumen!#REF!,VLOOKUP(J190,Graf_PowerBI!$A$4:$D$39,4,0)))</f>
        <v/>
      </c>
      <c r="S190" s="215" t="str">
        <f t="shared" si="5"/>
        <v/>
      </c>
    </row>
    <row r="191" spans="7:19">
      <c r="G191" s="163" t="str">
        <f>IF(A191="","",E191/IF(A191=$B$3,Resumen!#REF!,VLOOKUP(A191,Graf_PowerBI!$A$4:$D$39,3,0)))</f>
        <v/>
      </c>
      <c r="H191" s="163" t="str">
        <f>IF(A191="","",F191/IF(A191=$B$3,Resumen!#REF!,VLOOKUP(A191,Graf_PowerBI!$A$4:$D$39,4,0)))</f>
        <v/>
      </c>
      <c r="P191" s="163" t="str">
        <f>IF(J191="","",N191/IF(J191=$B$3,Resumen!#REF!,VLOOKUP(J191,Graf_PowerBI!$A$4:$D$39,3,0)))</f>
        <v/>
      </c>
      <c r="Q191" s="163" t="str">
        <f>IF(J191="","",O191/IF(J191=$B$3,Resumen!#REF!,VLOOKUP(J191,Graf_PowerBI!$A$4:$D$39,4,0)))</f>
        <v/>
      </c>
      <c r="S191" s="215" t="str">
        <f t="shared" si="5"/>
        <v/>
      </c>
    </row>
    <row r="192" spans="7:19">
      <c r="G192" s="163" t="str">
        <f>IF(A192="","",E192/IF(A192=$B$3,Resumen!#REF!,VLOOKUP(A192,Graf_PowerBI!$A$4:$D$39,3,0)))</f>
        <v/>
      </c>
      <c r="H192" s="163" t="str">
        <f>IF(A192="","",F192/IF(A192=$B$3,Resumen!#REF!,VLOOKUP(A192,Graf_PowerBI!$A$4:$D$39,4,0)))</f>
        <v/>
      </c>
      <c r="P192" s="163" t="str">
        <f>IF(J192="","",N192/IF(J192=$B$3,Resumen!#REF!,VLOOKUP(J192,Graf_PowerBI!$A$4:$D$39,3,0)))</f>
        <v/>
      </c>
      <c r="Q192" s="163" t="str">
        <f>IF(J192="","",O192/IF(J192=$B$3,Resumen!#REF!,VLOOKUP(J192,Graf_PowerBI!$A$4:$D$39,4,0)))</f>
        <v/>
      </c>
      <c r="S192" s="215" t="str">
        <f t="shared" si="5"/>
        <v/>
      </c>
    </row>
    <row r="193" spans="7:19">
      <c r="G193" s="163" t="str">
        <f>IF(A193="","",E193/IF(A193=$B$3,Resumen!#REF!,VLOOKUP(A193,Graf_PowerBI!$A$4:$D$39,3,0)))</f>
        <v/>
      </c>
      <c r="H193" s="163" t="str">
        <f>IF(A193="","",F193/IF(A193=$B$3,Resumen!#REF!,VLOOKUP(A193,Graf_PowerBI!$A$4:$D$39,4,0)))</f>
        <v/>
      </c>
      <c r="P193" s="163" t="str">
        <f>IF(J193="","",N193/IF(J193=$B$3,Resumen!#REF!,VLOOKUP(J193,Graf_PowerBI!$A$4:$D$39,3,0)))</f>
        <v/>
      </c>
      <c r="Q193" s="163" t="str">
        <f>IF(J193="","",O193/IF(J193=$B$3,Resumen!#REF!,VLOOKUP(J193,Graf_PowerBI!$A$4:$D$39,4,0)))</f>
        <v/>
      </c>
      <c r="S193" s="215" t="str">
        <f t="shared" si="5"/>
        <v/>
      </c>
    </row>
    <row r="194" spans="7:19">
      <c r="G194" s="163" t="str">
        <f>IF(A194="","",E194/IF(A194=$B$3,Resumen!#REF!,VLOOKUP(A194,Graf_PowerBI!$A$4:$D$39,3,0)))</f>
        <v/>
      </c>
      <c r="H194" s="163" t="str">
        <f>IF(A194="","",F194/IF(A194=$B$3,Resumen!#REF!,VLOOKUP(A194,Graf_PowerBI!$A$4:$D$39,4,0)))</f>
        <v/>
      </c>
      <c r="P194" s="163" t="str">
        <f>IF(J194="","",N194/IF(J194=$B$3,Resumen!#REF!,VLOOKUP(J194,Graf_PowerBI!$A$4:$D$39,3,0)))</f>
        <v/>
      </c>
      <c r="Q194" s="163" t="str">
        <f>IF(J194="","",O194/IF(J194=$B$3,Resumen!#REF!,VLOOKUP(J194,Graf_PowerBI!$A$4:$D$39,4,0)))</f>
        <v/>
      </c>
      <c r="S194" s="215" t="str">
        <f t="shared" si="5"/>
        <v/>
      </c>
    </row>
    <row r="195" spans="7:19">
      <c r="G195" s="163" t="str">
        <f>IF(A195="","",E195/IF(A195=$B$3,Resumen!#REF!,VLOOKUP(A195,Graf_PowerBI!$A$4:$D$39,3,0)))</f>
        <v/>
      </c>
      <c r="H195" s="163" t="str">
        <f>IF(A195="","",F195/IF(A195=$B$3,Resumen!#REF!,VLOOKUP(A195,Graf_PowerBI!$A$4:$D$39,4,0)))</f>
        <v/>
      </c>
      <c r="P195" s="163" t="str">
        <f>IF(J195="","",N195/IF(J195=$B$3,Resumen!#REF!,VLOOKUP(J195,Graf_PowerBI!$A$4:$D$39,3,0)))</f>
        <v/>
      </c>
      <c r="Q195" s="163" t="str">
        <f>IF(J195="","",O195/IF(J195=$B$3,Resumen!#REF!,VLOOKUP(J195,Graf_PowerBI!$A$4:$D$39,4,0)))</f>
        <v/>
      </c>
      <c r="S195" s="215" t="str">
        <f t="shared" si="5"/>
        <v/>
      </c>
    </row>
    <row r="196" spans="7:19">
      <c r="G196" s="163" t="str">
        <f>IF(A196="","",E196/IF(A196=$B$3,Resumen!#REF!,VLOOKUP(A196,Graf_PowerBI!$A$4:$D$39,3,0)))</f>
        <v/>
      </c>
      <c r="H196" s="163" t="str">
        <f>IF(A196="","",F196/IF(A196=$B$3,Resumen!#REF!,VLOOKUP(A196,Graf_PowerBI!$A$4:$D$39,4,0)))</f>
        <v/>
      </c>
      <c r="P196" s="163" t="str">
        <f>IF(J196="","",N196/IF(J196=$B$3,Resumen!#REF!,VLOOKUP(J196,Graf_PowerBI!$A$4:$D$39,3,0)))</f>
        <v/>
      </c>
      <c r="Q196" s="163" t="str">
        <f>IF(J196="","",O196/IF(J196=$B$3,Resumen!#REF!,VLOOKUP(J196,Graf_PowerBI!$A$4:$D$39,4,0)))</f>
        <v/>
      </c>
      <c r="S196" s="215" t="str">
        <f t="shared" si="5"/>
        <v/>
      </c>
    </row>
    <row r="197" spans="7:19">
      <c r="G197" s="163" t="str">
        <f>IF(A197="","",E197/IF(A197=$B$3,Resumen!#REF!,VLOOKUP(A197,Graf_PowerBI!$A$4:$D$39,3,0)))</f>
        <v/>
      </c>
      <c r="H197" s="163" t="str">
        <f>IF(A197="","",F197/IF(A197=$B$3,Resumen!#REF!,VLOOKUP(A197,Graf_PowerBI!$A$4:$D$39,4,0)))</f>
        <v/>
      </c>
      <c r="P197" s="163" t="str">
        <f>IF(J197="","",N197/IF(J197=$B$3,Resumen!#REF!,VLOOKUP(J197,Graf_PowerBI!$A$4:$D$39,3,0)))</f>
        <v/>
      </c>
      <c r="Q197" s="163" t="str">
        <f>IF(J197="","",O197/IF(J197=$B$3,Resumen!#REF!,VLOOKUP(J197,Graf_PowerBI!$A$4:$D$39,4,0)))</f>
        <v/>
      </c>
      <c r="S197" s="215" t="str">
        <f t="shared" ref="S197:S251" si="6">IF(A197="","",P197+G197)</f>
        <v/>
      </c>
    </row>
    <row r="198" spans="7:19">
      <c r="G198" s="163" t="str">
        <f>IF(A198="","",E198/IF(A198=$B$3,Resumen!#REF!,VLOOKUP(A198,Graf_PowerBI!$A$4:$D$39,3,0)))</f>
        <v/>
      </c>
      <c r="H198" s="163" t="str">
        <f>IF(A198="","",F198/IF(A198=$B$3,Resumen!#REF!,VLOOKUP(A198,Graf_PowerBI!$A$4:$D$39,4,0)))</f>
        <v/>
      </c>
      <c r="P198" s="163" t="str">
        <f>IF(J198="","",N198/IF(J198=$B$3,Resumen!#REF!,VLOOKUP(J198,Graf_PowerBI!$A$4:$D$39,3,0)))</f>
        <v/>
      </c>
      <c r="Q198" s="163" t="str">
        <f>IF(J198="","",O198/IF(J198=$B$3,Resumen!#REF!,VLOOKUP(J198,Graf_PowerBI!$A$4:$D$39,4,0)))</f>
        <v/>
      </c>
      <c r="S198" s="215" t="str">
        <f t="shared" si="6"/>
        <v/>
      </c>
    </row>
    <row r="199" spans="7:19">
      <c r="G199" s="163" t="str">
        <f>IF(A199="","",E199/IF(A199=$B$3,Resumen!#REF!,VLOOKUP(A199,Graf_PowerBI!$A$4:$D$39,3,0)))</f>
        <v/>
      </c>
      <c r="H199" s="163" t="str">
        <f>IF(A199="","",F199/IF(A199=$B$3,Resumen!#REF!,VLOOKUP(A199,Graf_PowerBI!$A$4:$D$39,4,0)))</f>
        <v/>
      </c>
      <c r="P199" s="163" t="str">
        <f>IF(J199="","",N199/IF(J199=$B$3,Resumen!#REF!,VLOOKUP(J199,Graf_PowerBI!$A$4:$D$39,3,0)))</f>
        <v/>
      </c>
      <c r="Q199" s="163" t="str">
        <f>IF(J199="","",O199/IF(J199=$B$3,Resumen!#REF!,VLOOKUP(J199,Graf_PowerBI!$A$4:$D$39,4,0)))</f>
        <v/>
      </c>
      <c r="S199" s="215" t="str">
        <f t="shared" si="6"/>
        <v/>
      </c>
    </row>
    <row r="200" spans="7:19">
      <c r="G200" s="163" t="str">
        <f>IF(A200="","",E200/IF(A200=$B$3,Resumen!#REF!,VLOOKUP(A200,Graf_PowerBI!$A$4:$D$39,3,0)))</f>
        <v/>
      </c>
      <c r="H200" s="163" t="str">
        <f>IF(A200="","",F200/IF(A200=$B$3,Resumen!#REF!,VLOOKUP(A200,Graf_PowerBI!$A$4:$D$39,4,0)))</f>
        <v/>
      </c>
      <c r="P200" s="163" t="str">
        <f>IF(J200="","",N200/IF(J200=$B$3,Resumen!#REF!,VLOOKUP(J200,Graf_PowerBI!$A$4:$D$39,3,0)))</f>
        <v/>
      </c>
      <c r="Q200" s="163" t="str">
        <f>IF(J200="","",O200/IF(J200=$B$3,Resumen!#REF!,VLOOKUP(J200,Graf_PowerBI!$A$4:$D$39,4,0)))</f>
        <v/>
      </c>
      <c r="S200" s="215" t="str">
        <f t="shared" si="6"/>
        <v/>
      </c>
    </row>
    <row r="201" spans="7:19">
      <c r="G201" s="163" t="str">
        <f>IF(A201="","",E201/IF(A201=$B$3,Resumen!#REF!,VLOOKUP(A201,Graf_PowerBI!$A$4:$D$39,3,0)))</f>
        <v/>
      </c>
      <c r="H201" s="163" t="str">
        <f>IF(A201="","",F201/IF(A201=$B$3,Resumen!#REF!,VLOOKUP(A201,Graf_PowerBI!$A$4:$D$39,4,0)))</f>
        <v/>
      </c>
      <c r="P201" s="163" t="str">
        <f>IF(J201="","",N201/IF(J201=$B$3,Resumen!#REF!,VLOOKUP(J201,Graf_PowerBI!$A$4:$D$39,3,0)))</f>
        <v/>
      </c>
      <c r="Q201" s="163" t="str">
        <f>IF(J201="","",O201/IF(J201=$B$3,Resumen!#REF!,VLOOKUP(J201,Graf_PowerBI!$A$4:$D$39,4,0)))</f>
        <v/>
      </c>
      <c r="S201" s="215" t="str">
        <f t="shared" si="6"/>
        <v/>
      </c>
    </row>
    <row r="202" spans="7:19">
      <c r="G202" s="163" t="str">
        <f>IF(A202="","",E202/IF(A202=$B$3,Resumen!#REF!,VLOOKUP(A202,Graf_PowerBI!$A$4:$D$39,3,0)))</f>
        <v/>
      </c>
      <c r="H202" s="163" t="str">
        <f>IF(A202="","",F202/IF(A202=$B$3,Resumen!#REF!,VLOOKUP(A202,Graf_PowerBI!$A$4:$D$39,4,0)))</f>
        <v/>
      </c>
      <c r="P202" s="163" t="str">
        <f>IF(J202="","",N202/IF(J202=$B$3,Resumen!#REF!,VLOOKUP(J202,Graf_PowerBI!$A$4:$D$39,3,0)))</f>
        <v/>
      </c>
      <c r="Q202" s="163" t="str">
        <f>IF(J202="","",O202/IF(J202=$B$3,Resumen!#REF!,VLOOKUP(J202,Graf_PowerBI!$A$4:$D$39,4,0)))</f>
        <v/>
      </c>
      <c r="S202" s="215" t="str">
        <f t="shared" si="6"/>
        <v/>
      </c>
    </row>
    <row r="203" spans="7:19">
      <c r="G203" s="163" t="str">
        <f>IF(A203="","",E203/IF(A203=$B$3,Resumen!#REF!,VLOOKUP(A203,Graf_PowerBI!$A$4:$D$39,3,0)))</f>
        <v/>
      </c>
      <c r="H203" s="163" t="str">
        <f>IF(A203="","",F203/IF(A203=$B$3,Resumen!#REF!,VLOOKUP(A203,Graf_PowerBI!$A$4:$D$39,4,0)))</f>
        <v/>
      </c>
      <c r="P203" s="163" t="str">
        <f>IF(J203="","",N203/IF(J203=$B$3,Resumen!#REF!,VLOOKUP(J203,Graf_PowerBI!$A$4:$D$39,3,0)))</f>
        <v/>
      </c>
      <c r="Q203" s="163" t="str">
        <f>IF(J203="","",O203/IF(J203=$B$3,Resumen!#REF!,VLOOKUP(J203,Graf_PowerBI!$A$4:$D$39,4,0)))</f>
        <v/>
      </c>
      <c r="S203" s="215" t="str">
        <f t="shared" si="6"/>
        <v/>
      </c>
    </row>
    <row r="204" spans="7:19">
      <c r="G204" s="163" t="str">
        <f>IF(A204="","",E204/IF(A204=$B$3,Resumen!#REF!,VLOOKUP(A204,Graf_PowerBI!$A$4:$D$39,3,0)))</f>
        <v/>
      </c>
      <c r="H204" s="163" t="str">
        <f>IF(A204="","",F204/IF(A204=$B$3,Resumen!#REF!,VLOOKUP(A204,Graf_PowerBI!$A$4:$D$39,4,0)))</f>
        <v/>
      </c>
      <c r="P204" s="163" t="str">
        <f>IF(J204="","",N204/IF(J204=$B$3,Resumen!#REF!,VLOOKUP(J204,Graf_PowerBI!$A$4:$D$39,3,0)))</f>
        <v/>
      </c>
      <c r="Q204" s="163" t="str">
        <f>IF(J204="","",O204/IF(J204=$B$3,Resumen!#REF!,VLOOKUP(J204,Graf_PowerBI!$A$4:$D$39,4,0)))</f>
        <v/>
      </c>
      <c r="S204" s="215" t="str">
        <f t="shared" si="6"/>
        <v/>
      </c>
    </row>
    <row r="205" spans="7:19">
      <c r="G205" s="163" t="str">
        <f>IF(A205="","",E205/IF(A205=$B$3,Resumen!#REF!,VLOOKUP(A205,Graf_PowerBI!$A$4:$D$39,3,0)))</f>
        <v/>
      </c>
      <c r="H205" s="163" t="str">
        <f>IF(A205="","",F205/IF(A205=$B$3,Resumen!#REF!,VLOOKUP(A205,Graf_PowerBI!$A$4:$D$39,4,0)))</f>
        <v/>
      </c>
      <c r="P205" s="163" t="str">
        <f>IF(J205="","",N205/IF(J205=$B$3,Resumen!#REF!,VLOOKUP(J205,Graf_PowerBI!$A$4:$D$39,3,0)))</f>
        <v/>
      </c>
      <c r="Q205" s="163" t="str">
        <f>IF(J205="","",O205/IF(J205=$B$3,Resumen!#REF!,VLOOKUP(J205,Graf_PowerBI!$A$4:$D$39,4,0)))</f>
        <v/>
      </c>
      <c r="S205" s="215" t="str">
        <f t="shared" si="6"/>
        <v/>
      </c>
    </row>
    <row r="206" spans="7:19">
      <c r="G206" s="163" t="str">
        <f>IF(A206="","",E206/IF(A206=$B$3,Resumen!#REF!,VLOOKUP(A206,Graf_PowerBI!$A$4:$D$39,3,0)))</f>
        <v/>
      </c>
      <c r="H206" s="163" t="str">
        <f>IF(A206="","",F206/IF(A206=$B$3,Resumen!#REF!,VLOOKUP(A206,Graf_PowerBI!$A$4:$D$39,4,0)))</f>
        <v/>
      </c>
      <c r="P206" s="163" t="str">
        <f>IF(J206="","",N206/IF(J206=$B$3,Resumen!#REF!,VLOOKUP(J206,Graf_PowerBI!$A$4:$D$39,3,0)))</f>
        <v/>
      </c>
      <c r="Q206" s="163" t="str">
        <f>IF(J206="","",O206/IF(J206=$B$3,Resumen!#REF!,VLOOKUP(J206,Graf_PowerBI!$A$4:$D$39,4,0)))</f>
        <v/>
      </c>
      <c r="S206" s="215" t="str">
        <f t="shared" si="6"/>
        <v/>
      </c>
    </row>
    <row r="207" spans="7:19">
      <c r="G207" s="163" t="str">
        <f>IF(A207="","",E207/IF(A207=$B$3,Resumen!#REF!,VLOOKUP(A207,Graf_PowerBI!$A$4:$D$39,3,0)))</f>
        <v/>
      </c>
      <c r="H207" s="163" t="str">
        <f>IF(A207="","",F207/IF(A207=$B$3,Resumen!#REF!,VLOOKUP(A207,Graf_PowerBI!$A$4:$D$39,4,0)))</f>
        <v/>
      </c>
      <c r="P207" s="163" t="str">
        <f>IF(J207="","",N207/IF(J207=$B$3,Resumen!#REF!,VLOOKUP(J207,Graf_PowerBI!$A$4:$D$39,3,0)))</f>
        <v/>
      </c>
      <c r="Q207" s="163" t="str">
        <f>IF(J207="","",O207/IF(J207=$B$3,Resumen!#REF!,VLOOKUP(J207,Graf_PowerBI!$A$4:$D$39,4,0)))</f>
        <v/>
      </c>
      <c r="S207" s="215" t="str">
        <f t="shared" si="6"/>
        <v/>
      </c>
    </row>
    <row r="208" spans="7:19">
      <c r="G208" s="163" t="str">
        <f>IF(A208="","",E208/IF(A208=$B$3,Resumen!#REF!,VLOOKUP(A208,Graf_PowerBI!$A$4:$D$39,3,0)))</f>
        <v/>
      </c>
      <c r="H208" s="163" t="str">
        <f>IF(A208="","",F208/IF(A208=$B$3,Resumen!#REF!,VLOOKUP(A208,Graf_PowerBI!$A$4:$D$39,4,0)))</f>
        <v/>
      </c>
      <c r="P208" s="163" t="str">
        <f>IF(J208="","",N208/IF(J208=$B$3,Resumen!#REF!,VLOOKUP(J208,Graf_PowerBI!$A$4:$D$39,3,0)))</f>
        <v/>
      </c>
      <c r="Q208" s="163" t="str">
        <f>IF(J208="","",O208/IF(J208=$B$3,Resumen!#REF!,VLOOKUP(J208,Graf_PowerBI!$A$4:$D$39,4,0)))</f>
        <v/>
      </c>
      <c r="S208" s="215" t="str">
        <f t="shared" si="6"/>
        <v/>
      </c>
    </row>
    <row r="209" spans="7:19">
      <c r="G209" s="163" t="str">
        <f>IF(A209="","",E209/IF(A209=$B$3,Resumen!#REF!,VLOOKUP(A209,Graf_PowerBI!$A$4:$D$39,3,0)))</f>
        <v/>
      </c>
      <c r="H209" s="163" t="str">
        <f>IF(A209="","",F209/IF(A209=$B$3,Resumen!#REF!,VLOOKUP(A209,Graf_PowerBI!$A$4:$D$39,4,0)))</f>
        <v/>
      </c>
      <c r="P209" s="163" t="str">
        <f>IF(J209="","",N209/IF(J209=$B$3,Resumen!#REF!,VLOOKUP(J209,Graf_PowerBI!$A$4:$D$39,3,0)))</f>
        <v/>
      </c>
      <c r="Q209" s="163" t="str">
        <f>IF(J209="","",O209/IF(J209=$B$3,Resumen!#REF!,VLOOKUP(J209,Graf_PowerBI!$A$4:$D$39,4,0)))</f>
        <v/>
      </c>
      <c r="S209" s="215" t="str">
        <f t="shared" si="6"/>
        <v/>
      </c>
    </row>
    <row r="210" spans="7:19">
      <c r="G210" s="163" t="str">
        <f>IF(A210="","",E210/IF(A210=$B$3,Resumen!#REF!,VLOOKUP(A210,Graf_PowerBI!$A$4:$D$39,3,0)))</f>
        <v/>
      </c>
      <c r="H210" s="163" t="str">
        <f>IF(A210="","",F210/IF(A210=$B$3,Resumen!#REF!,VLOOKUP(A210,Graf_PowerBI!$A$4:$D$39,4,0)))</f>
        <v/>
      </c>
      <c r="P210" s="163" t="str">
        <f>IF(J210="","",N210/IF(J210=$B$3,Resumen!#REF!,VLOOKUP(J210,Graf_PowerBI!$A$4:$D$39,3,0)))</f>
        <v/>
      </c>
      <c r="Q210" s="163" t="str">
        <f>IF(J210="","",O210/IF(J210=$B$3,Resumen!#REF!,VLOOKUP(J210,Graf_PowerBI!$A$4:$D$39,4,0)))</f>
        <v/>
      </c>
      <c r="S210" s="215" t="str">
        <f t="shared" si="6"/>
        <v/>
      </c>
    </row>
    <row r="211" spans="7:19">
      <c r="G211" s="163" t="str">
        <f>IF(A211="","",E211/IF(A211=$B$3,Resumen!#REF!,VLOOKUP(A211,Graf_PowerBI!$A$4:$D$39,3,0)))</f>
        <v/>
      </c>
      <c r="H211" s="163" t="str">
        <f>IF(A211="","",F211/IF(A211=$B$3,Resumen!#REF!,VLOOKUP(A211,Graf_PowerBI!$A$4:$D$39,4,0)))</f>
        <v/>
      </c>
      <c r="P211" s="163" t="str">
        <f>IF(J211="","",N211/IF(J211=$B$3,Resumen!#REF!,VLOOKUP(J211,Graf_PowerBI!$A$4:$D$39,3,0)))</f>
        <v/>
      </c>
      <c r="Q211" s="163" t="str">
        <f>IF(J211="","",O211/IF(J211=$B$3,Resumen!#REF!,VLOOKUP(J211,Graf_PowerBI!$A$4:$D$39,4,0)))</f>
        <v/>
      </c>
      <c r="S211" s="215" t="str">
        <f t="shared" si="6"/>
        <v/>
      </c>
    </row>
    <row r="212" spans="7:19">
      <c r="G212" s="163" t="str">
        <f>IF(A212="","",E212/IF(A212=$B$3,Resumen!#REF!,VLOOKUP(A212,Graf_PowerBI!$A$4:$D$39,3,0)))</f>
        <v/>
      </c>
      <c r="H212" s="163" t="str">
        <f>IF(A212="","",F212/IF(A212=$B$3,Resumen!#REF!,VLOOKUP(A212,Graf_PowerBI!$A$4:$D$39,4,0)))</f>
        <v/>
      </c>
      <c r="P212" s="163" t="str">
        <f>IF(J212="","",N212/IF(J212=$B$3,Resumen!#REF!,VLOOKUP(J212,Graf_PowerBI!$A$4:$D$39,3,0)))</f>
        <v/>
      </c>
      <c r="Q212" s="163" t="str">
        <f>IF(J212="","",O212/IF(J212=$B$3,Resumen!#REF!,VLOOKUP(J212,Graf_PowerBI!$A$4:$D$39,4,0)))</f>
        <v/>
      </c>
      <c r="S212" s="215" t="str">
        <f t="shared" si="6"/>
        <v/>
      </c>
    </row>
    <row r="213" spans="7:19">
      <c r="G213" s="163" t="str">
        <f>IF(A213="","",E213/IF(A213=$B$3,Resumen!#REF!,VLOOKUP(A213,Graf_PowerBI!$A$4:$D$39,3,0)))</f>
        <v/>
      </c>
      <c r="H213" s="163" t="str">
        <f>IF(A213="","",F213/IF(A213=$B$3,Resumen!#REF!,VLOOKUP(A213,Graf_PowerBI!$A$4:$D$39,4,0)))</f>
        <v/>
      </c>
      <c r="P213" s="163" t="str">
        <f>IF(J213="","",N213/IF(J213=$B$3,Resumen!#REF!,VLOOKUP(J213,Graf_PowerBI!$A$4:$D$39,3,0)))</f>
        <v/>
      </c>
      <c r="Q213" s="163" t="str">
        <f>IF(J213="","",O213/IF(J213=$B$3,Resumen!#REF!,VLOOKUP(J213,Graf_PowerBI!$A$4:$D$39,4,0)))</f>
        <v/>
      </c>
      <c r="S213" s="215" t="str">
        <f t="shared" si="6"/>
        <v/>
      </c>
    </row>
    <row r="214" spans="7:19">
      <c r="G214" s="163" t="str">
        <f>IF(A214="","",E214/IF(A214=$B$3,Resumen!#REF!,VLOOKUP(A214,Graf_PowerBI!$A$4:$D$39,3,0)))</f>
        <v/>
      </c>
      <c r="H214" s="163" t="str">
        <f>IF(A214="","",F214/IF(A214=$B$3,Resumen!#REF!,VLOOKUP(A214,Graf_PowerBI!$A$4:$D$39,4,0)))</f>
        <v/>
      </c>
      <c r="P214" s="163" t="str">
        <f>IF(J214="","",N214/IF(J214=$B$3,Resumen!#REF!,VLOOKUP(J214,Graf_PowerBI!$A$4:$D$39,3,0)))</f>
        <v/>
      </c>
      <c r="Q214" s="163" t="str">
        <f>IF(J214="","",O214/IF(J214=$B$3,Resumen!#REF!,VLOOKUP(J214,Graf_PowerBI!$A$4:$D$39,4,0)))</f>
        <v/>
      </c>
      <c r="S214" s="215" t="str">
        <f t="shared" si="6"/>
        <v/>
      </c>
    </row>
    <row r="215" spans="7:19">
      <c r="G215" s="163" t="str">
        <f>IF(A215="","",E215/IF(A215=$B$3,Resumen!#REF!,VLOOKUP(A215,Graf_PowerBI!$A$4:$D$39,3,0)))</f>
        <v/>
      </c>
      <c r="H215" s="163" t="str">
        <f>IF(A215="","",F215/IF(A215=$B$3,Resumen!#REF!,VLOOKUP(A215,Graf_PowerBI!$A$4:$D$39,4,0)))</f>
        <v/>
      </c>
      <c r="P215" s="163" t="str">
        <f>IF(J215="","",N215/IF(J215=$B$3,Resumen!#REF!,VLOOKUP(J215,Graf_PowerBI!$A$4:$D$39,3,0)))</f>
        <v/>
      </c>
      <c r="Q215" s="163" t="str">
        <f>IF(J215="","",O215/IF(J215=$B$3,Resumen!#REF!,VLOOKUP(J215,Graf_PowerBI!$A$4:$D$39,4,0)))</f>
        <v/>
      </c>
      <c r="S215" s="215" t="str">
        <f t="shared" si="6"/>
        <v/>
      </c>
    </row>
    <row r="216" spans="7:19">
      <c r="G216" s="163" t="str">
        <f>IF(A216="","",E216/IF(A216=$B$3,Resumen!#REF!,VLOOKUP(A216,Graf_PowerBI!$A$4:$D$39,3,0)))</f>
        <v/>
      </c>
      <c r="H216" s="163" t="str">
        <f>IF(A216="","",F216/IF(A216=$B$3,Resumen!#REF!,VLOOKUP(A216,Graf_PowerBI!$A$4:$D$39,4,0)))</f>
        <v/>
      </c>
      <c r="P216" s="163" t="str">
        <f>IF(J216="","",N216/IF(J216=$B$3,Resumen!#REF!,VLOOKUP(J216,Graf_PowerBI!$A$4:$D$39,3,0)))</f>
        <v/>
      </c>
      <c r="Q216" s="163" t="str">
        <f>IF(J216="","",O216/IF(J216=$B$3,Resumen!#REF!,VLOOKUP(J216,Graf_PowerBI!$A$4:$D$39,4,0)))</f>
        <v/>
      </c>
      <c r="S216" s="215" t="str">
        <f t="shared" si="6"/>
        <v/>
      </c>
    </row>
    <row r="217" spans="7:19">
      <c r="G217" s="163" t="str">
        <f>IF(A217="","",E217/IF(A217=$B$3,Resumen!#REF!,VLOOKUP(A217,Graf_PowerBI!$A$4:$D$39,3,0)))</f>
        <v/>
      </c>
      <c r="H217" s="163" t="str">
        <f>IF(A217="","",F217/IF(A217=$B$3,Resumen!#REF!,VLOOKUP(A217,Graf_PowerBI!$A$4:$D$39,4,0)))</f>
        <v/>
      </c>
      <c r="P217" s="163" t="str">
        <f>IF(J217="","",N217/IF(J217=$B$3,Resumen!#REF!,VLOOKUP(J217,Graf_PowerBI!$A$4:$D$39,3,0)))</f>
        <v/>
      </c>
      <c r="Q217" s="163" t="str">
        <f>IF(J217="","",O217/IF(J217=$B$3,Resumen!#REF!,VLOOKUP(J217,Graf_PowerBI!$A$4:$D$39,4,0)))</f>
        <v/>
      </c>
      <c r="S217" s="215" t="str">
        <f t="shared" si="6"/>
        <v/>
      </c>
    </row>
    <row r="218" spans="7:19">
      <c r="G218" s="163" t="str">
        <f>IF(A218="","",E218/IF(A218=$B$3,Resumen!#REF!,VLOOKUP(A218,Graf_PowerBI!$A$4:$D$39,3,0)))</f>
        <v/>
      </c>
      <c r="H218" s="163" t="str">
        <f>IF(A218="","",F218/IF(A218=$B$3,Resumen!#REF!,VLOOKUP(A218,Graf_PowerBI!$A$4:$D$39,4,0)))</f>
        <v/>
      </c>
      <c r="P218" s="163" t="str">
        <f>IF(J218="","",N218/IF(J218=$B$3,Resumen!#REF!,VLOOKUP(J218,Graf_PowerBI!$A$4:$D$39,3,0)))</f>
        <v/>
      </c>
      <c r="Q218" s="163" t="str">
        <f>IF(J218="","",O218/IF(J218=$B$3,Resumen!#REF!,VLOOKUP(J218,Graf_PowerBI!$A$4:$D$39,4,0)))</f>
        <v/>
      </c>
      <c r="S218" s="215" t="str">
        <f t="shared" si="6"/>
        <v/>
      </c>
    </row>
    <row r="219" spans="7:19">
      <c r="G219" s="163" t="str">
        <f>IF(A219="","",E219/IF(A219=$B$3,Resumen!#REF!,VLOOKUP(A219,Graf_PowerBI!$A$4:$D$39,3,0)))</f>
        <v/>
      </c>
      <c r="H219" s="163" t="str">
        <f>IF(A219="","",F219/IF(A219=$B$3,Resumen!#REF!,VLOOKUP(A219,Graf_PowerBI!$A$4:$D$39,4,0)))</f>
        <v/>
      </c>
      <c r="P219" s="163" t="str">
        <f>IF(J219="","",N219/IF(J219=$B$3,Resumen!#REF!,VLOOKUP(J219,Graf_PowerBI!$A$4:$D$39,3,0)))</f>
        <v/>
      </c>
      <c r="Q219" s="163" t="str">
        <f>IF(J219="","",O219/IF(J219=$B$3,Resumen!#REF!,VLOOKUP(J219,Graf_PowerBI!$A$4:$D$39,4,0)))</f>
        <v/>
      </c>
      <c r="S219" s="215" t="str">
        <f t="shared" si="6"/>
        <v/>
      </c>
    </row>
    <row r="220" spans="7:19">
      <c r="G220" s="163" t="str">
        <f>IF(A220="","",E220/IF(A220=$B$3,Resumen!#REF!,VLOOKUP(A220,Graf_PowerBI!$A$4:$D$39,3,0)))</f>
        <v/>
      </c>
      <c r="H220" s="163" t="str">
        <f>IF(A220="","",F220/IF(A220=$B$3,Resumen!#REF!,VLOOKUP(A220,Graf_PowerBI!$A$4:$D$39,4,0)))</f>
        <v/>
      </c>
      <c r="P220" s="163" t="str">
        <f>IF(J220="","",N220/IF(J220=$B$3,Resumen!#REF!,VLOOKUP(J220,Graf_PowerBI!$A$4:$D$39,3,0)))</f>
        <v/>
      </c>
      <c r="Q220" s="163" t="str">
        <f>IF(J220="","",O220/IF(J220=$B$3,Resumen!#REF!,VLOOKUP(J220,Graf_PowerBI!$A$4:$D$39,4,0)))</f>
        <v/>
      </c>
      <c r="S220" s="215" t="str">
        <f t="shared" si="6"/>
        <v/>
      </c>
    </row>
    <row r="221" spans="7:19">
      <c r="G221" s="163" t="str">
        <f>IF(A221="","",E221/IF(A221=$B$3,Resumen!#REF!,VLOOKUP(A221,Graf_PowerBI!$A$4:$D$39,3,0)))</f>
        <v/>
      </c>
      <c r="H221" s="163" t="str">
        <f>IF(A221="","",F221/IF(A221=$B$3,Resumen!#REF!,VLOOKUP(A221,Graf_PowerBI!$A$4:$D$39,4,0)))</f>
        <v/>
      </c>
      <c r="P221" s="163" t="str">
        <f>IF(J221="","",N221/IF(J221=$B$3,Resumen!#REF!,VLOOKUP(J221,Graf_PowerBI!$A$4:$D$39,3,0)))</f>
        <v/>
      </c>
      <c r="Q221" s="163" t="str">
        <f>IF(J221="","",O221/IF(J221=$B$3,Resumen!#REF!,VLOOKUP(J221,Graf_PowerBI!$A$4:$D$39,4,0)))</f>
        <v/>
      </c>
      <c r="S221" s="215" t="str">
        <f t="shared" si="6"/>
        <v/>
      </c>
    </row>
    <row r="222" spans="7:19">
      <c r="G222" s="163" t="str">
        <f>IF(A222="","",E222/IF(A222=$B$3,Resumen!#REF!,VLOOKUP(A222,Graf_PowerBI!$A$4:$D$39,3,0)))</f>
        <v/>
      </c>
      <c r="H222" s="163" t="str">
        <f>IF(A222="","",F222/IF(A222=$B$3,Resumen!#REF!,VLOOKUP(A222,Graf_PowerBI!$A$4:$D$39,4,0)))</f>
        <v/>
      </c>
      <c r="P222" s="163" t="str">
        <f>IF(J222="","",N222/IF(J222=$B$3,Resumen!#REF!,VLOOKUP(J222,Graf_PowerBI!$A$4:$D$39,3,0)))</f>
        <v/>
      </c>
      <c r="Q222" s="163" t="str">
        <f>IF(J222="","",O222/IF(J222=$B$3,Resumen!#REF!,VLOOKUP(J222,Graf_PowerBI!$A$4:$D$39,4,0)))</f>
        <v/>
      </c>
      <c r="S222" s="215" t="str">
        <f t="shared" si="6"/>
        <v/>
      </c>
    </row>
    <row r="223" spans="7:19">
      <c r="G223" s="163" t="str">
        <f>IF(A223="","",E223/IF(A223=$B$3,Resumen!#REF!,VLOOKUP(A223,Graf_PowerBI!$A$4:$D$39,3,0)))</f>
        <v/>
      </c>
      <c r="H223" s="163" t="str">
        <f>IF(A223="","",F223/IF(A223=$B$3,Resumen!#REF!,VLOOKUP(A223,Graf_PowerBI!$A$4:$D$39,4,0)))</f>
        <v/>
      </c>
      <c r="P223" s="163" t="str">
        <f>IF(J223="","",N223/IF(J223=$B$3,Resumen!#REF!,VLOOKUP(J223,Graf_PowerBI!$A$4:$D$39,3,0)))</f>
        <v/>
      </c>
      <c r="Q223" s="163" t="str">
        <f>IF(J223="","",O223/IF(J223=$B$3,Resumen!#REF!,VLOOKUP(J223,Graf_PowerBI!$A$4:$D$39,4,0)))</f>
        <v/>
      </c>
      <c r="S223" s="215" t="str">
        <f t="shared" si="6"/>
        <v/>
      </c>
    </row>
    <row r="224" spans="7:19">
      <c r="G224" s="163" t="str">
        <f>IF(A224="","",E224/IF(A224=$B$3,Resumen!#REF!,VLOOKUP(A224,Graf_PowerBI!$A$4:$D$39,3,0)))</f>
        <v/>
      </c>
      <c r="H224" s="163" t="str">
        <f>IF(A224="","",F224/IF(A224=$B$3,Resumen!#REF!,VLOOKUP(A224,Graf_PowerBI!$A$4:$D$39,4,0)))</f>
        <v/>
      </c>
      <c r="P224" s="163" t="str">
        <f>IF(J224="","",N224/IF(J224=$B$3,Resumen!#REF!,VLOOKUP(J224,Graf_PowerBI!$A$4:$D$39,3,0)))</f>
        <v/>
      </c>
      <c r="Q224" s="163" t="str">
        <f>IF(J224="","",O224/IF(J224=$B$3,Resumen!#REF!,VLOOKUP(J224,Graf_PowerBI!$A$4:$D$39,4,0)))</f>
        <v/>
      </c>
      <c r="S224" s="215" t="str">
        <f t="shared" si="6"/>
        <v/>
      </c>
    </row>
    <row r="225" spans="7:19">
      <c r="G225" s="163" t="str">
        <f>IF(A225="","",E225/IF(A225=$B$3,Resumen!#REF!,VLOOKUP(A225,Graf_PowerBI!$A$4:$D$39,3,0)))</f>
        <v/>
      </c>
      <c r="H225" s="163" t="str">
        <f>IF(A225="","",F225/IF(A225=$B$3,Resumen!#REF!,VLOOKUP(A225,Graf_PowerBI!$A$4:$D$39,4,0)))</f>
        <v/>
      </c>
      <c r="P225" s="163" t="str">
        <f>IF(J225="","",N225/IF(J225=$B$3,Resumen!#REF!,VLOOKUP(J225,Graf_PowerBI!$A$4:$D$39,3,0)))</f>
        <v/>
      </c>
      <c r="Q225" s="163" t="str">
        <f>IF(J225="","",O225/IF(J225=$B$3,Resumen!#REF!,VLOOKUP(J225,Graf_PowerBI!$A$4:$D$39,4,0)))</f>
        <v/>
      </c>
      <c r="S225" s="215" t="str">
        <f t="shared" si="6"/>
        <v/>
      </c>
    </row>
    <row r="226" spans="7:19">
      <c r="G226" s="163" t="str">
        <f>IF(A226="","",E226/IF(A226=$B$3,Resumen!#REF!,VLOOKUP(A226,Graf_PowerBI!$A$4:$D$39,3,0)))</f>
        <v/>
      </c>
      <c r="H226" s="163" t="str">
        <f>IF(A226="","",F226/IF(A226=$B$3,Resumen!#REF!,VLOOKUP(A226,Graf_PowerBI!$A$4:$D$39,4,0)))</f>
        <v/>
      </c>
      <c r="P226" s="163" t="str">
        <f>IF(J226="","",N226/IF(J226=$B$3,Resumen!#REF!,VLOOKUP(J226,Graf_PowerBI!$A$4:$D$39,3,0)))</f>
        <v/>
      </c>
      <c r="Q226" s="163" t="str">
        <f>IF(J226="","",O226/IF(J226=$B$3,Resumen!#REF!,VLOOKUP(J226,Graf_PowerBI!$A$4:$D$39,4,0)))</f>
        <v/>
      </c>
      <c r="S226" s="215" t="str">
        <f t="shared" si="6"/>
        <v/>
      </c>
    </row>
    <row r="227" spans="7:19">
      <c r="G227" s="163" t="str">
        <f>IF(A227="","",E227/IF(A227=$B$3,Resumen!#REF!,VLOOKUP(A227,Graf_PowerBI!$A$4:$D$39,3,0)))</f>
        <v/>
      </c>
      <c r="H227" s="163" t="str">
        <f>IF(A227="","",F227/IF(A227=$B$3,Resumen!#REF!,VLOOKUP(A227,Graf_PowerBI!$A$4:$D$39,4,0)))</f>
        <v/>
      </c>
      <c r="P227" s="163" t="str">
        <f>IF(J227="","",N227/IF(J227=$B$3,Resumen!#REF!,VLOOKUP(J227,Graf_PowerBI!$A$4:$D$39,3,0)))</f>
        <v/>
      </c>
      <c r="Q227" s="163" t="str">
        <f>IF(J227="","",O227/IF(J227=$B$3,Resumen!#REF!,VLOOKUP(J227,Graf_PowerBI!$A$4:$D$39,4,0)))</f>
        <v/>
      </c>
      <c r="S227" s="215" t="str">
        <f t="shared" si="6"/>
        <v/>
      </c>
    </row>
    <row r="228" spans="7:19">
      <c r="G228" s="163" t="str">
        <f>IF(A228="","",E228/IF(A228=$B$3,Resumen!#REF!,VLOOKUP(A228,Graf_PowerBI!$A$4:$D$39,3,0)))</f>
        <v/>
      </c>
      <c r="H228" s="163" t="str">
        <f>IF(A228="","",F228/IF(A228=$B$3,Resumen!#REF!,VLOOKUP(A228,Graf_PowerBI!$A$4:$D$39,4,0)))</f>
        <v/>
      </c>
      <c r="P228" s="163" t="str">
        <f>IF(J228="","",N228/IF(J228=$B$3,Resumen!#REF!,VLOOKUP(J228,Graf_PowerBI!$A$4:$D$39,3,0)))</f>
        <v/>
      </c>
      <c r="Q228" s="163" t="str">
        <f>IF(J228="","",O228/IF(J228=$B$3,Resumen!#REF!,VLOOKUP(J228,Graf_PowerBI!$A$4:$D$39,4,0)))</f>
        <v/>
      </c>
      <c r="S228" s="215" t="str">
        <f t="shared" si="6"/>
        <v/>
      </c>
    </row>
    <row r="229" spans="7:19">
      <c r="G229" s="163" t="str">
        <f>IF(A229="","",E229/IF(A229=$B$3,Resumen!#REF!,VLOOKUP(A229,Graf_PowerBI!$A$4:$D$39,3,0)))</f>
        <v/>
      </c>
      <c r="H229" s="163" t="str">
        <f>IF(A229="","",F229/IF(A229=$B$3,Resumen!#REF!,VLOOKUP(A229,Graf_PowerBI!$A$4:$D$39,4,0)))</f>
        <v/>
      </c>
      <c r="P229" s="163" t="str">
        <f>IF(J229="","",N229/IF(J229=$B$3,Resumen!#REF!,VLOOKUP(J229,Graf_PowerBI!$A$4:$D$39,3,0)))</f>
        <v/>
      </c>
      <c r="Q229" s="163" t="str">
        <f>IF(J229="","",O229/IF(J229=$B$3,Resumen!#REF!,VLOOKUP(J229,Graf_PowerBI!$A$4:$D$39,4,0)))</f>
        <v/>
      </c>
      <c r="S229" s="215" t="str">
        <f t="shared" si="6"/>
        <v/>
      </c>
    </row>
    <row r="230" spans="7:19">
      <c r="G230" s="163" t="str">
        <f>IF(A230="","",E230/IF(A230=$B$3,Resumen!#REF!,VLOOKUP(A230,Graf_PowerBI!$A$4:$D$39,3,0)))</f>
        <v/>
      </c>
      <c r="H230" s="163" t="str">
        <f>IF(A230="","",F230/IF(A230=$B$3,Resumen!#REF!,VLOOKUP(A230,Graf_PowerBI!$A$4:$D$39,4,0)))</f>
        <v/>
      </c>
      <c r="P230" s="163" t="str">
        <f>IF(J230="","",N230/IF(J230=$B$3,Resumen!#REF!,VLOOKUP(J230,Graf_PowerBI!$A$4:$D$39,3,0)))</f>
        <v/>
      </c>
      <c r="Q230" s="163" t="str">
        <f>IF(J230="","",O230/IF(J230=$B$3,Resumen!#REF!,VLOOKUP(J230,Graf_PowerBI!$A$4:$D$39,4,0)))</f>
        <v/>
      </c>
      <c r="S230" s="215" t="str">
        <f t="shared" si="6"/>
        <v/>
      </c>
    </row>
    <row r="231" spans="7:19">
      <c r="G231" s="163" t="str">
        <f>IF(A231="","",E231/IF(A231=$B$3,Resumen!#REF!,VLOOKUP(A231,Graf_PowerBI!$A$4:$D$39,3,0)))</f>
        <v/>
      </c>
      <c r="H231" s="163" t="str">
        <f>IF(A231="","",F231/IF(A231=$B$3,Resumen!#REF!,VLOOKUP(A231,Graf_PowerBI!$A$4:$D$39,4,0)))</f>
        <v/>
      </c>
      <c r="P231" s="163" t="str">
        <f>IF(J231="","",N231/IF(J231=$B$3,Resumen!#REF!,VLOOKUP(J231,Graf_PowerBI!$A$4:$D$39,3,0)))</f>
        <v/>
      </c>
      <c r="Q231" s="163" t="str">
        <f>IF(J231="","",O231/IF(J231=$B$3,Resumen!#REF!,VLOOKUP(J231,Graf_PowerBI!$A$4:$D$39,4,0)))</f>
        <v/>
      </c>
      <c r="S231" s="215" t="str">
        <f t="shared" si="6"/>
        <v/>
      </c>
    </row>
    <row r="232" spans="7:19">
      <c r="G232" s="163" t="str">
        <f>IF(A232="","",E232/IF(A232=$B$3,Resumen!#REF!,VLOOKUP(A232,Graf_PowerBI!$A$4:$D$39,3,0)))</f>
        <v/>
      </c>
      <c r="H232" s="163" t="str">
        <f>IF(A232="","",F232/IF(A232=$B$3,Resumen!#REF!,VLOOKUP(A232,Graf_PowerBI!$A$4:$D$39,4,0)))</f>
        <v/>
      </c>
      <c r="P232" s="163" t="str">
        <f>IF(J232="","",N232/IF(J232=$B$3,Resumen!#REF!,VLOOKUP(J232,Graf_PowerBI!$A$4:$D$39,3,0)))</f>
        <v/>
      </c>
      <c r="Q232" s="163" t="str">
        <f>IF(J232="","",O232/IF(J232=$B$3,Resumen!#REF!,VLOOKUP(J232,Graf_PowerBI!$A$4:$D$39,4,0)))</f>
        <v/>
      </c>
      <c r="S232" s="215" t="str">
        <f t="shared" si="6"/>
        <v/>
      </c>
    </row>
    <row r="233" spans="7:19">
      <c r="G233" s="163" t="str">
        <f>IF(A233="","",E233/IF(A233=$B$3,Resumen!#REF!,VLOOKUP(A233,Graf_PowerBI!$A$4:$D$39,3,0)))</f>
        <v/>
      </c>
      <c r="H233" s="163" t="str">
        <f>IF(A233="","",F233/IF(A233=$B$3,Resumen!#REF!,VLOOKUP(A233,Graf_PowerBI!$A$4:$D$39,4,0)))</f>
        <v/>
      </c>
      <c r="P233" s="163" t="str">
        <f>IF(J233="","",N233/IF(J233=$B$3,Resumen!#REF!,VLOOKUP(J233,Graf_PowerBI!$A$4:$D$39,3,0)))</f>
        <v/>
      </c>
      <c r="Q233" s="163" t="str">
        <f>IF(J233="","",O233/IF(J233=$B$3,Resumen!#REF!,VLOOKUP(J233,Graf_PowerBI!$A$4:$D$39,4,0)))</f>
        <v/>
      </c>
      <c r="S233" s="215" t="str">
        <f t="shared" si="6"/>
        <v/>
      </c>
    </row>
    <row r="234" spans="7:19">
      <c r="G234" s="163" t="str">
        <f>IF(A234="","",E234/IF(A234=$B$3,Resumen!#REF!,VLOOKUP(A234,Graf_PowerBI!$A$4:$D$39,3,0)))</f>
        <v/>
      </c>
      <c r="H234" s="163" t="str">
        <f>IF(A234="","",F234/IF(A234=$B$3,Resumen!#REF!,VLOOKUP(A234,Graf_PowerBI!$A$4:$D$39,4,0)))</f>
        <v/>
      </c>
      <c r="P234" s="163" t="str">
        <f>IF(J234="","",N234/IF(J234=$B$3,Resumen!#REF!,VLOOKUP(J234,Graf_PowerBI!$A$4:$D$39,3,0)))</f>
        <v/>
      </c>
      <c r="Q234" s="163" t="str">
        <f>IF(J234="","",O234/IF(J234=$B$3,Resumen!#REF!,VLOOKUP(J234,Graf_PowerBI!$A$4:$D$39,4,0)))</f>
        <v/>
      </c>
      <c r="S234" s="215" t="str">
        <f t="shared" si="6"/>
        <v/>
      </c>
    </row>
    <row r="235" spans="7:19">
      <c r="G235" s="163" t="str">
        <f>IF(A235="","",E235/IF(A235=$B$3,Resumen!#REF!,VLOOKUP(A235,Graf_PowerBI!$A$4:$D$39,3,0)))</f>
        <v/>
      </c>
      <c r="H235" s="163" t="str">
        <f>IF(A235="","",F235/IF(A235=$B$3,Resumen!#REF!,VLOOKUP(A235,Graf_PowerBI!$A$4:$D$39,4,0)))</f>
        <v/>
      </c>
      <c r="P235" s="163" t="str">
        <f>IF(J235="","",N235/IF(J235=$B$3,Resumen!#REF!,VLOOKUP(J235,Graf_PowerBI!$A$4:$D$39,3,0)))</f>
        <v/>
      </c>
      <c r="Q235" s="163" t="str">
        <f>IF(J235="","",O235/IF(J235=$B$3,Resumen!#REF!,VLOOKUP(J235,Graf_PowerBI!$A$4:$D$39,4,0)))</f>
        <v/>
      </c>
      <c r="S235" s="215" t="str">
        <f t="shared" si="6"/>
        <v/>
      </c>
    </row>
    <row r="236" spans="7:19">
      <c r="G236" s="163" t="str">
        <f>IF(A236="","",E236/IF(A236=$B$3,Resumen!#REF!,VLOOKUP(A236,Graf_PowerBI!$A$4:$D$39,3,0)))</f>
        <v/>
      </c>
      <c r="H236" s="163" t="str">
        <f>IF(A236="","",F236/IF(A236=$B$3,Resumen!#REF!,VLOOKUP(A236,Graf_PowerBI!$A$4:$D$39,4,0)))</f>
        <v/>
      </c>
      <c r="P236" s="163" t="str">
        <f>IF(J236="","",N236/IF(J236=$B$3,Resumen!#REF!,VLOOKUP(J236,Graf_PowerBI!$A$4:$D$39,3,0)))</f>
        <v/>
      </c>
      <c r="Q236" s="163" t="str">
        <f>IF(J236="","",O236/IF(J236=$B$3,Resumen!#REF!,VLOOKUP(J236,Graf_PowerBI!$A$4:$D$39,4,0)))</f>
        <v/>
      </c>
      <c r="S236" s="215" t="str">
        <f t="shared" si="6"/>
        <v/>
      </c>
    </row>
    <row r="237" spans="7:19">
      <c r="G237" s="163" t="str">
        <f>IF(A237="","",E237/IF(A237=$B$3,Resumen!#REF!,VLOOKUP(A237,Graf_PowerBI!$A$4:$D$39,3,0)))</f>
        <v/>
      </c>
      <c r="H237" s="163" t="str">
        <f>IF(A237="","",F237/IF(A237=$B$3,Resumen!#REF!,VLOOKUP(A237,Graf_PowerBI!$A$4:$D$39,4,0)))</f>
        <v/>
      </c>
      <c r="P237" s="163" t="str">
        <f>IF(J237="","",N237/IF(J237=$B$3,Resumen!#REF!,VLOOKUP(J237,Graf_PowerBI!$A$4:$D$39,3,0)))</f>
        <v/>
      </c>
      <c r="Q237" s="163" t="str">
        <f>IF(J237="","",O237/IF(J237=$B$3,Resumen!#REF!,VLOOKUP(J237,Graf_PowerBI!$A$4:$D$39,4,0)))</f>
        <v/>
      </c>
      <c r="S237" s="215" t="str">
        <f t="shared" si="6"/>
        <v/>
      </c>
    </row>
    <row r="238" spans="7:19">
      <c r="G238" s="163" t="str">
        <f>IF(A238="","",E238/IF(A238=$B$3,Resumen!#REF!,VLOOKUP(A238,Graf_PowerBI!$A$4:$D$39,3,0)))</f>
        <v/>
      </c>
      <c r="H238" s="163" t="str">
        <f>IF(A238="","",F238/IF(A238=$B$3,Resumen!#REF!,VLOOKUP(A238,Graf_PowerBI!$A$4:$D$39,4,0)))</f>
        <v/>
      </c>
      <c r="P238" s="163" t="str">
        <f>IF(J238="","",N238/IF(J238=$B$3,Resumen!#REF!,VLOOKUP(J238,Graf_PowerBI!$A$4:$D$39,3,0)))</f>
        <v/>
      </c>
      <c r="Q238" s="163" t="str">
        <f>IF(J238="","",O238/IF(J238=$B$3,Resumen!#REF!,VLOOKUP(J238,Graf_PowerBI!$A$4:$D$39,4,0)))</f>
        <v/>
      </c>
      <c r="S238" s="215" t="str">
        <f t="shared" si="6"/>
        <v/>
      </c>
    </row>
    <row r="239" spans="7:19">
      <c r="G239" s="163" t="str">
        <f>IF(A239="","",E239/IF(A239=$B$3,Resumen!#REF!,VLOOKUP(A239,Graf_PowerBI!$A$4:$D$39,3,0)))</f>
        <v/>
      </c>
      <c r="H239" s="163" t="str">
        <f>IF(A239="","",F239/IF(A239=$B$3,Resumen!#REF!,VLOOKUP(A239,Graf_PowerBI!$A$4:$D$39,4,0)))</f>
        <v/>
      </c>
      <c r="P239" s="163" t="str">
        <f>IF(J239="","",N239/IF(J239=$B$3,Resumen!#REF!,VLOOKUP(J239,Graf_PowerBI!$A$4:$D$39,3,0)))</f>
        <v/>
      </c>
      <c r="Q239" s="163" t="str">
        <f>IF(J239="","",O239/IF(J239=$B$3,Resumen!#REF!,VLOOKUP(J239,Graf_PowerBI!$A$4:$D$39,4,0)))</f>
        <v/>
      </c>
      <c r="S239" s="215" t="str">
        <f t="shared" si="6"/>
        <v/>
      </c>
    </row>
    <row r="240" spans="7:19">
      <c r="G240" s="163" t="str">
        <f>IF(A240="","",E240/IF(A240=$B$3,Resumen!#REF!,VLOOKUP(A240,Graf_PowerBI!$A$4:$D$39,3,0)))</f>
        <v/>
      </c>
      <c r="H240" s="163" t="str">
        <f>IF(A240="","",F240/IF(A240=$B$3,Resumen!#REF!,VLOOKUP(A240,Graf_PowerBI!$A$4:$D$39,4,0)))</f>
        <v/>
      </c>
      <c r="P240" s="163" t="str">
        <f>IF(J240="","",N240/IF(J240=$B$3,Resumen!#REF!,VLOOKUP(J240,Graf_PowerBI!$A$4:$D$39,3,0)))</f>
        <v/>
      </c>
      <c r="Q240" s="163" t="str">
        <f>IF(J240="","",O240/IF(J240=$B$3,Resumen!#REF!,VLOOKUP(J240,Graf_PowerBI!$A$4:$D$39,4,0)))</f>
        <v/>
      </c>
      <c r="S240" s="215" t="str">
        <f t="shared" si="6"/>
        <v/>
      </c>
    </row>
    <row r="241" spans="7:19">
      <c r="G241" s="163" t="str">
        <f>IF(A241="","",E241/IF(A241=$B$3,Resumen!#REF!,VLOOKUP(A241,Graf_PowerBI!$A$4:$D$39,3,0)))</f>
        <v/>
      </c>
      <c r="H241" s="163" t="str">
        <f>IF(A241="","",F241/IF(A241=$B$3,Resumen!#REF!,VLOOKUP(A241,Graf_PowerBI!$A$4:$D$39,4,0)))</f>
        <v/>
      </c>
      <c r="P241" s="163" t="str">
        <f>IF(J241="","",N241/IF(J241=$B$3,Resumen!#REF!,VLOOKUP(J241,Graf_PowerBI!$A$4:$D$39,3,0)))</f>
        <v/>
      </c>
      <c r="Q241" s="163" t="str">
        <f>IF(J241="","",O241/IF(J241=$B$3,Resumen!#REF!,VLOOKUP(J241,Graf_PowerBI!$A$4:$D$39,4,0)))</f>
        <v/>
      </c>
      <c r="S241" s="215" t="str">
        <f t="shared" si="6"/>
        <v/>
      </c>
    </row>
    <row r="242" spans="7:19">
      <c r="G242" s="163" t="str">
        <f>IF(A242="","",E242/IF(A242=$B$3,Resumen!#REF!,VLOOKUP(A242,Graf_PowerBI!$A$4:$D$39,3,0)))</f>
        <v/>
      </c>
      <c r="H242" s="163" t="str">
        <f>IF(A242="","",F242/IF(A242=$B$3,Resumen!#REF!,VLOOKUP(A242,Graf_PowerBI!$A$4:$D$39,4,0)))</f>
        <v/>
      </c>
      <c r="P242" s="163" t="str">
        <f>IF(J242="","",N242/IF(J242=$B$3,Resumen!#REF!,VLOOKUP(J242,Graf_PowerBI!$A$4:$D$39,3,0)))</f>
        <v/>
      </c>
      <c r="Q242" s="163" t="str">
        <f>IF(J242="","",O242/IF(J242=$B$3,Resumen!#REF!,VLOOKUP(J242,Graf_PowerBI!$A$4:$D$39,4,0)))</f>
        <v/>
      </c>
      <c r="S242" s="215" t="str">
        <f t="shared" si="6"/>
        <v/>
      </c>
    </row>
    <row r="243" spans="7:19">
      <c r="G243" s="163" t="str">
        <f>IF(A243="","",E243/IF(A243=$B$3,Resumen!#REF!,VLOOKUP(A243,Graf_PowerBI!$A$4:$D$39,3,0)))</f>
        <v/>
      </c>
      <c r="H243" s="163" t="str">
        <f>IF(A243="","",F243/IF(A243=$B$3,Resumen!#REF!,VLOOKUP(A243,Graf_PowerBI!$A$4:$D$39,4,0)))</f>
        <v/>
      </c>
      <c r="P243" s="163" t="str">
        <f>IF(J243="","",N243/IF(J243=$B$3,Resumen!#REF!,VLOOKUP(J243,Graf_PowerBI!$A$4:$D$39,3,0)))</f>
        <v/>
      </c>
      <c r="Q243" s="163" t="str">
        <f>IF(J243="","",O243/IF(J243=$B$3,Resumen!#REF!,VLOOKUP(J243,Graf_PowerBI!$A$4:$D$39,4,0)))</f>
        <v/>
      </c>
      <c r="S243" s="215" t="str">
        <f t="shared" si="6"/>
        <v/>
      </c>
    </row>
    <row r="244" spans="7:19">
      <c r="G244" s="163" t="str">
        <f>IF(A244="","",E244/IF(A244=$B$3,Resumen!#REF!,VLOOKUP(A244,Graf_PowerBI!$A$4:$D$39,3,0)))</f>
        <v/>
      </c>
      <c r="H244" s="163" t="str">
        <f>IF(A244="","",F244/IF(A244=$B$3,Resumen!#REF!,VLOOKUP(A244,Graf_PowerBI!$A$4:$D$39,4,0)))</f>
        <v/>
      </c>
      <c r="P244" s="163" t="str">
        <f>IF(J244="","",N244/IF(J244=$B$3,Resumen!#REF!,VLOOKUP(J244,Graf_PowerBI!$A$4:$D$39,3,0)))</f>
        <v/>
      </c>
      <c r="Q244" s="163" t="str">
        <f>IF(J244="","",O244/IF(J244=$B$3,Resumen!#REF!,VLOOKUP(J244,Graf_PowerBI!$A$4:$D$39,4,0)))</f>
        <v/>
      </c>
      <c r="S244" s="215" t="str">
        <f t="shared" si="6"/>
        <v/>
      </c>
    </row>
    <row r="245" spans="7:19">
      <c r="G245" s="163" t="str">
        <f>IF(A245="","",E245/IF(A245=$B$3,Resumen!#REF!,VLOOKUP(A245,Graf_PowerBI!$A$4:$D$39,3,0)))</f>
        <v/>
      </c>
      <c r="H245" s="163" t="str">
        <f>IF(A245="","",F245/IF(A245=$B$3,Resumen!#REF!,VLOOKUP(A245,Graf_PowerBI!$A$4:$D$39,4,0)))</f>
        <v/>
      </c>
      <c r="P245" s="163" t="str">
        <f>IF(J245="","",N245/IF(J245=$B$3,Resumen!#REF!,VLOOKUP(J245,Graf_PowerBI!$A$4:$D$39,3,0)))</f>
        <v/>
      </c>
      <c r="Q245" s="163" t="str">
        <f>IF(J245="","",O245/IF(J245=$B$3,Resumen!#REF!,VLOOKUP(J245,Graf_PowerBI!$A$4:$D$39,4,0)))</f>
        <v/>
      </c>
      <c r="S245" s="215" t="str">
        <f t="shared" si="6"/>
        <v/>
      </c>
    </row>
    <row r="246" spans="7:19">
      <c r="G246" s="163" t="str">
        <f>IF(A246="","",E246/IF(A246=$B$3,Resumen!#REF!,VLOOKUP(A246,Graf_PowerBI!$A$4:$D$39,3,0)))</f>
        <v/>
      </c>
      <c r="H246" s="163" t="str">
        <f>IF(A246="","",F246/IF(A246=$B$3,Resumen!#REF!,VLOOKUP(A246,Graf_PowerBI!$A$4:$D$39,4,0)))</f>
        <v/>
      </c>
      <c r="P246" s="163" t="str">
        <f>IF(J246="","",N246/IF(J246=$B$3,Resumen!#REF!,VLOOKUP(J246,Graf_PowerBI!$A$4:$D$39,3,0)))</f>
        <v/>
      </c>
      <c r="Q246" s="163" t="str">
        <f>IF(J246="","",O246/IF(J246=$B$3,Resumen!#REF!,VLOOKUP(J246,Graf_PowerBI!$A$4:$D$39,4,0)))</f>
        <v/>
      </c>
      <c r="S246" s="215" t="str">
        <f t="shared" si="6"/>
        <v/>
      </c>
    </row>
    <row r="247" spans="7:19">
      <c r="G247" s="163" t="str">
        <f>IF(A247="","",E247/IF(A247=$B$3,Resumen!#REF!,VLOOKUP(A247,Graf_PowerBI!$A$4:$D$39,3,0)))</f>
        <v/>
      </c>
      <c r="H247" s="163" t="str">
        <f>IF(A247="","",F247/IF(A247=$B$3,Resumen!#REF!,VLOOKUP(A247,Graf_PowerBI!$A$4:$D$39,4,0)))</f>
        <v/>
      </c>
      <c r="P247" s="163" t="str">
        <f>IF(J247="","",N247/IF(J247=$B$3,Resumen!#REF!,VLOOKUP(J247,Graf_PowerBI!$A$4:$D$39,3,0)))</f>
        <v/>
      </c>
      <c r="Q247" s="163" t="str">
        <f>IF(J247="","",O247/IF(J247=$B$3,Resumen!#REF!,VLOOKUP(J247,Graf_PowerBI!$A$4:$D$39,4,0)))</f>
        <v/>
      </c>
      <c r="S247" s="215" t="str">
        <f t="shared" si="6"/>
        <v/>
      </c>
    </row>
    <row r="248" spans="7:19">
      <c r="G248" s="163" t="str">
        <f>IF(A248="","",E248/IF(A248=$B$3,Resumen!#REF!,VLOOKUP(A248,Graf_PowerBI!$A$4:$D$39,3,0)))</f>
        <v/>
      </c>
      <c r="H248" s="163" t="str">
        <f>IF(A248="","",F248/IF(A248=$B$3,Resumen!#REF!,VLOOKUP(A248,Graf_PowerBI!$A$4:$D$39,4,0)))</f>
        <v/>
      </c>
      <c r="P248" s="163" t="str">
        <f>IF(J248="","",N248/IF(J248=$B$3,Resumen!#REF!,VLOOKUP(J248,Graf_PowerBI!$A$4:$D$39,3,0)))</f>
        <v/>
      </c>
      <c r="Q248" s="163" t="str">
        <f>IF(J248="","",O248/IF(J248=$B$3,Resumen!#REF!,VLOOKUP(J248,Graf_PowerBI!$A$4:$D$39,4,0)))</f>
        <v/>
      </c>
      <c r="S248" s="215" t="str">
        <f t="shared" si="6"/>
        <v/>
      </c>
    </row>
    <row r="249" spans="7:19">
      <c r="G249" s="163" t="str">
        <f>IF(A249="","",E249/IF(A249=$B$3,Resumen!#REF!,VLOOKUP(A249,Graf_PowerBI!$A$4:$D$39,3,0)))</f>
        <v/>
      </c>
      <c r="H249" s="163" t="str">
        <f>IF(A249="","",F249/IF(A249=$B$3,Resumen!#REF!,VLOOKUP(A249,Graf_PowerBI!$A$4:$D$39,4,0)))</f>
        <v/>
      </c>
      <c r="P249" s="163" t="str">
        <f>IF(J249="","",N249/IF(J249=$B$3,Resumen!#REF!,VLOOKUP(J249,Graf_PowerBI!$A$4:$D$39,3,0)))</f>
        <v/>
      </c>
      <c r="Q249" s="163" t="str">
        <f>IF(J249="","",O249/IF(J249=$B$3,Resumen!#REF!,VLOOKUP(J249,Graf_PowerBI!$A$4:$D$39,4,0)))</f>
        <v/>
      </c>
      <c r="S249" s="215" t="str">
        <f t="shared" si="6"/>
        <v/>
      </c>
    </row>
    <row r="250" spans="7:19">
      <c r="G250" s="163" t="str">
        <f>IF(A250="","",E250/IF(A250=$B$3,Resumen!#REF!,VLOOKUP(A250,Graf_PowerBI!$A$4:$D$39,3,0)))</f>
        <v/>
      </c>
      <c r="H250" s="163" t="str">
        <f>IF(A250="","",F250/IF(A250=$B$3,Resumen!#REF!,VLOOKUP(A250,Graf_PowerBI!$A$4:$D$39,4,0)))</f>
        <v/>
      </c>
      <c r="P250" s="163" t="str">
        <f>IF(J250="","",N250/IF(J250=$B$3,Resumen!#REF!,VLOOKUP(J250,Graf_PowerBI!$A$4:$D$39,3,0)))</f>
        <v/>
      </c>
      <c r="Q250" s="163" t="str">
        <f>IF(J250="","",O250/IF(J250=$B$3,Resumen!#REF!,VLOOKUP(J250,Graf_PowerBI!$A$4:$D$39,4,0)))</f>
        <v/>
      </c>
      <c r="S250" s="215" t="str">
        <f t="shared" si="6"/>
        <v/>
      </c>
    </row>
    <row r="251" spans="7:19">
      <c r="G251" s="163" t="str">
        <f>IF(A251="","",E251/IF(A251=$B$3,Resumen!#REF!,VLOOKUP(A251,Graf_PowerBI!$A$4:$D$39,3,0)))</f>
        <v/>
      </c>
      <c r="H251" s="163" t="str">
        <f>IF(A251="","",F251/IF(A251=$B$3,Resumen!#REF!,VLOOKUP(A251,Graf_PowerBI!$A$4:$D$39,4,0)))</f>
        <v/>
      </c>
      <c r="P251" s="163" t="str">
        <f>IF(J251="","",N251/IF(J251=$B$3,Resumen!#REF!,VLOOKUP(J251,Graf_PowerBI!$A$4:$D$39,3,0)))</f>
        <v/>
      </c>
      <c r="Q251" s="163" t="str">
        <f>IF(J251="","",O251/IF(J251=$B$3,Resumen!#REF!,VLOOKUP(J251,Graf_PowerBI!$A$4:$D$39,4,0)))</f>
        <v/>
      </c>
      <c r="S251" s="215" t="str">
        <f t="shared" si="6"/>
        <v/>
      </c>
    </row>
  </sheetData>
  <mergeCells count="2">
    <mergeCell ref="A1:H1"/>
    <mergeCell ref="J1:Q1"/>
  </mergeCells>
  <pageMargins left="0.7" right="0.7" top="0.75" bottom="0.75" header="0.3" footer="0.3"/>
  <pageSetup paperSize="9" orientation="portrait" r:id="rId3"/>
  <ignoredErrors>
    <ignoredError sqref="Q51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"/>
  <dimension ref="A1:AW232"/>
  <sheetViews>
    <sheetView showGridLines="0" tabSelected="1" topLeftCell="A3" zoomScale="70" zoomScaleNormal="70" workbookViewId="0">
      <selection activeCell="I62" sqref="I62"/>
    </sheetView>
  </sheetViews>
  <sheetFormatPr baseColWidth="10" defaultColWidth="12.453125" defaultRowHeight="14.5" outlineLevelRow="1"/>
  <cols>
    <col min="1" max="1" width="35" style="36" customWidth="1"/>
    <col min="2" max="2" width="18" style="36" customWidth="1"/>
    <col min="3" max="3" width="15.7265625" style="36" customWidth="1"/>
    <col min="4" max="4" width="15.81640625" style="36" customWidth="1"/>
    <col min="5" max="5" width="18.1796875" style="36" bestFit="1" customWidth="1"/>
    <col min="6" max="6" width="13.81640625" style="36" customWidth="1"/>
    <col min="7" max="8" width="18.1796875" style="36" customWidth="1"/>
    <col min="9" max="9" width="19.453125" style="36" customWidth="1"/>
    <col min="10" max="10" width="43.26953125" style="36" customWidth="1"/>
    <col min="11" max="11" width="31.26953125" style="36" bestFit="1" customWidth="1"/>
    <col min="12" max="12" width="30.7265625" style="36" bestFit="1" customWidth="1"/>
    <col min="13" max="13" width="31.26953125" style="36" bestFit="1" customWidth="1"/>
    <col min="14" max="14" width="18.81640625" style="36" customWidth="1"/>
    <col min="15" max="15" width="27.453125" style="36" bestFit="1" customWidth="1"/>
    <col min="16" max="16" width="20.7265625" style="36" customWidth="1"/>
    <col min="17" max="17" width="21.54296875" style="36" customWidth="1"/>
    <col min="18" max="18" width="17.1796875" style="36" customWidth="1"/>
    <col min="19" max="19" width="17.54296875" customWidth="1"/>
    <col min="20" max="20" width="15.54296875" style="36" bestFit="1" customWidth="1"/>
    <col min="21" max="21" width="14.54296875" style="36" customWidth="1"/>
    <col min="22" max="22" width="19.54296875" style="36" bestFit="1" customWidth="1"/>
    <col min="23" max="23" width="18.1796875" style="36" bestFit="1" customWidth="1"/>
    <col min="24" max="26" width="12.453125" style="36" customWidth="1"/>
    <col min="27" max="27" width="15.453125" style="36" bestFit="1" customWidth="1"/>
    <col min="28" max="33" width="12.453125" style="36" customWidth="1"/>
    <col min="34" max="35" width="14.1796875" style="36" bestFit="1" customWidth="1"/>
    <col min="36" max="36" width="15.453125" style="36" bestFit="1" customWidth="1"/>
    <col min="37" max="39" width="14.1796875" style="36" bestFit="1" customWidth="1"/>
    <col min="40" max="40" width="12.81640625" style="36" bestFit="1" customWidth="1"/>
    <col min="41" max="42" width="14.1796875" style="36" bestFit="1" customWidth="1"/>
    <col min="43" max="43" width="12.453125" style="36"/>
    <col min="44" max="44" width="12.81640625" style="36" bestFit="1" customWidth="1"/>
    <col min="45" max="46" width="14.1796875" style="36" bestFit="1" customWidth="1"/>
    <col min="47" max="49" width="12.453125" style="36"/>
    <col min="50" max="50" width="18.54296875" style="36" bestFit="1" customWidth="1"/>
    <col min="51" max="55" width="12.453125" style="36" customWidth="1"/>
    <col min="56" max="16384" width="12.453125" style="36"/>
  </cols>
  <sheetData>
    <row r="1" spans="1:23" s="33" customFormat="1" ht="24.75" customHeight="1">
      <c r="A1" s="32" t="s">
        <v>459</v>
      </c>
      <c r="F1" s="34"/>
      <c r="G1" s="32"/>
      <c r="H1" s="32"/>
    </row>
    <row r="2" spans="1:23">
      <c r="A2" s="573"/>
      <c r="B2" s="37">
        <f>+B25-D25</f>
        <v>144.22806953850341</v>
      </c>
      <c r="C2" s="205" t="s">
        <v>106</v>
      </c>
      <c r="D2" s="666">
        <v>1679.84</v>
      </c>
      <c r="E2" s="49">
        <f>+B5/D2</f>
        <v>1.0211676645263179</v>
      </c>
      <c r="G2" s="49">
        <f>D2/30</f>
        <v>55.994666666666667</v>
      </c>
      <c r="H2" s="218"/>
      <c r="I2" s="673">
        <f>D5-B5</f>
        <v>-137.01798783683648</v>
      </c>
      <c r="O2"/>
      <c r="P2"/>
      <c r="Q2"/>
      <c r="S2" s="36"/>
    </row>
    <row r="3" spans="1:23" ht="15">
      <c r="B3" s="39" t="s">
        <v>107</v>
      </c>
      <c r="C3" s="39">
        <f>+DAY(EOMONTH(B4,0))</f>
        <v>30</v>
      </c>
      <c r="D3" s="463"/>
      <c r="E3" s="463"/>
      <c r="F3" s="39"/>
      <c r="G3" s="463"/>
      <c r="H3" s="40"/>
      <c r="I3" s="40"/>
      <c r="J3" s="193">
        <f>+C5/E5-1</f>
        <v>0.17241634154556507</v>
      </c>
      <c r="P3"/>
      <c r="Q3"/>
      <c r="R3"/>
      <c r="S3" s="36"/>
    </row>
    <row r="4" spans="1:23" s="45" customFormat="1" ht="41.25" customHeight="1">
      <c r="A4" s="42" t="s">
        <v>108</v>
      </c>
      <c r="B4" s="351">
        <v>46142</v>
      </c>
      <c r="C4" s="351">
        <v>46138</v>
      </c>
      <c r="D4" s="43" t="s">
        <v>109</v>
      </c>
      <c r="E4" s="195">
        <v>45748</v>
      </c>
      <c r="F4" s="474">
        <v>46109</v>
      </c>
      <c r="G4" s="44" t="s">
        <v>110</v>
      </c>
      <c r="H4" s="43" t="s">
        <v>460</v>
      </c>
      <c r="I4" s="43" t="s">
        <v>111</v>
      </c>
      <c r="J4" s="675">
        <f>+B5-D5</f>
        <v>137.01798783683648</v>
      </c>
      <c r="K4" s="45" t="s">
        <v>458</v>
      </c>
      <c r="N4" s="45">
        <v>1636.798677</v>
      </c>
      <c r="O4" s="45">
        <f>+N4/F5-1</f>
        <v>-5.6875758010287214E-2</v>
      </c>
      <c r="R4" s="85"/>
      <c r="S4"/>
      <c r="T4" s="36"/>
      <c r="U4" s="36"/>
      <c r="V4" s="36"/>
      <c r="W4" s="36"/>
    </row>
    <row r="5" spans="1:23" ht="15">
      <c r="A5" s="36" t="s">
        <v>112</v>
      </c>
      <c r="B5" s="679">
        <f>+C102</f>
        <v>1715.3982895778897</v>
      </c>
      <c r="C5" s="495">
        <v>1660.9720070006497</v>
      </c>
      <c r="D5" s="495">
        <f>+Graf_PowerBI!T7</f>
        <v>1578.3803017410532</v>
      </c>
      <c r="E5" s="495">
        <f>+Graf_PowerBI!C79</f>
        <v>1416.70833827771</v>
      </c>
      <c r="F5" s="496">
        <v>1735.5069503322698</v>
      </c>
      <c r="G5" s="47">
        <f>+B5/D5</f>
        <v>1.0868092358259267</v>
      </c>
      <c r="H5" s="47">
        <f>+B5/F5-1</f>
        <v>-1.1586620699231553E-2</v>
      </c>
      <c r="I5" s="47">
        <f>+B5/E5-1</f>
        <v>0.2108337638947595</v>
      </c>
      <c r="J5" s="540">
        <f>+B5*1000000</f>
        <v>1715398289.5778897</v>
      </c>
      <c r="K5" s="136">
        <f t="shared" ref="K5:K38" si="0">+B5-C5</f>
        <v>54.426282577240045</v>
      </c>
      <c r="L5" s="49">
        <f>+B5/C5-1</f>
        <v>3.2767730189217303E-2</v>
      </c>
      <c r="M5" s="528">
        <f t="shared" ref="M5:M24" si="1">+B5/J5</f>
        <v>9.9999999999999995E-7</v>
      </c>
      <c r="N5" s="529">
        <f>+B5-J5</f>
        <v>-1715396574.1796</v>
      </c>
      <c r="O5" s="49"/>
      <c r="Q5" s="49"/>
      <c r="R5" s="85"/>
      <c r="S5" s="36"/>
    </row>
    <row r="6" spans="1:23" ht="14.5" hidden="1" customHeight="1" outlineLevel="1">
      <c r="B6" s="516"/>
      <c r="C6" s="110"/>
      <c r="D6" s="110"/>
      <c r="E6" s="110"/>
      <c r="F6" s="484"/>
      <c r="G6" s="47"/>
      <c r="H6" s="47"/>
      <c r="I6" s="47"/>
      <c r="K6" s="136">
        <f t="shared" si="0"/>
        <v>0</v>
      </c>
      <c r="L6" s="49"/>
      <c r="M6" s="528" t="e">
        <f t="shared" si="1"/>
        <v>#DIV/0!</v>
      </c>
      <c r="R6" s="85"/>
      <c r="S6" s="36"/>
    </row>
    <row r="7" spans="1:23" ht="14.5" hidden="1" customHeight="1" outlineLevel="1">
      <c r="A7" s="169" t="s">
        <v>113</v>
      </c>
      <c r="B7" s="517" t="e">
        <f>+$B$5*(#REF!/#REF!)</f>
        <v>#REF!</v>
      </c>
      <c r="C7" s="469" t="e">
        <v>#REF!</v>
      </c>
      <c r="D7" s="469">
        <v>505.23891269258928</v>
      </c>
      <c r="E7" s="469"/>
      <c r="F7" s="485" t="e">
        <v>#REF!</v>
      </c>
      <c r="G7" s="470" t="e">
        <f>+B7/D7</f>
        <v>#REF!</v>
      </c>
      <c r="H7" s="470" t="e">
        <f>+B7/F7-1</f>
        <v>#REF!</v>
      </c>
      <c r="I7" s="470" t="e">
        <f>+B7/E7-1</f>
        <v>#REF!</v>
      </c>
      <c r="K7" s="136" t="e">
        <f t="shared" si="0"/>
        <v>#REF!</v>
      </c>
      <c r="L7" s="49"/>
      <c r="M7" s="528" t="e">
        <f t="shared" si="1"/>
        <v>#REF!</v>
      </c>
      <c r="R7" s="85"/>
      <c r="S7" s="36"/>
    </row>
    <row r="8" spans="1:23" ht="14.5" hidden="1" customHeight="1" outlineLevel="1">
      <c r="A8" s="169" t="s">
        <v>114</v>
      </c>
      <c r="B8" s="517" t="e">
        <f>+$B$5*(#REF!/#REF!)</f>
        <v>#REF!</v>
      </c>
      <c r="C8" s="469" t="e">
        <v>#REF!</v>
      </c>
      <c r="D8" s="469">
        <v>72.830924129204462</v>
      </c>
      <c r="E8" s="469"/>
      <c r="F8" s="484" t="e">
        <v>#REF!</v>
      </c>
      <c r="G8" s="470" t="e">
        <f>+B8/D8</f>
        <v>#REF!</v>
      </c>
      <c r="H8" s="470" t="e">
        <f>+B8/F8-1</f>
        <v>#REF!</v>
      </c>
      <c r="I8" s="470" t="e">
        <f>+B8/E8-1</f>
        <v>#REF!</v>
      </c>
      <c r="K8" s="136" t="e">
        <f t="shared" si="0"/>
        <v>#REF!</v>
      </c>
      <c r="L8" s="49"/>
      <c r="M8" s="528" t="e">
        <f t="shared" si="1"/>
        <v>#REF!</v>
      </c>
      <c r="R8" s="85"/>
      <c r="S8" s="36"/>
    </row>
    <row r="9" spans="1:23" ht="14.5" hidden="1" customHeight="1" outlineLevel="1">
      <c r="A9" s="169" t="s">
        <v>115</v>
      </c>
      <c r="B9" s="517" t="e">
        <f>+$B$5*(#REF!/#REF!)</f>
        <v>#REF!</v>
      </c>
      <c r="C9" s="469" t="e">
        <v>#REF!</v>
      </c>
      <c r="D9" s="469" t="e">
        <f>D5-D7-#REF!-D8</f>
        <v>#REF!</v>
      </c>
      <c r="E9" s="469"/>
      <c r="F9" s="497" t="e">
        <v>#REF!</v>
      </c>
      <c r="G9" s="470"/>
      <c r="H9" s="470"/>
      <c r="I9" s="470"/>
      <c r="K9" s="136" t="e">
        <f t="shared" si="0"/>
        <v>#REF!</v>
      </c>
      <c r="L9" s="49"/>
      <c r="M9" s="528" t="e">
        <f t="shared" si="1"/>
        <v>#REF!</v>
      </c>
      <c r="R9" s="85"/>
      <c r="S9" s="36"/>
    </row>
    <row r="10" spans="1:23" ht="14.5" hidden="1" customHeight="1" outlineLevel="1">
      <c r="A10" s="169"/>
      <c r="B10" s="517"/>
      <c r="C10" s="469"/>
      <c r="D10" s="469"/>
      <c r="E10" s="469"/>
      <c r="F10" s="486"/>
      <c r="G10" s="470"/>
      <c r="H10" s="470"/>
      <c r="I10" s="470"/>
      <c r="K10" s="136">
        <f t="shared" si="0"/>
        <v>0</v>
      </c>
      <c r="L10" s="49"/>
      <c r="M10" s="528" t="e">
        <f t="shared" si="1"/>
        <v>#DIV/0!</v>
      </c>
      <c r="R10" s="85"/>
      <c r="S10" s="36"/>
    </row>
    <row r="11" spans="1:23" ht="14.5" hidden="1" customHeight="1" outlineLevel="1">
      <c r="A11" s="169" t="s">
        <v>116</v>
      </c>
      <c r="B11" s="517" t="e">
        <f>+$B$5*(#REF!/#REF!)</f>
        <v>#REF!</v>
      </c>
      <c r="C11" s="469" t="e">
        <v>#REF!</v>
      </c>
      <c r="D11" s="469">
        <v>427.20062266766689</v>
      </c>
      <c r="E11" s="469"/>
      <c r="F11" s="487" t="e">
        <v>#REF!</v>
      </c>
      <c r="G11" s="470"/>
      <c r="H11" s="470"/>
      <c r="I11" s="470"/>
      <c r="K11" s="136" t="e">
        <f t="shared" si="0"/>
        <v>#REF!</v>
      </c>
      <c r="L11" s="49"/>
      <c r="M11" s="528" t="e">
        <f t="shared" si="1"/>
        <v>#REF!</v>
      </c>
      <c r="R11" s="85"/>
      <c r="S11" s="36"/>
    </row>
    <row r="12" spans="1:23" ht="14.5" hidden="1" customHeight="1" outlineLevel="1">
      <c r="A12" s="169" t="s">
        <v>117</v>
      </c>
      <c r="B12" s="517" t="e">
        <f>+$B$5*(#REF!/#REF!)</f>
        <v>#REF!</v>
      </c>
      <c r="C12" s="469" t="e">
        <v>#REF!</v>
      </c>
      <c r="D12" s="469">
        <v>167.17039348224887</v>
      </c>
      <c r="E12" s="469"/>
      <c r="F12" s="485" t="e">
        <v>#REF!</v>
      </c>
      <c r="G12" s="470"/>
      <c r="H12" s="470"/>
      <c r="I12" s="470"/>
      <c r="K12" s="136" t="e">
        <f t="shared" si="0"/>
        <v>#REF!</v>
      </c>
      <c r="L12" s="49"/>
      <c r="M12" s="528" t="e">
        <f t="shared" si="1"/>
        <v>#REF!</v>
      </c>
      <c r="R12" s="85"/>
      <c r="S12" s="36"/>
    </row>
    <row r="13" spans="1:23" ht="14.5" hidden="1" customHeight="1" outlineLevel="1">
      <c r="A13" s="169"/>
      <c r="B13" s="517"/>
      <c r="C13" s="469"/>
      <c r="D13" s="469"/>
      <c r="E13" s="469"/>
      <c r="F13" s="487"/>
      <c r="G13" s="470"/>
      <c r="H13" s="470"/>
      <c r="I13" s="470"/>
      <c r="K13" s="136">
        <f t="shared" si="0"/>
        <v>0</v>
      </c>
      <c r="L13" s="49"/>
      <c r="M13" s="528" t="e">
        <f t="shared" si="1"/>
        <v>#DIV/0!</v>
      </c>
      <c r="R13" s="85"/>
      <c r="S13" s="36"/>
    </row>
    <row r="14" spans="1:23" ht="14.5" hidden="1" customHeight="1" outlineLevel="1">
      <c r="A14" s="169" t="s">
        <v>118</v>
      </c>
      <c r="B14" s="517" t="e">
        <f>+$B$5*(#REF!/#REF!)</f>
        <v>#REF!</v>
      </c>
      <c r="C14" s="469" t="e">
        <v>#REF!</v>
      </c>
      <c r="D14" s="469">
        <v>286.52584254704345</v>
      </c>
      <c r="E14" s="469"/>
      <c r="F14" s="488" t="e">
        <v>#REF!</v>
      </c>
      <c r="G14" s="470" t="e">
        <f>+B14/D14</f>
        <v>#REF!</v>
      </c>
      <c r="H14" s="470" t="e">
        <f>+B14/F14-1</f>
        <v>#REF!</v>
      </c>
      <c r="I14" s="470" t="e">
        <f>+B14/E14-1</f>
        <v>#REF!</v>
      </c>
      <c r="K14" s="136" t="e">
        <f t="shared" si="0"/>
        <v>#REF!</v>
      </c>
      <c r="L14" s="49"/>
      <c r="M14" s="528" t="e">
        <f t="shared" si="1"/>
        <v>#REF!</v>
      </c>
      <c r="R14" s="85"/>
      <c r="S14" s="36"/>
    </row>
    <row r="15" spans="1:23" ht="14.5" hidden="1" customHeight="1" outlineLevel="1">
      <c r="A15" s="169" t="s">
        <v>119</v>
      </c>
      <c r="B15" s="517" t="e">
        <f>+$B$5*(#REF!/#REF!)</f>
        <v>#REF!</v>
      </c>
      <c r="C15" s="469" t="e">
        <v>#REF!</v>
      </c>
      <c r="D15" s="469">
        <f>+D5-D14</f>
        <v>1291.8544591940099</v>
      </c>
      <c r="E15" s="469"/>
      <c r="F15" s="469" t="e">
        <v>#REF!</v>
      </c>
      <c r="G15" s="470" t="e">
        <f>+B15/D15</f>
        <v>#REF!</v>
      </c>
      <c r="H15" s="470" t="e">
        <f>+B15/F15-1</f>
        <v>#REF!</v>
      </c>
      <c r="I15" s="470" t="e">
        <f>+B15/E15-1</f>
        <v>#REF!</v>
      </c>
      <c r="K15" s="136" t="e">
        <f t="shared" si="0"/>
        <v>#REF!</v>
      </c>
      <c r="L15" s="49"/>
      <c r="M15" s="528" t="e">
        <f t="shared" si="1"/>
        <v>#REF!</v>
      </c>
      <c r="R15" s="85"/>
      <c r="S15" s="36"/>
    </row>
    <row r="16" spans="1:23" ht="14.5" hidden="1" customHeight="1" outlineLevel="1">
      <c r="A16" s="169"/>
      <c r="B16" s="518"/>
      <c r="C16" s="170"/>
      <c r="D16" s="170"/>
      <c r="E16" s="170"/>
      <c r="F16" s="170"/>
      <c r="G16" s="171"/>
      <c r="H16" s="171"/>
      <c r="I16" s="171"/>
      <c r="K16" s="136">
        <f t="shared" si="0"/>
        <v>0</v>
      </c>
      <c r="L16" s="49"/>
      <c r="M16" s="528" t="e">
        <f t="shared" si="1"/>
        <v>#DIV/0!</v>
      </c>
      <c r="R16" s="85"/>
      <c r="S16" s="36"/>
    </row>
    <row r="17" spans="1:19" ht="15" collapsed="1">
      <c r="A17" s="36" t="s">
        <v>120</v>
      </c>
      <c r="B17" s="531">
        <f>Proyección_indicadores!I3/1000</f>
        <v>754.64</v>
      </c>
      <c r="C17" s="531">
        <v>756.14890176046003</v>
      </c>
      <c r="D17" s="110">
        <f>+D33*D36</f>
        <v>741.40422984089696</v>
      </c>
      <c r="E17" s="110">
        <f>+Graf_PowerBI!D79</f>
        <v>689.24800000000005</v>
      </c>
      <c r="F17" s="110">
        <v>748.40800000000002</v>
      </c>
      <c r="G17" s="47">
        <f>+B17/D17</f>
        <v>1.0178522992267569</v>
      </c>
      <c r="H17" s="47">
        <f>+B17/F17-1</f>
        <v>8.327008797340385E-3</v>
      </c>
      <c r="I17" s="47">
        <f>+B17/E17-1</f>
        <v>9.4874413853939243E-2</v>
      </c>
      <c r="J17" s="540">
        <f>+B17*1000</f>
        <v>754640</v>
      </c>
      <c r="K17" s="136">
        <f t="shared" si="0"/>
        <v>-1.5089017604600485</v>
      </c>
      <c r="L17" s="49">
        <f>+B17/C17-1</f>
        <v>-1.9955087641428948E-3</v>
      </c>
      <c r="M17" s="528">
        <f t="shared" si="1"/>
        <v>1E-3</v>
      </c>
      <c r="N17" s="529">
        <f>+B17-J17</f>
        <v>-753885.36</v>
      </c>
      <c r="O17" s="49"/>
      <c r="P17" s="92">
        <f>+C33-B33</f>
        <v>0.29700000000002547</v>
      </c>
      <c r="R17" s="85"/>
      <c r="S17" s="36"/>
    </row>
    <row r="18" spans="1:19" ht="7.5" hidden="1" customHeight="1">
      <c r="B18" s="110"/>
      <c r="C18" s="110"/>
      <c r="D18" s="110"/>
      <c r="E18" s="110"/>
      <c r="F18" s="110"/>
      <c r="G18" s="47"/>
      <c r="H18" s="47"/>
      <c r="I18" s="47"/>
      <c r="J18" s="520"/>
      <c r="K18" s="136">
        <f t="shared" si="0"/>
        <v>0</v>
      </c>
      <c r="L18" s="49"/>
      <c r="M18" s="528" t="e">
        <f t="shared" si="1"/>
        <v>#DIV/0!</v>
      </c>
      <c r="N18" s="506"/>
      <c r="R18" s="85"/>
      <c r="S18" s="36"/>
    </row>
    <row r="19" spans="1:19" ht="15" hidden="1" customHeight="1">
      <c r="A19" s="169" t="s">
        <v>113</v>
      </c>
      <c r="B19" s="110"/>
      <c r="C19" s="110"/>
      <c r="D19" s="110"/>
      <c r="E19" s="110"/>
      <c r="F19" s="110"/>
      <c r="G19" s="47"/>
      <c r="H19" s="47"/>
      <c r="I19" s="47"/>
      <c r="J19" s="520"/>
      <c r="K19" s="136">
        <f t="shared" si="0"/>
        <v>0</v>
      </c>
      <c r="L19" s="49"/>
      <c r="M19" s="528" t="e">
        <f t="shared" si="1"/>
        <v>#DIV/0!</v>
      </c>
      <c r="N19" s="506"/>
      <c r="R19" s="85"/>
      <c r="S19" s="36"/>
    </row>
    <row r="20" spans="1:19" ht="15" hidden="1" customHeight="1">
      <c r="A20" s="169" t="s">
        <v>121</v>
      </c>
      <c r="B20" s="110"/>
      <c r="C20" s="110"/>
      <c r="D20" s="110"/>
      <c r="E20" s="110"/>
      <c r="F20" s="110"/>
      <c r="G20" s="47"/>
      <c r="H20" s="47"/>
      <c r="I20" s="47"/>
      <c r="J20" s="520"/>
      <c r="K20" s="136">
        <f t="shared" si="0"/>
        <v>0</v>
      </c>
      <c r="L20" s="49"/>
      <c r="M20" s="528" t="e">
        <f t="shared" si="1"/>
        <v>#DIV/0!</v>
      </c>
      <c r="N20" s="506"/>
      <c r="R20" s="85"/>
      <c r="S20" s="36"/>
    </row>
    <row r="21" spans="1:19" ht="15" hidden="1" customHeight="1">
      <c r="A21" s="169" t="s">
        <v>114</v>
      </c>
      <c r="B21" s="110"/>
      <c r="C21" s="110"/>
      <c r="D21" s="110"/>
      <c r="E21" s="110"/>
      <c r="F21" s="110"/>
      <c r="G21" s="47"/>
      <c r="H21" s="47"/>
      <c r="I21" s="47"/>
      <c r="J21" s="520"/>
      <c r="K21" s="136">
        <f t="shared" si="0"/>
        <v>0</v>
      </c>
      <c r="L21" s="49"/>
      <c r="M21" s="528" t="e">
        <f t="shared" si="1"/>
        <v>#DIV/0!</v>
      </c>
      <c r="N21" s="506"/>
      <c r="R21" s="85"/>
      <c r="S21" s="36"/>
    </row>
    <row r="22" spans="1:19" ht="7.5" hidden="1" customHeight="1">
      <c r="A22" s="169"/>
      <c r="B22" s="110"/>
      <c r="C22" s="110"/>
      <c r="D22" s="110"/>
      <c r="E22" s="110"/>
      <c r="F22" s="110"/>
      <c r="G22" s="47"/>
      <c r="H22" s="47"/>
      <c r="I22" s="47"/>
      <c r="J22" s="520"/>
      <c r="K22" s="136">
        <f t="shared" si="0"/>
        <v>0</v>
      </c>
      <c r="L22" s="49"/>
      <c r="M22" s="528" t="e">
        <f t="shared" si="1"/>
        <v>#DIV/0!</v>
      </c>
      <c r="N22" s="506"/>
      <c r="R22" s="85"/>
      <c r="S22" s="36"/>
    </row>
    <row r="23" spans="1:19" ht="15" hidden="1" customHeight="1" outlineLevel="1">
      <c r="A23" s="169" t="s">
        <v>122</v>
      </c>
      <c r="B23" s="170">
        <f>+B17*90.8%</f>
        <v>685.21311999999989</v>
      </c>
      <c r="C23" s="170">
        <v>686.58320279849761</v>
      </c>
      <c r="D23" s="170">
        <v>502.02914608297698</v>
      </c>
      <c r="E23" s="170"/>
      <c r="F23" s="170">
        <v>679.55446399999994</v>
      </c>
      <c r="G23" s="216"/>
      <c r="H23" s="171">
        <f>+B23/F23-1</f>
        <v>8.327008797340385E-3</v>
      </c>
      <c r="I23" s="47"/>
      <c r="J23" s="520"/>
      <c r="K23" s="136">
        <f t="shared" si="0"/>
        <v>-1.3700827984977195</v>
      </c>
      <c r="L23" s="49"/>
      <c r="M23" s="528" t="e">
        <f t="shared" si="1"/>
        <v>#DIV/0!</v>
      </c>
      <c r="N23" s="506"/>
      <c r="R23" s="85"/>
      <c r="S23" s="36"/>
    </row>
    <row r="24" spans="1:19" ht="15" hidden="1" customHeight="1" outlineLevel="1">
      <c r="A24" s="169" t="s">
        <v>123</v>
      </c>
      <c r="B24" s="170">
        <f>+B17-B23</f>
        <v>69.426880000000097</v>
      </c>
      <c r="C24" s="170">
        <v>69.565698961962426</v>
      </c>
      <c r="D24" s="170">
        <f>+D17-D23</f>
        <v>239.37508375791998</v>
      </c>
      <c r="E24" s="170"/>
      <c r="F24" s="170">
        <v>68.853536000000076</v>
      </c>
      <c r="G24" s="216"/>
      <c r="H24" s="171">
        <f>+B24/F24-1</f>
        <v>8.3270087973408291E-3</v>
      </c>
      <c r="I24" s="47"/>
      <c r="J24" s="520"/>
      <c r="K24" s="136">
        <f t="shared" si="0"/>
        <v>-0.13881896196232901</v>
      </c>
      <c r="L24" s="49"/>
      <c r="M24" s="528" t="e">
        <f t="shared" si="1"/>
        <v>#DIV/0!</v>
      </c>
      <c r="N24" s="506"/>
      <c r="R24" s="85"/>
      <c r="S24" s="36"/>
    </row>
    <row r="25" spans="1:19" ht="15" collapsed="1">
      <c r="A25" s="36" t="s">
        <v>124</v>
      </c>
      <c r="B25" s="110">
        <f>+B5/B17*1000</f>
        <v>2273.1345934192327</v>
      </c>
      <c r="C25" s="110">
        <v>2196.6202729827255</v>
      </c>
      <c r="D25" s="110">
        <f>+Graf_PowerBI!V7</f>
        <v>2128.9065238807293</v>
      </c>
      <c r="E25" s="110">
        <f>+Graf_PowerBI!G79</f>
        <v>2055.4406226462897</v>
      </c>
      <c r="F25" s="110">
        <v>2318.9315858893406</v>
      </c>
      <c r="G25" s="47">
        <f>+B25/D25</f>
        <v>1.0677474881685241</v>
      </c>
      <c r="H25" s="47">
        <f>+B25/F25-1</f>
        <v>-1.9749177918305882E-2</v>
      </c>
      <c r="I25" s="47">
        <f>+B25/E25-1</f>
        <v>0.10591109681031385</v>
      </c>
      <c r="J25" s="540"/>
      <c r="K25" s="136">
        <f t="shared" si="0"/>
        <v>76.514320436507205</v>
      </c>
      <c r="L25" s="49">
        <f>+B25/C25-1</f>
        <v>3.4832748007287861E-2</v>
      </c>
      <c r="M25" s="528"/>
      <c r="N25" s="529">
        <f>+B25-J25</f>
        <v>2273.1345934192327</v>
      </c>
      <c r="O25" s="49"/>
      <c r="R25" s="85"/>
      <c r="S25" s="36"/>
    </row>
    <row r="26" spans="1:19" ht="6.75" hidden="1" customHeight="1">
      <c r="B26" s="110"/>
      <c r="C26" s="110"/>
      <c r="D26" s="110"/>
      <c r="E26" s="110"/>
      <c r="F26" s="110"/>
      <c r="G26" s="47"/>
      <c r="H26" s="47"/>
      <c r="I26" s="47"/>
      <c r="J26" s="520"/>
      <c r="K26" s="136">
        <f t="shared" si="0"/>
        <v>0</v>
      </c>
      <c r="L26" s="49"/>
      <c r="M26" s="528" t="e">
        <f t="shared" ref="M26:M33" si="2">+B26/J26</f>
        <v>#DIV/0!</v>
      </c>
      <c r="R26" s="85"/>
      <c r="S26" s="36"/>
    </row>
    <row r="27" spans="1:19" ht="15" hidden="1" customHeight="1">
      <c r="A27" s="169" t="s">
        <v>113</v>
      </c>
      <c r="B27" s="110"/>
      <c r="C27" s="110"/>
      <c r="D27" s="110"/>
      <c r="E27" s="110"/>
      <c r="F27" s="110"/>
      <c r="G27" s="47"/>
      <c r="H27" s="47"/>
      <c r="I27" s="47"/>
      <c r="J27" s="520"/>
      <c r="K27" s="136">
        <f t="shared" si="0"/>
        <v>0</v>
      </c>
      <c r="L27" s="49"/>
      <c r="M27" s="528" t="e">
        <f t="shared" si="2"/>
        <v>#DIV/0!</v>
      </c>
      <c r="R27" s="85"/>
      <c r="S27" s="36"/>
    </row>
    <row r="28" spans="1:19" ht="15" hidden="1" customHeight="1">
      <c r="A28" s="169" t="s">
        <v>121</v>
      </c>
      <c r="B28" s="110"/>
      <c r="C28" s="110"/>
      <c r="D28" s="110"/>
      <c r="E28" s="110"/>
      <c r="F28" s="110"/>
      <c r="G28" s="47"/>
      <c r="H28" s="47"/>
      <c r="I28" s="47"/>
      <c r="J28" s="520"/>
      <c r="K28" s="136">
        <f t="shared" si="0"/>
        <v>0</v>
      </c>
      <c r="L28" s="49"/>
      <c r="M28" s="528" t="e">
        <f t="shared" si="2"/>
        <v>#DIV/0!</v>
      </c>
      <c r="R28" s="85"/>
      <c r="S28" s="36"/>
    </row>
    <row r="29" spans="1:19" ht="15" hidden="1" customHeight="1">
      <c r="A29" s="169" t="s">
        <v>114</v>
      </c>
      <c r="B29" s="110"/>
      <c r="C29" s="110"/>
      <c r="D29" s="110"/>
      <c r="E29" s="110"/>
      <c r="F29" s="110"/>
      <c r="G29" s="47"/>
      <c r="H29" s="47"/>
      <c r="I29" s="47"/>
      <c r="J29" s="520"/>
      <c r="K29" s="136">
        <f t="shared" si="0"/>
        <v>0</v>
      </c>
      <c r="L29" s="49"/>
      <c r="M29" s="528" t="e">
        <f t="shared" si="2"/>
        <v>#DIV/0!</v>
      </c>
      <c r="R29" s="85"/>
      <c r="S29" s="36"/>
    </row>
    <row r="30" spans="1:19" ht="6.75" hidden="1" customHeight="1" outlineLevel="1">
      <c r="A30" s="169"/>
      <c r="B30" s="110"/>
      <c r="C30" s="110"/>
      <c r="D30" s="110"/>
      <c r="E30" s="110"/>
      <c r="F30" s="110"/>
      <c r="G30" s="47"/>
      <c r="H30" s="47"/>
      <c r="I30" s="47"/>
      <c r="J30" s="520"/>
      <c r="K30" s="136">
        <f t="shared" si="0"/>
        <v>0</v>
      </c>
      <c r="L30" s="49"/>
      <c r="M30" s="528" t="e">
        <f t="shared" si="2"/>
        <v>#DIV/0!</v>
      </c>
      <c r="R30" s="85"/>
      <c r="S30" s="36"/>
    </row>
    <row r="31" spans="1:19" ht="15" hidden="1" customHeight="1" outlineLevel="1">
      <c r="A31" s="169" t="s">
        <v>122</v>
      </c>
      <c r="B31" s="170">
        <f>F31*1.052</f>
        <v>24472.953501342443</v>
      </c>
      <c r="C31" s="170">
        <v>24472.953501342443</v>
      </c>
      <c r="D31" s="170">
        <v>1153.0453928533032</v>
      </c>
      <c r="E31" s="170"/>
      <c r="F31" s="170">
        <v>23263.263784546049</v>
      </c>
      <c r="G31" s="171"/>
      <c r="H31" s="171">
        <f t="shared" ref="H31:H39" si="3">+B31/F31-1</f>
        <v>5.2000000000000046E-2</v>
      </c>
      <c r="I31" s="47"/>
      <c r="J31" s="520"/>
      <c r="K31" s="136">
        <f t="shared" si="0"/>
        <v>0</v>
      </c>
      <c r="L31" s="49"/>
      <c r="M31" s="528" t="e">
        <f t="shared" si="2"/>
        <v>#DIV/0!</v>
      </c>
      <c r="R31" s="85"/>
      <c r="S31" s="36"/>
    </row>
    <row r="32" spans="1:19" ht="15" hidden="1" customHeight="1" outlineLevel="1">
      <c r="A32" s="169" t="s">
        <v>123</v>
      </c>
      <c r="B32" s="170" t="e">
        <f>+#REF!*1000/B24</f>
        <v>#REF!</v>
      </c>
      <c r="C32" s="170" t="e">
        <v>#REF!</v>
      </c>
      <c r="D32" s="170">
        <v>766.26259216036408</v>
      </c>
      <c r="E32" s="170"/>
      <c r="F32" s="170" t="e">
        <v>#REF!</v>
      </c>
      <c r="G32" s="171"/>
      <c r="H32" s="171" t="e">
        <f t="shared" si="3"/>
        <v>#REF!</v>
      </c>
      <c r="I32" s="47"/>
      <c r="J32" s="520"/>
      <c r="K32" s="136" t="e">
        <f t="shared" si="0"/>
        <v>#REF!</v>
      </c>
      <c r="L32" s="49"/>
      <c r="M32" s="528" t="e">
        <f t="shared" si="2"/>
        <v>#REF!</v>
      </c>
      <c r="R32" s="85"/>
      <c r="S32" s="36"/>
    </row>
    <row r="33" spans="1:49" ht="15" collapsed="1">
      <c r="A33" s="36" t="s">
        <v>125</v>
      </c>
      <c r="B33" s="531">
        <f>+F33+I61+I65-I62-I66</f>
        <v>878.92899999999997</v>
      </c>
      <c r="C33" s="531">
        <v>879.226</v>
      </c>
      <c r="D33" s="110">
        <f>+Graf_PowerBI!X7</f>
        <v>873.61227559443773</v>
      </c>
      <c r="E33" s="110">
        <f>+Graf_PowerBI!E79</f>
        <v>816.01300000000003</v>
      </c>
      <c r="F33" s="110">
        <v>867.91</v>
      </c>
      <c r="G33" s="47">
        <f>+B33/D33</f>
        <v>1.0060859085364209</v>
      </c>
      <c r="H33" s="47">
        <f t="shared" si="3"/>
        <v>1.2696016868108506E-2</v>
      </c>
      <c r="I33" s="47">
        <f>+B33/E33-1</f>
        <v>7.7101712840359049E-2</v>
      </c>
      <c r="J33" s="540">
        <f>+B33*1000</f>
        <v>878929</v>
      </c>
      <c r="K33" s="136">
        <f t="shared" si="0"/>
        <v>-0.29700000000002547</v>
      </c>
      <c r="L33" s="49">
        <f>+B33/C33-1</f>
        <v>-3.3779710791081996E-4</v>
      </c>
      <c r="M33" s="528">
        <f t="shared" si="2"/>
        <v>1E-3</v>
      </c>
      <c r="N33" s="529">
        <f>+B33-J33</f>
        <v>-878050.071</v>
      </c>
      <c r="R33" s="85"/>
      <c r="S33" s="36"/>
    </row>
    <row r="34" spans="1:49" ht="15" hidden="1" customHeight="1" outlineLevel="1">
      <c r="A34" s="169" t="s">
        <v>122</v>
      </c>
      <c r="B34" s="170">
        <f>+F34+15</f>
        <v>1602.6319349999999</v>
      </c>
      <c r="C34" s="170">
        <v>1602.6319349999999</v>
      </c>
      <c r="D34" s="170">
        <v>761.35514550041705</v>
      </c>
      <c r="E34" s="170"/>
      <c r="F34" s="170">
        <v>1587.6319349999999</v>
      </c>
      <c r="G34" s="171"/>
      <c r="H34" s="171">
        <f t="shared" si="3"/>
        <v>9.4480336842053259E-3</v>
      </c>
      <c r="I34" s="47"/>
      <c r="K34" s="136">
        <f t="shared" si="0"/>
        <v>0</v>
      </c>
      <c r="L34" s="49"/>
      <c r="R34" s="85"/>
      <c r="S34" s="36"/>
    </row>
    <row r="35" spans="1:49" ht="15" hidden="1" customHeight="1" outlineLevel="1">
      <c r="A35" s="169" t="s">
        <v>123</v>
      </c>
      <c r="B35" s="170">
        <f>B33-B34</f>
        <v>-723.70293499999991</v>
      </c>
      <c r="C35" s="170">
        <v>-723.40593499999989</v>
      </c>
      <c r="D35" s="170">
        <f>+D33-D34</f>
        <v>112.25713009402068</v>
      </c>
      <c r="E35" s="170"/>
      <c r="F35" s="170">
        <v>-719.72193499999992</v>
      </c>
      <c r="G35" s="171"/>
      <c r="H35" s="171">
        <f t="shared" si="3"/>
        <v>5.5313028635148864E-3</v>
      </c>
      <c r="I35" s="47"/>
      <c r="K35" s="136">
        <f t="shared" si="0"/>
        <v>-0.29700000000002547</v>
      </c>
      <c r="L35" s="49"/>
      <c r="R35" s="85"/>
      <c r="S35" s="36"/>
    </row>
    <row r="36" spans="1:49" ht="15" collapsed="1">
      <c r="A36" s="36" t="s">
        <v>45</v>
      </c>
      <c r="B36" s="699">
        <f>+B17/B33</f>
        <v>0.85859039808676241</v>
      </c>
      <c r="C36" s="696">
        <v>0.86001653927483945</v>
      </c>
      <c r="D36" s="111">
        <f>+Graf_PowerBI!U7</f>
        <v>0.84866507780745004</v>
      </c>
      <c r="E36" s="111">
        <f>+Graf_PowerBI!F79</f>
        <v>0.84465321018170059</v>
      </c>
      <c r="F36" s="111">
        <v>0.86231060824279016</v>
      </c>
      <c r="G36" s="47">
        <f>+B36/D36</f>
        <v>1.0116952146834588</v>
      </c>
      <c r="H36" s="47">
        <f t="shared" si="3"/>
        <v>-4.3142344770740193E-3</v>
      </c>
      <c r="I36" s="47">
        <f>+B36/E36-1</f>
        <v>1.6500485331801151E-2</v>
      </c>
      <c r="J36" s="52" t="s">
        <v>126</v>
      </c>
      <c r="K36" s="193">
        <f t="shared" si="0"/>
        <v>-1.4261411880770458E-3</v>
      </c>
      <c r="L36" s="49">
        <f>+B36/C36-1</f>
        <v>-1.6582718156554765E-3</v>
      </c>
      <c r="M36" s="530">
        <f>+J17/J33</f>
        <v>0.85859039808676241</v>
      </c>
      <c r="N36" s="529">
        <f>+B36/M36</f>
        <v>1</v>
      </c>
      <c r="R36" s="85"/>
      <c r="S36" s="36"/>
    </row>
    <row r="37" spans="1:49" ht="15" hidden="1" customHeight="1" outlineLevel="1">
      <c r="A37" s="169" t="s">
        <v>122</v>
      </c>
      <c r="B37" s="216">
        <f>+B23/B34</f>
        <v>0.42755488957606474</v>
      </c>
      <c r="C37" s="216">
        <v>0.42840978505679012</v>
      </c>
      <c r="D37" s="216">
        <v>0.65938891862746618</v>
      </c>
      <c r="E37" s="216"/>
      <c r="F37" s="216">
        <v>0.42803023107493737</v>
      </c>
      <c r="G37" s="216"/>
      <c r="H37" s="171">
        <f t="shared" si="3"/>
        <v>-1.1105325380379449E-3</v>
      </c>
      <c r="I37" s="47"/>
      <c r="J37" s="507"/>
      <c r="K37" s="136">
        <f t="shared" si="0"/>
        <v>-8.5489548072537058E-4</v>
      </c>
      <c r="R37" s="85"/>
      <c r="S37" s="36"/>
    </row>
    <row r="38" spans="1:49" ht="15" hidden="1" customHeight="1" outlineLevel="1">
      <c r="A38" s="169" t="s">
        <v>123</v>
      </c>
      <c r="B38" s="216">
        <f>+B24/B35</f>
        <v>-9.5932842941973295E-2</v>
      </c>
      <c r="C38" s="216">
        <v>-9.6164125280451887E-2</v>
      </c>
      <c r="D38" s="216">
        <v>0.65750728404043779</v>
      </c>
      <c r="E38" s="216"/>
      <c r="F38" s="216">
        <v>-9.5666857784458229E-2</v>
      </c>
      <c r="G38" s="216"/>
      <c r="H38" s="171">
        <f t="shared" si="3"/>
        <v>2.7803271025619303E-3</v>
      </c>
      <c r="I38" s="47"/>
      <c r="J38" s="507"/>
      <c r="K38" s="136">
        <f t="shared" si="0"/>
        <v>2.312823384785917E-4</v>
      </c>
      <c r="R38" s="85"/>
      <c r="S38" s="36"/>
    </row>
    <row r="39" spans="1:49" ht="15" collapsed="1">
      <c r="A39" s="36" t="s">
        <v>127</v>
      </c>
      <c r="B39" s="498">
        <f>+Proyección_indicadores!I4/Proyección_indicadores!I3</f>
        <v>12.81311221244567</v>
      </c>
      <c r="C39" s="498">
        <v>12.243389348539141</v>
      </c>
      <c r="D39" s="51">
        <f>+Graf_PowerBI!W7</f>
        <v>12.664218145877609</v>
      </c>
      <c r="E39" s="51">
        <f>+Graf_PowerBI!H79</f>
        <v>12.189877953944009</v>
      </c>
      <c r="F39" s="51">
        <v>12.978495686844608</v>
      </c>
      <c r="G39" s="47">
        <f>+B39/D39</f>
        <v>1.0117570674204257</v>
      </c>
      <c r="H39" s="47">
        <f t="shared" si="3"/>
        <v>-1.2742884721730574E-2</v>
      </c>
      <c r="I39" s="47">
        <f>+B39/E39-1</f>
        <v>5.112719428827539E-2</v>
      </c>
      <c r="J39" s="49">
        <v>1</v>
      </c>
      <c r="K39" s="136"/>
      <c r="R39" s="85"/>
      <c r="S39" s="36"/>
      <c r="X39" s="433"/>
    </row>
    <row r="40" spans="1:49" ht="15" hidden="1" customHeight="1" outlineLevel="1">
      <c r="A40" s="169" t="s">
        <v>122</v>
      </c>
      <c r="B40" s="217" t="e">
        <f>B44/B23*1000</f>
        <v>#REF!</v>
      </c>
      <c r="C40" s="217" t="e">
        <v>#REF!</v>
      </c>
      <c r="D40" s="217">
        <v>6.5334271392278049</v>
      </c>
      <c r="E40" s="217"/>
      <c r="F40" s="217" t="e">
        <v>#REF!</v>
      </c>
      <c r="G40" s="47"/>
      <c r="H40" s="47"/>
      <c r="I40" s="47"/>
      <c r="K40" s="136" t="e">
        <f t="shared" ref="K40:K47" si="4">+B40-C40</f>
        <v>#REF!</v>
      </c>
      <c r="R40" s="85"/>
      <c r="S40" s="36"/>
      <c r="AH40" s="357"/>
      <c r="AI40" s="180"/>
      <c r="AJ40" s="180"/>
      <c r="AK40" s="358"/>
    </row>
    <row r="41" spans="1:49" ht="15" hidden="1" customHeight="1" outlineLevel="1">
      <c r="A41" s="169" t="s">
        <v>123</v>
      </c>
      <c r="B41" s="217" t="e">
        <f>B45/B24*1000</f>
        <v>#REF!</v>
      </c>
      <c r="C41" s="217" t="e">
        <v>#REF!</v>
      </c>
      <c r="D41" s="217">
        <v>5.4735904950732568</v>
      </c>
      <c r="E41" s="217"/>
      <c r="F41" s="217" t="e">
        <v>#REF!</v>
      </c>
      <c r="G41" s="47"/>
      <c r="H41" s="47"/>
      <c r="I41" s="47"/>
      <c r="K41" s="136" t="e">
        <f t="shared" si="4"/>
        <v>#REF!</v>
      </c>
      <c r="R41" s="85"/>
      <c r="S41" s="36"/>
      <c r="AH41" s="357"/>
      <c r="AI41" s="180"/>
      <c r="AJ41" s="180"/>
      <c r="AK41" s="358"/>
    </row>
    <row r="42" spans="1:49" ht="15" hidden="1" customHeight="1" collapsed="1">
      <c r="A42" s="36" t="s">
        <v>128</v>
      </c>
      <c r="B42" s="51">
        <f>+I102/31</f>
        <v>53.662664186779182</v>
      </c>
      <c r="C42" s="51">
        <v>53.662664186779182</v>
      </c>
      <c r="D42" s="51"/>
      <c r="E42" s="51"/>
      <c r="F42" s="51">
        <v>55.536310755152705</v>
      </c>
      <c r="G42" s="47"/>
      <c r="H42" s="47"/>
      <c r="I42" s="47"/>
      <c r="K42" s="136">
        <f t="shared" si="4"/>
        <v>0</v>
      </c>
      <c r="R42" s="85"/>
      <c r="S42" s="36"/>
      <c r="AH42" s="357"/>
      <c r="AK42" s="359"/>
    </row>
    <row r="43" spans="1:49">
      <c r="A43" s="36" t="s">
        <v>129</v>
      </c>
      <c r="B43" s="51">
        <f>+B39*B17/1000</f>
        <v>9.6692870000000006</v>
      </c>
      <c r="C43" s="51">
        <v>9.2578254097235853</v>
      </c>
      <c r="D43" s="51">
        <f>+D39*D17/1000</f>
        <v>9.3893049009815002</v>
      </c>
      <c r="E43" s="51">
        <f>+E39*E17/1000</f>
        <v>8.4018490000000003</v>
      </c>
      <c r="F43" s="51">
        <v>9.7132099999999983</v>
      </c>
      <c r="G43" s="47">
        <f>+B43/D43</f>
        <v>1.0298192573328013</v>
      </c>
      <c r="H43" s="47">
        <f>+B43/F43-1</f>
        <v>-4.5219860375712573E-3</v>
      </c>
      <c r="I43" s="47">
        <f>+B43/E43-1</f>
        <v>0.15085227073231144</v>
      </c>
      <c r="J43" s="49">
        <v>1</v>
      </c>
      <c r="K43" s="136">
        <f t="shared" si="4"/>
        <v>0.41146159027641538</v>
      </c>
      <c r="R43" s="85"/>
      <c r="S43" s="36"/>
      <c r="X43" s="64"/>
      <c r="AI43" s="84"/>
      <c r="AJ43" s="84"/>
      <c r="AK43" s="84"/>
      <c r="AL43" s="84"/>
      <c r="AN43" s="84"/>
      <c r="AO43" s="84"/>
      <c r="AP43" s="84"/>
      <c r="AQ43" s="84"/>
      <c r="AR43" s="92"/>
      <c r="AS43" s="64"/>
      <c r="AT43" s="64"/>
      <c r="AU43" s="64"/>
      <c r="AV43" s="64"/>
      <c r="AW43" s="64"/>
    </row>
    <row r="44" spans="1:49" ht="15" hidden="1" customHeight="1" outlineLevel="1">
      <c r="A44" s="169" t="s">
        <v>122</v>
      </c>
      <c r="B44" s="217" t="e">
        <f>B43*(#REF!/#REF!)</f>
        <v>#REF!</v>
      </c>
      <c r="C44" s="217" t="e">
        <v>#REF!</v>
      </c>
      <c r="D44" s="217"/>
      <c r="E44" s="217"/>
      <c r="F44" s="217" t="e">
        <v>#REF!</v>
      </c>
      <c r="G44" s="47"/>
      <c r="H44" s="47"/>
      <c r="I44" s="47"/>
      <c r="K44" s="136" t="e">
        <f t="shared" si="4"/>
        <v>#REF!</v>
      </c>
      <c r="R44" s="85"/>
      <c r="S44" s="36"/>
      <c r="X44" s="64"/>
      <c r="AI44" s="84"/>
      <c r="AJ44" s="84"/>
      <c r="AK44" s="84"/>
      <c r="AL44" s="84"/>
      <c r="AN44" s="84"/>
      <c r="AO44" s="84"/>
      <c r="AP44" s="84"/>
      <c r="AQ44" s="84"/>
      <c r="AR44" s="92"/>
      <c r="AS44" s="64"/>
      <c r="AT44" s="64"/>
      <c r="AU44" s="64"/>
      <c r="AV44" s="64"/>
      <c r="AW44" s="64"/>
    </row>
    <row r="45" spans="1:49" ht="15" hidden="1" customHeight="1" outlineLevel="1">
      <c r="A45" s="169" t="s">
        <v>123</v>
      </c>
      <c r="B45" s="217" t="e">
        <f>B43*(#REF!/#REF!)</f>
        <v>#REF!</v>
      </c>
      <c r="C45" s="217" t="e">
        <v>#REF!</v>
      </c>
      <c r="D45" s="217"/>
      <c r="E45" s="217"/>
      <c r="F45" s="217" t="e">
        <v>#REF!</v>
      </c>
      <c r="G45" s="47"/>
      <c r="H45" s="47"/>
      <c r="I45" s="47"/>
      <c r="K45" s="136" t="e">
        <f t="shared" si="4"/>
        <v>#REF!</v>
      </c>
      <c r="R45" s="85"/>
      <c r="S45" s="36"/>
      <c r="X45" s="64"/>
      <c r="AI45" s="84"/>
      <c r="AJ45" s="84"/>
      <c r="AK45" s="84"/>
      <c r="AL45" s="84"/>
      <c r="AN45" s="84"/>
      <c r="AO45" s="84"/>
      <c r="AP45" s="84"/>
      <c r="AQ45" s="84"/>
      <c r="AR45" s="92"/>
      <c r="AS45" s="64"/>
      <c r="AT45" s="64"/>
      <c r="AU45" s="64"/>
      <c r="AV45" s="64"/>
      <c r="AW45" s="64"/>
    </row>
    <row r="46" spans="1:49" ht="18.5" collapsed="1">
      <c r="A46" s="36" t="s">
        <v>130</v>
      </c>
      <c r="B46" s="110">
        <v>1167.29269772413</v>
      </c>
      <c r="C46" s="110">
        <v>1167.29269772413</v>
      </c>
      <c r="D46" s="110">
        <f>+D5-D48*D5</f>
        <v>1166.4230429866384</v>
      </c>
      <c r="E46" s="110">
        <f>+Graf_PowerBI!L79</f>
        <v>1167.29269772413</v>
      </c>
      <c r="F46" s="51">
        <v>1167.29269772413</v>
      </c>
      <c r="G46" s="47"/>
      <c r="H46" s="47">
        <f>+B46/F46-1</f>
        <v>0</v>
      </c>
      <c r="I46" s="47">
        <f>+B46/E46-1</f>
        <v>0</v>
      </c>
      <c r="J46" s="526" t="str">
        <f>+IF(AND(DAY(B4)=C3,OR(J39&lt;&gt;100%,J43&lt;&gt;100%)),"ES CIERRE DE MES","")</f>
        <v/>
      </c>
      <c r="K46" s="136">
        <f t="shared" si="4"/>
        <v>0</v>
      </c>
      <c r="R46" s="85"/>
      <c r="S46" s="36"/>
      <c r="X46" s="64"/>
      <c r="AI46" s="84"/>
      <c r="AJ46" s="84"/>
      <c r="AK46" s="84"/>
      <c r="AL46" s="84"/>
      <c r="AN46" s="84"/>
      <c r="AO46" s="84"/>
      <c r="AP46" s="84"/>
      <c r="AQ46" s="84"/>
      <c r="AR46" s="92"/>
      <c r="AS46" s="64"/>
      <c r="AT46" s="64"/>
      <c r="AU46" s="64"/>
      <c r="AV46" s="64"/>
      <c r="AW46" s="64"/>
    </row>
    <row r="47" spans="1:49" ht="18.5">
      <c r="A47" s="36" t="s">
        <v>131</v>
      </c>
      <c r="B47" s="51">
        <f>+B25/B39</f>
        <v>177.40690596709868</v>
      </c>
      <c r="C47" s="51">
        <v>179.41275985353045</v>
      </c>
      <c r="D47" s="51">
        <f>+D25/D39</f>
        <v>168.10406290843309</v>
      </c>
      <c r="E47" s="51">
        <f>+E25/E39</f>
        <v>168.61863838277858</v>
      </c>
      <c r="F47" s="51">
        <v>178.67491285911348</v>
      </c>
      <c r="G47" s="47">
        <f>+B47/D47</f>
        <v>1.0553397871396653</v>
      </c>
      <c r="H47" s="47">
        <f>+B47/F47-1</f>
        <v>-7.0967259573515573E-3</v>
      </c>
      <c r="I47" s="47">
        <f>+B47/E47-1</f>
        <v>5.211919434653467E-2</v>
      </c>
      <c r="J47" s="526" t="str">
        <f>+IF(AND(DAY(B4)=C3,OR(J39&lt;&gt;100%,J43&lt;&gt;100%)),"RESTAURA EL CASTIGO AL 100%","")</f>
        <v/>
      </c>
      <c r="K47" s="136">
        <f t="shared" si="4"/>
        <v>-2.0058538864317654</v>
      </c>
      <c r="R47" s="85"/>
      <c r="S47" s="36"/>
      <c r="X47" s="499"/>
      <c r="AI47" s="362"/>
      <c r="AJ47" s="362"/>
      <c r="AK47" s="362"/>
      <c r="AL47" s="362"/>
      <c r="AN47" s="362"/>
      <c r="AO47" s="362"/>
      <c r="AP47" s="362"/>
      <c r="AQ47" s="362"/>
      <c r="AR47" s="92"/>
      <c r="AS47" s="499"/>
      <c r="AT47" s="499"/>
      <c r="AU47" s="499"/>
      <c r="AV47" s="499"/>
      <c r="AW47" s="499"/>
    </row>
    <row r="48" spans="1:49" ht="17.25" customHeight="1">
      <c r="A48" s="36" t="s">
        <v>132</v>
      </c>
      <c r="B48" s="254">
        <f>1-B46/B5</f>
        <v>0.31952089213557089</v>
      </c>
      <c r="C48" s="254">
        <v>0.29722313632967001</v>
      </c>
      <c r="D48" s="254">
        <f>+Graf_PowerBI!Z7</f>
        <v>0.26100000000000001</v>
      </c>
      <c r="E48" s="254">
        <f>+Graf_PowerBI!N79</f>
        <v>0.17605292057276534</v>
      </c>
      <c r="F48" s="254">
        <v>0.3274053454521475</v>
      </c>
      <c r="I48" s="223"/>
      <c r="J48" s="527" t="str">
        <f>+IF(AND(DAY(B4)=C3,AND(J39=100%,J43=100%)),"TODO CHECK","")</f>
        <v>TODO CHECK</v>
      </c>
      <c r="R48"/>
      <c r="S48" s="36"/>
    </row>
    <row r="49" spans="1:27" hidden="1">
      <c r="A49" s="36" t="s">
        <v>133</v>
      </c>
      <c r="B49" s="131">
        <v>876.08670058381006</v>
      </c>
      <c r="C49">
        <v>876.08670058381006</v>
      </c>
      <c r="D49"/>
      <c r="E49" s="38"/>
      <c r="G49" s="37"/>
      <c r="H49" s="37"/>
      <c r="I49" s="15"/>
      <c r="J49"/>
      <c r="L49" s="37"/>
      <c r="R49"/>
      <c r="S49" s="36"/>
    </row>
    <row r="50" spans="1:27">
      <c r="B50" s="131">
        <v>34.700000000000003</v>
      </c>
      <c r="C50" s="163">
        <f>+B50/B5</f>
        <v>2.0228538299719698E-2</v>
      </c>
      <c r="D50" s="196"/>
      <c r="E50" s="480"/>
      <c r="G50" s="37"/>
      <c r="H50" s="37"/>
      <c r="I50" s="15"/>
      <c r="J50"/>
      <c r="R50"/>
      <c r="S50" s="36"/>
    </row>
    <row r="51" spans="1:27" ht="16">
      <c r="A51" s="481" t="s">
        <v>134</v>
      </c>
      <c r="B51" s="131">
        <v>758.14773012785452</v>
      </c>
      <c r="C51" s="196"/>
      <c r="D51" s="196"/>
      <c r="E51" s="480"/>
      <c r="G51" s="489"/>
      <c r="H51" s="698"/>
      <c r="I51" s="15"/>
      <c r="J51"/>
      <c r="L51" s="37"/>
      <c r="R51"/>
      <c r="S51" s="36"/>
    </row>
    <row r="52" spans="1:27">
      <c r="A52" s="180"/>
      <c r="B52" s="180"/>
      <c r="C52" s="535">
        <v>1552.4851103289398</v>
      </c>
      <c r="D52" s="536"/>
      <c r="E52" s="535">
        <f>+C52-A58</f>
        <v>1431.7374160289398</v>
      </c>
      <c r="F52" s="180"/>
      <c r="G52" s="489"/>
      <c r="M52" s="345"/>
      <c r="Q52"/>
      <c r="S52" s="36" t="s">
        <v>484</v>
      </c>
    </row>
    <row r="53" spans="1:27" ht="15">
      <c r="A53" s="180"/>
      <c r="B53" s="54" t="s">
        <v>38</v>
      </c>
      <c r="C53" s="54" t="s">
        <v>45</v>
      </c>
      <c r="D53" s="54" t="s">
        <v>94</v>
      </c>
      <c r="E53" s="54" t="s">
        <v>15</v>
      </c>
      <c r="F53" s="180"/>
      <c r="G53" s="148"/>
      <c r="L53" s="148"/>
      <c r="M53" s="49"/>
      <c r="Q53"/>
      <c r="S53" s="180"/>
      <c r="T53" s="54" t="s">
        <v>38</v>
      </c>
      <c r="U53" s="54" t="s">
        <v>45</v>
      </c>
      <c r="V53" s="54" t="s">
        <v>94</v>
      </c>
      <c r="W53" s="54" t="s">
        <v>15</v>
      </c>
    </row>
    <row r="54" spans="1:27" ht="15">
      <c r="A54" s="678" t="s">
        <v>38</v>
      </c>
      <c r="B54" s="56">
        <f>+(B33-C33)*C25*C36/1000</f>
        <v>-0.56107154028570039</v>
      </c>
      <c r="C54" s="56"/>
      <c r="D54" s="56"/>
      <c r="E54" s="57">
        <f>+SUM(B54:D54)</f>
        <v>-0.56107154028570039</v>
      </c>
      <c r="F54" s="346"/>
      <c r="G54" s="574"/>
      <c r="H54" s="532"/>
      <c r="I54" s="532"/>
      <c r="L54" s="472"/>
      <c r="M54" s="472"/>
      <c r="N54" s="472"/>
      <c r="Q54"/>
      <c r="S54" s="678" t="s">
        <v>38</v>
      </c>
      <c r="T54" s="56">
        <f>+(B33-D33)*D25*D36/1000</f>
        <v>9.6058781520844079</v>
      </c>
      <c r="U54" s="56"/>
      <c r="V54" s="56"/>
      <c r="W54" s="57">
        <f>+SUM(T54:V54)</f>
        <v>9.6058781520844079</v>
      </c>
    </row>
    <row r="55" spans="1:27" ht="15">
      <c r="A55" s="678" t="s">
        <v>45</v>
      </c>
      <c r="B55" s="56">
        <f>+(B33-C33)*(B36-C36)*C25/1000</f>
        <v>9.3040912182219522E-4</v>
      </c>
      <c r="C55" s="56">
        <f>+C33*(B36-C36)*C25/1000</f>
        <v>-2.7543430658019239</v>
      </c>
      <c r="D55" s="56"/>
      <c r="E55" s="57">
        <f>+SUM(B55:D55)</f>
        <v>-2.7534126566801018</v>
      </c>
      <c r="F55" s="346"/>
      <c r="G55" s="532"/>
      <c r="H55" s="514"/>
      <c r="I55" s="136"/>
      <c r="L55" s="471"/>
      <c r="M55" s="471"/>
      <c r="N55" s="473"/>
      <c r="Q55"/>
      <c r="S55" s="678" t="s">
        <v>45</v>
      </c>
      <c r="T55" s="56">
        <f>+(B33-D33)*(B36-D36)*D25/1000</f>
        <v>0.11234280721177332</v>
      </c>
      <c r="U55" s="56">
        <f>+D33*(B36-D36)*D25/1000</f>
        <v>18.459496481004045</v>
      </c>
      <c r="V55" s="56"/>
      <c r="W55" s="57">
        <f>+SUM(T55:V55)</f>
        <v>18.57183928821582</v>
      </c>
    </row>
    <row r="56" spans="1:27" ht="15">
      <c r="A56" s="678" t="s">
        <v>196</v>
      </c>
      <c r="B56" s="60">
        <f>+(B33-C33)*(B36-C36)*(B25-C25)/1000+(B33-C33)*C36*(B25-C25)/1000</f>
        <v>-1.9511254870348563E-2</v>
      </c>
      <c r="C56" s="60">
        <f>+C33*(B36-C36)*(B25-C25)/1000</f>
        <v>-9.5941337936699164E-2</v>
      </c>
      <c r="D56" s="60">
        <f>+C33*C36*(B25-C25)/1000</f>
        <v>57.856219367012848</v>
      </c>
      <c r="E56" s="61">
        <f>+SUM(B56:D56)</f>
        <v>57.740766774205802</v>
      </c>
      <c r="F56" s="346"/>
      <c r="G56" s="532"/>
      <c r="H56" s="514"/>
      <c r="L56" s="471"/>
      <c r="M56" s="471"/>
      <c r="N56" s="471"/>
      <c r="Q56"/>
      <c r="S56" s="678" t="s">
        <v>196</v>
      </c>
      <c r="T56" s="60">
        <f>+(B33-D33)*(B36-D36)*(B25-D25)/1000+(B33-D33)*D36*(B25-D25)/1000</f>
        <v>0.65838505945902059</v>
      </c>
      <c r="U56" s="60">
        <f>+D33*(B36-D36)*(B25-D25)/1000</f>
        <v>1.2505845194437331</v>
      </c>
      <c r="V56" s="60">
        <f>+D33*D36*(B25-D25)/1000</f>
        <v>106.93130081763346</v>
      </c>
      <c r="W56" s="61">
        <f>+SUM(T56:V56)</f>
        <v>108.84027039653621</v>
      </c>
    </row>
    <row r="57" spans="1:27" ht="15">
      <c r="A57" s="180"/>
      <c r="B57" s="56"/>
      <c r="C57" s="56"/>
      <c r="D57" s="56"/>
      <c r="E57" s="490">
        <f>+SUM(E54:E56)</f>
        <v>54.426282577240002</v>
      </c>
      <c r="F57" s="346"/>
      <c r="G57" s="532"/>
      <c r="H57" s="514"/>
      <c r="Q57"/>
      <c r="S57" s="180"/>
      <c r="T57" s="56"/>
      <c r="U57" s="56"/>
      <c r="V57" s="56"/>
      <c r="W57" s="490">
        <f>+SUM(W54:W56)</f>
        <v>137.01798783683643</v>
      </c>
    </row>
    <row r="58" spans="1:27">
      <c r="A58" s="36">
        <f>+'Fecha Proceso'!D39+'Fecha Proceso'!E39</f>
        <v>120.74769430000001</v>
      </c>
      <c r="B58" s="491"/>
      <c r="C58" s="491"/>
      <c r="D58" s="525"/>
      <c r="E58" s="66"/>
      <c r="F58" s="65"/>
      <c r="L58" s="66"/>
      <c r="Q58"/>
      <c r="R58" s="163"/>
      <c r="S58" s="36"/>
    </row>
    <row r="59" spans="1:27" ht="18.5">
      <c r="A59" s="67"/>
      <c r="B59" s="67" t="s">
        <v>135</v>
      </c>
      <c r="D59" s="159" t="str">
        <f>+IF(C3=COUNT('Facturación_Procesada - Prop'!A2:A32),"","AJUSTAR CANTIDAD DE DIAS EN FACTURACION_PROCESADA")</f>
        <v/>
      </c>
      <c r="E59" s="66"/>
      <c r="F59" s="66"/>
      <c r="H59" s="67" t="s">
        <v>136</v>
      </c>
      <c r="J59" s="515">
        <f>+B33+J60</f>
        <v>872.98899999999992</v>
      </c>
      <c r="K59" s="136">
        <v>1479.8377329300631</v>
      </c>
      <c r="Q59"/>
      <c r="R59" s="15"/>
      <c r="S59" s="36"/>
    </row>
    <row r="60" spans="1:27" ht="15">
      <c r="B60" s="65"/>
      <c r="C60" s="159" t="str">
        <f>+IF(MONTH(B62)&lt;&gt;MONTH('Facturación_Procesada - Prop'!A2),"CORREGIR MES EN HOJA FACTU_PROCESADA","")</f>
        <v/>
      </c>
      <c r="D60" s="66"/>
      <c r="E60" s="66"/>
      <c r="F60" s="48"/>
      <c r="H60" s="345"/>
      <c r="I60" s="478">
        <f>+B4</f>
        <v>46142</v>
      </c>
      <c r="J60" s="88">
        <f>+J61-I61</f>
        <v>-5.9400000000000013</v>
      </c>
      <c r="K60" s="136">
        <v>1479837732.930063</v>
      </c>
      <c r="N60" s="48"/>
      <c r="Q60"/>
      <c r="R60"/>
      <c r="S60" s="36"/>
    </row>
    <row r="61" spans="1:27" ht="30">
      <c r="A61" s="68"/>
      <c r="B61" s="107" t="s">
        <v>137</v>
      </c>
      <c r="C61" s="107" t="s">
        <v>135</v>
      </c>
      <c r="D61" s="107" t="s">
        <v>109</v>
      </c>
      <c r="E61" s="107" t="s">
        <v>138</v>
      </c>
      <c r="F61" s="252"/>
      <c r="H61" s="477" t="s">
        <v>89</v>
      </c>
      <c r="I61" s="492">
        <f>27.6*0.9</f>
        <v>24.840000000000003</v>
      </c>
      <c r="J61" s="36">
        <f>21*0.9</f>
        <v>18.900000000000002</v>
      </c>
      <c r="N61" s="220"/>
      <c r="O61" s="207"/>
      <c r="P61" s="219"/>
      <c r="Q61" s="207"/>
      <c r="S61" s="15"/>
    </row>
    <row r="62" spans="1:27" ht="16.5">
      <c r="A62" s="74">
        <v>1486.7950276035369</v>
      </c>
      <c r="B62" s="132">
        <v>46118</v>
      </c>
      <c r="C62" s="676">
        <v>1651.0092946596596</v>
      </c>
      <c r="D62" s="676">
        <v>1687.1084776268772</v>
      </c>
      <c r="E62" s="676">
        <v>-36.09918296721753</v>
      </c>
      <c r="F62" s="667"/>
      <c r="G62" s="208">
        <f>+C66/B5</f>
        <v>0.9992580822362177</v>
      </c>
      <c r="H62" s="477" t="s">
        <v>139</v>
      </c>
      <c r="I62" s="492">
        <v>9.7970000000000006</v>
      </c>
      <c r="N62" s="180"/>
      <c r="O62" s="136"/>
      <c r="P62" s="148"/>
      <c r="Q62"/>
      <c r="S62" s="36"/>
      <c r="W62" s="367"/>
      <c r="X62" s="700"/>
      <c r="Y62" s="700"/>
      <c r="Z62" s="369"/>
      <c r="AA62" s="368"/>
    </row>
    <row r="63" spans="1:27" ht="21.75" customHeight="1">
      <c r="A63" s="74">
        <f>+A62-C66</f>
        <v>-227.33057751135311</v>
      </c>
      <c r="B63" s="132">
        <f>B62+7</f>
        <v>46125</v>
      </c>
      <c r="C63" s="676">
        <v>1637.533766552541</v>
      </c>
      <c r="D63" s="676">
        <v>1687.1084776268772</v>
      </c>
      <c r="E63" s="676">
        <v>-49.574711074336165</v>
      </c>
      <c r="F63" s="669"/>
      <c r="H63" s="533" t="s">
        <v>140</v>
      </c>
      <c r="I63" s="84">
        <v>3.661</v>
      </c>
      <c r="J63" s="36">
        <f>1/2*1000000/1000000</f>
        <v>0.5</v>
      </c>
      <c r="N63" s="253"/>
      <c r="O63" s="253"/>
      <c r="P63" s="253"/>
      <c r="Q63"/>
      <c r="S63" s="36"/>
    </row>
    <row r="64" spans="1:27" ht="15">
      <c r="A64" s="74"/>
      <c r="B64" s="461">
        <f>B63+7</f>
        <v>46132</v>
      </c>
      <c r="C64" s="676">
        <v>1709.5829590373294</v>
      </c>
      <c r="D64" s="676">
        <v>1687.1084776268772</v>
      </c>
      <c r="E64" s="676">
        <v>22.474481410452199</v>
      </c>
      <c r="F64" s="206"/>
      <c r="H64" s="479" t="s">
        <v>141</v>
      </c>
      <c r="I64" s="84">
        <v>6.1360000000000001</v>
      </c>
      <c r="N64" s="253"/>
      <c r="O64" s="348"/>
      <c r="P64" s="224"/>
      <c r="Q64"/>
      <c r="S64" s="36"/>
    </row>
    <row r="65" spans="1:31" ht="15">
      <c r="A65" s="74">
        <v>1510.593565065348</v>
      </c>
      <c r="B65" s="132">
        <f t="shared" ref="B65" si="5">B64+7</f>
        <v>46139</v>
      </c>
      <c r="C65" s="676">
        <v>1705.0134477576851</v>
      </c>
      <c r="D65" s="676">
        <v>1687.1084776268772</v>
      </c>
      <c r="E65" s="676">
        <v>17.904970130807897</v>
      </c>
      <c r="F65" s="41"/>
      <c r="H65" s="477" t="s">
        <v>142</v>
      </c>
      <c r="I65" s="84">
        <f>13513/1000</f>
        <v>13.513</v>
      </c>
      <c r="S65" s="36"/>
      <c r="AC65" s="84" t="s">
        <v>141</v>
      </c>
    </row>
    <row r="66" spans="1:31" ht="15">
      <c r="A66" s="74"/>
      <c r="B66" s="132" t="s">
        <v>143</v>
      </c>
      <c r="C66" s="668">
        <f>+'Facturación_Procesada - Prop'!E32</f>
        <v>1714.12560511489</v>
      </c>
      <c r="D66" s="668">
        <v>1687.1084776268772</v>
      </c>
      <c r="E66" s="668">
        <f>+C66-D66</f>
        <v>27.017127488012875</v>
      </c>
      <c r="H66" s="477" t="s">
        <v>91</v>
      </c>
      <c r="I66" s="84">
        <f>17537/1000</f>
        <v>17.536999999999999</v>
      </c>
      <c r="S66" s="36"/>
      <c r="AC66" s="84"/>
    </row>
    <row r="67" spans="1:31">
      <c r="A67" s="73"/>
      <c r="C67" s="36" t="s">
        <v>144</v>
      </c>
      <c r="H67" s="48">
        <f>+C66-102+4</f>
        <v>1616.12560511489</v>
      </c>
      <c r="J67" s="253"/>
      <c r="K67" s="253"/>
      <c r="S67" s="36"/>
      <c r="AE67" s="84"/>
    </row>
    <row r="68" spans="1:31">
      <c r="A68" s="73"/>
      <c r="B68" s="76"/>
      <c r="C68" s="505" t="s">
        <v>145</v>
      </c>
      <c r="D68" s="384"/>
      <c r="H68" s="85">
        <f>+H67/B5</f>
        <v>0.94212849280185085</v>
      </c>
      <c r="I68" s="313"/>
      <c r="J68" s="313"/>
      <c r="K68" s="131"/>
      <c r="L68" s="206"/>
      <c r="M68" s="377"/>
      <c r="N68" s="172"/>
      <c r="O68" s="173"/>
    </row>
    <row r="69" spans="1:31" s="79" customFormat="1" ht="24.75" customHeight="1">
      <c r="A69" s="78" t="s">
        <v>455</v>
      </c>
    </row>
    <row r="71" spans="1:31" s="45" customFormat="1" ht="30" customHeight="1">
      <c r="A71" s="107" t="s">
        <v>146</v>
      </c>
      <c r="B71" s="107" t="s">
        <v>147</v>
      </c>
      <c r="C71" s="80" t="s">
        <v>86</v>
      </c>
      <c r="D71" s="80" t="s">
        <v>483</v>
      </c>
      <c r="E71" s="80" t="s">
        <v>148</v>
      </c>
      <c r="F71" s="80" t="s">
        <v>149</v>
      </c>
      <c r="G71" s="80" t="s">
        <v>150</v>
      </c>
      <c r="H71" s="80" t="s">
        <v>457</v>
      </c>
      <c r="I71" s="80" t="s">
        <v>456</v>
      </c>
      <c r="K71" s="41" t="s">
        <v>151</v>
      </c>
      <c r="L71" s="41" t="s">
        <v>152</v>
      </c>
      <c r="M71" s="41"/>
      <c r="N71" s="380"/>
      <c r="O71" s="380"/>
      <c r="P71" s="380"/>
      <c r="Q71"/>
      <c r="R71" s="81"/>
      <c r="S71" s="81"/>
      <c r="T71" s="82"/>
    </row>
    <row r="72" spans="1:31">
      <c r="A72" s="541">
        <v>46113</v>
      </c>
      <c r="B72" s="542" t="str">
        <f>+TEXT(A72,"dddddd")</f>
        <v>miércoles</v>
      </c>
      <c r="C72" s="222">
        <v>69.450154613859993</v>
      </c>
      <c r="D72" s="222">
        <v>69.447654613859996</v>
      </c>
      <c r="E72" s="222">
        <v>55.902833127602683</v>
      </c>
      <c r="F72" s="84">
        <f t="shared" ref="F72:F99" si="6">+C72-E72</f>
        <v>13.54732148625731</v>
      </c>
      <c r="G72" s="84">
        <f>+C72-D72</f>
        <v>2.4999999999977263E-3</v>
      </c>
      <c r="H72" s="670">
        <v>52.744675890750003</v>
      </c>
      <c r="I72" s="670">
        <v>52.772599999999997</v>
      </c>
      <c r="J72" s="528">
        <f t="shared" ref="J72:J101" si="7">C72/D72-1</f>
        <v>3.5998335925047087E-5</v>
      </c>
      <c r="K72" s="84">
        <v>65.703299999999999</v>
      </c>
      <c r="L72" s="84">
        <f t="shared" ref="L72:L101" si="8">+C72</f>
        <v>69.450154613859993</v>
      </c>
      <c r="M72" s="380">
        <v>69.444110633289995</v>
      </c>
      <c r="N72" s="164"/>
      <c r="O72" s="380"/>
      <c r="P72" s="380"/>
      <c r="Q72" s="356">
        <f t="shared" ref="Q72:Q96" si="9">+C72-O72</f>
        <v>69.450154613859993</v>
      </c>
      <c r="R72" s="184">
        <f t="shared" ref="R72:R92" si="10">+G72-C72</f>
        <v>-69.447654613859996</v>
      </c>
      <c r="S72" s="36"/>
      <c r="T72" s="86"/>
      <c r="U72" s="92">
        <v>71.266800000000003</v>
      </c>
      <c r="V72" s="88">
        <f t="shared" ref="V72:V89" si="11">+U72-C72</f>
        <v>1.81664538614001</v>
      </c>
    </row>
    <row r="73" spans="1:31">
      <c r="A73" s="87">
        <f>+A72+1</f>
        <v>46114</v>
      </c>
      <c r="B73" s="35" t="str">
        <f t="shared" ref="B73:B97" si="12">+TEXT(A73,"dddddd")</f>
        <v>jueves</v>
      </c>
      <c r="C73" s="222">
        <v>54.145314768989998</v>
      </c>
      <c r="D73" s="222">
        <v>54.145314768989998</v>
      </c>
      <c r="E73" s="157">
        <v>59.25700311525884</v>
      </c>
      <c r="F73" s="84">
        <f t="shared" si="6"/>
        <v>-5.1116883462688421</v>
      </c>
      <c r="G73" s="84">
        <f t="shared" ref="G73:G99" si="13">+C73-D73</f>
        <v>0</v>
      </c>
      <c r="H73" s="670">
        <v>69.032772996630001</v>
      </c>
      <c r="I73" s="671">
        <v>69.153700000000001</v>
      </c>
      <c r="J73" s="528">
        <f t="shared" si="7"/>
        <v>0</v>
      </c>
      <c r="K73" s="84">
        <v>52.214799999999997</v>
      </c>
      <c r="L73" s="84">
        <f t="shared" si="8"/>
        <v>54.145314768989998</v>
      </c>
      <c r="M73" s="380">
        <v>54.131711394429999</v>
      </c>
      <c r="N73" s="164"/>
      <c r="O73" s="380"/>
      <c r="P73" s="85">
        <f>+SUM($C$72:C73)/SUM($E$72:E73)</f>
        <v>1.0732515208010411</v>
      </c>
      <c r="Q73" s="356">
        <f t="shared" si="9"/>
        <v>54.145314768989998</v>
      </c>
      <c r="R73" s="184">
        <f t="shared" si="10"/>
        <v>-54.145314768989998</v>
      </c>
      <c r="S73" s="49" t="e">
        <f>+SUM(C$72:C73)/SUM(#REF!)</f>
        <v>#REF!</v>
      </c>
      <c r="T73" s="86"/>
      <c r="U73" s="92">
        <v>59.888300000000001</v>
      </c>
      <c r="V73" s="88">
        <f t="shared" si="11"/>
        <v>5.7429852310100031</v>
      </c>
    </row>
    <row r="74" spans="1:31">
      <c r="A74" s="87">
        <f>+A73+1</f>
        <v>46115</v>
      </c>
      <c r="B74" s="35" t="str">
        <f t="shared" si="12"/>
        <v>viernes</v>
      </c>
      <c r="C74" s="222">
        <v>36.973360684900001</v>
      </c>
      <c r="D74" s="222">
        <v>36.97335608177</v>
      </c>
      <c r="E74" s="222">
        <v>63.914227983215014</v>
      </c>
      <c r="F74" s="84">
        <f t="shared" si="6"/>
        <v>-26.940867298315013</v>
      </c>
      <c r="G74" s="84">
        <f t="shared" si="13"/>
        <v>4.6031300016124987E-6</v>
      </c>
      <c r="H74" s="670">
        <v>62.446638206449997</v>
      </c>
      <c r="I74" s="671">
        <v>62.529200000000003</v>
      </c>
      <c r="J74" s="528">
        <f t="shared" si="7"/>
        <v>1.2449857100804707E-7</v>
      </c>
      <c r="K74" s="84">
        <v>35.955300000000001</v>
      </c>
      <c r="L74" s="84">
        <f t="shared" si="8"/>
        <v>36.973360684900001</v>
      </c>
      <c r="M74" s="380">
        <v>36.953359588929999</v>
      </c>
      <c r="N74" s="164"/>
      <c r="O74" s="380"/>
      <c r="P74" s="85">
        <f>+SUM($C$72:C74)/SUM($E$72:E74)</f>
        <v>0.89666156158178134</v>
      </c>
      <c r="Q74" s="356">
        <f t="shared" si="9"/>
        <v>36.973360684900001</v>
      </c>
      <c r="R74" s="184">
        <f t="shared" si="10"/>
        <v>-36.97335608177</v>
      </c>
      <c r="S74" s="49" t="e">
        <f>+SUM(C$72:C74)/SUM(#REF!)</f>
        <v>#REF!</v>
      </c>
      <c r="T74" s="86"/>
      <c r="U74" s="92">
        <v>58.604500000000002</v>
      </c>
      <c r="V74" s="88">
        <f t="shared" si="11"/>
        <v>21.6311393151</v>
      </c>
    </row>
    <row r="75" spans="1:31">
      <c r="A75" s="87">
        <f>+A74+1</f>
        <v>46116</v>
      </c>
      <c r="B75" s="35" t="str">
        <f t="shared" si="12"/>
        <v>sábado</v>
      </c>
      <c r="C75" s="222">
        <v>49.389049673140001</v>
      </c>
      <c r="D75" s="222">
        <v>49.389049673140001</v>
      </c>
      <c r="E75" s="222">
        <v>60.56199960238169</v>
      </c>
      <c r="F75" s="84">
        <f t="shared" si="6"/>
        <v>-11.172949929241689</v>
      </c>
      <c r="G75" s="84">
        <f t="shared" si="13"/>
        <v>0</v>
      </c>
      <c r="H75" s="670">
        <v>60.727189905860001</v>
      </c>
      <c r="I75" s="671">
        <v>60.938200000000002</v>
      </c>
      <c r="J75" s="528">
        <f t="shared" si="7"/>
        <v>0</v>
      </c>
      <c r="K75" s="84">
        <v>47.899700000000003</v>
      </c>
      <c r="L75" s="84">
        <f t="shared" si="8"/>
        <v>49.389049673140001</v>
      </c>
      <c r="M75" s="380">
        <v>49.378885852780002</v>
      </c>
      <c r="N75" s="164"/>
      <c r="O75" s="380"/>
      <c r="P75" s="85">
        <f>+SUM($C$72:C75)/SUM($E$72:E75)</f>
        <v>0.87615309810457764</v>
      </c>
      <c r="Q75" s="356">
        <f t="shared" si="9"/>
        <v>49.389049673140001</v>
      </c>
      <c r="R75" s="184">
        <f t="shared" si="10"/>
        <v>-49.389049673140001</v>
      </c>
      <c r="S75" s="49" t="e">
        <f>+SUM(C$72:C75)/SUM(#REF!)</f>
        <v>#REF!</v>
      </c>
      <c r="T75"/>
      <c r="U75" s="356">
        <v>56.479799999999997</v>
      </c>
      <c r="V75" s="88">
        <f t="shared" si="11"/>
        <v>7.0907503268599967</v>
      </c>
    </row>
    <row r="76" spans="1:31">
      <c r="A76" s="87">
        <f>+A75+1</f>
        <v>46117</v>
      </c>
      <c r="B76" s="35" t="str">
        <f t="shared" si="12"/>
        <v>domingo</v>
      </c>
      <c r="C76" s="222">
        <v>39.947746357020002</v>
      </c>
      <c r="D76" s="222">
        <v>39.947746357020002</v>
      </c>
      <c r="E76" s="222">
        <v>54.772241292076885</v>
      </c>
      <c r="F76" s="84">
        <f t="shared" si="6"/>
        <v>-14.824494935056883</v>
      </c>
      <c r="G76" s="84">
        <f t="shared" si="13"/>
        <v>0</v>
      </c>
      <c r="H76" s="670">
        <v>65.146542529559994</v>
      </c>
      <c r="I76" s="671">
        <v>65.362200000000001</v>
      </c>
      <c r="J76" s="528">
        <f t="shared" si="7"/>
        <v>0</v>
      </c>
      <c r="K76" s="84">
        <v>38.909999999999997</v>
      </c>
      <c r="L76" s="84">
        <f t="shared" si="8"/>
        <v>39.947746357020002</v>
      </c>
      <c r="M76" s="380">
        <v>39.906691103470003</v>
      </c>
      <c r="N76" s="164"/>
      <c r="O76" s="380"/>
      <c r="P76" s="85">
        <f>+SUM($C$72:C76)/SUM($E$72:E76)</f>
        <v>0.84884027302013421</v>
      </c>
      <c r="Q76" s="356">
        <f t="shared" si="9"/>
        <v>39.947746357020002</v>
      </c>
      <c r="R76" s="184">
        <f t="shared" si="10"/>
        <v>-39.947746357020002</v>
      </c>
      <c r="S76" s="49" t="e">
        <f>+SUM(C$72:C76)/SUM(#REF!)</f>
        <v>#REF!</v>
      </c>
      <c r="T76"/>
      <c r="U76" s="356">
        <v>61.186399999999999</v>
      </c>
      <c r="V76" s="88">
        <f t="shared" si="11"/>
        <v>21.238653642979997</v>
      </c>
    </row>
    <row r="77" spans="1:31">
      <c r="A77" s="512">
        <f>+A76+1</f>
        <v>46118</v>
      </c>
      <c r="B77" s="513" t="str">
        <f t="shared" si="12"/>
        <v>lunes</v>
      </c>
      <c r="C77" s="222">
        <v>61.58556499665</v>
      </c>
      <c r="D77" s="222">
        <v>61.585561319059998</v>
      </c>
      <c r="E77" s="222">
        <v>56.518584869923473</v>
      </c>
      <c r="F77" s="84">
        <f t="shared" si="6"/>
        <v>5.0669801267265271</v>
      </c>
      <c r="G77" s="84">
        <f t="shared" si="13"/>
        <v>3.6775900014163199E-6</v>
      </c>
      <c r="H77" s="670">
        <v>58.757553753640003</v>
      </c>
      <c r="I77" s="671">
        <v>58.818899999999999</v>
      </c>
      <c r="J77" s="528">
        <f t="shared" si="7"/>
        <v>5.9715133282622901E-8</v>
      </c>
      <c r="K77" s="84">
        <v>60.453600000000002</v>
      </c>
      <c r="L77" s="84">
        <f t="shared" si="8"/>
        <v>61.58556499665</v>
      </c>
      <c r="M77" s="380">
        <v>61.535572311439999</v>
      </c>
      <c r="N77" s="164"/>
      <c r="O77" s="380"/>
      <c r="P77" s="85">
        <f>+SUM($C$72:C77)/SUM($E$72:E77)</f>
        <v>0.88762417466221877</v>
      </c>
      <c r="Q77" s="356">
        <f t="shared" si="9"/>
        <v>61.58556499665</v>
      </c>
      <c r="R77" s="184">
        <f t="shared" si="10"/>
        <v>-61.585561319059998</v>
      </c>
      <c r="S77" s="49" t="e">
        <f>+SUM(C$72:C77)/SUM(#REF!)</f>
        <v>#REF!</v>
      </c>
      <c r="T77"/>
      <c r="U77" s="356">
        <v>52.7729</v>
      </c>
      <c r="V77" s="88">
        <f t="shared" si="11"/>
        <v>-8.8126649966499997</v>
      </c>
    </row>
    <row r="78" spans="1:31" ht="14.25" customHeight="1">
      <c r="A78" s="512">
        <f t="shared" ref="A78:A101" si="14">+A77+1</f>
        <v>46119</v>
      </c>
      <c r="B78" s="513" t="str">
        <f t="shared" si="12"/>
        <v>martes</v>
      </c>
      <c r="C78" s="222">
        <v>63.431738435360003</v>
      </c>
      <c r="D78" s="222">
        <v>63.431738435360003</v>
      </c>
      <c r="E78" s="222">
        <v>52.281290398837804</v>
      </c>
      <c r="F78" s="84">
        <f t="shared" si="6"/>
        <v>11.150448036522199</v>
      </c>
      <c r="G78" s="84">
        <f t="shared" si="13"/>
        <v>0</v>
      </c>
      <c r="H78" s="670">
        <v>52.106236745940002</v>
      </c>
      <c r="I78" s="671">
        <v>52.139800000000001</v>
      </c>
      <c r="J78" s="528">
        <f t="shared" si="7"/>
        <v>0</v>
      </c>
      <c r="K78" s="84">
        <v>62.802100000000003</v>
      </c>
      <c r="L78" s="84">
        <f t="shared" si="8"/>
        <v>63.431738435360003</v>
      </c>
      <c r="M78" s="380">
        <v>63.139694381360002</v>
      </c>
      <c r="N78" s="164"/>
      <c r="O78" s="380"/>
      <c r="P78" s="85">
        <f>+SUM($C$72:C78)/SUM($E$72:E78)</f>
        <v>0.92984951140607552</v>
      </c>
      <c r="Q78" s="356">
        <f t="shared" si="9"/>
        <v>63.431738435360003</v>
      </c>
      <c r="R78" s="184">
        <f t="shared" si="10"/>
        <v>-63.431738435360003</v>
      </c>
      <c r="S78" s="49" t="e">
        <f>+SUM(C$72:C78)/SUM(#REF!)</f>
        <v>#REF!</v>
      </c>
      <c r="T78"/>
      <c r="U78" s="356">
        <v>41.657400000000003</v>
      </c>
      <c r="V78" s="88">
        <f t="shared" si="11"/>
        <v>-21.774338435360001</v>
      </c>
    </row>
    <row r="79" spans="1:31">
      <c r="A79" s="512">
        <f t="shared" si="14"/>
        <v>46120</v>
      </c>
      <c r="B79" s="513" t="str">
        <f t="shared" si="12"/>
        <v>miércoles</v>
      </c>
      <c r="C79" s="222">
        <v>55.969330691480003</v>
      </c>
      <c r="D79" s="222">
        <v>55.967165920420001</v>
      </c>
      <c r="E79" s="222">
        <v>33.541699876561609</v>
      </c>
      <c r="F79" s="84">
        <f t="shared" si="6"/>
        <v>22.427630814918395</v>
      </c>
      <c r="G79" s="84">
        <f t="shared" si="13"/>
        <v>2.1647710600021242E-3</v>
      </c>
      <c r="H79" s="670">
        <v>40.353004601510001</v>
      </c>
      <c r="I79" s="671">
        <v>40.3795</v>
      </c>
      <c r="J79" s="528">
        <f t="shared" si="7"/>
        <v>3.8679304631639155E-5</v>
      </c>
      <c r="K79" s="84">
        <v>55.4758</v>
      </c>
      <c r="L79" s="84">
        <f t="shared" si="8"/>
        <v>55.969330691480003</v>
      </c>
      <c r="M79" s="380">
        <v>55.305713574679999</v>
      </c>
      <c r="N79" s="164"/>
      <c r="O79" s="380"/>
      <c r="P79" s="85">
        <f>+SUM($C$72:C79)/SUM($E$72:E79)</f>
        <v>0.98658815878577388</v>
      </c>
      <c r="Q79" s="356">
        <f t="shared" si="9"/>
        <v>55.969330691480003</v>
      </c>
      <c r="R79" s="184">
        <f t="shared" si="10"/>
        <v>-55.967165920420001</v>
      </c>
      <c r="S79" s="49" t="e">
        <f>+SUM(C$72:C79)/SUM(#REF!)</f>
        <v>#REF!</v>
      </c>
      <c r="T79"/>
      <c r="U79" s="356">
        <v>44.517000000000003</v>
      </c>
      <c r="V79" s="88">
        <f t="shared" si="11"/>
        <v>-11.45233069148</v>
      </c>
    </row>
    <row r="80" spans="1:31">
      <c r="A80" s="512">
        <f t="shared" si="14"/>
        <v>46121</v>
      </c>
      <c r="B80" s="513" t="str">
        <f t="shared" si="12"/>
        <v>jueves</v>
      </c>
      <c r="C80" s="222">
        <v>52.036932866599997</v>
      </c>
      <c r="D80" s="222">
        <v>52.036740996600003</v>
      </c>
      <c r="E80" s="222">
        <v>57.248166692876737</v>
      </c>
      <c r="F80" s="84">
        <f t="shared" si="6"/>
        <v>-5.2112338262767395</v>
      </c>
      <c r="G80" s="84">
        <f t="shared" si="13"/>
        <v>1.9186999999476484E-4</v>
      </c>
      <c r="H80" s="670">
        <v>54.839603856399997</v>
      </c>
      <c r="I80" s="671">
        <v>54.964100000000002</v>
      </c>
      <c r="J80" s="528">
        <f t="shared" si="7"/>
        <v>3.687202471125417E-6</v>
      </c>
      <c r="K80" s="84">
        <v>51.348199999999999</v>
      </c>
      <c r="L80" s="84">
        <f t="shared" si="8"/>
        <v>52.036932866599997</v>
      </c>
      <c r="M80" s="380"/>
      <c r="N80" s="164"/>
      <c r="O80" s="380"/>
      <c r="P80" s="85">
        <f>+SUM($C$72:C80)/SUM($E$72:E80)</f>
        <v>0.97759332463178883</v>
      </c>
      <c r="Q80" s="356">
        <f t="shared" si="9"/>
        <v>52.036932866599997</v>
      </c>
      <c r="R80" s="184">
        <f t="shared" si="10"/>
        <v>-52.036740996600003</v>
      </c>
      <c r="S80" s="49" t="e">
        <f>+SUM(C$72:C80)/SUM(#REF!)</f>
        <v>#REF!</v>
      </c>
      <c r="T80"/>
      <c r="U80" s="356">
        <v>45.486800000000002</v>
      </c>
      <c r="V80" s="88">
        <f t="shared" si="11"/>
        <v>-6.5501328665999949</v>
      </c>
    </row>
    <row r="81" spans="1:22">
      <c r="A81" s="512">
        <f t="shared" si="14"/>
        <v>46122</v>
      </c>
      <c r="B81" s="513" t="str">
        <f t="shared" si="12"/>
        <v>viernes</v>
      </c>
      <c r="C81" s="222">
        <v>57.908774223659996</v>
      </c>
      <c r="D81" s="222">
        <v>57.908730923660002</v>
      </c>
      <c r="E81" s="222">
        <v>58.904582361125797</v>
      </c>
      <c r="F81" s="84">
        <f t="shared" si="6"/>
        <v>-0.99580813746580077</v>
      </c>
      <c r="G81" s="84">
        <f t="shared" si="13"/>
        <v>4.3299999994417249E-5</v>
      </c>
      <c r="H81" s="670">
        <v>55.659552819760002</v>
      </c>
      <c r="I81" s="671">
        <v>55.749099999999999</v>
      </c>
      <c r="J81" s="528">
        <f t="shared" si="7"/>
        <v>7.477283530121781E-7</v>
      </c>
      <c r="K81" s="84">
        <v>57.535400000000003</v>
      </c>
      <c r="L81" s="84">
        <f t="shared" si="8"/>
        <v>57.908774223659996</v>
      </c>
      <c r="M81" s="380"/>
      <c r="N81" s="164"/>
      <c r="O81" s="380"/>
      <c r="P81" s="85">
        <f>+SUM($C$72:C81)/SUM($E$72:E81)</f>
        <v>0.97817940923333713</v>
      </c>
      <c r="Q81" s="356">
        <f t="shared" si="9"/>
        <v>57.908774223659996</v>
      </c>
      <c r="R81" s="184">
        <f t="shared" si="10"/>
        <v>-57.908730923660002</v>
      </c>
      <c r="S81" s="49" t="e">
        <f>+SUM(C$72:C81)/SUM(#REF!)</f>
        <v>#REF!</v>
      </c>
      <c r="T81"/>
      <c r="U81" s="356">
        <v>59.252000000000002</v>
      </c>
      <c r="V81" s="88">
        <f t="shared" si="11"/>
        <v>1.343225776340006</v>
      </c>
    </row>
    <row r="82" spans="1:22">
      <c r="A82" s="512">
        <f t="shared" si="14"/>
        <v>46123</v>
      </c>
      <c r="B82" s="513" t="str">
        <f t="shared" si="12"/>
        <v>sábado</v>
      </c>
      <c r="C82" s="222">
        <v>52.595859892340002</v>
      </c>
      <c r="D82" s="222">
        <v>52.595733676099997</v>
      </c>
      <c r="E82" s="222">
        <v>59.455330853651823</v>
      </c>
      <c r="F82" s="84">
        <f t="shared" si="6"/>
        <v>-6.8594709613118212</v>
      </c>
      <c r="G82" s="84">
        <f t="shared" si="13"/>
        <v>1.2621624000530574E-4</v>
      </c>
      <c r="H82" s="670">
        <v>55.415182274060001</v>
      </c>
      <c r="I82" s="671">
        <v>55.511600000000001</v>
      </c>
      <c r="J82" s="528">
        <f t="shared" si="7"/>
        <v>2.3997429294819739E-6</v>
      </c>
      <c r="K82" s="84">
        <v>52.570099999999996</v>
      </c>
      <c r="L82" s="84">
        <f t="shared" si="8"/>
        <v>52.595859892340002</v>
      </c>
      <c r="M82" s="380"/>
      <c r="N82" s="164"/>
      <c r="O82" s="380"/>
      <c r="P82" s="85">
        <f>+SUM($C$72:C82)/SUM($E$72:E82)</f>
        <v>0.96909628975158535</v>
      </c>
      <c r="Q82" s="356">
        <f t="shared" si="9"/>
        <v>52.595859892340002</v>
      </c>
      <c r="R82" s="184">
        <f t="shared" si="10"/>
        <v>-52.595733676099997</v>
      </c>
      <c r="S82" s="49" t="e">
        <f>+SUM(C$72:C82)/SUM(#REF!)</f>
        <v>#REF!</v>
      </c>
      <c r="T82"/>
      <c r="U82" s="356">
        <v>55.695500000000003</v>
      </c>
      <c r="V82" s="88">
        <f t="shared" si="11"/>
        <v>3.0996401076600009</v>
      </c>
    </row>
    <row r="83" spans="1:22">
      <c r="A83" s="512">
        <f t="shared" si="14"/>
        <v>46124</v>
      </c>
      <c r="B83" s="513" t="str">
        <f t="shared" si="12"/>
        <v>domingo</v>
      </c>
      <c r="C83" s="222">
        <v>33.390565760400001</v>
      </c>
      <c r="D83" s="222">
        <v>33.390419421259999</v>
      </c>
      <c r="E83" s="222">
        <v>56.502217818401753</v>
      </c>
      <c r="F83" s="84">
        <f t="shared" si="6"/>
        <v>-23.111652058001752</v>
      </c>
      <c r="G83" s="84">
        <f t="shared" si="13"/>
        <v>1.4633914000228287E-4</v>
      </c>
      <c r="H83" s="670">
        <v>58.124060180880001</v>
      </c>
      <c r="I83" s="671">
        <v>58.168300000000002</v>
      </c>
      <c r="J83" s="528">
        <f t="shared" si="7"/>
        <v>4.3826685180992087E-6</v>
      </c>
      <c r="K83" s="84">
        <v>33.3354</v>
      </c>
      <c r="L83" s="84">
        <f t="shared" si="8"/>
        <v>33.390565760400001</v>
      </c>
      <c r="M83" s="380"/>
      <c r="N83" s="164"/>
      <c r="O83" s="380"/>
      <c r="P83" s="85">
        <f>+SUM($C$72:C83)/SUM($E$72:E83)</f>
        <v>0.93715310552092346</v>
      </c>
      <c r="Q83" s="356">
        <f t="shared" si="9"/>
        <v>33.390565760400001</v>
      </c>
      <c r="R83" s="184">
        <f t="shared" si="10"/>
        <v>-33.390419421259999</v>
      </c>
      <c r="S83" s="49" t="e">
        <f>+SUM(C$72:C83)/SUM(#REF!)</f>
        <v>#REF!</v>
      </c>
      <c r="T83"/>
      <c r="U83" s="356">
        <v>60.276899999999998</v>
      </c>
      <c r="V83" s="88">
        <f t="shared" si="11"/>
        <v>26.886334239599996</v>
      </c>
    </row>
    <row r="84" spans="1:22">
      <c r="A84" s="512">
        <f t="shared" si="14"/>
        <v>46125</v>
      </c>
      <c r="B84" s="513" t="str">
        <f t="shared" si="12"/>
        <v>lunes</v>
      </c>
      <c r="C84" s="222">
        <v>55.94746848682</v>
      </c>
      <c r="D84" s="222">
        <v>55.94736956114</v>
      </c>
      <c r="E84" s="222">
        <v>60.178496917616009</v>
      </c>
      <c r="F84" s="84">
        <f t="shared" si="6"/>
        <v>-4.2310284307960089</v>
      </c>
      <c r="G84" s="84">
        <f t="shared" si="13"/>
        <v>9.8925679999695149E-5</v>
      </c>
      <c r="H84" s="670">
        <v>56.904081087999998</v>
      </c>
      <c r="I84" s="671">
        <v>56.989600000000003</v>
      </c>
      <c r="J84" s="528">
        <f t="shared" si="7"/>
        <v>1.7681917983125572E-6</v>
      </c>
      <c r="K84" s="84">
        <v>55.6629</v>
      </c>
      <c r="L84" s="84">
        <f t="shared" si="8"/>
        <v>55.94746848682</v>
      </c>
      <c r="M84" s="380"/>
      <c r="N84" s="164"/>
      <c r="O84" s="380"/>
      <c r="P84" s="85">
        <f>+SUM($C$72:C84)/SUM($E$72:E84)</f>
        <v>0.93653723039583359</v>
      </c>
      <c r="Q84" s="356">
        <f t="shared" si="9"/>
        <v>55.94746848682</v>
      </c>
      <c r="R84" s="184">
        <f t="shared" si="10"/>
        <v>-55.94736956114</v>
      </c>
      <c r="S84" s="49" t="e">
        <f>+SUM(C$72:C84)/SUM(#REF!)</f>
        <v>#REF!</v>
      </c>
      <c r="T84"/>
      <c r="U84" s="356">
        <v>53.646700000000003</v>
      </c>
      <c r="V84" s="88">
        <f t="shared" si="11"/>
        <v>-2.3007684868199973</v>
      </c>
    </row>
    <row r="85" spans="1:22">
      <c r="A85" s="512">
        <f t="shared" si="14"/>
        <v>46126</v>
      </c>
      <c r="B85" s="513" t="str">
        <f t="shared" si="12"/>
        <v>martes</v>
      </c>
      <c r="C85" s="222">
        <v>57.3321441505</v>
      </c>
      <c r="D85" s="222">
        <v>57.329766044499998</v>
      </c>
      <c r="E85" s="222">
        <v>52.407943937491396</v>
      </c>
      <c r="F85" s="84">
        <f t="shared" si="6"/>
        <v>4.9242002130086036</v>
      </c>
      <c r="G85" s="84">
        <f t="shared" si="13"/>
        <v>2.3781060000018783E-3</v>
      </c>
      <c r="H85" s="670">
        <v>52.886747360999998</v>
      </c>
      <c r="I85" s="671">
        <v>52.944400000000002</v>
      </c>
      <c r="J85" s="528">
        <f t="shared" si="7"/>
        <v>4.1481173988389131E-5</v>
      </c>
      <c r="K85" s="84">
        <v>57.1158</v>
      </c>
      <c r="L85" s="84">
        <f t="shared" si="8"/>
        <v>57.3321441505</v>
      </c>
      <c r="M85" s="380"/>
      <c r="N85" s="164"/>
      <c r="O85" s="380"/>
      <c r="P85" s="85">
        <f>+SUM($C$72:C85)/SUM($E$72:E85)</f>
        <v>0.94709476981767449</v>
      </c>
      <c r="Q85" s="356">
        <f t="shared" si="9"/>
        <v>57.3321441505</v>
      </c>
      <c r="R85" s="184">
        <f t="shared" si="10"/>
        <v>-57.329766044499998</v>
      </c>
      <c r="S85" s="49" t="e">
        <f>+SUM(C$72:C85)/SUM(#REF!)</f>
        <v>#REF!</v>
      </c>
      <c r="T85"/>
      <c r="U85" s="356">
        <v>44.8429</v>
      </c>
      <c r="V85" s="88">
        <f t="shared" si="11"/>
        <v>-12.489244150499999</v>
      </c>
    </row>
    <row r="86" spans="1:22">
      <c r="A86" s="512">
        <f t="shared" si="14"/>
        <v>46127</v>
      </c>
      <c r="B86" s="513" t="str">
        <f t="shared" si="12"/>
        <v>miércoles</v>
      </c>
      <c r="C86" s="222">
        <v>64.122386613789999</v>
      </c>
      <c r="D86" s="222">
        <v>64.120554391170003</v>
      </c>
      <c r="E86" s="222">
        <v>32.423643214009552</v>
      </c>
      <c r="F86" s="84">
        <f t="shared" si="6"/>
        <v>31.698743399780447</v>
      </c>
      <c r="G86" s="84">
        <f t="shared" si="13"/>
        <v>1.8322226199956049E-3</v>
      </c>
      <c r="H86" s="670">
        <v>41.166062781000001</v>
      </c>
      <c r="I86" s="671">
        <v>41.229599999999998</v>
      </c>
      <c r="J86" s="528">
        <f t="shared" si="7"/>
        <v>2.8574653438306896E-5</v>
      </c>
      <c r="K86" s="84">
        <v>63.249000000000002</v>
      </c>
      <c r="L86" s="84">
        <f t="shared" si="8"/>
        <v>64.122386613789999</v>
      </c>
      <c r="M86" s="380"/>
      <c r="N86" s="164"/>
      <c r="O86" s="380"/>
      <c r="P86" s="85">
        <f>+SUM($C$72:C86)/SUM($E$72:E86)</f>
        <v>0.98815060545264399</v>
      </c>
      <c r="Q86" s="356">
        <f t="shared" si="9"/>
        <v>64.122386613789999</v>
      </c>
      <c r="R86" s="184">
        <f t="shared" si="10"/>
        <v>-64.120554391170003</v>
      </c>
      <c r="S86" s="49" t="e">
        <f>+SUM(C$72:C86)/SUM(#REF!)</f>
        <v>#REF!</v>
      </c>
      <c r="T86"/>
      <c r="U86" s="356">
        <v>66.235799999999998</v>
      </c>
      <c r="V86" s="88">
        <f t="shared" si="11"/>
        <v>2.1134133862099986</v>
      </c>
    </row>
    <row r="87" spans="1:22">
      <c r="A87" s="512">
        <f t="shared" si="14"/>
        <v>46128</v>
      </c>
      <c r="B87" s="513" t="str">
        <f t="shared" si="12"/>
        <v>jueves</v>
      </c>
      <c r="C87" s="222">
        <v>56.954018859919998</v>
      </c>
      <c r="D87" s="222">
        <v>56.94806990432</v>
      </c>
      <c r="E87" s="222">
        <v>60.16953403345002</v>
      </c>
      <c r="F87" s="84">
        <f t="shared" si="6"/>
        <v>-3.2155151735300223</v>
      </c>
      <c r="G87" s="84">
        <f t="shared" si="13"/>
        <v>5.9489555999974186E-3</v>
      </c>
      <c r="H87" s="670">
        <v>56.716970153040002</v>
      </c>
      <c r="I87" s="671">
        <v>56.817100000000003</v>
      </c>
      <c r="J87" s="528">
        <f t="shared" si="7"/>
        <v>1.0446281340170671E-4</v>
      </c>
      <c r="K87" s="84">
        <v>51.2774</v>
      </c>
      <c r="L87" s="84">
        <f t="shared" si="8"/>
        <v>56.954018859919998</v>
      </c>
      <c r="M87" s="380"/>
      <c r="N87" s="164"/>
      <c r="O87" s="380"/>
      <c r="P87" s="85">
        <f>+SUM($C$72:C87)/SUM($E$72:E87)</f>
        <v>0.98528741474185566</v>
      </c>
      <c r="Q87" s="356">
        <f t="shared" si="9"/>
        <v>56.954018859919998</v>
      </c>
      <c r="R87" s="184">
        <f t="shared" si="10"/>
        <v>-56.94806990432</v>
      </c>
      <c r="S87" s="49" t="e">
        <f>+SUM(C$72:C87)/SUM(#REF!)</f>
        <v>#REF!</v>
      </c>
      <c r="T87"/>
      <c r="U87" s="356">
        <v>58.184100000000001</v>
      </c>
      <c r="V87" s="88">
        <f t="shared" si="11"/>
        <v>1.2300811400800029</v>
      </c>
    </row>
    <row r="88" spans="1:22">
      <c r="A88" s="512">
        <f t="shared" si="14"/>
        <v>46129</v>
      </c>
      <c r="B88" s="513" t="str">
        <f t="shared" si="12"/>
        <v>viernes</v>
      </c>
      <c r="C88" s="222">
        <v>54.7826827114</v>
      </c>
      <c r="D88" s="222">
        <v>54.782168283460003</v>
      </c>
      <c r="E88" s="222">
        <v>56.511796354985258</v>
      </c>
      <c r="F88" s="572">
        <f t="shared" si="6"/>
        <v>-1.7291136435852579</v>
      </c>
      <c r="G88" s="572">
        <f t="shared" si="13"/>
        <v>5.1442793999711967E-4</v>
      </c>
      <c r="H88" s="670">
        <v>54.837064793720003</v>
      </c>
      <c r="I88" s="671">
        <v>54.922600000000003</v>
      </c>
      <c r="J88" s="528">
        <f t="shared" si="7"/>
        <v>9.3904267779443273E-6</v>
      </c>
      <c r="K88" s="84">
        <v>16.513100000000001</v>
      </c>
      <c r="L88" s="84">
        <f t="shared" si="8"/>
        <v>54.7826827114</v>
      </c>
      <c r="M88" s="380"/>
      <c r="N88" s="164"/>
      <c r="O88" s="380"/>
      <c r="P88" s="85">
        <f>+SUM($C$72:C88)/SUM($E$72:E88)</f>
        <v>0.98432274064005898</v>
      </c>
      <c r="Q88" s="356">
        <f t="shared" si="9"/>
        <v>54.7826827114</v>
      </c>
      <c r="R88" s="184">
        <f t="shared" si="10"/>
        <v>-54.782168283460003</v>
      </c>
      <c r="S88" s="49" t="e">
        <f>+SUM(C$72:C88)/SUM(#REF!)</f>
        <v>#REF!</v>
      </c>
      <c r="T88"/>
      <c r="U88" s="356">
        <v>57.555199999999999</v>
      </c>
      <c r="V88" s="88">
        <f t="shared" si="11"/>
        <v>2.7725172885999996</v>
      </c>
    </row>
    <row r="89" spans="1:22">
      <c r="A89" s="512">
        <f t="shared" si="14"/>
        <v>46130</v>
      </c>
      <c r="B89" s="513" t="str">
        <f t="shared" si="12"/>
        <v>sábado</v>
      </c>
      <c r="C89" s="222">
        <v>54.563293576760003</v>
      </c>
      <c r="D89" s="222">
        <v>54.557620876759998</v>
      </c>
      <c r="E89" s="222">
        <v>60.311113634894994</v>
      </c>
      <c r="F89" s="572">
        <f t="shared" si="6"/>
        <v>-5.747820058134991</v>
      </c>
      <c r="G89" s="572">
        <f t="shared" si="13"/>
        <v>5.672700000005193E-3</v>
      </c>
      <c r="H89" s="670">
        <v>54.987826946319998</v>
      </c>
      <c r="I89" s="671">
        <v>55.144599999999997</v>
      </c>
      <c r="J89" s="528">
        <f t="shared" si="7"/>
        <v>1.0397630814629188E-4</v>
      </c>
      <c r="K89" s="84"/>
      <c r="L89" s="84">
        <f t="shared" si="8"/>
        <v>54.563293576760003</v>
      </c>
      <c r="M89" s="380"/>
      <c r="N89" s="164"/>
      <c r="O89" s="380"/>
      <c r="P89" s="85">
        <f>+SUM($C$72:C89)/SUM($E$72:E89)</f>
        <v>0.97947614881870415</v>
      </c>
      <c r="Q89" s="356">
        <f t="shared" si="9"/>
        <v>54.563293576760003</v>
      </c>
      <c r="R89" s="184">
        <f t="shared" si="10"/>
        <v>-54.557620876759998</v>
      </c>
      <c r="S89" s="49" t="e">
        <f>+SUM(C$72:C89)/SUM(#REF!)</f>
        <v>#REF!</v>
      </c>
      <c r="T89"/>
      <c r="U89" s="356">
        <v>51.462400000000002</v>
      </c>
      <c r="V89" s="88">
        <f t="shared" si="11"/>
        <v>-3.1008935767600008</v>
      </c>
    </row>
    <row r="90" spans="1:22">
      <c r="A90" s="512">
        <f t="shared" si="14"/>
        <v>46131</v>
      </c>
      <c r="B90" s="513" t="str">
        <f t="shared" si="12"/>
        <v>domingo</v>
      </c>
      <c r="C90" s="222">
        <v>41.411147659100003</v>
      </c>
      <c r="D90" s="222">
        <v>41.404669985779996</v>
      </c>
      <c r="E90" s="222">
        <v>60.300052347438466</v>
      </c>
      <c r="F90" s="572">
        <f t="shared" si="6"/>
        <v>-18.888904688338464</v>
      </c>
      <c r="G90" s="572">
        <f t="shared" si="13"/>
        <v>6.4776733200062608E-3</v>
      </c>
      <c r="H90" s="670">
        <v>55.652709041999998</v>
      </c>
      <c r="I90" s="671">
        <v>55.768799999999999</v>
      </c>
      <c r="J90" s="528">
        <f t="shared" si="7"/>
        <v>1.5644789155988548E-4</v>
      </c>
      <c r="K90" s="84"/>
      <c r="L90" s="84">
        <f t="shared" si="8"/>
        <v>41.411147659100003</v>
      </c>
      <c r="M90" s="380"/>
      <c r="N90" s="164"/>
      <c r="O90" s="380"/>
      <c r="P90" s="85">
        <f>+SUM($C$72:C90)/SUM($E$72:E90)</f>
        <v>0.96268396773528297</v>
      </c>
      <c r="Q90" s="356">
        <f t="shared" si="9"/>
        <v>41.411147659100003</v>
      </c>
      <c r="R90" s="184">
        <f t="shared" si="10"/>
        <v>-41.404669985779996</v>
      </c>
      <c r="S90" s="49" t="e">
        <f>+SUM(C$72:C90)/SUM(#REF!)</f>
        <v>#REF!</v>
      </c>
      <c r="T90"/>
      <c r="U90"/>
      <c r="V90"/>
    </row>
    <row r="91" spans="1:22">
      <c r="A91" s="512">
        <f t="shared" si="14"/>
        <v>46132</v>
      </c>
      <c r="B91" s="513" t="str">
        <f t="shared" si="12"/>
        <v>lunes</v>
      </c>
      <c r="C91" s="222">
        <v>81.913180560040004</v>
      </c>
      <c r="D91" s="222">
        <v>81.904763596920006</v>
      </c>
      <c r="E91" s="222">
        <v>60.86496879310436</v>
      </c>
      <c r="F91" s="572">
        <f t="shared" si="6"/>
        <v>21.048211766935644</v>
      </c>
      <c r="G91" s="572">
        <f t="shared" si="13"/>
        <v>8.4169631199983996E-3</v>
      </c>
      <c r="H91" s="670">
        <v>65.130427269090006</v>
      </c>
      <c r="I91" s="671">
        <v>65.219300000000004</v>
      </c>
      <c r="J91" s="528">
        <f>C91/D91-1</f>
        <v>1.0276524527208508E-4</v>
      </c>
      <c r="K91" s="84"/>
      <c r="L91" s="84">
        <f t="shared" si="8"/>
        <v>81.913180560040004</v>
      </c>
      <c r="M91" s="380"/>
      <c r="N91" s="164"/>
      <c r="O91" s="380"/>
      <c r="P91" s="85">
        <f>+SUM($C$72:C91)/SUM($E$72:E91)</f>
        <v>0.98365417408472766</v>
      </c>
      <c r="Q91" s="356">
        <f t="shared" si="9"/>
        <v>81.913180560040004</v>
      </c>
      <c r="R91" s="184">
        <f t="shared" si="10"/>
        <v>-81.904763596920006</v>
      </c>
      <c r="S91" s="49" t="e">
        <f>+SUM(C$72:C91)/SUM(#REF!)</f>
        <v>#REF!</v>
      </c>
    </row>
    <row r="92" spans="1:22" ht="14.25" customHeight="1">
      <c r="A92" s="512">
        <f t="shared" si="14"/>
        <v>46133</v>
      </c>
      <c r="B92" s="513" t="str">
        <f t="shared" si="12"/>
        <v>martes</v>
      </c>
      <c r="C92" s="680">
        <v>72.335877275550004</v>
      </c>
      <c r="D92" s="222">
        <v>72.315318051930007</v>
      </c>
      <c r="E92" s="222">
        <v>55.816194357783537</v>
      </c>
      <c r="F92" s="572">
        <f t="shared" si="6"/>
        <v>16.519682917766467</v>
      </c>
      <c r="G92" s="572">
        <f t="shared" si="13"/>
        <v>2.0559223619997624E-2</v>
      </c>
      <c r="H92" s="671">
        <v>54.529518564130001</v>
      </c>
      <c r="I92" s="671">
        <v>54.5717</v>
      </c>
      <c r="J92" s="528">
        <f t="shared" si="7"/>
        <v>2.842997054266494E-4</v>
      </c>
      <c r="K92" s="84"/>
      <c r="L92" s="84">
        <f t="shared" si="8"/>
        <v>72.335877275550004</v>
      </c>
      <c r="M92" s="380"/>
      <c r="N92" s="164">
        <v>56.839799999999997</v>
      </c>
      <c r="O92" s="380">
        <f t="shared" ref="O92:O100" si="15">+N92-C92</f>
        <v>-15.496077275550007</v>
      </c>
      <c r="P92" s="85">
        <f>+SUM($C$72:C92)/SUM($E$72:E92)</f>
        <v>0.99858086453696504</v>
      </c>
      <c r="Q92" s="356">
        <f t="shared" si="9"/>
        <v>87.831954551100011</v>
      </c>
      <c r="R92" s="184">
        <f t="shared" si="10"/>
        <v>-72.315318051930007</v>
      </c>
      <c r="S92" s="49" t="e">
        <f>+SUM(C$72:C92)/SUM(#REF!)</f>
        <v>#REF!</v>
      </c>
    </row>
    <row r="93" spans="1:22">
      <c r="A93" s="512">
        <f t="shared" si="14"/>
        <v>46134</v>
      </c>
      <c r="B93" s="513" t="str">
        <f t="shared" si="12"/>
        <v>miércoles</v>
      </c>
      <c r="C93" s="680">
        <v>69.080742005600001</v>
      </c>
      <c r="D93" s="222">
        <v>69.0684685656</v>
      </c>
      <c r="E93" s="222">
        <v>36.336841532941747</v>
      </c>
      <c r="F93" s="572">
        <f t="shared" si="6"/>
        <v>32.743900472658254</v>
      </c>
      <c r="G93" s="572">
        <f t="shared" si="13"/>
        <v>1.2273440000001301E-2</v>
      </c>
      <c r="H93" s="671">
        <v>42.407571019599999</v>
      </c>
      <c r="I93" s="671">
        <v>42.416400000000003</v>
      </c>
      <c r="J93" s="528">
        <f t="shared" si="7"/>
        <v>1.7769961105118526E-4</v>
      </c>
      <c r="K93" s="84"/>
      <c r="L93" s="84">
        <f t="shared" si="8"/>
        <v>69.080742005600001</v>
      </c>
      <c r="M93" s="380"/>
      <c r="N93" s="164">
        <v>56.713700000000003</v>
      </c>
      <c r="O93" s="380">
        <f t="shared" si="15"/>
        <v>-12.367042005599998</v>
      </c>
      <c r="P93" s="85">
        <f>+SUM($C$72:C93)/SUM($E$72:E93)</f>
        <v>1.0258155359232106</v>
      </c>
      <c r="Q93" s="356">
        <f t="shared" si="9"/>
        <v>81.4477840112</v>
      </c>
      <c r="S93" s="36"/>
    </row>
    <row r="94" spans="1:22">
      <c r="A94" s="512">
        <f t="shared" si="14"/>
        <v>46135</v>
      </c>
      <c r="B94" s="513" t="str">
        <f t="shared" si="12"/>
        <v>jueves</v>
      </c>
      <c r="C94" s="680">
        <v>69.501410634029995</v>
      </c>
      <c r="D94" s="222">
        <v>69.464991194980001</v>
      </c>
      <c r="E94" s="222">
        <v>59.075111466438109</v>
      </c>
      <c r="F94" s="572">
        <f t="shared" si="6"/>
        <v>10.426299167591885</v>
      </c>
      <c r="G94" s="572">
        <f t="shared" si="13"/>
        <v>3.641943904999323E-2</v>
      </c>
      <c r="H94" s="671">
        <v>62.011572063339997</v>
      </c>
      <c r="I94" s="671">
        <v>62.086199999999998</v>
      </c>
      <c r="J94" s="528">
        <f t="shared" si="7"/>
        <v>5.2428480049426796E-4</v>
      </c>
      <c r="K94" s="84"/>
      <c r="L94" s="84">
        <f t="shared" si="8"/>
        <v>69.501410634029995</v>
      </c>
      <c r="M94" s="380"/>
      <c r="N94" s="164">
        <v>54.5944</v>
      </c>
      <c r="O94" s="380">
        <f t="shared" si="15"/>
        <v>-14.907010634029994</v>
      </c>
      <c r="P94" s="85">
        <f>+SUM($C$72:C94)/SUM($E$72:E94)</f>
        <v>1.0328618071375102</v>
      </c>
      <c r="Q94" s="356">
        <f t="shared" si="9"/>
        <v>84.408421268059982</v>
      </c>
      <c r="S94" s="36"/>
    </row>
    <row r="95" spans="1:22">
      <c r="A95" s="512">
        <f t="shared" si="14"/>
        <v>46136</v>
      </c>
      <c r="B95" s="513" t="str">
        <f t="shared" si="12"/>
        <v>viernes</v>
      </c>
      <c r="C95" s="680">
        <v>60.136748694799998</v>
      </c>
      <c r="D95" s="222">
        <v>60.080523096269999</v>
      </c>
      <c r="E95" s="222">
        <v>57.519037717679254</v>
      </c>
      <c r="F95" s="572">
        <f t="shared" si="6"/>
        <v>2.6177109771207441</v>
      </c>
      <c r="G95" s="572">
        <f t="shared" si="13"/>
        <v>5.6225598529998422E-2</v>
      </c>
      <c r="H95" s="671">
        <v>55.685256797400001</v>
      </c>
      <c r="I95" s="671">
        <v>55.866100000000003</v>
      </c>
      <c r="J95" s="528">
        <f t="shared" si="7"/>
        <v>9.3583736679359042E-4</v>
      </c>
      <c r="K95" s="84"/>
      <c r="L95" s="84">
        <f t="shared" si="8"/>
        <v>60.136748694799998</v>
      </c>
      <c r="M95" s="380"/>
      <c r="N95" s="164">
        <v>47.177799999999998</v>
      </c>
      <c r="O95" s="380">
        <f t="shared" si="15"/>
        <v>-12.9589486948</v>
      </c>
      <c r="P95" s="85">
        <f>+SUM($C$72:C95)/SUM($E$72:E95)</f>
        <v>1.0334126439577223</v>
      </c>
      <c r="Q95" s="356">
        <f t="shared" si="9"/>
        <v>73.095697389599991</v>
      </c>
      <c r="S95" s="36"/>
      <c r="T95" s="89"/>
      <c r="U95" s="89"/>
    </row>
    <row r="96" spans="1:22" ht="15.75" customHeight="1">
      <c r="A96" s="512">
        <f t="shared" si="14"/>
        <v>46137</v>
      </c>
      <c r="B96" s="513" t="str">
        <f t="shared" si="12"/>
        <v>sábado</v>
      </c>
      <c r="C96" s="680">
        <v>54.432363589719998</v>
      </c>
      <c r="D96" s="222">
        <v>54.39538159112</v>
      </c>
      <c r="E96" s="222">
        <v>60.72490473731461</v>
      </c>
      <c r="F96" s="572">
        <f t="shared" si="6"/>
        <v>-6.292541147594612</v>
      </c>
      <c r="G96" s="572">
        <f t="shared" si="13"/>
        <v>3.6981998599998178E-2</v>
      </c>
      <c r="H96" s="671">
        <v>54.921143411659997</v>
      </c>
      <c r="I96" s="672">
        <v>55.084800000000001</v>
      </c>
      <c r="J96" s="528">
        <f t="shared" si="7"/>
        <v>6.7987387013812572E-4</v>
      </c>
      <c r="K96" s="84"/>
      <c r="L96" s="84">
        <f t="shared" si="8"/>
        <v>54.432363589719998</v>
      </c>
      <c r="M96" s="380"/>
      <c r="N96" s="164">
        <v>37.017099999999999</v>
      </c>
      <c r="O96" s="380">
        <f t="shared" si="15"/>
        <v>-17.415263589719999</v>
      </c>
      <c r="P96" s="85">
        <f>+SUM($C$72:C96)/SUM($E$72:E96)</f>
        <v>1.0273891029725366</v>
      </c>
      <c r="Q96" s="356">
        <f t="shared" si="9"/>
        <v>71.847627179439996</v>
      </c>
      <c r="S96" s="36"/>
      <c r="T96" s="89"/>
      <c r="U96" s="89"/>
    </row>
    <row r="97" spans="1:21">
      <c r="A97" s="512">
        <f t="shared" si="14"/>
        <v>46138</v>
      </c>
      <c r="B97" s="513" t="str">
        <f t="shared" si="12"/>
        <v>domingo</v>
      </c>
      <c r="C97" s="680">
        <v>43.044570582989998</v>
      </c>
      <c r="D97" s="222">
        <v>42.950657399790003</v>
      </c>
      <c r="E97" s="222">
        <v>54.321943641207625</v>
      </c>
      <c r="F97" s="572">
        <f t="shared" si="6"/>
        <v>-11.277373058217627</v>
      </c>
      <c r="G97" s="572">
        <f t="shared" si="13"/>
        <v>9.3913183199994421E-2</v>
      </c>
      <c r="H97" s="671">
        <v>52.49770060374</v>
      </c>
      <c r="I97" s="671">
        <v>52.680399999999999</v>
      </c>
      <c r="J97" s="528">
        <f t="shared" si="7"/>
        <v>2.1865365720910024E-3</v>
      </c>
      <c r="K97" s="84"/>
      <c r="L97" s="84">
        <f t="shared" si="8"/>
        <v>43.044570582989998</v>
      </c>
      <c r="M97" s="380"/>
      <c r="N97" s="164">
        <v>50.995199999999997</v>
      </c>
      <c r="O97" s="380">
        <f t="shared" si="15"/>
        <v>7.9506294170099991</v>
      </c>
      <c r="P97" s="85">
        <f>+SUM($C$72:C97)/SUM($E$72:E97)</f>
        <v>1.0184985827729787</v>
      </c>
      <c r="Q97"/>
      <c r="S97" s="36"/>
      <c r="T97" s="89"/>
      <c r="U97" s="89"/>
    </row>
    <row r="98" spans="1:21">
      <c r="A98" s="87">
        <f t="shared" si="14"/>
        <v>46139</v>
      </c>
      <c r="B98" s="35" t="str">
        <f>+TEXT(A98,"dddddd")</f>
        <v>lunes</v>
      </c>
      <c r="C98" s="680">
        <v>57.044620271299998</v>
      </c>
      <c r="D98" s="222">
        <v>57.375927750067703</v>
      </c>
      <c r="E98" s="157">
        <v>50.799346034442252</v>
      </c>
      <c r="F98" s="572">
        <f t="shared" si="6"/>
        <v>6.2452742368577461</v>
      </c>
      <c r="G98" s="572">
        <f t="shared" si="13"/>
        <v>-0.33130747876770528</v>
      </c>
      <c r="H98" s="671">
        <v>60.987666909239998</v>
      </c>
      <c r="I98" s="671">
        <v>61.125900000000001</v>
      </c>
      <c r="J98" s="528">
        <f t="shared" si="7"/>
        <v>-5.7743289173622925E-3</v>
      </c>
      <c r="K98" s="84"/>
      <c r="L98" s="84">
        <f t="shared" si="8"/>
        <v>57.044620271299998</v>
      </c>
      <c r="M98" s="380"/>
      <c r="N98" s="164">
        <v>53.709299999999999</v>
      </c>
      <c r="O98" s="380">
        <f t="shared" si="15"/>
        <v>-3.3353202712999988</v>
      </c>
      <c r="P98" s="85">
        <f>+SUM($C$72:C98)/SUM($E$72:E98)</f>
        <v>1.0220674533516818</v>
      </c>
      <c r="Q98"/>
      <c r="S98" s="36"/>
      <c r="T98" s="89"/>
      <c r="U98" s="89"/>
    </row>
    <row r="99" spans="1:21">
      <c r="A99" s="512">
        <f t="shared" si="14"/>
        <v>46140</v>
      </c>
      <c r="B99" s="513" t="str">
        <f>+TEXT(A99,"dddddd")</f>
        <v>martes</v>
      </c>
      <c r="C99" s="680">
        <v>60.548065702640002</v>
      </c>
      <c r="D99" s="222">
        <v>63.907266025187596</v>
      </c>
      <c r="E99" s="157">
        <v>54.615203338441141</v>
      </c>
      <c r="F99" s="572">
        <f t="shared" si="6"/>
        <v>5.9328623641988614</v>
      </c>
      <c r="G99" s="572">
        <f t="shared" si="13"/>
        <v>-3.3592003225475935</v>
      </c>
      <c r="H99" s="578">
        <f>C99</f>
        <v>60.548065702640002</v>
      </c>
      <c r="I99" s="671">
        <v>55.524900000000002</v>
      </c>
      <c r="J99" s="528">
        <f t="shared" si="7"/>
        <v>-5.2563668131627495E-2</v>
      </c>
      <c r="K99" s="84"/>
      <c r="L99" s="84">
        <f t="shared" si="8"/>
        <v>60.548065702640002</v>
      </c>
      <c r="M99" s="380"/>
      <c r="N99" s="164">
        <v>55.277999999999999</v>
      </c>
      <c r="O99" s="380">
        <f t="shared" si="15"/>
        <v>-5.2700657026400037</v>
      </c>
      <c r="P99" s="85">
        <f>+SUM($C$72:C99)/SUM($E$72:E99)</f>
        <v>1.0251348894621628</v>
      </c>
      <c r="Q99"/>
      <c r="S99" s="36"/>
      <c r="T99" s="89"/>
      <c r="U99" s="89"/>
    </row>
    <row r="100" spans="1:21">
      <c r="A100" s="512">
        <f t="shared" si="14"/>
        <v>46141</v>
      </c>
      <c r="B100" s="513" t="str">
        <f t="shared" ref="B100:B101" si="16">+TEXT(A100,"dddddd")</f>
        <v>miércoles</v>
      </c>
      <c r="C100" s="680">
        <v>62.083999965929998</v>
      </c>
      <c r="D100" s="222">
        <v>63.288224166952702</v>
      </c>
      <c r="E100" s="157">
        <v>34.659756539113665</v>
      </c>
      <c r="F100" s="572">
        <f t="shared" ref="F100:F101" si="17">+C100-E100</f>
        <v>27.424243426816332</v>
      </c>
      <c r="G100" s="572">
        <f t="shared" ref="G100:G101" si="18">+C100-D100</f>
        <v>-1.2042242010227042</v>
      </c>
      <c r="H100" s="578">
        <f t="shared" ref="H100:H101" si="19">C100</f>
        <v>62.083999965929998</v>
      </c>
      <c r="I100" s="671">
        <v>41.642099999999999</v>
      </c>
      <c r="J100" s="528">
        <f t="shared" si="7"/>
        <v>-1.9027618753308495E-2</v>
      </c>
      <c r="K100" s="84"/>
      <c r="L100" s="84">
        <f t="shared" si="8"/>
        <v>62.083999965929998</v>
      </c>
      <c r="M100" s="380"/>
      <c r="N100" s="164">
        <v>52.087899999999998</v>
      </c>
      <c r="O100" s="380">
        <f t="shared" si="15"/>
        <v>-9.9960999659300001</v>
      </c>
      <c r="P100" s="85">
        <f>+SUM($C$72:C100)/SUM($E$72:E100)</f>
        <v>1.0419843980308798</v>
      </c>
      <c r="Q100"/>
      <c r="S100" s="36"/>
      <c r="T100" s="89"/>
      <c r="U100" s="89"/>
    </row>
    <row r="101" spans="1:21">
      <c r="A101" s="512">
        <f t="shared" si="14"/>
        <v>46142</v>
      </c>
      <c r="B101" s="513" t="str">
        <f t="shared" si="16"/>
        <v>jueves</v>
      </c>
      <c r="C101" s="680">
        <v>73.339175272600002</v>
      </c>
      <c r="D101" s="222">
        <v>74.096620135374707</v>
      </c>
      <c r="E101" s="157">
        <v>57.02088979015474</v>
      </c>
      <c r="F101" s="572">
        <f t="shared" si="17"/>
        <v>16.318285482445262</v>
      </c>
      <c r="G101" s="572">
        <f t="shared" si="18"/>
        <v>-0.75744486277470457</v>
      </c>
      <c r="H101" s="578">
        <f t="shared" si="19"/>
        <v>73.339175272600002</v>
      </c>
      <c r="I101" s="671">
        <v>57.02088979015474</v>
      </c>
      <c r="J101" s="528">
        <f t="shared" si="7"/>
        <v>-1.0222394238642019E-2</v>
      </c>
      <c r="K101" s="84"/>
      <c r="L101" s="84">
        <f t="shared" si="8"/>
        <v>73.339175272600002</v>
      </c>
      <c r="M101" s="380"/>
      <c r="N101" s="164"/>
      <c r="O101" s="380"/>
      <c r="P101" s="85">
        <f>+SUM($C$72:C101)/SUM($E$72:E101)</f>
        <v>1.0505116520930124</v>
      </c>
      <c r="Q101"/>
      <c r="R101" s="89"/>
      <c r="S101" s="89"/>
      <c r="T101" s="89"/>
      <c r="U101" s="89"/>
    </row>
    <row r="102" spans="1:21" ht="15">
      <c r="A102" s="150" t="s">
        <v>15</v>
      </c>
      <c r="B102" s="151"/>
      <c r="C102" s="494">
        <f>+SUM(C72:C101)</f>
        <v>1715.3982895778897</v>
      </c>
      <c r="D102" s="494">
        <f>+SUM(D72:D101)</f>
        <v>1720.7575728085628</v>
      </c>
      <c r="E102" s="494">
        <f>+SUM(E72:E101)</f>
        <v>1632.916956380421</v>
      </c>
      <c r="F102" s="153">
        <f>+SUM(F72:F101)</f>
        <v>82.481333197469155</v>
      </c>
      <c r="G102" s="153">
        <f>+C102-D102</f>
        <v>-5.3592832306730998</v>
      </c>
      <c r="H102" s="494">
        <f>+SUM(H72:H101)</f>
        <v>1702.64657350589</v>
      </c>
      <c r="I102" s="494">
        <f>+SUM(I72:I101)</f>
        <v>1663.5425897901546</v>
      </c>
      <c r="J102" s="363"/>
      <c r="K102" s="364"/>
      <c r="L102" s="362"/>
      <c r="M102" s="362"/>
      <c r="N102" s="457"/>
      <c r="O102" s="457"/>
      <c r="Q102"/>
      <c r="S102" s="36"/>
    </row>
    <row r="103" spans="1:21" ht="15">
      <c r="A103" s="361"/>
      <c r="B103" s="36">
        <v>1715.0337030865053</v>
      </c>
      <c r="C103" s="537"/>
      <c r="D103" s="534"/>
      <c r="E103" s="494"/>
      <c r="F103" s="362"/>
      <c r="G103" s="84"/>
      <c r="H103" s="84"/>
      <c r="I103" s="363"/>
      <c r="J103" s="364"/>
      <c r="K103" s="362"/>
      <c r="L103" s="537"/>
      <c r="M103" s="457"/>
      <c r="N103" s="457">
        <v>58.151136000000001</v>
      </c>
      <c r="Q103"/>
      <c r="S103" s="36"/>
    </row>
    <row r="104" spans="1:21" ht="15">
      <c r="A104" s="119"/>
      <c r="C104" s="534"/>
      <c r="D104" s="534"/>
      <c r="E104" s="362"/>
      <c r="F104" s="362"/>
      <c r="G104" s="84"/>
      <c r="H104" s="84">
        <v>59.400477404155531</v>
      </c>
      <c r="I104" s="363"/>
      <c r="J104" s="509"/>
      <c r="K104" s="362"/>
      <c r="L104" s="538">
        <v>46016</v>
      </c>
      <c r="M104" s="457"/>
      <c r="N104" s="457">
        <v>19.201937000000001</v>
      </c>
      <c r="Q104"/>
      <c r="S104" s="36"/>
    </row>
    <row r="105" spans="1:21" ht="15">
      <c r="A105" s="119"/>
      <c r="B105" s="701" t="s">
        <v>154</v>
      </c>
      <c r="C105" s="701"/>
      <c r="D105" s="702" t="s">
        <v>155</v>
      </c>
      <c r="E105" s="701"/>
      <c r="F105" s="362"/>
      <c r="G105" s="84"/>
      <c r="H105" s="84"/>
      <c r="I105" s="363"/>
      <c r="J105" s="509"/>
      <c r="K105" s="362"/>
      <c r="L105" s="538">
        <v>46017</v>
      </c>
      <c r="M105" s="457"/>
      <c r="N105" s="457">
        <v>59.608307000000003</v>
      </c>
      <c r="Q105"/>
      <c r="S105" s="36"/>
    </row>
    <row r="106" spans="1:21" ht="15">
      <c r="A106" s="45"/>
      <c r="B106" s="80" t="s">
        <v>24</v>
      </c>
      <c r="C106" s="80" t="s">
        <v>156</v>
      </c>
      <c r="D106" s="539" t="s">
        <v>157</v>
      </c>
      <c r="E106" s="80" t="s">
        <v>156</v>
      </c>
      <c r="G106" s="84"/>
      <c r="H106" s="84"/>
      <c r="I106" s="363"/>
      <c r="J106" s="508"/>
      <c r="K106" s="362"/>
      <c r="L106" s="538">
        <v>46018</v>
      </c>
      <c r="M106" s="511"/>
      <c r="N106" s="457">
        <v>59.653233</v>
      </c>
      <c r="Q106"/>
      <c r="S106" s="36"/>
    </row>
    <row r="107" spans="1:21" ht="15">
      <c r="A107" s="476" t="s">
        <v>153</v>
      </c>
      <c r="B107" s="88">
        <f>+AVERAGE(E72:E73)</f>
        <v>57.579918121430765</v>
      </c>
      <c r="C107" s="157">
        <f>+AVERAGE(C72:C74)</f>
        <v>53.522943355916659</v>
      </c>
      <c r="D107" s="500">
        <f>AVERAGE(E75:E76)</f>
        <v>57.667120447229287</v>
      </c>
      <c r="E107" s="157">
        <f>AVERAGE(C75:C76)</f>
        <v>44.668398015080001</v>
      </c>
      <c r="G107" s="84"/>
      <c r="H107" s="84">
        <f>+AVERAGE(C78:C83)</f>
        <v>52.555533644973345</v>
      </c>
      <c r="I107" s="363"/>
      <c r="J107" s="364"/>
      <c r="K107" s="362">
        <v>1724.6944693129001</v>
      </c>
      <c r="L107" s="538">
        <v>46019</v>
      </c>
      <c r="M107" s="457"/>
      <c r="N107" s="457">
        <v>44.849930000000001</v>
      </c>
      <c r="Q107"/>
      <c r="S107" s="36"/>
    </row>
    <row r="108" spans="1:21" ht="15">
      <c r="A108" s="476" t="s">
        <v>158</v>
      </c>
      <c r="B108" s="88">
        <f>+AVERAGE(E77:E81)</f>
        <v>51.698864839865088</v>
      </c>
      <c r="C108" s="157">
        <f>+AVERAGE(C77:C81)</f>
        <v>58.186468242749996</v>
      </c>
      <c r="D108" s="500">
        <f>AVERAGE(E82:E83)</f>
        <v>57.978774336026788</v>
      </c>
      <c r="E108" s="157">
        <f>AVERAGE(C82:C83)</f>
        <v>42.993212826369998</v>
      </c>
      <c r="G108" s="84"/>
      <c r="H108" s="84">
        <f>+AVERAGE(C85:C90)</f>
        <v>54.860945595244999</v>
      </c>
      <c r="I108" s="363">
        <f>+H108/H107-1</f>
        <v>4.3866207616600983E-2</v>
      </c>
      <c r="J108" s="364"/>
      <c r="K108" s="362"/>
      <c r="L108" s="362">
        <v>46020</v>
      </c>
      <c r="M108" s="364"/>
      <c r="N108" s="457">
        <v>58.462961</v>
      </c>
      <c r="Q108"/>
      <c r="S108" s="36"/>
    </row>
    <row r="109" spans="1:21" ht="15">
      <c r="A109" s="476" t="s">
        <v>159</v>
      </c>
      <c r="B109" s="88">
        <f>+AVERAGE(E84:E88)</f>
        <v>52.338282891510445</v>
      </c>
      <c r="C109" s="157">
        <f>+AVERAGE(C84:C88)</f>
        <v>57.827740164486002</v>
      </c>
      <c r="D109" s="500">
        <f>AVERAGE(E89:E90)</f>
        <v>60.30558299116673</v>
      </c>
      <c r="E109" s="157">
        <f>AVERAGE(C89:C90)</f>
        <v>47.987220617930006</v>
      </c>
      <c r="G109" s="84"/>
      <c r="H109" s="84">
        <f>+AVERAGE(C92:C97)</f>
        <v>61.421952130448339</v>
      </c>
      <c r="I109" s="363">
        <f>+H109/H108-1</f>
        <v>0.11959339132812907</v>
      </c>
      <c r="J109" s="364"/>
      <c r="K109" s="362"/>
      <c r="L109" s="362">
        <v>46021</v>
      </c>
      <c r="M109" s="457"/>
      <c r="N109" s="457">
        <v>58.133823999999997</v>
      </c>
      <c r="Q109"/>
      <c r="S109" s="36"/>
    </row>
    <row r="110" spans="1:21" ht="15">
      <c r="A110" s="476" t="s">
        <v>160</v>
      </c>
      <c r="B110" s="88">
        <f>+AVERAGE(E91:E95)</f>
        <v>53.922430773589397</v>
      </c>
      <c r="C110" s="157">
        <f>+AVERAGE(C91:C95)</f>
        <v>70.593591834004002</v>
      </c>
      <c r="D110" s="500">
        <f>AVERAGE(E96:E97)</f>
        <v>57.523424189261121</v>
      </c>
      <c r="E110" s="157">
        <f>AVERAGE(C96:C97)</f>
        <v>48.738467086355001</v>
      </c>
      <c r="G110" s="84"/>
      <c r="H110" s="84"/>
      <c r="I110" s="363"/>
      <c r="J110" s="364"/>
      <c r="K110" s="362"/>
      <c r="L110" s="362">
        <v>46022</v>
      </c>
      <c r="M110" s="457"/>
      <c r="N110" s="457">
        <v>40.705795000000002</v>
      </c>
      <c r="Q110"/>
      <c r="S110" s="36"/>
    </row>
    <row r="111" spans="1:21" ht="15">
      <c r="A111" s="476" t="s">
        <v>161</v>
      </c>
      <c r="B111" s="88">
        <f>+AVERAGE(E98:E101)</f>
        <v>49.273798925537946</v>
      </c>
      <c r="C111" s="157">
        <f>+AVERAGE(C98:C101)</f>
        <v>63.253965303117496</v>
      </c>
      <c r="D111" s="500"/>
      <c r="E111" s="157"/>
      <c r="G111" s="84"/>
      <c r="H111" s="84"/>
      <c r="I111" s="363"/>
      <c r="J111" s="510">
        <v>317.7</v>
      </c>
      <c r="K111" s="362"/>
      <c r="L111" s="362"/>
      <c r="M111" s="457"/>
      <c r="N111" s="457"/>
      <c r="Q111"/>
      <c r="S111" s="36"/>
    </row>
    <row r="112" spans="1:21" ht="15">
      <c r="A112" s="476"/>
      <c r="B112" s="157"/>
      <c r="C112" s="157"/>
      <c r="D112" s="157"/>
      <c r="E112" s="157"/>
      <c r="F112" s="362"/>
      <c r="G112" s="84"/>
      <c r="H112" s="84"/>
      <c r="I112" s="363"/>
      <c r="J112" s="364"/>
      <c r="K112" s="362"/>
      <c r="L112" s="362"/>
      <c r="M112" s="457"/>
      <c r="N112" s="457"/>
      <c r="Q112"/>
      <c r="S112" s="36"/>
    </row>
    <row r="113" spans="1:19" ht="15">
      <c r="A113" s="476"/>
      <c r="B113" s="157"/>
      <c r="C113" s="157"/>
      <c r="D113" s="157"/>
      <c r="E113" s="157"/>
      <c r="F113" s="362"/>
      <c r="G113" s="84"/>
      <c r="H113" s="84"/>
      <c r="I113" s="363"/>
      <c r="J113" s="364"/>
      <c r="K113" s="362"/>
      <c r="L113" s="362"/>
      <c r="M113" s="457"/>
      <c r="N113" s="457"/>
      <c r="Q113"/>
      <c r="S113" s="36"/>
    </row>
    <row r="114" spans="1:19" ht="15">
      <c r="A114" s="476"/>
      <c r="B114" s="157"/>
      <c r="C114" s="157"/>
      <c r="D114" s="157"/>
      <c r="E114" s="157"/>
      <c r="F114" s="362"/>
      <c r="G114" s="84"/>
      <c r="H114" s="84"/>
      <c r="I114" s="363"/>
      <c r="J114" s="364"/>
      <c r="K114" s="362"/>
      <c r="L114" s="362"/>
      <c r="M114" s="457"/>
      <c r="N114" s="457"/>
      <c r="Q114"/>
      <c r="S114" s="36"/>
    </row>
    <row r="115" spans="1:19" ht="15">
      <c r="A115" s="476"/>
      <c r="B115" s="157"/>
      <c r="C115" s="157"/>
      <c r="D115" s="157"/>
      <c r="E115" s="157"/>
      <c r="F115" s="362"/>
      <c r="G115" s="84"/>
      <c r="H115" s="84"/>
      <c r="I115" s="363"/>
      <c r="J115" s="364"/>
      <c r="K115" s="362"/>
      <c r="L115" s="362"/>
      <c r="M115" s="457"/>
      <c r="N115" s="457"/>
      <c r="Q115"/>
      <c r="S115" s="36"/>
    </row>
    <row r="116" spans="1:19" ht="15">
      <c r="A116" s="476"/>
      <c r="B116" s="157"/>
      <c r="C116" s="157"/>
      <c r="D116" s="157"/>
      <c r="E116" s="157"/>
      <c r="F116" s="362"/>
      <c r="G116" s="84"/>
      <c r="H116" s="84"/>
      <c r="I116" s="363"/>
      <c r="J116" s="364"/>
      <c r="K116" s="362"/>
      <c r="L116" s="362"/>
      <c r="M116" s="457"/>
      <c r="N116" s="457"/>
      <c r="Q116"/>
      <c r="S116" s="36"/>
    </row>
    <row r="117" spans="1:19" ht="15">
      <c r="A117" s="476"/>
      <c r="B117" s="157"/>
      <c r="C117" s="157"/>
      <c r="D117" s="157"/>
      <c r="E117" s="157"/>
      <c r="F117" s="362"/>
      <c r="G117" s="84"/>
      <c r="H117" s="84"/>
      <c r="I117" s="363"/>
      <c r="J117" s="364"/>
      <c r="K117" s="362"/>
      <c r="L117" s="362"/>
      <c r="M117" s="457"/>
      <c r="N117" s="457"/>
      <c r="Q117"/>
      <c r="S117" s="36"/>
    </row>
    <row r="118" spans="1:19" ht="15">
      <c r="A118" s="476"/>
      <c r="B118" s="157"/>
      <c r="C118" s="157"/>
      <c r="D118" s="157"/>
      <c r="E118" s="157"/>
      <c r="F118" s="362"/>
      <c r="G118" s="84"/>
      <c r="H118" s="84"/>
      <c r="I118" s="363"/>
      <c r="J118" s="364"/>
      <c r="K118" s="362"/>
      <c r="L118" s="362"/>
      <c r="M118" s="457"/>
      <c r="N118" s="457"/>
      <c r="Q118"/>
      <c r="S118" s="36"/>
    </row>
    <row r="119" spans="1:19" ht="15">
      <c r="A119" s="476"/>
      <c r="B119" s="157"/>
      <c r="C119" s="157"/>
      <c r="D119" s="157"/>
      <c r="E119" s="157"/>
      <c r="F119" s="362"/>
      <c r="G119" s="84"/>
      <c r="H119" s="84"/>
      <c r="I119" s="363"/>
      <c r="J119" s="364"/>
      <c r="K119" s="362"/>
      <c r="L119" s="362"/>
      <c r="M119" s="457"/>
      <c r="N119" s="457"/>
      <c r="Q119"/>
      <c r="S119" s="36"/>
    </row>
    <row r="120" spans="1:19" ht="15">
      <c r="A120" s="476"/>
      <c r="B120" s="157"/>
      <c r="C120" s="157"/>
      <c r="D120" s="157"/>
      <c r="E120" s="157"/>
      <c r="F120" s="362"/>
      <c r="G120" s="84"/>
      <c r="H120" s="84"/>
      <c r="I120" s="363"/>
      <c r="J120" s="364"/>
      <c r="K120" s="362"/>
      <c r="L120" s="362"/>
      <c r="M120" s="457"/>
      <c r="N120" s="457"/>
      <c r="Q120"/>
      <c r="S120" s="36"/>
    </row>
    <row r="121" spans="1:19" ht="15">
      <c r="A121" s="476"/>
      <c r="B121" s="157"/>
      <c r="C121" s="157"/>
      <c r="D121" s="157"/>
      <c r="E121" s="157"/>
      <c r="F121" s="362"/>
      <c r="G121" s="84"/>
      <c r="H121" s="84"/>
      <c r="I121" s="363"/>
      <c r="J121" s="364"/>
      <c r="K121" s="362"/>
      <c r="L121" s="362"/>
      <c r="M121" s="457"/>
      <c r="N121" s="457"/>
      <c r="Q121"/>
      <c r="S121" s="36"/>
    </row>
    <row r="122" spans="1:19" ht="15">
      <c r="A122" s="476"/>
      <c r="B122" s="157"/>
      <c r="C122" s="157"/>
      <c r="D122" s="157"/>
      <c r="E122" s="157"/>
      <c r="F122" s="362"/>
      <c r="G122" s="84"/>
      <c r="H122" s="84"/>
      <c r="I122" s="363"/>
      <c r="J122" s="364"/>
      <c r="K122" s="362"/>
      <c r="L122" s="362"/>
      <c r="M122" s="457"/>
      <c r="N122" s="457"/>
      <c r="Q122"/>
      <c r="S122" s="36"/>
    </row>
    <row r="123" spans="1:19" ht="15">
      <c r="A123" s="476"/>
      <c r="B123" s="157"/>
      <c r="C123" s="157"/>
      <c r="D123" s="157"/>
      <c r="E123" s="157"/>
      <c r="F123" s="362"/>
      <c r="G123" s="84"/>
      <c r="H123" s="84"/>
      <c r="I123" s="363"/>
      <c r="J123" s="364"/>
      <c r="K123" s="362"/>
      <c r="L123" s="362"/>
      <c r="M123" s="457"/>
      <c r="N123" s="457"/>
      <c r="Q123"/>
      <c r="S123" s="36"/>
    </row>
    <row r="124" spans="1:19" ht="15">
      <c r="A124" s="476"/>
      <c r="B124" s="157"/>
      <c r="C124" s="157"/>
      <c r="D124" s="157"/>
      <c r="E124" s="157"/>
      <c r="F124" s="362"/>
      <c r="G124" s="84"/>
      <c r="H124" s="84"/>
      <c r="I124" s="363"/>
      <c r="J124" s="364"/>
      <c r="K124" s="362"/>
      <c r="L124" s="362"/>
      <c r="M124" s="457"/>
      <c r="N124" s="457"/>
      <c r="Q124"/>
      <c r="S124" s="36"/>
    </row>
    <row r="125" spans="1:19" ht="15">
      <c r="A125" s="476"/>
      <c r="B125" s="157"/>
      <c r="C125" s="157"/>
      <c r="D125" s="157"/>
      <c r="E125" s="157"/>
      <c r="F125" s="362"/>
      <c r="G125" s="84"/>
      <c r="H125" s="84"/>
      <c r="I125" s="363"/>
      <c r="J125" s="364"/>
      <c r="K125" s="362"/>
      <c r="L125" s="362"/>
      <c r="M125" s="457"/>
      <c r="N125" s="457"/>
      <c r="Q125"/>
      <c r="S125" s="36"/>
    </row>
    <row r="126" spans="1:19" ht="15">
      <c r="A126" s="476"/>
      <c r="B126" s="157"/>
      <c r="C126" s="157"/>
      <c r="D126" s="157"/>
      <c r="E126" s="157"/>
      <c r="F126" s="362"/>
      <c r="G126" s="84"/>
      <c r="H126" s="84"/>
      <c r="I126" s="363"/>
      <c r="J126" s="364"/>
      <c r="K126" s="362"/>
      <c r="L126" s="362"/>
      <c r="M126" s="457"/>
      <c r="N126" s="457"/>
      <c r="Q126"/>
      <c r="S126" s="36"/>
    </row>
    <row r="127" spans="1:19" ht="15">
      <c r="A127" s="361"/>
      <c r="C127" s="362"/>
      <c r="D127" s="362"/>
      <c r="E127" s="362"/>
      <c r="F127" s="362"/>
      <c r="G127" s="84"/>
      <c r="H127" s="84"/>
      <c r="I127" s="363"/>
      <c r="J127" s="364"/>
      <c r="K127" s="362"/>
      <c r="L127" s="362"/>
      <c r="M127" s="457"/>
      <c r="N127" s="457"/>
      <c r="Q127"/>
      <c r="S127" s="36"/>
    </row>
    <row r="128" spans="1:19" ht="15">
      <c r="A128" s="361"/>
      <c r="C128" s="362"/>
      <c r="D128" s="362"/>
      <c r="E128" s="362"/>
      <c r="F128" s="362"/>
      <c r="G128" s="84"/>
      <c r="H128" s="84"/>
      <c r="I128" s="363"/>
      <c r="J128" s="364"/>
      <c r="K128" s="362"/>
      <c r="L128" s="362"/>
      <c r="M128" s="457"/>
      <c r="N128" s="457"/>
      <c r="Q128"/>
      <c r="S128" s="36"/>
    </row>
    <row r="129" spans="1:19" ht="15">
      <c r="A129" s="361"/>
      <c r="C129" s="362"/>
      <c r="D129" s="362"/>
      <c r="E129" s="362"/>
      <c r="F129" s="362"/>
      <c r="G129" s="84"/>
      <c r="H129" s="84"/>
      <c r="I129" s="363"/>
      <c r="J129" s="364"/>
      <c r="K129" s="362"/>
      <c r="L129" s="362"/>
      <c r="M129" s="457"/>
      <c r="N129" s="457"/>
      <c r="Q129"/>
      <c r="S129" s="36"/>
    </row>
    <row r="130" spans="1:19">
      <c r="A130" s="91"/>
      <c r="C130" s="157"/>
      <c r="D130" s="92"/>
      <c r="E130" s="92"/>
      <c r="F130" s="92"/>
      <c r="G130" s="92"/>
      <c r="H130" s="92"/>
      <c r="I130" s="390"/>
      <c r="P130" s="49"/>
    </row>
    <row r="131" spans="1:19" s="95" customFormat="1" ht="24.75" customHeight="1">
      <c r="A131" s="94" t="s">
        <v>162</v>
      </c>
      <c r="S131"/>
    </row>
    <row r="133" spans="1:19" ht="15">
      <c r="A133" s="96" t="s">
        <v>103</v>
      </c>
      <c r="B133" s="96">
        <v>2024</v>
      </c>
      <c r="C133" s="96">
        <v>2025</v>
      </c>
      <c r="D133" s="96" t="s">
        <v>163</v>
      </c>
      <c r="E133" s="96" t="s">
        <v>164</v>
      </c>
      <c r="F133" s="96" t="s">
        <v>165</v>
      </c>
      <c r="G133" s="96"/>
      <c r="L133" s="96"/>
    </row>
    <row r="134" spans="1:19">
      <c r="A134" s="35">
        <v>1</v>
      </c>
      <c r="B134" s="482">
        <v>54.270768430079997</v>
      </c>
      <c r="C134" s="482">
        <v>49.842785805879998</v>
      </c>
      <c r="D134" s="157">
        <f t="shared" ref="D134:D161" si="20">E72</f>
        <v>55.902833127602683</v>
      </c>
      <c r="E134" s="352"/>
      <c r="F134" s="84">
        <f t="shared" ref="F134:F161" si="21">+C72</f>
        <v>69.450154613859993</v>
      </c>
      <c r="G134" s="84"/>
      <c r="I134" s="85"/>
      <c r="J134" s="85"/>
      <c r="K134" s="85"/>
      <c r="L134" s="88"/>
      <c r="M134" s="88">
        <f t="shared" ref="M134:M164" si="22">+C134</f>
        <v>49.842785805879998</v>
      </c>
      <c r="N134" s="88">
        <f>+F134</f>
        <v>69.450154613859993</v>
      </c>
      <c r="O134" s="184">
        <f>+D134</f>
        <v>55.902833127602683</v>
      </c>
      <c r="P134" s="119"/>
    </row>
    <row r="135" spans="1:19">
      <c r="A135" s="35">
        <f>+A134+1</f>
        <v>2</v>
      </c>
      <c r="B135" s="482">
        <v>49.243120013750001</v>
      </c>
      <c r="C135" s="482">
        <v>39.961925858320001</v>
      </c>
      <c r="D135" s="157">
        <f t="shared" si="20"/>
        <v>59.25700311525884</v>
      </c>
      <c r="E135" s="352"/>
      <c r="F135" s="84">
        <f t="shared" si="21"/>
        <v>54.145314768989998</v>
      </c>
      <c r="G135" s="84"/>
      <c r="I135" s="85"/>
      <c r="J135" s="85"/>
      <c r="K135" s="85"/>
      <c r="L135" s="88"/>
      <c r="M135" s="88">
        <f t="shared" si="22"/>
        <v>39.961925858320001</v>
      </c>
      <c r="N135" s="88">
        <f t="shared" ref="N135:N164" si="23">+F135+N134</f>
        <v>123.59546938284998</v>
      </c>
      <c r="O135" s="184">
        <f t="shared" ref="O135:O164" si="24">+O134+D135</f>
        <v>115.15983624286153</v>
      </c>
      <c r="P135" s="119"/>
    </row>
    <row r="136" spans="1:19">
      <c r="A136" s="35">
        <f t="shared" ref="A136:A161" si="25">+A135+1</f>
        <v>3</v>
      </c>
      <c r="B136" s="482">
        <v>40.794077443500001</v>
      </c>
      <c r="C136" s="482">
        <v>53.91126915708</v>
      </c>
      <c r="D136" s="157">
        <f t="shared" si="20"/>
        <v>63.914227983215014</v>
      </c>
      <c r="E136" s="352"/>
      <c r="F136" s="84">
        <f t="shared" si="21"/>
        <v>36.973360684900001</v>
      </c>
      <c r="G136" s="84"/>
      <c r="I136" s="85"/>
      <c r="J136" s="85"/>
      <c r="K136" s="85"/>
      <c r="L136" s="88"/>
      <c r="M136" s="88">
        <f t="shared" si="22"/>
        <v>53.91126915708</v>
      </c>
      <c r="N136" s="88">
        <f t="shared" si="23"/>
        <v>160.56883006774999</v>
      </c>
      <c r="O136" s="184">
        <f t="shared" si="24"/>
        <v>179.07406422607653</v>
      </c>
      <c r="P136" s="119"/>
    </row>
    <row r="137" spans="1:19">
      <c r="A137" s="35">
        <f t="shared" si="25"/>
        <v>4</v>
      </c>
      <c r="B137" s="482">
        <v>29.412618477999999</v>
      </c>
      <c r="C137" s="482">
        <v>50.718531470839999</v>
      </c>
      <c r="D137" s="157">
        <f t="shared" si="20"/>
        <v>60.56199960238169</v>
      </c>
      <c r="E137" s="352"/>
      <c r="F137" s="84">
        <f t="shared" si="21"/>
        <v>49.389049673140001</v>
      </c>
      <c r="G137" s="84"/>
      <c r="I137" s="85"/>
      <c r="J137" s="85"/>
      <c r="K137" s="85"/>
      <c r="L137" s="88"/>
      <c r="M137" s="88">
        <f t="shared" si="22"/>
        <v>50.718531470839999</v>
      </c>
      <c r="N137" s="88">
        <f t="shared" si="23"/>
        <v>209.95787974088998</v>
      </c>
      <c r="O137" s="184">
        <f t="shared" si="24"/>
        <v>239.63606382845822</v>
      </c>
      <c r="P137" s="119"/>
    </row>
    <row r="138" spans="1:19">
      <c r="A138" s="35">
        <f t="shared" si="25"/>
        <v>5</v>
      </c>
      <c r="B138" s="482">
        <v>49.374106786349998</v>
      </c>
      <c r="C138" s="482">
        <v>52.86120278416</v>
      </c>
      <c r="D138" s="157">
        <f t="shared" si="20"/>
        <v>54.772241292076885</v>
      </c>
      <c r="E138" s="352"/>
      <c r="F138" s="84">
        <f t="shared" si="21"/>
        <v>39.947746357020002</v>
      </c>
      <c r="G138" s="84"/>
      <c r="I138" s="85"/>
      <c r="J138" s="85"/>
      <c r="K138" s="85"/>
      <c r="L138" s="88"/>
      <c r="M138" s="88">
        <f t="shared" si="22"/>
        <v>52.86120278416</v>
      </c>
      <c r="N138" s="88">
        <f t="shared" si="23"/>
        <v>249.90562609790999</v>
      </c>
      <c r="O138" s="184">
        <f t="shared" si="24"/>
        <v>294.40830512053509</v>
      </c>
      <c r="P138" s="119"/>
    </row>
    <row r="139" spans="1:19">
      <c r="A139" s="35">
        <f t="shared" si="25"/>
        <v>6</v>
      </c>
      <c r="B139" s="482">
        <v>42.096305871920002</v>
      </c>
      <c r="C139" s="482">
        <v>43.895670919600001</v>
      </c>
      <c r="D139" s="157">
        <f t="shared" si="20"/>
        <v>56.518584869923473</v>
      </c>
      <c r="E139" s="352"/>
      <c r="F139" s="84">
        <f t="shared" si="21"/>
        <v>61.58556499665</v>
      </c>
      <c r="G139" s="84"/>
      <c r="I139" s="85"/>
      <c r="J139" s="85"/>
      <c r="K139" s="85"/>
      <c r="L139" s="88"/>
      <c r="M139" s="88">
        <f t="shared" si="22"/>
        <v>43.895670919600001</v>
      </c>
      <c r="N139" s="391">
        <f t="shared" si="23"/>
        <v>311.49119109456001</v>
      </c>
      <c r="O139" s="184">
        <f t="shared" si="24"/>
        <v>350.92688999045856</v>
      </c>
      <c r="P139" s="119"/>
    </row>
    <row r="140" spans="1:19">
      <c r="A140" s="35">
        <f t="shared" si="25"/>
        <v>7</v>
      </c>
      <c r="B140" s="482">
        <v>42.698719053280001</v>
      </c>
      <c r="C140" s="482">
        <v>44.80499523308</v>
      </c>
      <c r="D140" s="157">
        <f t="shared" si="20"/>
        <v>52.281290398837804</v>
      </c>
      <c r="E140" s="352"/>
      <c r="F140" s="84">
        <f t="shared" si="21"/>
        <v>63.431738435360003</v>
      </c>
      <c r="G140" s="84"/>
      <c r="I140" s="85"/>
      <c r="J140" s="85"/>
      <c r="K140" s="85"/>
      <c r="L140" s="88"/>
      <c r="M140" s="88">
        <f t="shared" si="22"/>
        <v>44.80499523308</v>
      </c>
      <c r="N140" s="88">
        <f t="shared" si="23"/>
        <v>374.92292952992</v>
      </c>
      <c r="O140" s="184">
        <f t="shared" si="24"/>
        <v>403.20818038929639</v>
      </c>
      <c r="P140" s="119"/>
    </row>
    <row r="141" spans="1:19">
      <c r="A141" s="35">
        <f t="shared" si="25"/>
        <v>8</v>
      </c>
      <c r="B141" s="482">
        <v>40.730043878879997</v>
      </c>
      <c r="C141" s="482">
        <v>41.926604713700002</v>
      </c>
      <c r="D141" s="157">
        <f t="shared" si="20"/>
        <v>33.541699876561609</v>
      </c>
      <c r="E141" s="352"/>
      <c r="F141" s="84">
        <f t="shared" si="21"/>
        <v>55.969330691480003</v>
      </c>
      <c r="G141" s="84"/>
      <c r="I141" s="85"/>
      <c r="J141" s="85"/>
      <c r="K141" s="85"/>
      <c r="L141" s="88"/>
      <c r="M141" s="88">
        <f t="shared" si="22"/>
        <v>41.926604713700002</v>
      </c>
      <c r="N141" s="88">
        <f t="shared" si="23"/>
        <v>430.89226022140002</v>
      </c>
      <c r="O141" s="184">
        <f t="shared" si="24"/>
        <v>436.749880265858</v>
      </c>
      <c r="P141" s="127"/>
    </row>
    <row r="142" spans="1:19">
      <c r="A142" s="35">
        <f t="shared" si="25"/>
        <v>9</v>
      </c>
      <c r="B142" s="482">
        <v>40.897919481279999</v>
      </c>
      <c r="C142" s="482">
        <v>31.210730809240001</v>
      </c>
      <c r="D142" s="157">
        <f t="shared" si="20"/>
        <v>57.248166692876737</v>
      </c>
      <c r="E142" s="352"/>
      <c r="F142" s="84">
        <f t="shared" si="21"/>
        <v>52.036932866599997</v>
      </c>
      <c r="G142" s="84"/>
      <c r="I142" s="85"/>
      <c r="J142" s="85"/>
      <c r="K142" s="85"/>
      <c r="L142" s="88"/>
      <c r="M142" s="88">
        <f t="shared" si="22"/>
        <v>31.210730809240001</v>
      </c>
      <c r="N142" s="88">
        <f t="shared" si="23"/>
        <v>482.92919308800003</v>
      </c>
      <c r="O142" s="184">
        <f t="shared" si="24"/>
        <v>493.99804695873473</v>
      </c>
      <c r="P142" s="127"/>
    </row>
    <row r="143" spans="1:19">
      <c r="A143" s="35">
        <f t="shared" si="25"/>
        <v>10</v>
      </c>
      <c r="B143" s="482">
        <v>38.325739419439998</v>
      </c>
      <c r="C143" s="482">
        <v>46.801338073419998</v>
      </c>
      <c r="D143" s="157">
        <f t="shared" si="20"/>
        <v>58.904582361125797</v>
      </c>
      <c r="E143" s="352"/>
      <c r="F143" s="84">
        <f t="shared" si="21"/>
        <v>57.908774223659996</v>
      </c>
      <c r="G143" s="84"/>
      <c r="I143" s="85"/>
      <c r="J143" s="85"/>
      <c r="K143" s="85"/>
      <c r="L143" s="88"/>
      <c r="M143" s="88">
        <f t="shared" si="22"/>
        <v>46.801338073419998</v>
      </c>
      <c r="N143" s="88">
        <f t="shared" si="23"/>
        <v>540.83796731166001</v>
      </c>
      <c r="O143" s="184">
        <f t="shared" si="24"/>
        <v>552.90262931986058</v>
      </c>
      <c r="P143" s="127"/>
    </row>
    <row r="144" spans="1:19">
      <c r="A144" s="35">
        <f t="shared" si="25"/>
        <v>11</v>
      </c>
      <c r="B144" s="482">
        <v>29.067262919920001</v>
      </c>
      <c r="C144" s="482">
        <v>46.436081654200002</v>
      </c>
      <c r="D144" s="157">
        <f t="shared" si="20"/>
        <v>59.455330853651823</v>
      </c>
      <c r="E144" s="352"/>
      <c r="F144" s="84">
        <f t="shared" si="21"/>
        <v>52.595859892340002</v>
      </c>
      <c r="G144" s="84"/>
      <c r="I144" s="85"/>
      <c r="J144" s="85"/>
      <c r="K144" s="85"/>
      <c r="L144" s="88"/>
      <c r="M144" s="88">
        <f t="shared" si="22"/>
        <v>46.436081654200002</v>
      </c>
      <c r="N144" s="88">
        <f t="shared" si="23"/>
        <v>593.43382720399995</v>
      </c>
      <c r="O144" s="184">
        <f t="shared" si="24"/>
        <v>612.35796017351242</v>
      </c>
      <c r="P144" s="127"/>
    </row>
    <row r="145" spans="1:16">
      <c r="A145" s="35">
        <f t="shared" si="25"/>
        <v>12</v>
      </c>
      <c r="B145" s="482">
        <v>45.839161136199998</v>
      </c>
      <c r="C145" s="482">
        <v>49.442279021819999</v>
      </c>
      <c r="D145" s="157">
        <f t="shared" si="20"/>
        <v>56.502217818401753</v>
      </c>
      <c r="E145" s="352"/>
      <c r="F145" s="84">
        <f t="shared" si="21"/>
        <v>33.390565760400001</v>
      </c>
      <c r="G145" s="84"/>
      <c r="I145" s="85"/>
      <c r="J145" s="85"/>
      <c r="K145" s="85"/>
      <c r="L145" s="88"/>
      <c r="M145" s="88">
        <f t="shared" si="22"/>
        <v>49.442279021819999</v>
      </c>
      <c r="N145" s="88">
        <f t="shared" si="23"/>
        <v>626.82439296439998</v>
      </c>
      <c r="O145" s="184">
        <f t="shared" si="24"/>
        <v>668.86017799191416</v>
      </c>
      <c r="P145" s="127"/>
    </row>
    <row r="146" spans="1:16">
      <c r="A146" s="35">
        <f t="shared" si="25"/>
        <v>13</v>
      </c>
      <c r="B146" s="482">
        <v>45.024577893599997</v>
      </c>
      <c r="C146" s="482">
        <v>47.730441328559998</v>
      </c>
      <c r="D146" s="157">
        <f t="shared" si="20"/>
        <v>60.178496917616009</v>
      </c>
      <c r="E146" s="352"/>
      <c r="F146" s="84">
        <f t="shared" si="21"/>
        <v>55.94746848682</v>
      </c>
      <c r="G146" s="84"/>
      <c r="I146" s="85"/>
      <c r="J146" s="85"/>
      <c r="K146" s="85"/>
      <c r="L146" s="88"/>
      <c r="M146" s="88">
        <f t="shared" si="22"/>
        <v>47.730441328559998</v>
      </c>
      <c r="N146" s="88">
        <f t="shared" si="23"/>
        <v>682.77186145121993</v>
      </c>
      <c r="O146" s="184">
        <f t="shared" si="24"/>
        <v>729.03867490953019</v>
      </c>
      <c r="P146" s="127"/>
    </row>
    <row r="147" spans="1:16">
      <c r="A147" s="35">
        <f t="shared" si="25"/>
        <v>14</v>
      </c>
      <c r="B147" s="482">
        <v>49.341676200759998</v>
      </c>
      <c r="C147" s="482">
        <v>53.002407162440001</v>
      </c>
      <c r="D147" s="157">
        <f t="shared" si="20"/>
        <v>52.407943937491396</v>
      </c>
      <c r="E147" s="352"/>
      <c r="F147" s="84">
        <f t="shared" si="21"/>
        <v>57.3321441505</v>
      </c>
      <c r="G147" s="84"/>
      <c r="I147" s="85"/>
      <c r="J147" s="85"/>
      <c r="K147" s="85"/>
      <c r="L147" s="88"/>
      <c r="M147" s="88">
        <f t="shared" si="22"/>
        <v>53.002407162440001</v>
      </c>
      <c r="N147" s="88">
        <f t="shared" si="23"/>
        <v>740.1040056017199</v>
      </c>
      <c r="O147" s="184">
        <f t="shared" si="24"/>
        <v>781.44661884702157</v>
      </c>
      <c r="P147" s="127"/>
    </row>
    <row r="148" spans="1:16">
      <c r="A148" s="35">
        <f t="shared" si="25"/>
        <v>15</v>
      </c>
      <c r="B148" s="482">
        <v>46.058684931549998</v>
      </c>
      <c r="C148" s="482">
        <v>44.03214800328</v>
      </c>
      <c r="D148" s="157">
        <f t="shared" si="20"/>
        <v>32.423643214009552</v>
      </c>
      <c r="E148" s="352"/>
      <c r="F148" s="84">
        <f t="shared" si="21"/>
        <v>64.122386613789999</v>
      </c>
      <c r="G148" s="84"/>
      <c r="I148" s="85"/>
      <c r="J148" s="85"/>
      <c r="K148" s="85"/>
      <c r="L148" s="88"/>
      <c r="M148" s="88">
        <f t="shared" si="22"/>
        <v>44.03214800328</v>
      </c>
      <c r="N148" s="88">
        <f t="shared" si="23"/>
        <v>804.22639221550992</v>
      </c>
      <c r="O148" s="184">
        <f t="shared" si="24"/>
        <v>813.8702620610311</v>
      </c>
      <c r="P148" s="354"/>
    </row>
    <row r="149" spans="1:16">
      <c r="A149" s="35">
        <f t="shared" si="25"/>
        <v>16</v>
      </c>
      <c r="B149" s="482">
        <v>44.804766790080002</v>
      </c>
      <c r="C149" s="482">
        <v>34.264268093360002</v>
      </c>
      <c r="D149" s="157">
        <f t="shared" si="20"/>
        <v>60.16953403345002</v>
      </c>
      <c r="E149" s="352"/>
      <c r="F149" s="84">
        <f t="shared" si="21"/>
        <v>56.954018859919998</v>
      </c>
      <c r="G149" s="84"/>
      <c r="I149" s="85"/>
      <c r="J149" s="85"/>
      <c r="K149" s="85"/>
      <c r="L149" s="88"/>
      <c r="M149" s="88">
        <f t="shared" si="22"/>
        <v>34.264268093360002</v>
      </c>
      <c r="N149" s="88">
        <f t="shared" si="23"/>
        <v>861.1804110754299</v>
      </c>
      <c r="O149" s="184">
        <f t="shared" si="24"/>
        <v>874.03979609448106</v>
      </c>
      <c r="P149" s="354"/>
    </row>
    <row r="150" spans="1:16">
      <c r="A150" s="35">
        <f t="shared" si="25"/>
        <v>17</v>
      </c>
      <c r="B150" s="482">
        <v>39.162394237039997</v>
      </c>
      <c r="C150" s="482">
        <v>49.049940520619998</v>
      </c>
      <c r="D150" s="157">
        <f t="shared" si="20"/>
        <v>56.511796354985258</v>
      </c>
      <c r="E150" s="352"/>
      <c r="F150" s="84">
        <f t="shared" si="21"/>
        <v>54.7826827114</v>
      </c>
      <c r="G150" s="84"/>
      <c r="I150" s="85"/>
      <c r="J150" s="85"/>
      <c r="K150" s="85"/>
      <c r="L150" s="88"/>
      <c r="M150" s="88">
        <f t="shared" si="22"/>
        <v>49.049940520619998</v>
      </c>
      <c r="N150" s="88">
        <f t="shared" si="23"/>
        <v>915.96309378682986</v>
      </c>
      <c r="O150" s="184">
        <f t="shared" si="24"/>
        <v>930.55159244946628</v>
      </c>
      <c r="P150" s="354"/>
    </row>
    <row r="151" spans="1:16">
      <c r="A151" s="35">
        <f t="shared" si="25"/>
        <v>18</v>
      </c>
      <c r="B151" s="482">
        <v>29.819349609500001</v>
      </c>
      <c r="C151" s="482">
        <v>49.8765616353</v>
      </c>
      <c r="D151" s="157">
        <f t="shared" si="20"/>
        <v>60.311113634894994</v>
      </c>
      <c r="E151" s="352"/>
      <c r="F151" s="84">
        <f t="shared" si="21"/>
        <v>54.563293576760003</v>
      </c>
      <c r="G151" s="84"/>
      <c r="I151" s="85"/>
      <c r="J151" s="85"/>
      <c r="K151" s="85"/>
      <c r="L151" s="88"/>
      <c r="M151" s="88">
        <f t="shared" si="22"/>
        <v>49.8765616353</v>
      </c>
      <c r="N151" s="88">
        <f t="shared" si="23"/>
        <v>970.52638736358983</v>
      </c>
      <c r="O151" s="184">
        <f t="shared" si="24"/>
        <v>990.86270608436132</v>
      </c>
      <c r="P151" s="354"/>
    </row>
    <row r="152" spans="1:16">
      <c r="A152" s="35">
        <f t="shared" si="25"/>
        <v>19</v>
      </c>
      <c r="B152" s="482">
        <v>47.794074300779997</v>
      </c>
      <c r="C152" s="482">
        <v>52.891089099360002</v>
      </c>
      <c r="D152" s="157">
        <f t="shared" si="20"/>
        <v>60.300052347438466</v>
      </c>
      <c r="E152" s="352"/>
      <c r="F152" s="84">
        <f t="shared" si="21"/>
        <v>41.411147659100003</v>
      </c>
      <c r="G152" s="84"/>
      <c r="I152" s="85"/>
      <c r="J152" s="85"/>
      <c r="K152" s="85"/>
      <c r="L152" s="88"/>
      <c r="M152" s="88">
        <f t="shared" si="22"/>
        <v>52.891089099360002</v>
      </c>
      <c r="N152" s="88">
        <f t="shared" si="23"/>
        <v>1011.9375350226899</v>
      </c>
      <c r="O152" s="184">
        <f t="shared" si="24"/>
        <v>1051.1627584317998</v>
      </c>
      <c r="P152" s="354"/>
    </row>
    <row r="153" spans="1:16">
      <c r="A153" s="35">
        <f t="shared" si="25"/>
        <v>20</v>
      </c>
      <c r="B153" s="482">
        <v>49.5417699184</v>
      </c>
      <c r="C153" s="482">
        <v>64.314754326479999</v>
      </c>
      <c r="D153" s="157">
        <f t="shared" si="20"/>
        <v>60.86496879310436</v>
      </c>
      <c r="E153" s="352"/>
      <c r="F153" s="84">
        <f t="shared" si="21"/>
        <v>81.913180560040004</v>
      </c>
      <c r="G153" s="84"/>
      <c r="I153" s="85"/>
      <c r="J153" s="85"/>
      <c r="K153" s="85"/>
      <c r="L153" s="88"/>
      <c r="M153" s="88">
        <f t="shared" si="22"/>
        <v>64.314754326479999</v>
      </c>
      <c r="N153" s="88">
        <f t="shared" si="23"/>
        <v>1093.8507155827299</v>
      </c>
      <c r="O153" s="184">
        <f t="shared" si="24"/>
        <v>1112.0277272249041</v>
      </c>
      <c r="P153" s="354"/>
    </row>
    <row r="154" spans="1:16">
      <c r="A154" s="35">
        <f t="shared" si="25"/>
        <v>21</v>
      </c>
      <c r="B154" s="482">
        <v>47.187612942850002</v>
      </c>
      <c r="C154" s="482">
        <v>51.832479210800003</v>
      </c>
      <c r="D154" s="157">
        <f t="shared" si="20"/>
        <v>55.816194357783537</v>
      </c>
      <c r="E154" s="352"/>
      <c r="F154" s="84">
        <f t="shared" si="21"/>
        <v>72.335877275550004</v>
      </c>
      <c r="G154" s="84"/>
      <c r="I154" s="85"/>
      <c r="J154" s="85"/>
      <c r="K154" s="85"/>
      <c r="L154" s="88"/>
      <c r="M154" s="88">
        <f t="shared" si="22"/>
        <v>51.832479210800003</v>
      </c>
      <c r="N154" s="88">
        <f t="shared" si="23"/>
        <v>1166.1865928582799</v>
      </c>
      <c r="O154" s="184">
        <f t="shared" si="24"/>
        <v>1167.8439215826877</v>
      </c>
      <c r="P154" s="354"/>
    </row>
    <row r="155" spans="1:16">
      <c r="A155" s="35">
        <f t="shared" si="25"/>
        <v>22</v>
      </c>
      <c r="B155" s="482">
        <v>47.8415472541</v>
      </c>
      <c r="C155" s="482">
        <v>47.352248400400001</v>
      </c>
      <c r="D155" s="157">
        <f t="shared" si="20"/>
        <v>36.336841532941747</v>
      </c>
      <c r="E155" s="352"/>
      <c r="F155" s="84">
        <f t="shared" si="21"/>
        <v>69.080742005600001</v>
      </c>
      <c r="G155" s="84"/>
      <c r="I155" s="85"/>
      <c r="J155" s="85"/>
      <c r="K155" s="85"/>
      <c r="L155" s="88"/>
      <c r="M155" s="88">
        <f t="shared" si="22"/>
        <v>47.352248400400001</v>
      </c>
      <c r="N155" s="88">
        <f t="shared" si="23"/>
        <v>1235.26733486388</v>
      </c>
      <c r="O155" s="184">
        <f t="shared" si="24"/>
        <v>1204.1807631156294</v>
      </c>
      <c r="P155" s="355"/>
    </row>
    <row r="156" spans="1:16">
      <c r="A156" s="35">
        <f t="shared" si="25"/>
        <v>23</v>
      </c>
      <c r="B156" s="482">
        <v>46.866190157049999</v>
      </c>
      <c r="C156" s="482">
        <v>33.471898384799999</v>
      </c>
      <c r="D156" s="157">
        <f t="shared" si="20"/>
        <v>59.075111466438109</v>
      </c>
      <c r="E156" s="352"/>
      <c r="F156" s="84">
        <f t="shared" si="21"/>
        <v>69.501410634029995</v>
      </c>
      <c r="G156" s="84"/>
      <c r="I156" s="85"/>
      <c r="J156" s="85"/>
      <c r="K156" s="85"/>
      <c r="L156" s="88"/>
      <c r="M156" s="88">
        <f t="shared" si="22"/>
        <v>33.471898384799999</v>
      </c>
      <c r="N156" s="88">
        <f t="shared" si="23"/>
        <v>1304.76874549791</v>
      </c>
      <c r="O156" s="184">
        <f t="shared" si="24"/>
        <v>1263.2558745820675</v>
      </c>
      <c r="P156" s="355"/>
    </row>
    <row r="157" spans="1:16">
      <c r="A157" s="35">
        <f t="shared" si="25"/>
        <v>24</v>
      </c>
      <c r="B157" s="482">
        <v>40.799068153039997</v>
      </c>
      <c r="C157" s="482">
        <v>48.741633230700003</v>
      </c>
      <c r="D157" s="157">
        <f t="shared" si="20"/>
        <v>57.519037717679254</v>
      </c>
      <c r="E157" s="352"/>
      <c r="F157" s="84">
        <f t="shared" si="21"/>
        <v>60.136748694799998</v>
      </c>
      <c r="G157" s="84"/>
      <c r="I157" s="85"/>
      <c r="J157" s="85"/>
      <c r="K157" s="85"/>
      <c r="L157" s="88"/>
      <c r="M157" s="88">
        <f t="shared" si="22"/>
        <v>48.741633230700003</v>
      </c>
      <c r="N157" s="88">
        <f t="shared" si="23"/>
        <v>1364.90549419271</v>
      </c>
      <c r="O157" s="184">
        <f t="shared" si="24"/>
        <v>1320.7749122997468</v>
      </c>
      <c r="P157" s="355"/>
    </row>
    <row r="158" spans="1:16">
      <c r="A158" s="35">
        <f t="shared" si="25"/>
        <v>25</v>
      </c>
      <c r="B158" s="482">
        <v>29.95203140029</v>
      </c>
      <c r="C158" s="482">
        <v>50.645714105179998</v>
      </c>
      <c r="D158" s="157">
        <f t="shared" si="20"/>
        <v>60.72490473731461</v>
      </c>
      <c r="E158" s="352"/>
      <c r="F158" s="84">
        <f t="shared" si="21"/>
        <v>54.432363589719998</v>
      </c>
      <c r="G158" s="84"/>
      <c r="I158" s="85"/>
      <c r="J158" s="85"/>
      <c r="K158" s="85"/>
      <c r="L158" s="88"/>
      <c r="M158" s="88">
        <f t="shared" si="22"/>
        <v>50.645714105179998</v>
      </c>
      <c r="N158" s="88">
        <f t="shared" si="23"/>
        <v>1419.3378577824299</v>
      </c>
      <c r="O158" s="184">
        <f t="shared" si="24"/>
        <v>1381.4998170370613</v>
      </c>
      <c r="P158" s="355"/>
    </row>
    <row r="159" spans="1:16">
      <c r="A159" s="35">
        <f t="shared" si="25"/>
        <v>26</v>
      </c>
      <c r="B159" s="482">
        <v>46.3388801161</v>
      </c>
      <c r="C159" s="482">
        <v>49.498578204940003</v>
      </c>
      <c r="D159" s="157">
        <f t="shared" si="20"/>
        <v>54.321943641207625</v>
      </c>
      <c r="E159" s="352"/>
      <c r="F159" s="84">
        <f t="shared" si="21"/>
        <v>43.044570582989998</v>
      </c>
      <c r="G159" s="84"/>
      <c r="I159" s="85"/>
      <c r="J159" s="85"/>
      <c r="K159" s="85"/>
      <c r="L159" s="88"/>
      <c r="M159" s="88">
        <f t="shared" si="22"/>
        <v>49.498578204940003</v>
      </c>
      <c r="N159" s="88">
        <f t="shared" si="23"/>
        <v>1462.3824283654199</v>
      </c>
      <c r="O159" s="184">
        <f t="shared" si="24"/>
        <v>1435.8217606782689</v>
      </c>
      <c r="P159" s="355"/>
    </row>
    <row r="160" spans="1:16">
      <c r="A160" s="35">
        <f t="shared" si="25"/>
        <v>27</v>
      </c>
      <c r="B160" s="482">
        <v>50.975389038499998</v>
      </c>
      <c r="C160" s="482">
        <v>57.785067183149998</v>
      </c>
      <c r="D160" s="157">
        <f t="shared" si="20"/>
        <v>50.799346034442252</v>
      </c>
      <c r="E160" s="352"/>
      <c r="F160" s="84">
        <f t="shared" si="21"/>
        <v>57.044620271299998</v>
      </c>
      <c r="G160" s="84"/>
      <c r="I160" s="85"/>
      <c r="J160" s="85"/>
      <c r="K160" s="85"/>
      <c r="L160" s="88"/>
      <c r="M160" s="88">
        <f t="shared" si="22"/>
        <v>57.785067183149998</v>
      </c>
      <c r="N160" s="88">
        <f t="shared" si="23"/>
        <v>1519.4270486367197</v>
      </c>
      <c r="O160" s="184">
        <f t="shared" si="24"/>
        <v>1486.6211067127113</v>
      </c>
      <c r="P160" s="355"/>
    </row>
    <row r="161" spans="1:16">
      <c r="A161" s="35">
        <f t="shared" si="25"/>
        <v>28</v>
      </c>
      <c r="B161" s="482">
        <v>54.416013154760002</v>
      </c>
      <c r="C161" s="482">
        <v>68.749626944100001</v>
      </c>
      <c r="D161" s="157">
        <f t="shared" si="20"/>
        <v>54.615203338441141</v>
      </c>
      <c r="E161" s="352"/>
      <c r="F161" s="84">
        <f t="shared" si="21"/>
        <v>60.548065702640002</v>
      </c>
      <c r="G161" s="84"/>
      <c r="I161" s="85"/>
      <c r="J161" s="85"/>
      <c r="K161" s="85"/>
      <c r="L161" s="88"/>
      <c r="M161" s="88">
        <f t="shared" si="22"/>
        <v>68.749626944100001</v>
      </c>
      <c r="N161" s="88">
        <f t="shared" si="23"/>
        <v>1579.9751143393598</v>
      </c>
      <c r="O161" s="184">
        <f t="shared" si="24"/>
        <v>1541.2363100511525</v>
      </c>
      <c r="P161" s="355"/>
    </row>
    <row r="162" spans="1:16">
      <c r="A162" s="35">
        <v>29</v>
      </c>
      <c r="B162" s="482">
        <v>62.123320813600003</v>
      </c>
      <c r="C162" s="482"/>
      <c r="D162" s="157"/>
      <c r="E162" s="352"/>
      <c r="F162" s="84"/>
      <c r="G162" s="84"/>
      <c r="I162" s="85"/>
      <c r="J162" s="85"/>
      <c r="K162" s="85"/>
      <c r="L162" s="88"/>
      <c r="M162" s="88">
        <f t="shared" si="22"/>
        <v>0</v>
      </c>
      <c r="N162" s="88">
        <f t="shared" si="23"/>
        <v>1579.9751143393598</v>
      </c>
      <c r="O162" s="184">
        <f t="shared" si="24"/>
        <v>1541.2363100511525</v>
      </c>
      <c r="P162" s="355"/>
    </row>
    <row r="163" spans="1:16" ht="15.75" customHeight="1">
      <c r="A163" s="35"/>
      <c r="B163" s="482"/>
      <c r="C163" s="482"/>
      <c r="D163" s="157"/>
      <c r="E163" s="352"/>
      <c r="F163" s="84"/>
      <c r="G163" s="84"/>
      <c r="I163" s="85"/>
      <c r="J163" s="85"/>
      <c r="K163" s="85"/>
      <c r="L163" s="88"/>
      <c r="M163" s="88">
        <f t="shared" si="22"/>
        <v>0</v>
      </c>
      <c r="N163" s="88">
        <f t="shared" si="23"/>
        <v>1579.9751143393598</v>
      </c>
      <c r="O163" s="184">
        <f t="shared" si="24"/>
        <v>1541.2363100511525</v>
      </c>
      <c r="P163" s="355"/>
    </row>
    <row r="164" spans="1:16" ht="12.75" customHeight="1">
      <c r="A164" s="35"/>
      <c r="B164" s="482"/>
      <c r="C164" s="482"/>
      <c r="D164" s="157"/>
      <c r="E164" s="352"/>
      <c r="F164" s="84"/>
      <c r="G164" s="84"/>
      <c r="I164" s="85"/>
      <c r="J164" s="85"/>
      <c r="K164" s="85"/>
      <c r="L164" s="88"/>
      <c r="M164" s="88">
        <f t="shared" si="22"/>
        <v>0</v>
      </c>
      <c r="N164" s="88">
        <f t="shared" si="23"/>
        <v>1579.9751143393598</v>
      </c>
      <c r="O164" s="184">
        <f t="shared" si="24"/>
        <v>1541.2363100511525</v>
      </c>
      <c r="P164" s="355"/>
    </row>
    <row r="165" spans="1:16">
      <c r="A165" s="35"/>
      <c r="D165" s="157"/>
      <c r="E165" s="352"/>
      <c r="F165" s="84"/>
    </row>
    <row r="166" spans="1:16">
      <c r="A166" s="35"/>
    </row>
    <row r="167" spans="1:16">
      <c r="A167" s="35"/>
      <c r="B167" s="363"/>
      <c r="C167" s="363"/>
      <c r="D167" s="363"/>
      <c r="E167" s="363"/>
      <c r="F167" s="363"/>
      <c r="G167" s="363"/>
    </row>
    <row r="168" spans="1:16">
      <c r="A168" s="35"/>
      <c r="B168" s="363"/>
      <c r="C168" s="363"/>
      <c r="D168" s="363"/>
      <c r="E168" s="363"/>
      <c r="F168" s="363"/>
      <c r="G168" s="363"/>
    </row>
    <row r="169" spans="1:16">
      <c r="A169" s="35"/>
      <c r="B169" s="363"/>
      <c r="C169" s="363"/>
      <c r="D169" s="363"/>
      <c r="E169" s="363"/>
      <c r="F169" s="363"/>
      <c r="G169" s="363"/>
    </row>
    <row r="170" spans="1:16">
      <c r="A170" s="35"/>
      <c r="B170" s="363"/>
      <c r="C170" s="363"/>
      <c r="D170" s="363"/>
      <c r="E170" s="363"/>
      <c r="F170" s="363"/>
      <c r="G170" s="363"/>
    </row>
    <row r="171" spans="1:16">
      <c r="A171" s="35"/>
      <c r="B171" s="363"/>
      <c r="C171" s="363"/>
      <c r="D171" s="363"/>
      <c r="E171" s="363"/>
      <c r="F171" s="363"/>
      <c r="G171" s="363"/>
    </row>
    <row r="172" spans="1:16">
      <c r="A172" s="35"/>
      <c r="B172" s="363"/>
      <c r="C172" s="363"/>
      <c r="D172" s="363"/>
      <c r="E172" s="363"/>
      <c r="F172" s="363"/>
      <c r="G172" s="363"/>
    </row>
    <row r="173" spans="1:16">
      <c r="A173" s="35"/>
      <c r="B173" s="35"/>
      <c r="C173" s="480"/>
      <c r="D173" s="480"/>
      <c r="E173" s="363"/>
      <c r="F173" s="363"/>
    </row>
    <row r="174" spans="1:16">
      <c r="A174" s="35"/>
      <c r="B174" s="35"/>
      <c r="C174" s="480"/>
      <c r="D174" s="480"/>
      <c r="E174" s="363"/>
      <c r="F174" s="363"/>
    </row>
    <row r="175" spans="1:16">
      <c r="A175" s="35"/>
      <c r="B175" s="35"/>
      <c r="C175" s="480"/>
      <c r="D175" s="136"/>
      <c r="E175" s="363"/>
      <c r="F175" s="119"/>
    </row>
    <row r="176" spans="1:16">
      <c r="A176" s="35"/>
      <c r="B176" s="35"/>
      <c r="C176" s="480"/>
      <c r="D176" s="136"/>
      <c r="E176" s="363"/>
      <c r="F176" s="119"/>
    </row>
    <row r="177" spans="1:6">
      <c r="A177" s="35"/>
      <c r="B177" s="35"/>
      <c r="C177" s="480"/>
      <c r="D177" s="136"/>
      <c r="E177" s="363"/>
      <c r="F177" s="119"/>
    </row>
    <row r="178" spans="1:6">
      <c r="A178" s="35"/>
      <c r="B178" s="35"/>
      <c r="C178" s="480"/>
      <c r="D178" s="136"/>
      <c r="E178" s="363"/>
      <c r="F178" s="119"/>
    </row>
    <row r="179" spans="1:6">
      <c r="A179" s="35"/>
      <c r="B179" s="35"/>
      <c r="C179" s="480"/>
      <c r="D179" s="136"/>
      <c r="E179" s="363"/>
      <c r="F179" s="119"/>
    </row>
    <row r="180" spans="1:6">
      <c r="A180" s="35"/>
      <c r="B180" s="35"/>
      <c r="C180" s="480"/>
      <c r="D180" s="136"/>
      <c r="E180" s="363"/>
      <c r="F180" s="119"/>
    </row>
    <row r="181" spans="1:6">
      <c r="A181" s="35"/>
      <c r="B181" s="35"/>
      <c r="C181" s="480"/>
      <c r="D181" s="136"/>
      <c r="E181" s="363"/>
      <c r="F181" s="119"/>
    </row>
    <row r="182" spans="1:6">
      <c r="A182" s="35"/>
      <c r="B182" s="35"/>
      <c r="C182" s="480"/>
      <c r="D182" s="136"/>
      <c r="E182" s="363"/>
      <c r="F182" s="119"/>
    </row>
    <row r="183" spans="1:6">
      <c r="A183" s="35"/>
      <c r="B183" s="35"/>
      <c r="C183" s="480"/>
      <c r="D183" s="136"/>
      <c r="E183" s="363"/>
      <c r="F183" s="119"/>
    </row>
    <row r="184" spans="1:6">
      <c r="A184" s="35"/>
      <c r="B184" s="35"/>
      <c r="C184" s="480"/>
      <c r="D184" s="136"/>
      <c r="E184" s="363"/>
      <c r="F184" s="119"/>
    </row>
    <row r="185" spans="1:6">
      <c r="A185" s="35"/>
      <c r="B185" s="35"/>
      <c r="C185" s="480"/>
      <c r="D185" s="136"/>
      <c r="E185" s="363"/>
      <c r="F185" s="119"/>
    </row>
    <row r="186" spans="1:6">
      <c r="A186" s="35"/>
      <c r="B186" s="35"/>
      <c r="C186" s="480"/>
      <c r="D186" s="136"/>
      <c r="E186" s="363"/>
      <c r="F186" s="119"/>
    </row>
    <row r="187" spans="1:6">
      <c r="A187" s="35"/>
      <c r="B187" s="35"/>
      <c r="C187" s="480"/>
      <c r="D187" s="136"/>
      <c r="E187" s="363"/>
      <c r="F187" s="119"/>
    </row>
    <row r="188" spans="1:6">
      <c r="A188" s="35"/>
      <c r="B188" s="35"/>
      <c r="C188" s="480"/>
      <c r="D188" s="136"/>
      <c r="E188" s="363"/>
      <c r="F188" s="119"/>
    </row>
    <row r="189" spans="1:6">
      <c r="A189" s="35"/>
      <c r="B189" s="35"/>
      <c r="C189" s="480"/>
      <c r="D189" s="136"/>
      <c r="E189" s="363"/>
      <c r="F189" s="119"/>
    </row>
    <row r="190" spans="1:6">
      <c r="A190" s="35"/>
      <c r="B190" s="35"/>
      <c r="C190" s="480"/>
      <c r="D190" s="136"/>
      <c r="E190" s="363"/>
      <c r="F190" s="119"/>
    </row>
    <row r="191" spans="1:6">
      <c r="A191" s="35"/>
    </row>
    <row r="192" spans="1:6">
      <c r="A192" s="35"/>
    </row>
    <row r="193" spans="1:21" s="95" customFormat="1" ht="24.75" customHeight="1">
      <c r="A193" s="94" t="s">
        <v>166</v>
      </c>
    </row>
    <row r="196" spans="1:21">
      <c r="T196" s="41" t="s">
        <v>103</v>
      </c>
      <c r="U196" s="45"/>
    </row>
    <row r="197" spans="1:21">
      <c r="T197" s="168">
        <v>4</v>
      </c>
      <c r="U197" s="167" t="s">
        <v>167</v>
      </c>
    </row>
    <row r="198" spans="1:21">
      <c r="T198" s="166">
        <v>4.8900119348434926E-2</v>
      </c>
      <c r="U198" s="109">
        <v>4.9719238318281511E-2</v>
      </c>
    </row>
    <row r="199" spans="1:21">
      <c r="T199" s="166">
        <v>4.7080030750470535E-2</v>
      </c>
      <c r="U199" s="109">
        <v>4.5582964355822132E-2</v>
      </c>
    </row>
    <row r="200" spans="1:21">
      <c r="T200" s="166">
        <v>4.3669188633885303E-2</v>
      </c>
      <c r="U200" s="109">
        <v>4.628400353319527E-2</v>
      </c>
    </row>
    <row r="201" spans="1:21">
      <c r="T201" s="166">
        <v>4.8865342451999749E-2</v>
      </c>
      <c r="U201" s="109">
        <v>4.8237315228098869E-2</v>
      </c>
    </row>
    <row r="202" spans="1:21">
      <c r="T202" s="166">
        <v>5.1252146565695968E-2</v>
      </c>
      <c r="U202" s="109">
        <v>4.8114815432243961E-2</v>
      </c>
    </row>
    <row r="203" spans="1:21">
      <c r="T203" s="166">
        <v>4.2241216038709915E-2</v>
      </c>
      <c r="U203" s="109">
        <v>4.422005101059813E-2</v>
      </c>
    </row>
    <row r="204" spans="1:21">
      <c r="T204" s="175">
        <v>4.530138922843082E-2</v>
      </c>
      <c r="U204" s="174">
        <v>4.3932450011880564E-2</v>
      </c>
    </row>
    <row r="205" spans="1:21">
      <c r="T205" s="175">
        <v>4.4912065038688366E-2</v>
      </c>
      <c r="U205" s="109">
        <v>4.5148507139345019E-2</v>
      </c>
    </row>
    <row r="206" spans="1:21">
      <c r="T206" s="175">
        <v>4.8856223934984497E-2</v>
      </c>
      <c r="U206" s="109">
        <v>4.323343105978604E-2</v>
      </c>
    </row>
    <row r="207" spans="1:21">
      <c r="T207" s="175">
        <v>4.7679406592397562E-2</v>
      </c>
      <c r="U207" s="109">
        <v>4.6150986230832559E-2</v>
      </c>
    </row>
    <row r="208" spans="1:21">
      <c r="T208" s="175">
        <v>4.3032326784870699E-2</v>
      </c>
      <c r="U208" s="109">
        <v>4.5633611116436122E-2</v>
      </c>
    </row>
    <row r="209" spans="18:21">
      <c r="T209" s="181">
        <v>4.9136395635016185E-2</v>
      </c>
      <c r="U209" s="177">
        <f>T209+(T209*R232)</f>
        <v>4.8716330339620639E-2</v>
      </c>
    </row>
    <row r="220" spans="18:21">
      <c r="R220" s="109"/>
    </row>
    <row r="221" spans="18:21">
      <c r="R221" s="178">
        <f t="shared" ref="R221:R231" si="26">U198/T198-1</f>
        <v>1.6750858295661919E-2</v>
      </c>
    </row>
    <row r="222" spans="18:21">
      <c r="R222" s="178">
        <f t="shared" si="26"/>
        <v>-3.1798330858852308E-2</v>
      </c>
    </row>
    <row r="223" spans="18:21">
      <c r="R223" s="178">
        <f t="shared" si="26"/>
        <v>5.9877798995353615E-2</v>
      </c>
    </row>
    <row r="224" spans="18:21">
      <c r="R224" s="178">
        <f t="shared" si="26"/>
        <v>-1.2852201425126442E-2</v>
      </c>
    </row>
    <row r="225" spans="18:18">
      <c r="R225" s="178">
        <f t="shared" si="26"/>
        <v>-6.1213653352655495E-2</v>
      </c>
    </row>
    <row r="226" spans="18:18">
      <c r="R226" s="178">
        <f t="shared" si="26"/>
        <v>4.6846070200128986E-2</v>
      </c>
    </row>
    <row r="227" spans="18:18">
      <c r="R227" s="178">
        <f t="shared" si="26"/>
        <v>-3.0218482034787608E-2</v>
      </c>
    </row>
    <row r="228" spans="18:18">
      <c r="R228" s="178">
        <f t="shared" si="26"/>
        <v>5.2645564271645018E-3</v>
      </c>
    </row>
    <row r="229" spans="18:18">
      <c r="R229" s="178">
        <f t="shared" si="26"/>
        <v>-0.11508856850420934</v>
      </c>
    </row>
    <row r="230" spans="18:18">
      <c r="R230" s="178">
        <f t="shared" si="26"/>
        <v>-3.2056195133282284E-2</v>
      </c>
    </row>
    <row r="231" spans="18:18">
      <c r="R231" s="178">
        <f t="shared" si="26"/>
        <v>6.0449539356072668E-2</v>
      </c>
    </row>
    <row r="232" spans="18:18">
      <c r="R232" s="179">
        <f>AVERAGE(R221:R231)</f>
        <v>-8.5489643667756177E-3</v>
      </c>
    </row>
  </sheetData>
  <mergeCells count="3">
    <mergeCell ref="X62:Y62"/>
    <mergeCell ref="B105:C105"/>
    <mergeCell ref="D105:E105"/>
  </mergeCells>
  <conditionalFormatting sqref="D2">
    <cfRule type="iconSet" priority="1058">
      <iconSet>
        <cfvo type="percent" val="0"/>
        <cfvo type="num" val="0.99"/>
        <cfvo type="num" val="1"/>
      </iconSet>
    </cfRule>
  </conditionalFormatting>
  <conditionalFormatting sqref="F72:F73">
    <cfRule type="iconSet" priority="166">
      <iconSet>
        <cfvo type="percent" val="0"/>
        <cfvo type="num" val="0"/>
        <cfvo type="num" val="0"/>
      </iconSet>
    </cfRule>
    <cfRule type="iconSet" priority="163">
      <iconSet>
        <cfvo type="percent" val="0"/>
        <cfvo type="num" val="0"/>
        <cfvo type="num" val="0"/>
      </iconSet>
    </cfRule>
  </conditionalFormatting>
  <conditionalFormatting sqref="F75:F76">
    <cfRule type="iconSet" priority="148">
      <iconSet>
        <cfvo type="percent" val="0"/>
        <cfvo type="num" val="0"/>
        <cfvo type="num" val="0"/>
      </iconSet>
    </cfRule>
    <cfRule type="iconSet" priority="145">
      <iconSet>
        <cfvo type="percent" val="0"/>
        <cfvo type="num" val="0"/>
        <cfvo type="num" val="0"/>
      </iconSet>
    </cfRule>
  </conditionalFormatting>
  <conditionalFormatting sqref="F79:F87">
    <cfRule type="iconSet" priority="139">
      <iconSet>
        <cfvo type="percent" val="0"/>
        <cfvo type="num" val="0"/>
        <cfvo type="num" val="0"/>
      </iconSet>
    </cfRule>
    <cfRule type="iconSet" priority="142">
      <iconSet>
        <cfvo type="percent" val="0"/>
        <cfvo type="num" val="0"/>
        <cfvo type="num" val="0"/>
      </iconSet>
    </cfRule>
  </conditionalFormatting>
  <conditionalFormatting sqref="F88:F101">
    <cfRule type="iconSet" priority="2057">
      <iconSet>
        <cfvo type="percent" val="0"/>
        <cfvo type="num" val="0"/>
        <cfvo type="num" val="0"/>
      </iconSet>
    </cfRule>
    <cfRule type="iconSet" priority="2056">
      <iconSet>
        <cfvo type="percent" val="0"/>
        <cfvo type="num" val="0"/>
        <cfvo type="num" val="0"/>
      </iconSet>
    </cfRule>
  </conditionalFormatting>
  <conditionalFormatting sqref="F102 G102:G129">
    <cfRule type="iconSet" priority="2037">
      <iconSet>
        <cfvo type="percent" val="0"/>
        <cfvo type="num" val="0"/>
        <cfvo type="num" val="0"/>
      </iconSet>
    </cfRule>
  </conditionalFormatting>
  <conditionalFormatting sqref="F74:G74">
    <cfRule type="iconSet" priority="169">
      <iconSet>
        <cfvo type="percent" val="0"/>
        <cfvo type="num" val="0"/>
        <cfvo type="num" val="0"/>
      </iconSet>
    </cfRule>
    <cfRule type="iconSet" priority="172">
      <iconSet>
        <cfvo type="percent" val="0"/>
        <cfvo type="num" val="0"/>
        <cfvo type="num" val="0"/>
      </iconSet>
    </cfRule>
  </conditionalFormatting>
  <conditionalFormatting sqref="F77:G77">
    <cfRule type="iconSet" priority="151">
      <iconSet>
        <cfvo type="percent" val="0"/>
        <cfvo type="num" val="0"/>
        <cfvo type="num" val="0"/>
      </iconSet>
    </cfRule>
    <cfRule type="iconSet" priority="154">
      <iconSet>
        <cfvo type="percent" val="0"/>
        <cfvo type="num" val="0"/>
        <cfvo type="num" val="0"/>
      </iconSet>
    </cfRule>
  </conditionalFormatting>
  <conditionalFormatting sqref="F78:G78">
    <cfRule type="iconSet" priority="157">
      <iconSet>
        <cfvo type="percent" val="0"/>
        <cfvo type="num" val="0"/>
        <cfvo type="num" val="0"/>
      </iconSet>
    </cfRule>
    <cfRule type="iconSet" priority="160">
      <iconSet>
        <cfvo type="percent" val="0"/>
        <cfvo type="num" val="0"/>
        <cfvo type="num" val="0"/>
      </iconSet>
    </cfRule>
  </conditionalFormatting>
  <conditionalFormatting sqref="G5:G6 E49:E51 G17:G22 G25:G30 G36 G33 G39:G42">
    <cfRule type="iconSet" priority="1483">
      <iconSet>
        <cfvo type="percent" val="0"/>
        <cfvo type="num" val="0.99"/>
        <cfvo type="num" val="1"/>
      </iconSet>
    </cfRule>
  </conditionalFormatting>
  <conditionalFormatting sqref="G7:G16">
    <cfRule type="iconSet" priority="1975">
      <iconSet>
        <cfvo type="percent" val="0"/>
        <cfvo type="num" val="0.99"/>
        <cfvo type="num" val="1"/>
      </iconSet>
    </cfRule>
  </conditionalFormatting>
  <conditionalFormatting sqref="G43:G47">
    <cfRule type="iconSet" priority="1034">
      <iconSet>
        <cfvo type="percent" val="0"/>
        <cfvo type="num" val="0.99"/>
        <cfvo type="num" val="1"/>
      </iconSet>
    </cfRule>
  </conditionalFormatting>
  <conditionalFormatting sqref="G72:G73">
    <cfRule type="iconSet" priority="6">
      <iconSet>
        <cfvo type="percent" val="0"/>
        <cfvo type="num" val="0"/>
        <cfvo type="num" val="0"/>
      </iconSet>
    </cfRule>
    <cfRule type="iconSet" priority="5">
      <iconSet>
        <cfvo type="percent" val="0"/>
        <cfvo type="num" val="0"/>
        <cfvo type="num" val="0"/>
      </iconSet>
    </cfRule>
  </conditionalFormatting>
  <conditionalFormatting sqref="G75:G76">
    <cfRule type="iconSet" priority="4">
      <iconSet>
        <cfvo type="percent" val="0"/>
        <cfvo type="num" val="0"/>
        <cfvo type="num" val="0"/>
      </iconSet>
    </cfRule>
    <cfRule type="iconSet" priority="3">
      <iconSet>
        <cfvo type="percent" val="0"/>
        <cfvo type="num" val="0"/>
        <cfvo type="num" val="0"/>
      </iconSet>
    </cfRule>
  </conditionalFormatting>
  <conditionalFormatting sqref="G79:G87">
    <cfRule type="iconSet" priority="2">
      <iconSet>
        <cfvo type="percent" val="0"/>
        <cfvo type="num" val="0"/>
        <cfvo type="num" val="0"/>
      </iconSet>
    </cfRule>
    <cfRule type="iconSet" priority="1">
      <iconSet>
        <cfvo type="percent" val="0"/>
        <cfvo type="num" val="0"/>
        <cfvo type="num" val="0"/>
      </iconSet>
    </cfRule>
  </conditionalFormatting>
  <conditionalFormatting sqref="G88:G101">
    <cfRule type="iconSet" priority="2060">
      <iconSet>
        <cfvo type="percent" val="0"/>
        <cfvo type="num" val="0"/>
        <cfvo type="num" val="0"/>
      </iconSet>
    </cfRule>
    <cfRule type="iconSet" priority="2059">
      <iconSet>
        <cfvo type="percent" val="0"/>
        <cfvo type="num" val="0"/>
        <cfvo type="num" val="0"/>
      </iconSet>
    </cfRule>
  </conditionalFormatting>
  <conditionalFormatting sqref="H103:H129">
    <cfRule type="iconSet" priority="2038">
      <iconSet>
        <cfvo type="percent" val="0"/>
        <cfvo type="num" val="0"/>
        <cfvo type="num" val="0"/>
      </iconSet>
    </cfRule>
  </conditionalFormatting>
  <conditionalFormatting sqref="J102 I103:I129">
    <cfRule type="iconSet" priority="2039">
      <iconSet>
        <cfvo type="percent" val="0"/>
        <cfvo type="num" val="0.99"/>
        <cfvo type="num" val="1"/>
      </iconSet>
    </cfRule>
  </conditionalFormatting>
  <conditionalFormatting sqref="J103:J129 K102">
    <cfRule type="iconSet" priority="2040">
      <iconSet>
        <cfvo type="percent" val="0"/>
        <cfvo type="num" val="0.99"/>
        <cfvo type="num" val="1"/>
      </iconSet>
    </cfRule>
  </conditionalFormatting>
  <conditionalFormatting sqref="M108">
    <cfRule type="iconSet" priority="14">
      <iconSet>
        <cfvo type="percent" val="0"/>
        <cfvo type="num" val="0.99"/>
        <cfvo type="num" val="1"/>
      </iconSet>
    </cfRule>
  </conditionalFormatting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976" id="{884C2A81-8975-4F6B-9983-C4AE31C969BD}">
            <x14:iconSet custom="1">
              <x14:cfvo type="percent">
                <xm:f>0</xm:f>
              </x14:cfvo>
              <x14:cfvo type="num">
                <xm:f>-0.01</xm:f>
              </x14:cfvo>
              <x14:cfvo type="num">
                <xm:f>0.01</xm:f>
              </x14:cfvo>
              <x14:cfIcon iconSet="3Arrows" iconId="0"/>
              <x14:cfIcon iconSet="3Arrows" iconId="1"/>
              <x14:cfIcon iconSet="3Arrows" iconId="2"/>
            </x14:iconSet>
          </x14:cfRule>
          <xm:sqref>H7:H16</xm:sqref>
        </x14:conditionalFormatting>
        <x14:conditionalFormatting xmlns:xm="http://schemas.microsoft.com/office/excel/2006/main">
          <x14:cfRule type="iconSet" priority="897" id="{BC93F05B-A481-4BB3-B512-E9F91ABCA93B}">
            <x14:iconSet custom="1">
              <x14:cfvo type="percent">
                <xm:f>0</xm:f>
              </x14:cfvo>
              <x14:cfvo type="num">
                <xm:f>-0.01</xm:f>
              </x14:cfvo>
              <x14:cfvo type="num">
                <xm:f>0.01</xm:f>
              </x14:cfvo>
              <x14:cfIcon iconSet="3Arrows" iconId="0"/>
              <x14:cfIcon iconSet="3Arrows" iconId="1"/>
              <x14:cfIcon iconSet="3Arrows" iconId="2"/>
            </x14:iconSet>
          </x14:cfRule>
          <xm:sqref>H22</xm:sqref>
        </x14:conditionalFormatting>
        <x14:conditionalFormatting xmlns:xm="http://schemas.microsoft.com/office/excel/2006/main">
          <x14:cfRule type="iconSet" priority="1247" id="{C58F2460-3B66-4ACF-93A8-B02F3AE39C38}">
            <x14:iconSet custom="1">
              <x14:cfvo type="percent">
                <xm:f>0</xm:f>
              </x14:cfvo>
              <x14:cfvo type="num">
                <xm:f>-0.01</xm:f>
              </x14:cfvo>
              <x14:cfvo type="num">
                <xm:f>0.01</xm:f>
              </x14:cfvo>
              <x14:cfIcon iconSet="3Arrows" iconId="0"/>
              <x14:cfIcon iconSet="3Arrows" iconId="1"/>
              <x14:cfIcon iconSet="3Arrows" iconId="2"/>
            </x14:iconSet>
          </x14:cfRule>
          <xm:sqref>H23:H24</xm:sqref>
        </x14:conditionalFormatting>
        <x14:conditionalFormatting xmlns:xm="http://schemas.microsoft.com/office/excel/2006/main">
          <x14:cfRule type="iconSet" priority="896" id="{921762C4-F78C-4AC7-981E-D150B50B0145}">
            <x14:iconSet custom="1">
              <x14:cfvo type="percent">
                <xm:f>0</xm:f>
              </x14:cfvo>
              <x14:cfvo type="num">
                <xm:f>-0.01</xm:f>
              </x14:cfvo>
              <x14:cfvo type="num">
                <xm:f>0.01</xm:f>
              </x14:cfvo>
              <x14:cfIcon iconSet="3Arrows" iconId="0"/>
              <x14:cfIcon iconSet="3Arrows" iconId="1"/>
              <x14:cfIcon iconSet="3Arrows" iconId="2"/>
            </x14:iconSet>
          </x14:cfRule>
          <xm:sqref>H31:H32</xm:sqref>
        </x14:conditionalFormatting>
        <x14:conditionalFormatting xmlns:xm="http://schemas.microsoft.com/office/excel/2006/main">
          <x14:cfRule type="iconSet" priority="929" id="{2C2D945A-D4DE-4F31-95B7-6ED4D3274607}">
            <x14:iconSet custom="1">
              <x14:cfvo type="percent">
                <xm:f>0</xm:f>
              </x14:cfvo>
              <x14:cfvo type="num">
                <xm:f>-0.01</xm:f>
              </x14:cfvo>
              <x14:cfvo type="num">
                <xm:f>0.01</xm:f>
              </x14:cfvo>
              <x14:cfIcon iconSet="3Arrows" iconId="0"/>
              <x14:cfIcon iconSet="3Arrows" iconId="1"/>
              <x14:cfIcon iconSet="3Arrows" iconId="2"/>
            </x14:iconSet>
          </x14:cfRule>
          <xm:sqref>H34:H35</xm:sqref>
        </x14:conditionalFormatting>
        <x14:conditionalFormatting xmlns:xm="http://schemas.microsoft.com/office/excel/2006/main">
          <x14:cfRule type="iconSet" priority="928" id="{45E05F0F-4E33-4379-B4DB-A35FF573A951}">
            <x14:iconSet custom="1">
              <x14:cfvo type="percent">
                <xm:f>0</xm:f>
              </x14:cfvo>
              <x14:cfvo type="num">
                <xm:f>-0.01</xm:f>
              </x14:cfvo>
              <x14:cfvo type="num">
                <xm:f>0.01</xm:f>
              </x14:cfvo>
              <x14:cfIcon iconSet="3Arrows" iconId="0"/>
              <x14:cfIcon iconSet="3Arrows" iconId="1"/>
              <x14:cfIcon iconSet="3Arrows" iconId="2"/>
            </x14:iconSet>
          </x14:cfRule>
          <xm:sqref>H37:H38</xm:sqref>
        </x14:conditionalFormatting>
        <x14:conditionalFormatting xmlns:xm="http://schemas.microsoft.com/office/excel/2006/main">
          <x14:cfRule type="iconSet" priority="987" id="{EF3C3631-66D7-45A0-8876-D5C21B8F8FFA}">
            <x14:iconSet custom="1">
              <x14:cfvo type="percent">
                <xm:f>0</xm:f>
              </x14:cfvo>
              <x14:cfvo type="num">
                <xm:f>-0.01</xm:f>
              </x14:cfvo>
              <x14:cfvo type="num">
                <xm:f>0.01</xm:f>
              </x14:cfvo>
              <x14:cfIcon iconSet="3Arrows" iconId="0"/>
              <x14:cfIcon iconSet="3Arrows" iconId="1"/>
              <x14:cfIcon iconSet="3Arrows" iconId="2"/>
            </x14:iconSet>
          </x14:cfRule>
          <xm:sqref>H46</xm:sqref>
        </x14:conditionalFormatting>
        <x14:conditionalFormatting xmlns:xm="http://schemas.microsoft.com/office/excel/2006/main">
          <x14:cfRule type="iconSet" priority="1036" id="{F9AF606B-B7C4-4A16-A27C-D34705D93D26}">
            <x14:iconSet custom="1">
              <x14:cfvo type="percent">
                <xm:f>0</xm:f>
              </x14:cfvo>
              <x14:cfvo type="num">
                <xm:f>-0.01</xm:f>
              </x14:cfvo>
              <x14:cfvo type="num">
                <xm:f>0.01</xm:f>
              </x14:cfvo>
              <x14:cfIcon iconSet="3Arrows" iconId="0"/>
              <x14:cfIcon iconSet="3Arrows" iconId="1"/>
              <x14:cfIcon iconSet="3Arrows" iconId="2"/>
            </x14:iconSet>
          </x14:cfRule>
          <xm:sqref>H47 H17:H21 H5:H6 H25:H30 H36 H39:H45 H33</xm:sqref>
        </x14:conditionalFormatting>
        <x14:conditionalFormatting xmlns:xm="http://schemas.microsoft.com/office/excel/2006/main">
          <x14:cfRule type="iconSet" priority="2050" id="{83827B3E-B67B-4D12-8370-6CAA700704AF}">
            <x14:iconSet custom="1">
              <x14:cfvo type="percent">
                <xm:f>0</xm:f>
              </x14:cfvo>
              <x14:cfvo type="num">
                <xm:f>-0.01</xm:f>
              </x14:cfvo>
              <x14:cfvo type="num">
                <xm:f>0.01</xm:f>
              </x14:cfvo>
              <x14:cfIcon iconSet="3Arrows" iconId="0"/>
              <x14:cfIcon iconSet="3Arrows" iconId="1"/>
              <x14:cfIcon iconSet="3Arrows" iconId="2"/>
            </x14:iconSet>
          </x14:cfRule>
          <xm:sqref>I7:I16</xm:sqref>
        </x14:conditionalFormatting>
        <x14:conditionalFormatting xmlns:xm="http://schemas.microsoft.com/office/excel/2006/main">
          <x14:cfRule type="iconSet" priority="2051" id="{3CB3EA3B-B629-40D2-BF14-CB688F1BA640}">
            <x14:iconSet custom="1">
              <x14:cfvo type="percent">
                <xm:f>0</xm:f>
              </x14:cfvo>
              <x14:cfvo type="num">
                <xm:f>-0.01</xm:f>
              </x14:cfvo>
              <x14:cfvo type="num">
                <xm:f>0.01</xm:f>
              </x14:cfvo>
              <x14:cfIcon iconSet="3Arrows" iconId="0"/>
              <x14:cfIcon iconSet="3Arrows" iconId="1"/>
              <x14:cfIcon iconSet="3Arrows" iconId="2"/>
            </x14:iconSet>
          </x14:cfRule>
          <xm:sqref>I17:I42 I5:I6</xm:sqref>
        </x14:conditionalFormatting>
        <x14:conditionalFormatting xmlns:xm="http://schemas.microsoft.com/office/excel/2006/main">
          <x14:cfRule type="iconSet" priority="2053" id="{029E67B7-BFFE-446F-A030-36E10832821D}">
            <x14:iconSet custom="1">
              <x14:cfvo type="percent">
                <xm:f>0</xm:f>
              </x14:cfvo>
              <x14:cfvo type="num">
                <xm:f>-0.01</xm:f>
              </x14:cfvo>
              <x14:cfvo type="num">
                <xm:f>0.01</xm:f>
              </x14:cfvo>
              <x14:cfIcon iconSet="3Arrows" iconId="0"/>
              <x14:cfIcon iconSet="3Arrows" iconId="1"/>
              <x14:cfIcon iconSet="3Arrows" iconId="2"/>
            </x14:iconSet>
          </x14:cfRule>
          <xm:sqref>I43:I45 I47</xm:sqref>
        </x14:conditionalFormatting>
        <x14:conditionalFormatting xmlns:xm="http://schemas.microsoft.com/office/excel/2006/main">
          <x14:cfRule type="iconSet" priority="2055" id="{0D460E52-E6CD-4F45-A25E-1CE5C08B11AE}">
            <x14:iconSet custom="1">
              <x14:cfvo type="percent">
                <xm:f>0</xm:f>
              </x14:cfvo>
              <x14:cfvo type="num">
                <xm:f>-0.01</xm:f>
              </x14:cfvo>
              <x14:cfvo type="num">
                <xm:f>0.01</xm:f>
              </x14:cfvo>
              <x14:cfIcon iconSet="3Arrows" iconId="0"/>
              <x14:cfIcon iconSet="3Arrows" iconId="1"/>
              <x14:cfIcon iconSet="3Arrows" iconId="2"/>
            </x14:iconSet>
          </x14:cfRule>
          <xm:sqref>I46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8D6D-4358-4512-9B07-C5437A48226E}">
  <dimension ref="C1:BA66"/>
  <sheetViews>
    <sheetView showGridLines="0" workbookViewId="0">
      <selection activeCell="L29" sqref="L29"/>
    </sheetView>
  </sheetViews>
  <sheetFormatPr baseColWidth="10" defaultColWidth="11.453125" defaultRowHeight="12.5"/>
  <cols>
    <col min="1" max="2" width="2.7265625" style="690" customWidth="1"/>
    <col min="3" max="3" width="13.54296875" style="690" bestFit="1" customWidth="1"/>
    <col min="4" max="4" width="11.453125" style="690"/>
    <col min="5" max="6" width="11.54296875" style="690" bestFit="1" customWidth="1"/>
    <col min="7" max="7" width="2.7265625" style="690" customWidth="1"/>
    <col min="8" max="8" width="17.81640625" style="690" bestFit="1" customWidth="1"/>
    <col min="9" max="9" width="22.7265625" style="690" bestFit="1" customWidth="1"/>
    <col min="10" max="10" width="9" style="690" bestFit="1" customWidth="1"/>
    <col min="11" max="11" width="12.81640625" style="690" bestFit="1" customWidth="1"/>
    <col min="12" max="13" width="11.7265625" style="690" bestFit="1" customWidth="1"/>
    <col min="14" max="14" width="11.54296875" style="690" bestFit="1" customWidth="1"/>
    <col min="15" max="15" width="9.81640625" style="690" bestFit="1" customWidth="1"/>
    <col min="16" max="16" width="7" style="690" bestFit="1" customWidth="1"/>
    <col min="17" max="17" width="5.26953125" style="690" bestFit="1" customWidth="1"/>
    <col min="18" max="18" width="6.453125" style="690" bestFit="1" customWidth="1"/>
    <col min="19" max="19" width="10.453125" style="690" bestFit="1" customWidth="1"/>
    <col min="20" max="20" width="9" style="690" bestFit="1" customWidth="1"/>
    <col min="21" max="22" width="11.54296875" style="690" bestFit="1" customWidth="1"/>
    <col min="23" max="23" width="2.7265625" style="690" customWidth="1"/>
    <col min="24" max="24" width="2.7265625" style="691" customWidth="1"/>
    <col min="25" max="25" width="2.7265625" style="690" customWidth="1"/>
    <col min="26" max="26" width="13.26953125" style="690" bestFit="1" customWidth="1"/>
    <col min="27" max="27" width="11.453125" style="690"/>
    <col min="28" max="29" width="11.54296875" style="690" bestFit="1" customWidth="1"/>
    <col min="30" max="30" width="2.7265625" style="690" customWidth="1"/>
    <col min="31" max="31" width="16.7265625" style="690" bestFit="1" customWidth="1"/>
    <col min="32" max="32" width="21.81640625" style="690" bestFit="1" customWidth="1"/>
    <col min="33" max="33" width="9" style="690" bestFit="1" customWidth="1"/>
    <col min="34" max="34" width="12" style="690" bestFit="1" customWidth="1"/>
    <col min="35" max="35" width="2.7265625" style="690" customWidth="1"/>
    <col min="36" max="36" width="11.54296875" style="690" bestFit="1" customWidth="1"/>
    <col min="37" max="37" width="2.7265625" style="690" customWidth="1"/>
    <col min="38" max="38" width="11.54296875" style="690" bestFit="1" customWidth="1"/>
    <col min="39" max="39" width="13.26953125" style="690" bestFit="1" customWidth="1"/>
    <col min="40" max="40" width="11.54296875" style="690" bestFit="1" customWidth="1"/>
    <col min="41" max="41" width="2.7265625" style="690" customWidth="1"/>
    <col min="42" max="44" width="11.453125" style="690"/>
    <col min="45" max="45" width="9.7265625" style="690" bestFit="1" customWidth="1"/>
    <col min="46" max="46" width="6" style="690" bestFit="1" customWidth="1"/>
    <col min="47" max="47" width="7" style="690" bestFit="1" customWidth="1"/>
    <col min="48" max="48" width="12" style="690" bestFit="1" customWidth="1"/>
    <col min="49" max="49" width="11.453125" style="690"/>
    <col min="50" max="50" width="17.54296875" style="690" bestFit="1" customWidth="1"/>
    <col min="51" max="51" width="22.453125" style="690" bestFit="1" customWidth="1"/>
    <col min="52" max="52" width="12" style="690" bestFit="1" customWidth="1"/>
    <col min="53" max="53" width="12.54296875" style="690" bestFit="1" customWidth="1"/>
    <col min="54" max="16384" width="11.453125" style="690"/>
  </cols>
  <sheetData>
    <row r="1" spans="3:53">
      <c r="AL1" s="690" t="s">
        <v>478</v>
      </c>
    </row>
    <row r="2" spans="3:53">
      <c r="C2" s="690" t="s">
        <v>470</v>
      </c>
      <c r="Z2" s="690" t="s">
        <v>471</v>
      </c>
    </row>
    <row r="3" spans="3:53" ht="14.5">
      <c r="AL3" s="683" t="s">
        <v>479</v>
      </c>
      <c r="AM3" s="683" t="s">
        <v>461</v>
      </c>
      <c r="AN3" s="683" t="s">
        <v>463</v>
      </c>
      <c r="AS3" s="695" t="s">
        <v>481</v>
      </c>
      <c r="AT3" s="690" t="s">
        <v>482</v>
      </c>
      <c r="AU3" s="690" t="s">
        <v>464</v>
      </c>
      <c r="AV3" s="690" t="s">
        <v>463</v>
      </c>
      <c r="AX3" s="340" t="s">
        <v>466</v>
      </c>
      <c r="AY3" s="340" t="s">
        <v>465</v>
      </c>
      <c r="AZ3"/>
      <c r="BA3"/>
    </row>
    <row r="4" spans="3:53" ht="14.5">
      <c r="C4" s="689" t="s">
        <v>461</v>
      </c>
      <c r="D4" s="689" t="s">
        <v>462</v>
      </c>
      <c r="E4" s="689" t="s">
        <v>464</v>
      </c>
      <c r="F4" s="689" t="s">
        <v>463</v>
      </c>
      <c r="H4" s="692" t="s">
        <v>466</v>
      </c>
      <c r="I4" s="692" t="s">
        <v>465</v>
      </c>
      <c r="Z4" s="689" t="s">
        <v>474</v>
      </c>
      <c r="AA4" s="689" t="s">
        <v>471</v>
      </c>
      <c r="AB4" s="689" t="s">
        <v>475</v>
      </c>
      <c r="AC4" s="689" t="s">
        <v>476</v>
      </c>
      <c r="AE4" s="692" t="s">
        <v>480</v>
      </c>
      <c r="AF4" s="692" t="s">
        <v>465</v>
      </c>
      <c r="AL4" s="690">
        <v>202603</v>
      </c>
      <c r="AM4" s="693">
        <v>46082</v>
      </c>
      <c r="AN4" s="694">
        <v>1209882.6599906101</v>
      </c>
      <c r="AP4" s="685">
        <f>AN4/1000000</f>
        <v>1.2098826599906101</v>
      </c>
      <c r="AQ4" s="694">
        <v>4336</v>
      </c>
      <c r="AS4" s="693">
        <v>46113</v>
      </c>
      <c r="AT4" s="690" t="s">
        <v>472</v>
      </c>
      <c r="AU4" s="690">
        <v>372731</v>
      </c>
      <c r="AV4" s="690">
        <v>65.508008094440001</v>
      </c>
      <c r="AX4" s="340" t="s">
        <v>242</v>
      </c>
      <c r="AY4" t="s">
        <v>472</v>
      </c>
      <c r="AZ4" t="s">
        <v>473</v>
      </c>
      <c r="BA4" t="s">
        <v>248</v>
      </c>
    </row>
    <row r="5" spans="3:53" ht="14.5">
      <c r="C5" s="693">
        <v>46113</v>
      </c>
      <c r="D5" s="690" t="s">
        <v>116</v>
      </c>
      <c r="E5" s="690">
        <v>269617</v>
      </c>
      <c r="F5" s="690">
        <v>48.856371525619998</v>
      </c>
      <c r="H5" s="692" t="s">
        <v>242</v>
      </c>
      <c r="I5" s="690" t="s">
        <v>117</v>
      </c>
      <c r="J5" s="690" t="s">
        <v>116</v>
      </c>
      <c r="K5" s="690" t="s">
        <v>248</v>
      </c>
      <c r="Z5" s="693">
        <v>46082</v>
      </c>
      <c r="AA5" s="690" t="s">
        <v>472</v>
      </c>
      <c r="AB5" s="690">
        <v>348736</v>
      </c>
      <c r="AC5" s="690">
        <v>48.660338079349998</v>
      </c>
      <c r="AE5" s="692" t="s">
        <v>242</v>
      </c>
      <c r="AF5" s="690" t="s">
        <v>472</v>
      </c>
      <c r="AG5" s="690" t="s">
        <v>473</v>
      </c>
      <c r="AH5" s="690" t="s">
        <v>248</v>
      </c>
      <c r="AJ5" s="690" t="s">
        <v>477</v>
      </c>
      <c r="AL5" s="690">
        <v>202603</v>
      </c>
      <c r="AM5" s="693">
        <v>46083</v>
      </c>
      <c r="AN5" s="694">
        <v>1534260.7490699301</v>
      </c>
      <c r="AP5" s="685">
        <f t="shared" ref="AP5:AP34" si="0">AN5/1000000</f>
        <v>1.53426074906993</v>
      </c>
      <c r="AQ5" s="694">
        <v>4015</v>
      </c>
      <c r="AS5" s="693">
        <v>46113</v>
      </c>
      <c r="AT5" s="690" t="s">
        <v>473</v>
      </c>
      <c r="AU5" s="690">
        <v>5618</v>
      </c>
      <c r="AV5" s="690">
        <v>3.9395986191799999</v>
      </c>
      <c r="AX5" s="681">
        <v>46113</v>
      </c>
      <c r="AY5" s="682">
        <v>65.508008094440001</v>
      </c>
      <c r="AZ5" s="682">
        <v>3.9395986191799999</v>
      </c>
      <c r="BA5" s="682">
        <v>69.447606713620004</v>
      </c>
    </row>
    <row r="6" spans="3:53" ht="14.5">
      <c r="C6" s="693">
        <v>46113</v>
      </c>
      <c r="D6" s="690" t="s">
        <v>117</v>
      </c>
      <c r="E6" s="690">
        <v>108732</v>
      </c>
      <c r="F6" s="690">
        <v>20.591235187999999</v>
      </c>
      <c r="H6" s="684">
        <v>46113</v>
      </c>
      <c r="I6" s="685">
        <v>20.591235187999999</v>
      </c>
      <c r="J6" s="685">
        <v>48.856371525619998</v>
      </c>
      <c r="K6" s="685">
        <v>69.44760671361999</v>
      </c>
      <c r="L6" s="686">
        <f>I6/K6</f>
        <v>0.29650028506974696</v>
      </c>
      <c r="M6" s="686">
        <f>J6/K6</f>
        <v>0.70349971493025321</v>
      </c>
      <c r="N6" s="685">
        <v>69.44760671361999</v>
      </c>
      <c r="O6" s="683" t="s">
        <v>103</v>
      </c>
      <c r="P6" s="683" t="s">
        <v>117</v>
      </c>
      <c r="Q6" s="683" t="s">
        <v>116</v>
      </c>
      <c r="R6" s="683" t="s">
        <v>454</v>
      </c>
      <c r="S6" s="683" t="s">
        <v>467</v>
      </c>
      <c r="T6" s="683" t="s">
        <v>469</v>
      </c>
      <c r="U6" s="685">
        <v>69.44760671361999</v>
      </c>
      <c r="V6" s="685">
        <v>69.44760671361999</v>
      </c>
      <c r="W6" s="685"/>
      <c r="Z6" s="693">
        <v>46082</v>
      </c>
      <c r="AA6" s="690" t="s">
        <v>473</v>
      </c>
      <c r="AB6" s="690">
        <v>6381</v>
      </c>
      <c r="AC6" s="690">
        <v>4.0843378114000002</v>
      </c>
      <c r="AE6" s="684">
        <v>46082</v>
      </c>
      <c r="AF6" s="694">
        <v>348736</v>
      </c>
      <c r="AG6" s="694">
        <v>6381</v>
      </c>
      <c r="AH6" s="694">
        <v>355117</v>
      </c>
      <c r="AJ6" s="686">
        <f>AG6/AH6</f>
        <v>1.7968725800229221E-2</v>
      </c>
      <c r="AL6" s="690">
        <v>202603</v>
      </c>
      <c r="AM6" s="693">
        <v>46084</v>
      </c>
      <c r="AN6" s="694">
        <v>1306040.2207680901</v>
      </c>
      <c r="AP6" s="685">
        <f t="shared" si="0"/>
        <v>1.3060402207680901</v>
      </c>
      <c r="AQ6" s="694">
        <v>3318</v>
      </c>
      <c r="AS6" s="693">
        <v>46114</v>
      </c>
      <c r="AT6" s="690" t="s">
        <v>473</v>
      </c>
      <c r="AU6" s="690">
        <v>5978</v>
      </c>
      <c r="AV6" s="690">
        <v>3.6864761678</v>
      </c>
      <c r="AX6" s="681">
        <v>46114</v>
      </c>
      <c r="AY6" s="682">
        <v>50.458838601190003</v>
      </c>
      <c r="AZ6" s="682">
        <v>3.6864761678</v>
      </c>
      <c r="BA6" s="682">
        <v>54.145314768990005</v>
      </c>
    </row>
    <row r="7" spans="3:53" ht="14.5">
      <c r="C7" s="693">
        <v>46114</v>
      </c>
      <c r="D7" s="690" t="s">
        <v>117</v>
      </c>
      <c r="E7" s="690">
        <v>96560</v>
      </c>
      <c r="F7" s="690">
        <v>15.831767994570001</v>
      </c>
      <c r="H7" s="684">
        <v>46114</v>
      </c>
      <c r="I7" s="685">
        <v>15.831767994570001</v>
      </c>
      <c r="J7" s="685">
        <v>38.313546774419997</v>
      </c>
      <c r="K7" s="685">
        <v>54.145314768989998</v>
      </c>
      <c r="L7" s="686">
        <f t="shared" ref="L7:L29" si="1">I7/K7</f>
        <v>0.29239405222992887</v>
      </c>
      <c r="M7" s="686">
        <f t="shared" ref="M7:M29" si="2">J7/K7</f>
        <v>0.70760594777007113</v>
      </c>
      <c r="N7" s="685">
        <v>54.145314768989998</v>
      </c>
      <c r="O7" s="684">
        <v>46135</v>
      </c>
      <c r="P7" s="687">
        <v>16.841602646599998</v>
      </c>
      <c r="Q7" s="687">
        <v>49.34277308894</v>
      </c>
      <c r="R7" s="687">
        <v>66.184375735540002</v>
      </c>
      <c r="S7" s="688">
        <v>0.25446493163123263</v>
      </c>
      <c r="T7" s="688">
        <v>0.74553506836876726</v>
      </c>
      <c r="U7" s="685">
        <v>54.145314768989998</v>
      </c>
      <c r="V7" s="685">
        <v>54.145314768989998</v>
      </c>
      <c r="W7" s="685"/>
      <c r="Z7" s="693">
        <v>46083</v>
      </c>
      <c r="AA7" s="690" t="s">
        <v>473</v>
      </c>
      <c r="AB7" s="690">
        <v>6766</v>
      </c>
      <c r="AC7" s="690">
        <v>4.5848075502599999</v>
      </c>
      <c r="AE7" s="684">
        <v>46083</v>
      </c>
      <c r="AF7" s="694">
        <v>356359</v>
      </c>
      <c r="AG7" s="694">
        <v>6766</v>
      </c>
      <c r="AH7" s="694">
        <v>363125</v>
      </c>
      <c r="AJ7" s="686">
        <f t="shared" ref="AJ7:AJ36" si="3">AG7/AH7</f>
        <v>1.8632702237521514E-2</v>
      </c>
      <c r="AL7" s="690">
        <v>202603</v>
      </c>
      <c r="AM7" s="693">
        <v>46085</v>
      </c>
      <c r="AN7" s="694">
        <v>1247381.4002942401</v>
      </c>
      <c r="AP7" s="685">
        <f t="shared" si="0"/>
        <v>1.2473814002942401</v>
      </c>
      <c r="AQ7" s="694">
        <v>3293</v>
      </c>
      <c r="AS7" s="693">
        <v>46114</v>
      </c>
      <c r="AT7" s="690" t="s">
        <v>472</v>
      </c>
      <c r="AU7" s="690">
        <v>333036</v>
      </c>
      <c r="AV7" s="690">
        <v>50.458838601190003</v>
      </c>
      <c r="AX7" s="681">
        <v>46115</v>
      </c>
      <c r="AY7" s="682">
        <v>34.712716489720002</v>
      </c>
      <c r="AZ7" s="682">
        <v>2.26063959205</v>
      </c>
      <c r="BA7" s="682">
        <v>36.97335608177</v>
      </c>
    </row>
    <row r="8" spans="3:53" ht="14.5">
      <c r="C8" s="693">
        <v>46114</v>
      </c>
      <c r="D8" s="690" t="s">
        <v>116</v>
      </c>
      <c r="E8" s="690">
        <v>242454</v>
      </c>
      <c r="F8" s="690">
        <v>38.313546774419997</v>
      </c>
      <c r="H8" s="684">
        <v>46115</v>
      </c>
      <c r="I8" s="685">
        <v>10.90893681735</v>
      </c>
      <c r="J8" s="685">
        <v>26.06441926442</v>
      </c>
      <c r="K8" s="685">
        <v>36.97335608177</v>
      </c>
      <c r="L8" s="686">
        <f t="shared" si="1"/>
        <v>0.29504859643316872</v>
      </c>
      <c r="M8" s="686">
        <f t="shared" si="2"/>
        <v>0.70495140356683128</v>
      </c>
      <c r="N8" s="685">
        <v>36.97335608177</v>
      </c>
      <c r="O8" s="684">
        <v>46136</v>
      </c>
      <c r="P8" s="687">
        <v>8.5553347288800001</v>
      </c>
      <c r="Q8" s="687">
        <v>41.95179537496</v>
      </c>
      <c r="R8" s="687">
        <v>50.507130103839998</v>
      </c>
      <c r="S8" s="688">
        <v>0.16938865287516203</v>
      </c>
      <c r="T8" s="688">
        <v>0.83061134712483797</v>
      </c>
      <c r="U8" s="685">
        <v>36.97335608177</v>
      </c>
      <c r="V8" s="685">
        <v>36.97335608177</v>
      </c>
      <c r="W8" s="685"/>
      <c r="Z8" s="693">
        <v>46083</v>
      </c>
      <c r="AA8" s="690" t="s">
        <v>472</v>
      </c>
      <c r="AB8" s="690">
        <v>356359</v>
      </c>
      <c r="AC8" s="690">
        <v>64.447965446370006</v>
      </c>
      <c r="AE8" s="684">
        <v>46084</v>
      </c>
      <c r="AF8" s="694">
        <v>303970</v>
      </c>
      <c r="AG8" s="694">
        <v>6629</v>
      </c>
      <c r="AH8" s="694">
        <v>310599</v>
      </c>
      <c r="AJ8" s="686">
        <f t="shared" si="3"/>
        <v>2.1342631495915955E-2</v>
      </c>
      <c r="AL8" s="690">
        <v>202603</v>
      </c>
      <c r="AM8" s="693">
        <v>46086</v>
      </c>
      <c r="AN8" s="694">
        <v>1420996.3006815901</v>
      </c>
      <c r="AP8" s="685">
        <f t="shared" si="0"/>
        <v>1.42099630068159</v>
      </c>
      <c r="AQ8" s="694">
        <v>3356</v>
      </c>
      <c r="AS8" s="693">
        <v>46115</v>
      </c>
      <c r="AT8" s="690" t="s">
        <v>473</v>
      </c>
      <c r="AU8" s="690">
        <v>4373</v>
      </c>
      <c r="AV8" s="690">
        <v>2.26063959205</v>
      </c>
      <c r="AX8" s="681">
        <v>46116</v>
      </c>
      <c r="AY8" s="682">
        <v>45.597780311729998</v>
      </c>
      <c r="AZ8" s="682">
        <v>3.7912693614099999</v>
      </c>
      <c r="BA8" s="682">
        <v>49.389049673140001</v>
      </c>
    </row>
    <row r="9" spans="3:53" ht="14.5">
      <c r="C9" s="693">
        <v>46115</v>
      </c>
      <c r="D9" s="690" t="s">
        <v>117</v>
      </c>
      <c r="E9" s="690">
        <v>77762</v>
      </c>
      <c r="F9" s="690">
        <v>10.90893681735</v>
      </c>
      <c r="H9" s="684">
        <v>46116</v>
      </c>
      <c r="I9" s="685">
        <v>14.37930406497</v>
      </c>
      <c r="J9" s="685">
        <v>35.00974560817</v>
      </c>
      <c r="K9" s="685">
        <v>49.389049673140001</v>
      </c>
      <c r="L9" s="686">
        <f t="shared" si="1"/>
        <v>0.29114356644100636</v>
      </c>
      <c r="M9" s="686">
        <f t="shared" si="2"/>
        <v>0.70885643355899364</v>
      </c>
      <c r="N9" s="685">
        <v>49.389049673140001</v>
      </c>
      <c r="O9" s="684"/>
      <c r="P9" s="687"/>
      <c r="Q9" s="687"/>
      <c r="R9" s="687"/>
      <c r="S9" s="688"/>
      <c r="T9" s="688"/>
      <c r="U9" s="685">
        <v>49.389049673140001</v>
      </c>
      <c r="V9" s="685">
        <v>49.389049673140001</v>
      </c>
      <c r="W9" s="685"/>
      <c r="Z9" s="693">
        <v>46084</v>
      </c>
      <c r="AA9" s="690" t="s">
        <v>473</v>
      </c>
      <c r="AB9" s="690">
        <v>6629</v>
      </c>
      <c r="AC9" s="690">
        <v>4.4661155963999999</v>
      </c>
      <c r="AE9" s="684">
        <v>46085</v>
      </c>
      <c r="AF9" s="694">
        <v>299882</v>
      </c>
      <c r="AG9" s="694">
        <v>6305</v>
      </c>
      <c r="AH9" s="694">
        <v>306187</v>
      </c>
      <c r="AJ9" s="686">
        <f t="shared" si="3"/>
        <v>2.0591991168795541E-2</v>
      </c>
      <c r="AL9" s="690">
        <v>202603</v>
      </c>
      <c r="AM9" s="693">
        <v>46087</v>
      </c>
      <c r="AN9" s="694">
        <v>1231896.92921138</v>
      </c>
      <c r="AP9" s="685">
        <f t="shared" si="0"/>
        <v>1.2318969292113799</v>
      </c>
      <c r="AQ9" s="694">
        <v>3330</v>
      </c>
      <c r="AS9" s="693">
        <v>46115</v>
      </c>
      <c r="AT9" s="690" t="s">
        <v>472</v>
      </c>
      <c r="AU9" s="690">
        <v>266868</v>
      </c>
      <c r="AV9" s="690">
        <v>34.712716489720002</v>
      </c>
      <c r="AX9" s="681">
        <v>46117</v>
      </c>
      <c r="AY9" s="682">
        <v>37.067641704019998</v>
      </c>
      <c r="AZ9" s="682">
        <v>2.8801046530000001</v>
      </c>
      <c r="BA9" s="682">
        <v>39.947746357019994</v>
      </c>
    </row>
    <row r="10" spans="3:53" ht="14.5">
      <c r="C10" s="693">
        <v>46115</v>
      </c>
      <c r="D10" s="690" t="s">
        <v>116</v>
      </c>
      <c r="E10" s="690">
        <v>193479</v>
      </c>
      <c r="F10" s="690">
        <v>26.06441926442</v>
      </c>
      <c r="H10" s="684">
        <v>46117</v>
      </c>
      <c r="I10" s="685">
        <v>12.01214338488</v>
      </c>
      <c r="J10" s="685">
        <v>27.93560297214</v>
      </c>
      <c r="K10" s="685">
        <v>39.947746357020002</v>
      </c>
      <c r="L10" s="686">
        <f t="shared" si="1"/>
        <v>0.3006963966759319</v>
      </c>
      <c r="M10" s="686">
        <f t="shared" si="2"/>
        <v>0.69930360332406805</v>
      </c>
      <c r="N10" s="685">
        <v>39.947746357020002</v>
      </c>
      <c r="U10" s="685">
        <v>39.947746357020002</v>
      </c>
      <c r="V10" s="685">
        <v>39.947746357020002</v>
      </c>
      <c r="W10" s="685"/>
      <c r="Z10" s="693">
        <v>46084</v>
      </c>
      <c r="AA10" s="690" t="s">
        <v>472</v>
      </c>
      <c r="AB10" s="690">
        <v>303970</v>
      </c>
      <c r="AC10" s="690">
        <v>57.980522610050002</v>
      </c>
      <c r="AE10" s="684">
        <v>46086</v>
      </c>
      <c r="AF10" s="694">
        <v>308326</v>
      </c>
      <c r="AG10" s="694">
        <v>6745</v>
      </c>
      <c r="AH10" s="694">
        <v>315071</v>
      </c>
      <c r="AJ10" s="686">
        <f t="shared" si="3"/>
        <v>2.1407873146052796E-2</v>
      </c>
      <c r="AL10" s="690">
        <v>202603</v>
      </c>
      <c r="AM10" s="693">
        <v>46088</v>
      </c>
      <c r="AN10" s="694">
        <v>1212079.0599216199</v>
      </c>
      <c r="AP10" s="685">
        <f t="shared" si="0"/>
        <v>1.21207905992162</v>
      </c>
      <c r="AQ10" s="694">
        <v>4116</v>
      </c>
      <c r="AS10" s="693">
        <v>46116</v>
      </c>
      <c r="AT10" s="690" t="s">
        <v>473</v>
      </c>
      <c r="AU10" s="690">
        <v>6469</v>
      </c>
      <c r="AV10" s="690">
        <v>3.7912693614099999</v>
      </c>
      <c r="AX10" s="681">
        <v>46118</v>
      </c>
      <c r="AY10" s="682">
        <v>57.900816189350003</v>
      </c>
      <c r="AZ10" s="682">
        <v>3.6846000597100002</v>
      </c>
      <c r="BA10" s="682">
        <v>61.585416249060003</v>
      </c>
    </row>
    <row r="11" spans="3:53" ht="14.5">
      <c r="C11" s="693">
        <v>46116</v>
      </c>
      <c r="D11" s="690" t="s">
        <v>116</v>
      </c>
      <c r="E11" s="690">
        <v>235057</v>
      </c>
      <c r="F11" s="690">
        <v>35.00974560817</v>
      </c>
      <c r="H11" s="684">
        <v>46118</v>
      </c>
      <c r="I11" s="685">
        <v>18.792716716680001</v>
      </c>
      <c r="J11" s="685">
        <v>42.792699532379999</v>
      </c>
      <c r="K11" s="685">
        <v>61.585416249060003</v>
      </c>
      <c r="L11" s="686">
        <f t="shared" si="1"/>
        <v>0.30514881381461539</v>
      </c>
      <c r="M11" s="686">
        <f t="shared" si="2"/>
        <v>0.69485118618538455</v>
      </c>
      <c r="N11" s="685">
        <v>61.585416249060003</v>
      </c>
      <c r="U11" s="685">
        <v>61.585416249060003</v>
      </c>
      <c r="V11" s="685">
        <v>61.585416249060003</v>
      </c>
      <c r="W11" s="685"/>
      <c r="Z11" s="693">
        <v>46085</v>
      </c>
      <c r="AA11" s="690" t="s">
        <v>473</v>
      </c>
      <c r="AB11" s="690">
        <v>6305</v>
      </c>
      <c r="AC11" s="690">
        <v>4.1975377032200001</v>
      </c>
      <c r="AE11" s="684">
        <v>46087</v>
      </c>
      <c r="AF11" s="694">
        <v>315902</v>
      </c>
      <c r="AG11" s="694">
        <v>6249</v>
      </c>
      <c r="AH11" s="694">
        <v>322151</v>
      </c>
      <c r="AJ11" s="686">
        <f t="shared" si="3"/>
        <v>1.9397735844371117E-2</v>
      </c>
      <c r="AL11" s="690">
        <v>202603</v>
      </c>
      <c r="AM11" s="693">
        <v>46089</v>
      </c>
      <c r="AN11" s="694">
        <v>934277.10120630299</v>
      </c>
      <c r="AP11" s="685">
        <f t="shared" si="0"/>
        <v>0.93427710120630303</v>
      </c>
      <c r="AQ11" s="694">
        <v>3895</v>
      </c>
      <c r="AS11" s="693">
        <v>46116</v>
      </c>
      <c r="AT11" s="690" t="s">
        <v>472</v>
      </c>
      <c r="AU11" s="690">
        <v>320755</v>
      </c>
      <c r="AV11" s="690">
        <v>45.597780311729998</v>
      </c>
      <c r="AX11" s="681">
        <v>46119</v>
      </c>
      <c r="AY11" s="682">
        <v>58.19598122008</v>
      </c>
      <c r="AZ11" s="682">
        <v>5.2357572152799996</v>
      </c>
      <c r="BA11" s="682">
        <v>63.431738435360003</v>
      </c>
    </row>
    <row r="12" spans="3:53" ht="14.5">
      <c r="C12" s="693">
        <v>46116</v>
      </c>
      <c r="D12" s="690" t="s">
        <v>117</v>
      </c>
      <c r="E12" s="690">
        <v>92167</v>
      </c>
      <c r="F12" s="690">
        <v>14.37930406497</v>
      </c>
      <c r="H12" s="684">
        <v>46119</v>
      </c>
      <c r="I12" s="685">
        <v>18.669130535600001</v>
      </c>
      <c r="J12" s="685">
        <v>44.762607899759999</v>
      </c>
      <c r="K12" s="685">
        <v>63.431738435360003</v>
      </c>
      <c r="L12" s="686">
        <f t="shared" si="1"/>
        <v>0.29431844367035193</v>
      </c>
      <c r="M12" s="686">
        <f t="shared" si="2"/>
        <v>0.70568155632964802</v>
      </c>
      <c r="N12" s="685">
        <v>63.431738435360003</v>
      </c>
      <c r="U12" s="685">
        <v>63.431738435360003</v>
      </c>
      <c r="V12" s="685">
        <v>63.431738435360003</v>
      </c>
      <c r="W12" s="685"/>
      <c r="Z12" s="693">
        <v>46085</v>
      </c>
      <c r="AA12" s="690" t="s">
        <v>472</v>
      </c>
      <c r="AB12" s="690">
        <v>299882</v>
      </c>
      <c r="AC12" s="690">
        <v>56.529652202640001</v>
      </c>
      <c r="AE12" s="684">
        <v>46088</v>
      </c>
      <c r="AF12" s="694">
        <v>330068</v>
      </c>
      <c r="AG12" s="694">
        <v>6842</v>
      </c>
      <c r="AH12" s="694">
        <v>336910</v>
      </c>
      <c r="AJ12" s="686">
        <f t="shared" si="3"/>
        <v>2.0308094149772936E-2</v>
      </c>
      <c r="AL12" s="690">
        <v>202603</v>
      </c>
      <c r="AM12" s="693">
        <v>46090</v>
      </c>
      <c r="AN12" s="694">
        <v>1102537.1704055101</v>
      </c>
      <c r="AP12" s="685">
        <f t="shared" si="0"/>
        <v>1.10253717040551</v>
      </c>
      <c r="AQ12" s="694">
        <v>2935</v>
      </c>
      <c r="AS12" s="693">
        <v>46117</v>
      </c>
      <c r="AT12" s="690" t="s">
        <v>472</v>
      </c>
      <c r="AU12" s="690">
        <v>291418</v>
      </c>
      <c r="AV12" s="690">
        <v>37.067641704019998</v>
      </c>
      <c r="AX12" s="681">
        <v>46120</v>
      </c>
      <c r="AY12" s="682">
        <v>51.621760822539997</v>
      </c>
      <c r="AZ12" s="682">
        <v>4.3454050978799996</v>
      </c>
      <c r="BA12" s="682">
        <v>55.967165920419994</v>
      </c>
    </row>
    <row r="13" spans="3:53" ht="14.5">
      <c r="C13" s="693">
        <v>46117</v>
      </c>
      <c r="D13" s="690" t="s">
        <v>117</v>
      </c>
      <c r="E13" s="690">
        <v>84931</v>
      </c>
      <c r="F13" s="690">
        <v>12.01214338488</v>
      </c>
      <c r="H13" s="684">
        <v>46120</v>
      </c>
      <c r="I13" s="685">
        <v>16.480016643199999</v>
      </c>
      <c r="J13" s="685">
        <v>39.487149277219999</v>
      </c>
      <c r="K13" s="685">
        <v>55.967165920420001</v>
      </c>
      <c r="L13" s="686">
        <f t="shared" si="1"/>
        <v>0.29445865932595228</v>
      </c>
      <c r="M13" s="686">
        <f t="shared" si="2"/>
        <v>0.70554134067404761</v>
      </c>
      <c r="N13" s="685">
        <v>55.967165920420001</v>
      </c>
      <c r="U13" s="685">
        <v>55.967165920420001</v>
      </c>
      <c r="V13" s="685">
        <v>55.967165920420001</v>
      </c>
      <c r="W13" s="685"/>
      <c r="Z13" s="693">
        <v>46086</v>
      </c>
      <c r="AA13" s="690" t="s">
        <v>473</v>
      </c>
      <c r="AB13" s="690">
        <v>6745</v>
      </c>
      <c r="AC13" s="690">
        <v>4.6121562025599996</v>
      </c>
      <c r="AE13" s="684">
        <v>46089</v>
      </c>
      <c r="AF13" s="694">
        <v>301919</v>
      </c>
      <c r="AG13" s="694">
        <v>6186</v>
      </c>
      <c r="AH13" s="694">
        <v>308105</v>
      </c>
      <c r="AJ13" s="686">
        <f t="shared" si="3"/>
        <v>2.0077570957952647E-2</v>
      </c>
      <c r="AL13" s="690">
        <v>202603</v>
      </c>
      <c r="AM13" s="693">
        <v>46091</v>
      </c>
      <c r="AN13" s="694">
        <v>1174002.02780795</v>
      </c>
      <c r="AP13" s="685">
        <f t="shared" si="0"/>
        <v>1.1740020278079499</v>
      </c>
      <c r="AQ13" s="694">
        <v>2678</v>
      </c>
      <c r="AS13" s="693">
        <v>46117</v>
      </c>
      <c r="AT13" s="690" t="s">
        <v>473</v>
      </c>
      <c r="AU13" s="690">
        <v>5338</v>
      </c>
      <c r="AV13" s="690">
        <v>2.8801046530000001</v>
      </c>
      <c r="AX13" s="681">
        <v>46121</v>
      </c>
      <c r="AY13" s="682">
        <v>48.386412808000003</v>
      </c>
      <c r="AZ13" s="682">
        <v>3.6503281886000001</v>
      </c>
      <c r="BA13" s="682">
        <v>52.036740996600003</v>
      </c>
    </row>
    <row r="14" spans="3:53" ht="14.5">
      <c r="C14" s="693">
        <v>46117</v>
      </c>
      <c r="D14" s="690" t="s">
        <v>116</v>
      </c>
      <c r="E14" s="690">
        <v>211825</v>
      </c>
      <c r="F14" s="690">
        <v>27.93560297214</v>
      </c>
      <c r="H14" s="684">
        <v>46121</v>
      </c>
      <c r="I14" s="685">
        <v>15.140759556000001</v>
      </c>
      <c r="J14" s="685">
        <v>36.895981440600004</v>
      </c>
      <c r="K14" s="685">
        <v>52.036740996600003</v>
      </c>
      <c r="L14" s="686">
        <f t="shared" si="1"/>
        <v>0.29096287096436868</v>
      </c>
      <c r="M14" s="686">
        <f t="shared" si="2"/>
        <v>0.70903712903563132</v>
      </c>
      <c r="N14" s="685">
        <v>52.036740996600003</v>
      </c>
      <c r="U14" s="685">
        <v>52.036740996600003</v>
      </c>
      <c r="V14" s="685">
        <v>52.036740996600003</v>
      </c>
      <c r="W14" s="685"/>
      <c r="Z14" s="693">
        <v>46086</v>
      </c>
      <c r="AA14" s="690" t="s">
        <v>472</v>
      </c>
      <c r="AB14" s="690">
        <v>308326</v>
      </c>
      <c r="AC14" s="690">
        <v>60.541524725640002</v>
      </c>
      <c r="AE14" s="684">
        <v>46090</v>
      </c>
      <c r="AF14" s="694">
        <v>280500</v>
      </c>
      <c r="AG14" s="694">
        <v>5879</v>
      </c>
      <c r="AH14" s="694">
        <v>286379</v>
      </c>
      <c r="AJ14" s="686">
        <f t="shared" si="3"/>
        <v>2.0528739886653699E-2</v>
      </c>
      <c r="AL14" s="690">
        <v>202603</v>
      </c>
      <c r="AM14" s="693">
        <v>46092</v>
      </c>
      <c r="AN14" s="694">
        <v>1339922.18020213</v>
      </c>
      <c r="AP14" s="685">
        <f t="shared" si="0"/>
        <v>1.3399221802021299</v>
      </c>
      <c r="AQ14" s="694">
        <v>3059</v>
      </c>
      <c r="AS14" s="693">
        <v>46118</v>
      </c>
      <c r="AT14" s="690" t="s">
        <v>472</v>
      </c>
      <c r="AU14" s="690">
        <v>332506</v>
      </c>
      <c r="AV14" s="690">
        <v>57.900816189350003</v>
      </c>
      <c r="AX14" s="681">
        <v>46122</v>
      </c>
      <c r="AY14" s="682">
        <v>53.632044881079999</v>
      </c>
      <c r="AZ14" s="682">
        <v>4.2753619895800004</v>
      </c>
      <c r="BA14" s="682">
        <v>57.907406870659997</v>
      </c>
    </row>
    <row r="15" spans="3:53" ht="14.5">
      <c r="C15" s="693">
        <v>46118</v>
      </c>
      <c r="D15" s="690" t="s">
        <v>117</v>
      </c>
      <c r="E15" s="690">
        <v>95748</v>
      </c>
      <c r="F15" s="690">
        <v>18.792716716680001</v>
      </c>
      <c r="H15" s="684">
        <v>46122</v>
      </c>
      <c r="I15" s="685">
        <v>17.289273742119999</v>
      </c>
      <c r="J15" s="685">
        <v>40.618133128540002</v>
      </c>
      <c r="K15" s="685">
        <v>57.907406870659997</v>
      </c>
      <c r="L15" s="686">
        <f t="shared" si="1"/>
        <v>0.29856756978838178</v>
      </c>
      <c r="M15" s="686">
        <f t="shared" si="2"/>
        <v>0.70143243021161827</v>
      </c>
      <c r="N15" s="685">
        <v>57.907406870659997</v>
      </c>
      <c r="U15" s="685">
        <v>57.907406870659997</v>
      </c>
      <c r="V15" s="685">
        <v>57.907406870659997</v>
      </c>
      <c r="W15" s="685"/>
      <c r="Z15" s="693">
        <v>46087</v>
      </c>
      <c r="AA15" s="690" t="s">
        <v>472</v>
      </c>
      <c r="AB15" s="690">
        <v>315902</v>
      </c>
      <c r="AC15" s="690">
        <v>54.58726212322</v>
      </c>
      <c r="AE15" s="684">
        <v>46091</v>
      </c>
      <c r="AF15" s="694">
        <v>275421</v>
      </c>
      <c r="AG15" s="694">
        <v>5564</v>
      </c>
      <c r="AH15" s="694">
        <v>280985</v>
      </c>
      <c r="AJ15" s="686">
        <f t="shared" si="3"/>
        <v>1.9801768777692758E-2</v>
      </c>
      <c r="AL15" s="690">
        <v>202603</v>
      </c>
      <c r="AM15" s="693">
        <v>46093</v>
      </c>
      <c r="AN15" s="694">
        <v>1278385.9790419301</v>
      </c>
      <c r="AP15" s="685">
        <f t="shared" si="0"/>
        <v>1.2783859790419301</v>
      </c>
      <c r="AQ15" s="694">
        <v>3230</v>
      </c>
      <c r="AS15" s="693">
        <v>46118</v>
      </c>
      <c r="AT15" s="690" t="s">
        <v>473</v>
      </c>
      <c r="AU15" s="690">
        <v>5274</v>
      </c>
      <c r="AV15" s="690">
        <v>3.6846000597100002</v>
      </c>
      <c r="AX15" s="681">
        <v>46123</v>
      </c>
      <c r="AY15" s="682">
        <v>48.25131223044</v>
      </c>
      <c r="AZ15" s="682">
        <v>4.3444214456600001</v>
      </c>
      <c r="BA15" s="682">
        <v>52.595733676099997</v>
      </c>
    </row>
    <row r="16" spans="3:53" ht="14.5">
      <c r="C16" s="693">
        <v>46118</v>
      </c>
      <c r="D16" s="690" t="s">
        <v>116</v>
      </c>
      <c r="E16" s="690">
        <v>242032</v>
      </c>
      <c r="F16" s="690">
        <v>42.792699532379999</v>
      </c>
      <c r="H16" s="684">
        <v>46123</v>
      </c>
      <c r="I16" s="685">
        <v>15.532557735259999</v>
      </c>
      <c r="J16" s="685">
        <v>37.063175940839997</v>
      </c>
      <c r="K16" s="685">
        <v>52.595733676099997</v>
      </c>
      <c r="L16" s="686">
        <f t="shared" si="1"/>
        <v>0.29531972746903884</v>
      </c>
      <c r="M16" s="686">
        <f t="shared" si="2"/>
        <v>0.70468027253096122</v>
      </c>
      <c r="N16" s="685">
        <v>52.595733676099997</v>
      </c>
      <c r="U16" s="685">
        <v>52.595733676099997</v>
      </c>
      <c r="V16" s="685">
        <v>52.595733676099997</v>
      </c>
      <c r="W16" s="685"/>
      <c r="Z16" s="693">
        <v>46087</v>
      </c>
      <c r="AA16" s="690" t="s">
        <v>473</v>
      </c>
      <c r="AB16" s="690">
        <v>6249</v>
      </c>
      <c r="AC16" s="690">
        <v>4.1702916304200004</v>
      </c>
      <c r="AE16" s="684">
        <v>46092</v>
      </c>
      <c r="AF16" s="694">
        <v>280717</v>
      </c>
      <c r="AG16" s="694">
        <v>5842</v>
      </c>
      <c r="AH16" s="694">
        <v>286559</v>
      </c>
      <c r="AJ16" s="686">
        <f t="shared" si="3"/>
        <v>2.0386726642680913E-2</v>
      </c>
      <c r="AL16" s="690">
        <v>202603</v>
      </c>
      <c r="AM16" s="693">
        <v>46094</v>
      </c>
      <c r="AN16" s="694">
        <v>1238936.7589622701</v>
      </c>
      <c r="AP16" s="685">
        <f t="shared" si="0"/>
        <v>1.2389367589622702</v>
      </c>
      <c r="AQ16" s="694">
        <v>3153</v>
      </c>
      <c r="AS16" s="693">
        <v>46119</v>
      </c>
      <c r="AT16" s="690" t="s">
        <v>472</v>
      </c>
      <c r="AU16" s="690">
        <v>289149</v>
      </c>
      <c r="AV16" s="690">
        <v>58.19598122008</v>
      </c>
      <c r="AX16" s="681">
        <v>46124</v>
      </c>
      <c r="AY16" s="682">
        <v>30.818126618880001</v>
      </c>
      <c r="AZ16" s="682">
        <v>2.5691273023800001</v>
      </c>
      <c r="BA16" s="682">
        <v>33.387253921259997</v>
      </c>
    </row>
    <row r="17" spans="3:53" ht="14.5">
      <c r="C17" s="693">
        <v>46119</v>
      </c>
      <c r="D17" s="690" t="s">
        <v>117</v>
      </c>
      <c r="E17" s="690">
        <v>82804</v>
      </c>
      <c r="F17" s="690">
        <v>18.669130535600001</v>
      </c>
      <c r="H17" s="684">
        <v>46124</v>
      </c>
      <c r="I17" s="685">
        <v>9.7399084221999992</v>
      </c>
      <c r="J17" s="685">
        <v>23.647345499059998</v>
      </c>
      <c r="K17" s="685">
        <v>33.387253921259997</v>
      </c>
      <c r="L17" s="686">
        <f t="shared" si="1"/>
        <v>0.29172535259025656</v>
      </c>
      <c r="M17" s="686">
        <f t="shared" si="2"/>
        <v>0.70827464740974344</v>
      </c>
      <c r="N17" s="685">
        <v>33.387253921259997</v>
      </c>
      <c r="U17" s="685">
        <v>33.387186321260003</v>
      </c>
      <c r="V17" s="685">
        <v>33.387253921259997</v>
      </c>
      <c r="W17" s="685"/>
      <c r="Z17" s="693">
        <v>46088</v>
      </c>
      <c r="AA17" s="690" t="s">
        <v>472</v>
      </c>
      <c r="AB17" s="690">
        <v>330068</v>
      </c>
      <c r="AC17" s="690">
        <v>47.753465476439999</v>
      </c>
      <c r="AE17" s="684">
        <v>46093</v>
      </c>
      <c r="AF17" s="694">
        <v>281832</v>
      </c>
      <c r="AG17" s="694">
        <v>5890</v>
      </c>
      <c r="AH17" s="694">
        <v>287722</v>
      </c>
      <c r="AJ17" s="686">
        <f t="shared" si="3"/>
        <v>2.0471149234330362E-2</v>
      </c>
      <c r="AL17" s="690">
        <v>202603</v>
      </c>
      <c r="AM17" s="693">
        <v>46095</v>
      </c>
      <c r="AN17" s="694">
        <v>1298524.23000455</v>
      </c>
      <c r="AP17" s="685">
        <f t="shared" si="0"/>
        <v>1.2985242300045499</v>
      </c>
      <c r="AQ17" s="694">
        <v>4108</v>
      </c>
      <c r="AS17" s="693">
        <v>46119</v>
      </c>
      <c r="AT17" s="690" t="s">
        <v>473</v>
      </c>
      <c r="AU17" s="690">
        <v>6048</v>
      </c>
      <c r="AV17" s="690">
        <v>5.2357572152799996</v>
      </c>
      <c r="AX17" s="681">
        <v>46125</v>
      </c>
      <c r="AY17" s="682">
        <v>52.138402042400003</v>
      </c>
      <c r="AZ17" s="682">
        <v>3.8088286187399998</v>
      </c>
      <c r="BA17" s="682">
        <v>55.947230661140004</v>
      </c>
    </row>
    <row r="18" spans="3:53" ht="14.5">
      <c r="C18" s="693">
        <v>46119</v>
      </c>
      <c r="D18" s="690" t="s">
        <v>116</v>
      </c>
      <c r="E18" s="690">
        <v>212393</v>
      </c>
      <c r="F18" s="690">
        <v>44.762607899759999</v>
      </c>
      <c r="H18" s="684">
        <v>46125</v>
      </c>
      <c r="I18" s="685">
        <v>15.6671330071</v>
      </c>
      <c r="J18" s="685">
        <v>40.280097654039999</v>
      </c>
      <c r="K18" s="685">
        <v>55.947230661139997</v>
      </c>
      <c r="L18" s="686">
        <f t="shared" si="1"/>
        <v>0.28003411110716742</v>
      </c>
      <c r="M18" s="686">
        <f t="shared" si="2"/>
        <v>0.71996588889283264</v>
      </c>
      <c r="N18" s="685">
        <v>55.947230661139997</v>
      </c>
      <c r="U18" s="685">
        <v>55.937996361140002</v>
      </c>
      <c r="V18" s="685">
        <v>55.947230661139997</v>
      </c>
      <c r="W18" s="685"/>
      <c r="Z18" s="693">
        <v>46088</v>
      </c>
      <c r="AA18" s="690" t="s">
        <v>473</v>
      </c>
      <c r="AB18" s="690">
        <v>6842</v>
      </c>
      <c r="AC18" s="690">
        <v>4.3528346095000003</v>
      </c>
      <c r="AE18" s="684">
        <v>46094</v>
      </c>
      <c r="AF18" s="694">
        <v>312010</v>
      </c>
      <c r="AG18" s="694">
        <v>5397</v>
      </c>
      <c r="AH18" s="694">
        <v>317407</v>
      </c>
      <c r="AJ18" s="686">
        <f t="shared" si="3"/>
        <v>1.7003405721991008E-2</v>
      </c>
      <c r="AL18" s="690">
        <v>202603</v>
      </c>
      <c r="AM18" s="693">
        <v>46096</v>
      </c>
      <c r="AN18" s="694">
        <v>913914.96840906097</v>
      </c>
      <c r="AP18" s="685">
        <f t="shared" si="0"/>
        <v>0.91391496840906095</v>
      </c>
      <c r="AQ18" s="694">
        <v>3629</v>
      </c>
      <c r="AS18" s="693">
        <v>46120</v>
      </c>
      <c r="AT18" s="690" t="s">
        <v>472</v>
      </c>
      <c r="AU18" s="690">
        <v>288991</v>
      </c>
      <c r="AV18" s="690">
        <v>51.621760822539997</v>
      </c>
      <c r="AX18" s="681">
        <v>46126</v>
      </c>
      <c r="AY18" s="682">
        <v>53.833463417579999</v>
      </c>
      <c r="AZ18" s="682">
        <v>3.4949011953800002</v>
      </c>
      <c r="BA18" s="682">
        <v>57.328364612960002</v>
      </c>
    </row>
    <row r="19" spans="3:53" ht="14.5">
      <c r="C19" s="693">
        <v>46120</v>
      </c>
      <c r="D19" s="690" t="s">
        <v>116</v>
      </c>
      <c r="E19" s="690">
        <v>212216</v>
      </c>
      <c r="F19" s="690">
        <v>39.487149277219999</v>
      </c>
      <c r="H19" s="684">
        <v>46126</v>
      </c>
      <c r="I19" s="685">
        <v>16.602013127239999</v>
      </c>
      <c r="J19" s="685">
        <v>40.726351485720002</v>
      </c>
      <c r="K19" s="685">
        <v>57.328364612960002</v>
      </c>
      <c r="L19" s="686">
        <f t="shared" si="1"/>
        <v>0.28959509379562604</v>
      </c>
      <c r="M19" s="686">
        <f t="shared" si="2"/>
        <v>0.71040490620437402</v>
      </c>
      <c r="N19" s="685">
        <v>57.328364612960002</v>
      </c>
      <c r="U19" s="685">
        <v>57.32779843398</v>
      </c>
      <c r="V19" s="685">
        <v>57.328364612960002</v>
      </c>
      <c r="W19" s="685"/>
      <c r="Z19" s="693">
        <v>46089</v>
      </c>
      <c r="AA19" s="690" t="s">
        <v>473</v>
      </c>
      <c r="AB19" s="690">
        <v>6186</v>
      </c>
      <c r="AC19" s="690">
        <v>3.3103856595500001</v>
      </c>
      <c r="AE19" s="684">
        <v>46095</v>
      </c>
      <c r="AF19" s="694">
        <v>330336</v>
      </c>
      <c r="AG19" s="694">
        <v>6750</v>
      </c>
      <c r="AH19" s="694">
        <v>337086</v>
      </c>
      <c r="AJ19" s="686">
        <f t="shared" si="3"/>
        <v>2.0024563464516473E-2</v>
      </c>
      <c r="AL19" s="690">
        <v>202603</v>
      </c>
      <c r="AM19" s="693">
        <v>46097</v>
      </c>
      <c r="AN19" s="694">
        <v>1080136.3088543401</v>
      </c>
      <c r="AP19" s="685">
        <f t="shared" si="0"/>
        <v>1.0801363088543401</v>
      </c>
      <c r="AQ19" s="694">
        <v>2779</v>
      </c>
      <c r="AS19" s="693">
        <v>46120</v>
      </c>
      <c r="AT19" s="690" t="s">
        <v>473</v>
      </c>
      <c r="AU19" s="690">
        <v>5764</v>
      </c>
      <c r="AV19" s="690">
        <v>4.3454050978799996</v>
      </c>
      <c r="AX19" s="681">
        <v>46127</v>
      </c>
      <c r="AY19" s="682">
        <v>59.862621864559998</v>
      </c>
      <c r="AZ19" s="682">
        <v>4.25710404304</v>
      </c>
      <c r="BA19" s="682">
        <v>64.119725907599999</v>
      </c>
    </row>
    <row r="20" spans="3:53" ht="14.5">
      <c r="C20" s="693">
        <v>46120</v>
      </c>
      <c r="D20" s="690" t="s">
        <v>117</v>
      </c>
      <c r="E20" s="690">
        <v>82539</v>
      </c>
      <c r="F20" s="690">
        <v>16.480016643199999</v>
      </c>
      <c r="H20" s="684">
        <v>46127</v>
      </c>
      <c r="I20" s="685">
        <v>19.204316215550001</v>
      </c>
      <c r="J20" s="685">
        <v>44.915409692049998</v>
      </c>
      <c r="K20" s="685">
        <v>64.119725907599999</v>
      </c>
      <c r="L20" s="686">
        <f t="shared" si="1"/>
        <v>0.29950714766348913</v>
      </c>
      <c r="M20" s="686">
        <f t="shared" si="2"/>
        <v>0.70049285233651093</v>
      </c>
      <c r="N20" s="685">
        <v>64.119725907599999</v>
      </c>
      <c r="U20" s="685">
        <v>64.117895387239997</v>
      </c>
      <c r="V20" s="685">
        <v>64.119725907599999</v>
      </c>
      <c r="W20" s="685"/>
      <c r="Z20" s="693">
        <v>46089</v>
      </c>
      <c r="AA20" s="690" t="s">
        <v>472</v>
      </c>
      <c r="AB20" s="690">
        <v>301919</v>
      </c>
      <c r="AC20" s="690">
        <v>37.042618941960001</v>
      </c>
      <c r="AE20" s="684">
        <v>46096</v>
      </c>
      <c r="AF20" s="694">
        <v>296859</v>
      </c>
      <c r="AG20" s="694">
        <v>6281</v>
      </c>
      <c r="AH20" s="694">
        <v>303140</v>
      </c>
      <c r="AJ20" s="686">
        <f t="shared" si="3"/>
        <v>2.0719799432605396E-2</v>
      </c>
      <c r="AL20" s="690">
        <v>202603</v>
      </c>
      <c r="AM20" s="693">
        <v>46098</v>
      </c>
      <c r="AN20" s="694">
        <v>946681.18957251299</v>
      </c>
      <c r="AP20" s="685">
        <f t="shared" si="0"/>
        <v>0.94668118957251302</v>
      </c>
      <c r="AQ20" s="694">
        <v>2617</v>
      </c>
      <c r="AS20" s="693">
        <v>46121</v>
      </c>
      <c r="AT20" s="690" t="s">
        <v>473</v>
      </c>
      <c r="AU20" s="690">
        <v>5344</v>
      </c>
      <c r="AV20" s="690">
        <v>3.6503281886000001</v>
      </c>
      <c r="AX20" s="681">
        <v>46128</v>
      </c>
      <c r="AY20" s="682">
        <v>52.863929420719998</v>
      </c>
      <c r="AZ20" s="682">
        <v>4.08376142912</v>
      </c>
      <c r="BA20" s="682">
        <v>56.947690849840001</v>
      </c>
    </row>
    <row r="21" spans="3:53" ht="14.5">
      <c r="C21" s="693">
        <v>46121</v>
      </c>
      <c r="D21" s="690" t="s">
        <v>117</v>
      </c>
      <c r="E21" s="690">
        <v>82293</v>
      </c>
      <c r="F21" s="690">
        <v>15.140759556000001</v>
      </c>
      <c r="H21" s="684">
        <v>46128</v>
      </c>
      <c r="I21" s="685">
        <v>16.098292742480002</v>
      </c>
      <c r="J21" s="685">
        <v>40.849398107360003</v>
      </c>
      <c r="K21" s="685">
        <v>56.947690849840001</v>
      </c>
      <c r="L21" s="686">
        <f t="shared" si="1"/>
        <v>0.28268561028976702</v>
      </c>
      <c r="M21" s="686">
        <f t="shared" si="2"/>
        <v>0.71731438971023309</v>
      </c>
      <c r="N21" s="685">
        <v>56.947690849840001</v>
      </c>
      <c r="U21" s="685">
        <v>56.943862333520002</v>
      </c>
      <c r="V21" s="685">
        <v>56.947690849840001</v>
      </c>
      <c r="W21" s="685"/>
      <c r="Z21" s="693">
        <v>46090</v>
      </c>
      <c r="AA21" s="690" t="s">
        <v>472</v>
      </c>
      <c r="AB21" s="690">
        <v>280500</v>
      </c>
      <c r="AC21" s="690">
        <v>50.728076434800002</v>
      </c>
      <c r="AE21" s="684">
        <v>46097</v>
      </c>
      <c r="AF21" s="694">
        <v>285753</v>
      </c>
      <c r="AG21" s="694">
        <v>5821</v>
      </c>
      <c r="AH21" s="694">
        <v>291574</v>
      </c>
      <c r="AJ21" s="686">
        <f t="shared" si="3"/>
        <v>1.9964057151872251E-2</v>
      </c>
      <c r="AL21" s="690">
        <v>202603</v>
      </c>
      <c r="AM21" s="693">
        <v>46099</v>
      </c>
      <c r="AN21" s="694">
        <v>949977.80919355201</v>
      </c>
      <c r="AP21" s="685">
        <f t="shared" si="0"/>
        <v>0.94997780919355201</v>
      </c>
      <c r="AQ21" s="694">
        <v>2581</v>
      </c>
      <c r="AS21" s="693">
        <v>46121</v>
      </c>
      <c r="AT21" s="690" t="s">
        <v>472</v>
      </c>
      <c r="AU21" s="690">
        <v>288583</v>
      </c>
      <c r="AV21" s="690">
        <v>48.386412808000003</v>
      </c>
      <c r="AX21" s="681">
        <v>46129</v>
      </c>
      <c r="AY21" s="682">
        <v>51.406020705940001</v>
      </c>
      <c r="AZ21" s="682">
        <v>3.37602802938</v>
      </c>
      <c r="BA21" s="682">
        <v>54.782048735320004</v>
      </c>
    </row>
    <row r="22" spans="3:53" ht="14.5">
      <c r="C22" s="693">
        <v>46121</v>
      </c>
      <c r="D22" s="690" t="s">
        <v>116</v>
      </c>
      <c r="E22" s="690">
        <v>211634</v>
      </c>
      <c r="F22" s="690">
        <v>36.895981440600004</v>
      </c>
      <c r="H22" s="684">
        <v>46129</v>
      </c>
      <c r="I22" s="685">
        <v>15.583322947319999</v>
      </c>
      <c r="J22" s="685">
        <v>39.198725787999997</v>
      </c>
      <c r="K22" s="685">
        <v>54.782048735319997</v>
      </c>
      <c r="L22" s="686">
        <f t="shared" si="1"/>
        <v>0.28446038998305773</v>
      </c>
      <c r="M22" s="686">
        <f t="shared" si="2"/>
        <v>0.71553961001694233</v>
      </c>
      <c r="N22" s="685">
        <v>54.782048735319997</v>
      </c>
      <c r="U22" s="685">
        <v>54.774745450819999</v>
      </c>
      <c r="V22" s="685">
        <v>54.782048735319997</v>
      </c>
      <c r="W22" s="685"/>
      <c r="Z22" s="693">
        <v>46090</v>
      </c>
      <c r="AA22" s="690" t="s">
        <v>473</v>
      </c>
      <c r="AB22" s="690">
        <v>5879</v>
      </c>
      <c r="AC22" s="690">
        <v>4.1115274216</v>
      </c>
      <c r="AE22" s="684">
        <v>46098</v>
      </c>
      <c r="AF22" s="694">
        <v>288071</v>
      </c>
      <c r="AG22" s="694">
        <v>5586</v>
      </c>
      <c r="AH22" s="694">
        <v>293657</v>
      </c>
      <c r="AJ22" s="686">
        <f t="shared" si="3"/>
        <v>1.9022192557984315E-2</v>
      </c>
      <c r="AL22" s="690">
        <v>202603</v>
      </c>
      <c r="AM22" s="693">
        <v>46100</v>
      </c>
      <c r="AN22" s="694">
        <v>874964.44969272602</v>
      </c>
      <c r="AP22" s="685">
        <f t="shared" si="0"/>
        <v>0.87496444969272602</v>
      </c>
      <c r="AQ22" s="694">
        <v>2356</v>
      </c>
      <c r="AS22" s="693">
        <v>46122</v>
      </c>
      <c r="AT22" s="690" t="s">
        <v>473</v>
      </c>
      <c r="AU22" s="690">
        <v>5572</v>
      </c>
      <c r="AV22" s="690">
        <v>4.2753619895800004</v>
      </c>
      <c r="AX22" s="681">
        <v>46130</v>
      </c>
      <c r="AY22" s="682">
        <v>50.295489320340003</v>
      </c>
      <c r="AZ22" s="682">
        <v>4.2597163564200002</v>
      </c>
      <c r="BA22" s="682">
        <v>54.555205676760004</v>
      </c>
    </row>
    <row r="23" spans="3:53" ht="14.5">
      <c r="C23" s="693">
        <v>46122</v>
      </c>
      <c r="D23" s="690" t="s">
        <v>116</v>
      </c>
      <c r="E23" s="690">
        <v>231785</v>
      </c>
      <c r="F23" s="690">
        <v>40.618133128540002</v>
      </c>
      <c r="H23" s="684">
        <v>46130</v>
      </c>
      <c r="I23" s="685">
        <v>15.62578360462</v>
      </c>
      <c r="J23" s="685">
        <v>38.929422072139999</v>
      </c>
      <c r="K23" s="685">
        <v>54.555205676759996</v>
      </c>
      <c r="L23" s="686">
        <f t="shared" si="1"/>
        <v>0.28642149563513492</v>
      </c>
      <c r="M23" s="686">
        <f t="shared" si="2"/>
        <v>0.71357850436486514</v>
      </c>
      <c r="N23" s="685">
        <v>54.555205676759996</v>
      </c>
      <c r="U23" s="685">
        <v>54.542302193879998</v>
      </c>
      <c r="V23" s="685">
        <v>54.555205676759996</v>
      </c>
      <c r="W23" s="685"/>
      <c r="Z23" s="693">
        <v>46091</v>
      </c>
      <c r="AA23" s="690" t="s">
        <v>473</v>
      </c>
      <c r="AB23" s="690">
        <v>5564</v>
      </c>
      <c r="AC23" s="690">
        <v>3.8943914660800001</v>
      </c>
      <c r="AE23" s="684">
        <v>46099</v>
      </c>
      <c r="AF23" s="694">
        <v>281223</v>
      </c>
      <c r="AG23" s="694">
        <v>5754</v>
      </c>
      <c r="AH23" s="694">
        <v>286977</v>
      </c>
      <c r="AJ23" s="686">
        <f t="shared" si="3"/>
        <v>2.0050387313269007E-2</v>
      </c>
      <c r="AL23" s="690">
        <v>202603</v>
      </c>
      <c r="AM23" s="693">
        <v>46101</v>
      </c>
      <c r="AN23" s="694">
        <v>1068683.33026344</v>
      </c>
      <c r="AP23" s="685">
        <f t="shared" si="0"/>
        <v>1.06868333026344</v>
      </c>
      <c r="AQ23" s="694">
        <v>3012</v>
      </c>
      <c r="AS23" s="693">
        <v>46122</v>
      </c>
      <c r="AT23" s="690" t="s">
        <v>472</v>
      </c>
      <c r="AU23" s="690">
        <v>317132</v>
      </c>
      <c r="AV23" s="690">
        <v>53.632044881079999</v>
      </c>
      <c r="AX23" s="681">
        <v>46131</v>
      </c>
      <c r="AY23" s="682">
        <v>38.317670302240003</v>
      </c>
      <c r="AZ23" s="682">
        <v>3.0764531529600001</v>
      </c>
      <c r="BA23" s="682">
        <v>41.394123455200003</v>
      </c>
    </row>
    <row r="24" spans="3:53" ht="14.5">
      <c r="C24" s="693">
        <v>46122</v>
      </c>
      <c r="D24" s="690" t="s">
        <v>117</v>
      </c>
      <c r="E24" s="690">
        <v>90919</v>
      </c>
      <c r="F24" s="690">
        <v>17.289273742119999</v>
      </c>
      <c r="H24" s="684">
        <v>46131</v>
      </c>
      <c r="I24" s="685">
        <v>12.056112758039999</v>
      </c>
      <c r="J24" s="685">
        <v>29.338010697160001</v>
      </c>
      <c r="K24" s="685">
        <v>41.394123455200003</v>
      </c>
      <c r="L24" s="686">
        <f t="shared" si="1"/>
        <v>0.29125179498215681</v>
      </c>
      <c r="M24" s="686">
        <f t="shared" si="2"/>
        <v>0.70874820501784319</v>
      </c>
      <c r="N24" s="685">
        <v>41.394123455200003</v>
      </c>
      <c r="U24" s="685">
        <v>41.378934584500001</v>
      </c>
      <c r="V24" s="685">
        <v>41.394123455200003</v>
      </c>
      <c r="W24" s="685"/>
      <c r="Z24" s="693">
        <v>46091</v>
      </c>
      <c r="AA24" s="690" t="s">
        <v>472</v>
      </c>
      <c r="AB24" s="690">
        <v>275421</v>
      </c>
      <c r="AC24" s="690">
        <v>51.765212753679997</v>
      </c>
      <c r="AE24" s="684">
        <v>46100</v>
      </c>
      <c r="AF24" s="694">
        <v>286713</v>
      </c>
      <c r="AG24" s="694">
        <v>5638</v>
      </c>
      <c r="AH24" s="694">
        <v>292351</v>
      </c>
      <c r="AJ24" s="686">
        <f t="shared" si="3"/>
        <v>1.9285037506285255E-2</v>
      </c>
      <c r="AL24" s="690">
        <v>202603</v>
      </c>
      <c r="AM24" s="693">
        <v>46102</v>
      </c>
      <c r="AN24" s="694">
        <v>1174460.5795984</v>
      </c>
      <c r="AP24" s="685">
        <f t="shared" si="0"/>
        <v>1.1744605795984</v>
      </c>
      <c r="AQ24" s="694">
        <v>3871</v>
      </c>
      <c r="AS24" s="693">
        <v>46123</v>
      </c>
      <c r="AT24" s="690" t="s">
        <v>472</v>
      </c>
      <c r="AU24" s="690">
        <v>336942</v>
      </c>
      <c r="AV24" s="690">
        <v>48.25131223044</v>
      </c>
      <c r="AX24" s="681">
        <v>46132</v>
      </c>
      <c r="AY24" s="682">
        <v>73.111189949960007</v>
      </c>
      <c r="AZ24" s="682">
        <v>8.7532901772000002</v>
      </c>
      <c r="BA24" s="682">
        <v>81.864480127160007</v>
      </c>
    </row>
    <row r="25" spans="3:53" ht="14.5">
      <c r="C25" s="693">
        <v>46123</v>
      </c>
      <c r="D25" s="690" t="s">
        <v>116</v>
      </c>
      <c r="E25" s="690">
        <v>246744</v>
      </c>
      <c r="F25" s="690">
        <v>37.063175940839997</v>
      </c>
      <c r="H25" s="684">
        <v>46132</v>
      </c>
      <c r="I25" s="685">
        <v>24.93329168412</v>
      </c>
      <c r="J25" s="685">
        <v>56.93118844304</v>
      </c>
      <c r="K25" s="685">
        <v>81.864480127159993</v>
      </c>
      <c r="L25" s="686">
        <f t="shared" si="1"/>
        <v>0.30456788640679266</v>
      </c>
      <c r="M25" s="686">
        <f t="shared" si="2"/>
        <v>0.69543211359320745</v>
      </c>
      <c r="N25" s="685">
        <v>81.864480127159993</v>
      </c>
      <c r="U25" s="685">
        <v>81.713015823000006</v>
      </c>
      <c r="V25" s="685">
        <v>81.864480127159993</v>
      </c>
      <c r="W25" s="685"/>
      <c r="Z25" s="693">
        <v>46092</v>
      </c>
      <c r="AA25" s="690" t="s">
        <v>472</v>
      </c>
      <c r="AB25" s="690">
        <v>280717</v>
      </c>
      <c r="AC25" s="690">
        <v>51.374432695279999</v>
      </c>
      <c r="AE25" s="684">
        <v>46101</v>
      </c>
      <c r="AF25" s="694">
        <v>333390</v>
      </c>
      <c r="AG25" s="694">
        <v>5638</v>
      </c>
      <c r="AH25" s="694">
        <v>339028</v>
      </c>
      <c r="AJ25" s="686">
        <f t="shared" si="3"/>
        <v>1.6629894875939452E-2</v>
      </c>
      <c r="AL25" s="690">
        <v>202603</v>
      </c>
      <c r="AM25" s="693">
        <v>46103</v>
      </c>
      <c r="AN25" s="694">
        <v>895128.35069418</v>
      </c>
      <c r="AP25" s="685">
        <f t="shared" si="0"/>
        <v>0.89512835069417995</v>
      </c>
      <c r="AQ25" s="694">
        <v>3384</v>
      </c>
      <c r="AS25" s="693">
        <v>46123</v>
      </c>
      <c r="AT25" s="690" t="s">
        <v>473</v>
      </c>
      <c r="AU25" s="690">
        <v>6686</v>
      </c>
      <c r="AV25" s="690">
        <v>4.3444214456600001</v>
      </c>
      <c r="AX25" s="681">
        <v>46133</v>
      </c>
      <c r="AY25" s="682">
        <v>64.068913313590002</v>
      </c>
      <c r="AZ25" s="682">
        <v>8.1508850918700002</v>
      </c>
      <c r="BA25" s="682">
        <v>72.219798405459997</v>
      </c>
    </row>
    <row r="26" spans="3:53" ht="14.5">
      <c r="C26" s="693">
        <v>46123</v>
      </c>
      <c r="D26" s="690" t="s">
        <v>117</v>
      </c>
      <c r="E26" s="690">
        <v>96884</v>
      </c>
      <c r="F26" s="690">
        <v>15.532557735259999</v>
      </c>
      <c r="H26" s="684">
        <v>46133</v>
      </c>
      <c r="I26" s="685">
        <v>20.549527088920001</v>
      </c>
      <c r="J26" s="685">
        <v>51.670271316540003</v>
      </c>
      <c r="K26" s="685">
        <v>72.219798405460011</v>
      </c>
      <c r="L26" s="686">
        <f t="shared" si="1"/>
        <v>0.28454146290397847</v>
      </c>
      <c r="M26" s="686">
        <f t="shared" si="2"/>
        <v>0.71545853709602147</v>
      </c>
      <c r="N26" s="685">
        <v>72.219798405460011</v>
      </c>
      <c r="U26" s="685">
        <v>71.977618903549995</v>
      </c>
      <c r="V26" s="685">
        <v>72.219798405460011</v>
      </c>
      <c r="W26" s="685"/>
      <c r="Z26" s="693">
        <v>46092</v>
      </c>
      <c r="AA26" s="690" t="s">
        <v>473</v>
      </c>
      <c r="AB26" s="690">
        <v>5842</v>
      </c>
      <c r="AC26" s="690">
        <v>4.0446506187800004</v>
      </c>
      <c r="AE26" s="684">
        <v>46102</v>
      </c>
      <c r="AF26" s="694">
        <v>346292</v>
      </c>
      <c r="AG26" s="694">
        <v>7494</v>
      </c>
      <c r="AH26" s="694">
        <v>353786</v>
      </c>
      <c r="AJ26" s="686">
        <f t="shared" si="3"/>
        <v>2.1182296642603154E-2</v>
      </c>
      <c r="AL26" s="690">
        <v>202603</v>
      </c>
      <c r="AM26" s="693">
        <v>46104</v>
      </c>
      <c r="AN26" s="694">
        <v>1031161.95921195</v>
      </c>
      <c r="AP26" s="685">
        <f t="shared" si="0"/>
        <v>1.0311619592119499</v>
      </c>
      <c r="AQ26" s="694">
        <v>2717</v>
      </c>
      <c r="AS26" s="693">
        <v>46124</v>
      </c>
      <c r="AT26" s="690" t="s">
        <v>472</v>
      </c>
      <c r="AU26" s="690">
        <v>267046</v>
      </c>
      <c r="AV26" s="690">
        <v>30.818126618880001</v>
      </c>
      <c r="AX26" s="681">
        <v>46134</v>
      </c>
      <c r="AY26" s="682">
        <v>60.191406670399999</v>
      </c>
      <c r="AZ26" s="682">
        <v>8.6074123175999997</v>
      </c>
      <c r="BA26" s="682">
        <v>68.798818987999994</v>
      </c>
    </row>
    <row r="27" spans="3:53" ht="14.5">
      <c r="C27" s="693">
        <v>46124</v>
      </c>
      <c r="D27" s="690" t="s">
        <v>116</v>
      </c>
      <c r="E27" s="690">
        <v>194835</v>
      </c>
      <c r="F27" s="690">
        <v>23.647345499059998</v>
      </c>
      <c r="H27" s="684">
        <v>46134</v>
      </c>
      <c r="I27" s="685">
        <v>19.775120707599999</v>
      </c>
      <c r="J27" s="685">
        <v>49.023698280399998</v>
      </c>
      <c r="K27" s="685">
        <v>68.798818987999994</v>
      </c>
      <c r="L27" s="686">
        <f t="shared" si="1"/>
        <v>0.28743401410784697</v>
      </c>
      <c r="M27" s="686">
        <f t="shared" si="2"/>
        <v>0.71256598589215314</v>
      </c>
      <c r="N27" s="685">
        <v>68.798818987999994</v>
      </c>
      <c r="U27" s="685">
        <v>67.944454874000002</v>
      </c>
      <c r="V27" s="685">
        <v>68.798818987999994</v>
      </c>
      <c r="W27" s="685"/>
      <c r="Z27" s="693">
        <v>46093</v>
      </c>
      <c r="AA27" s="690" t="s">
        <v>472</v>
      </c>
      <c r="AB27" s="690">
        <v>281832</v>
      </c>
      <c r="AC27" s="690">
        <v>54.038921659000003</v>
      </c>
      <c r="AE27" s="684">
        <v>46103</v>
      </c>
      <c r="AF27" s="694">
        <v>308867</v>
      </c>
      <c r="AG27" s="694">
        <v>6798</v>
      </c>
      <c r="AH27" s="694">
        <v>315665</v>
      </c>
      <c r="AJ27" s="686">
        <f t="shared" si="3"/>
        <v>2.1535488571745361E-2</v>
      </c>
      <c r="AL27" s="690">
        <v>202603</v>
      </c>
      <c r="AM27" s="693">
        <v>46105</v>
      </c>
      <c r="AN27" s="694">
        <v>907827.46044993401</v>
      </c>
      <c r="AP27" s="685">
        <f t="shared" si="0"/>
        <v>0.90782746044993401</v>
      </c>
      <c r="AQ27" s="694">
        <v>2242</v>
      </c>
      <c r="AS27" s="693">
        <v>46124</v>
      </c>
      <c r="AT27" s="690" t="s">
        <v>473</v>
      </c>
      <c r="AU27" s="690">
        <v>4938</v>
      </c>
      <c r="AV27" s="690">
        <v>2.5691273023800001</v>
      </c>
      <c r="AX27" s="681">
        <v>46135</v>
      </c>
      <c r="AY27" s="682">
        <v>57.366504955179998</v>
      </c>
      <c r="AZ27" s="682">
        <v>8.8178707803599998</v>
      </c>
      <c r="BA27" s="682">
        <v>66.184375735540002</v>
      </c>
    </row>
    <row r="28" spans="3:53" ht="14.5">
      <c r="C28" s="693">
        <v>46124</v>
      </c>
      <c r="D28" s="690" t="s">
        <v>117</v>
      </c>
      <c r="E28" s="690">
        <v>77149</v>
      </c>
      <c r="F28" s="690">
        <v>9.7399084221999992</v>
      </c>
      <c r="H28" s="684">
        <v>46135</v>
      </c>
      <c r="I28" s="685">
        <v>16.841602646599998</v>
      </c>
      <c r="J28" s="685">
        <v>49.34277308894</v>
      </c>
      <c r="K28" s="685">
        <v>66.184375735540002</v>
      </c>
      <c r="L28" s="686">
        <f t="shared" si="1"/>
        <v>0.25446493163123263</v>
      </c>
      <c r="M28" s="686">
        <f t="shared" si="2"/>
        <v>0.74553506836876726</v>
      </c>
      <c r="N28" s="685">
        <f>J28/AVERAGE(M6:M27)</f>
        <v>69.750427033551759</v>
      </c>
      <c r="O28" s="685">
        <f>N28*AVERAGE(L6:L27)</f>
        <v>20.407653944611759</v>
      </c>
      <c r="P28" s="685">
        <f>J28</f>
        <v>49.34277308894</v>
      </c>
      <c r="R28" s="685">
        <f>O28-I28</f>
        <v>3.5660512980117609</v>
      </c>
      <c r="U28" s="685">
        <v>61.592235806266558</v>
      </c>
      <c r="V28" s="685">
        <v>69.750427033551759</v>
      </c>
      <c r="W28" s="685"/>
      <c r="Z28" s="693">
        <v>46093</v>
      </c>
      <c r="AA28" s="690" t="s">
        <v>473</v>
      </c>
      <c r="AB28" s="690">
        <v>5890</v>
      </c>
      <c r="AC28" s="690">
        <v>4.0853156499600001</v>
      </c>
      <c r="AE28" s="684">
        <v>46104</v>
      </c>
      <c r="AF28" s="694">
        <v>314193</v>
      </c>
      <c r="AG28" s="694">
        <v>6882</v>
      </c>
      <c r="AH28" s="694">
        <v>321075</v>
      </c>
      <c r="AJ28" s="686">
        <f t="shared" si="3"/>
        <v>2.1434244335435646E-2</v>
      </c>
      <c r="AL28" s="690">
        <v>202603</v>
      </c>
      <c r="AM28" s="693">
        <v>46106</v>
      </c>
      <c r="AN28" s="694">
        <v>795479.83959746396</v>
      </c>
      <c r="AP28" s="685">
        <f t="shared" si="0"/>
        <v>0.79547983959746393</v>
      </c>
      <c r="AQ28" s="694">
        <v>2052</v>
      </c>
      <c r="AS28" s="693">
        <v>46125</v>
      </c>
      <c r="AT28" s="690" t="s">
        <v>472</v>
      </c>
      <c r="AU28" s="690">
        <v>297815</v>
      </c>
      <c r="AV28" s="690">
        <v>52.138402042400003</v>
      </c>
      <c r="AX28" s="681">
        <v>46136</v>
      </c>
      <c r="AY28" s="682">
        <v>46.773008620470002</v>
      </c>
      <c r="AZ28" s="682">
        <v>3.73412148337</v>
      </c>
      <c r="BA28" s="682">
        <v>50.507130103839998</v>
      </c>
    </row>
    <row r="29" spans="3:53" ht="14.5">
      <c r="C29" s="693">
        <v>46125</v>
      </c>
      <c r="D29" s="690" t="s">
        <v>116</v>
      </c>
      <c r="E29" s="690">
        <v>218972</v>
      </c>
      <c r="F29" s="690">
        <v>40.280097654039999</v>
      </c>
      <c r="H29" s="684">
        <v>46136</v>
      </c>
      <c r="I29" s="685">
        <v>8.5553347288800001</v>
      </c>
      <c r="J29" s="685">
        <v>41.95179537496</v>
      </c>
      <c r="K29" s="685">
        <v>50.507130103839998</v>
      </c>
      <c r="L29" s="686">
        <f t="shared" si="1"/>
        <v>0.16938865287516203</v>
      </c>
      <c r="M29" s="686">
        <f t="shared" si="2"/>
        <v>0.83061134712483797</v>
      </c>
      <c r="N29" s="685">
        <f>J29/AVERAGE(M7:M28)</f>
        <v>59.142876868251683</v>
      </c>
      <c r="O29" s="685">
        <f>N29*AVERAGE(L7:L28)</f>
        <v>17.191081493291684</v>
      </c>
      <c r="P29" s="685">
        <f>J29</f>
        <v>41.95179537496</v>
      </c>
      <c r="R29" s="685">
        <f>O29-I29</f>
        <v>8.6357467644116834</v>
      </c>
      <c r="U29" s="685">
        <v>53.205825737352171</v>
      </c>
      <c r="V29" s="685">
        <v>59.142876868251683</v>
      </c>
      <c r="W29" s="685"/>
      <c r="Z29" s="693">
        <v>46094</v>
      </c>
      <c r="AA29" s="690" t="s">
        <v>472</v>
      </c>
      <c r="AB29" s="690">
        <v>312010</v>
      </c>
      <c r="AC29" s="690">
        <v>53.200415266</v>
      </c>
      <c r="AE29" s="684">
        <v>46105</v>
      </c>
      <c r="AF29" s="694">
        <v>278862</v>
      </c>
      <c r="AG29" s="694">
        <v>6160</v>
      </c>
      <c r="AH29" s="694">
        <v>285022</v>
      </c>
      <c r="AJ29" s="686">
        <f t="shared" si="3"/>
        <v>2.1612366764670796E-2</v>
      </c>
      <c r="AL29" s="690">
        <v>202603</v>
      </c>
      <c r="AM29" s="693">
        <v>46107</v>
      </c>
      <c r="AN29" s="694">
        <v>879281.28948521602</v>
      </c>
      <c r="AP29" s="685">
        <f t="shared" si="0"/>
        <v>0.879281289485216</v>
      </c>
      <c r="AQ29" s="694">
        <v>2508</v>
      </c>
      <c r="AS29" s="693">
        <v>46125</v>
      </c>
      <c r="AT29" s="690" t="s">
        <v>473</v>
      </c>
      <c r="AU29" s="690">
        <v>5559</v>
      </c>
      <c r="AV29" s="690">
        <v>3.8088286187399998</v>
      </c>
      <c r="AX29" s="681" t="s">
        <v>248</v>
      </c>
      <c r="AY29">
        <v>1242.3800605548502</v>
      </c>
      <c r="AZ29">
        <v>109.08346236797</v>
      </c>
      <c r="BA29">
        <v>1351.4635229228199</v>
      </c>
    </row>
    <row r="30" spans="3:53">
      <c r="C30" s="693">
        <v>46125</v>
      </c>
      <c r="D30" s="690" t="s">
        <v>117</v>
      </c>
      <c r="E30" s="690">
        <v>84402</v>
      </c>
      <c r="F30" s="690">
        <v>15.6671330071</v>
      </c>
      <c r="H30" s="684" t="s">
        <v>248</v>
      </c>
      <c r="I30" s="685">
        <v>386.85960205929996</v>
      </c>
      <c r="J30" s="685">
        <v>964.60392086352022</v>
      </c>
      <c r="K30" s="685">
        <v>1351.4635229228199</v>
      </c>
      <c r="N30" s="685">
        <f>SUM(N6:N29)</f>
        <v>1363.6653209852434</v>
      </c>
      <c r="R30" s="685">
        <f>SUM(R28:R29)</f>
        <v>12.201798062423444</v>
      </c>
      <c r="U30" s="685">
        <v>51.245969476134</v>
      </c>
      <c r="V30" s="685">
        <v>51.245969476134</v>
      </c>
      <c r="W30" s="685"/>
      <c r="Z30" s="693">
        <v>46094</v>
      </c>
      <c r="AA30" s="690" t="s">
        <v>473</v>
      </c>
      <c r="AB30" s="690">
        <v>5397</v>
      </c>
      <c r="AC30" s="690">
        <v>3.7036823475</v>
      </c>
      <c r="AE30" s="684">
        <v>46106</v>
      </c>
      <c r="AF30" s="694">
        <v>299466</v>
      </c>
      <c r="AG30" s="694">
        <v>6270</v>
      </c>
      <c r="AH30" s="694">
        <v>305736</v>
      </c>
      <c r="AJ30" s="686">
        <f t="shared" si="3"/>
        <v>2.0507889159274668E-2</v>
      </c>
      <c r="AL30" s="690">
        <v>202603</v>
      </c>
      <c r="AM30" s="693">
        <v>46108</v>
      </c>
      <c r="AN30" s="694">
        <v>1089117.1307737799</v>
      </c>
      <c r="AP30" s="685">
        <f t="shared" si="0"/>
        <v>1.0891171307737799</v>
      </c>
      <c r="AQ30" s="694">
        <v>2851</v>
      </c>
      <c r="AS30" s="693">
        <v>46126</v>
      </c>
      <c r="AT30" s="690" t="s">
        <v>473</v>
      </c>
      <c r="AU30" s="690">
        <v>5453</v>
      </c>
      <c r="AV30" s="690">
        <v>3.4949011953800002</v>
      </c>
    </row>
    <row r="31" spans="3:53">
      <c r="C31" s="693">
        <v>46126</v>
      </c>
      <c r="D31" s="690" t="s">
        <v>117</v>
      </c>
      <c r="E31" s="690">
        <v>85231</v>
      </c>
      <c r="F31" s="690">
        <v>16.602013127239999</v>
      </c>
      <c r="U31" s="685">
        <v>41.229989817027523</v>
      </c>
      <c r="V31" s="685">
        <v>41.229989817027523</v>
      </c>
      <c r="W31" s="685"/>
      <c r="Z31" s="693">
        <v>46095</v>
      </c>
      <c r="AA31" s="690" t="s">
        <v>472</v>
      </c>
      <c r="AB31" s="690">
        <v>330336</v>
      </c>
      <c r="AC31" s="690">
        <v>48.795833578500002</v>
      </c>
      <c r="AE31" s="684">
        <v>46107</v>
      </c>
      <c r="AF31" s="694">
        <v>286686</v>
      </c>
      <c r="AG31" s="694">
        <v>6022</v>
      </c>
      <c r="AH31" s="694">
        <v>292708</v>
      </c>
      <c r="AJ31" s="686">
        <f t="shared" si="3"/>
        <v>2.0573404211705865E-2</v>
      </c>
      <c r="AL31" s="690">
        <v>202603</v>
      </c>
      <c r="AM31" s="693">
        <v>46109</v>
      </c>
      <c r="AN31" s="694">
        <v>1130981.1006821401</v>
      </c>
      <c r="AP31" s="685">
        <f t="shared" si="0"/>
        <v>1.1309811006821402</v>
      </c>
      <c r="AQ31" s="694">
        <v>3594</v>
      </c>
      <c r="AS31" s="693">
        <v>46126</v>
      </c>
      <c r="AT31" s="690" t="s">
        <v>472</v>
      </c>
      <c r="AU31" s="690">
        <v>297062</v>
      </c>
      <c r="AV31" s="690">
        <v>53.833463417579999</v>
      </c>
    </row>
    <row r="32" spans="3:53">
      <c r="C32" s="693">
        <v>46126</v>
      </c>
      <c r="D32" s="690" t="s">
        <v>116</v>
      </c>
      <c r="E32" s="690">
        <v>217284</v>
      </c>
      <c r="F32" s="690">
        <v>40.726351485720002</v>
      </c>
      <c r="G32" s="683"/>
      <c r="H32" s="683" t="s">
        <v>103</v>
      </c>
      <c r="I32" s="683" t="s">
        <v>117</v>
      </c>
      <c r="J32" s="683" t="s">
        <v>116</v>
      </c>
      <c r="K32" s="683" t="s">
        <v>454</v>
      </c>
      <c r="L32" s="683" t="s">
        <v>467</v>
      </c>
      <c r="M32" s="683" t="s">
        <v>468</v>
      </c>
      <c r="U32" s="685">
        <v>55.875927750067703</v>
      </c>
      <c r="V32" s="685">
        <v>55.875927750067703</v>
      </c>
      <c r="W32" s="685"/>
      <c r="Z32" s="693">
        <v>46095</v>
      </c>
      <c r="AA32" s="690" t="s">
        <v>473</v>
      </c>
      <c r="AB32" s="690">
        <v>6750</v>
      </c>
      <c r="AC32" s="690">
        <v>4.091482515</v>
      </c>
      <c r="AE32" s="684">
        <v>46108</v>
      </c>
      <c r="AF32" s="694">
        <v>317642</v>
      </c>
      <c r="AG32" s="694">
        <v>6453</v>
      </c>
      <c r="AH32" s="694">
        <v>324095</v>
      </c>
      <c r="AJ32" s="686">
        <f t="shared" si="3"/>
        <v>1.9910828615066569E-2</v>
      </c>
      <c r="AL32" s="690">
        <v>202603</v>
      </c>
      <c r="AM32" s="693">
        <v>46110</v>
      </c>
      <c r="AN32" s="694">
        <v>743750.61007440102</v>
      </c>
      <c r="AP32" s="685">
        <f t="shared" si="0"/>
        <v>0.74375061007440102</v>
      </c>
      <c r="AQ32" s="694">
        <v>2914</v>
      </c>
      <c r="AS32" s="693">
        <v>46127</v>
      </c>
      <c r="AT32" s="690" t="s">
        <v>472</v>
      </c>
      <c r="AU32" s="690">
        <v>300975</v>
      </c>
      <c r="AV32" s="690">
        <v>59.862621864559998</v>
      </c>
    </row>
    <row r="33" spans="3:48">
      <c r="C33" s="693">
        <v>46127</v>
      </c>
      <c r="D33" s="690" t="s">
        <v>117</v>
      </c>
      <c r="E33" s="690">
        <v>86221</v>
      </c>
      <c r="F33" s="690">
        <v>19.204316215550001</v>
      </c>
      <c r="H33" s="684">
        <v>46134</v>
      </c>
      <c r="I33" s="687">
        <v>19.775120707599999</v>
      </c>
      <c r="J33" s="687">
        <v>49.023698280399998</v>
      </c>
      <c r="K33" s="687">
        <v>68.798818987999994</v>
      </c>
      <c r="L33" s="688">
        <f t="shared" ref="L33:L35" si="4">I33/$K$6</f>
        <v>0.28474877167684631</v>
      </c>
      <c r="M33" s="688">
        <f t="shared" ref="M33:M35" si="5">J33/$K$6</f>
        <v>0.70590911048322014</v>
      </c>
      <c r="U33" s="685">
        <v>58.507266025187583</v>
      </c>
      <c r="V33" s="685">
        <v>58.507266025187583</v>
      </c>
      <c r="W33" s="685"/>
      <c r="Z33" s="693">
        <v>46096</v>
      </c>
      <c r="AA33" s="690" t="s">
        <v>472</v>
      </c>
      <c r="AB33" s="690">
        <v>296859</v>
      </c>
      <c r="AC33" s="690">
        <v>37.706395682999997</v>
      </c>
      <c r="AE33" s="684">
        <v>46109</v>
      </c>
      <c r="AF33" s="694">
        <v>358355</v>
      </c>
      <c r="AG33" s="694">
        <v>7217</v>
      </c>
      <c r="AH33" s="694">
        <v>365572</v>
      </c>
      <c r="AJ33" s="686">
        <f t="shared" si="3"/>
        <v>1.9741665116584421E-2</v>
      </c>
      <c r="AL33" s="690">
        <v>202603</v>
      </c>
      <c r="AM33" s="693">
        <v>46111</v>
      </c>
      <c r="AN33" s="694">
        <v>1046804.63942349</v>
      </c>
      <c r="AP33" s="685">
        <f t="shared" si="0"/>
        <v>1.04680463942349</v>
      </c>
      <c r="AQ33" s="694">
        <v>2459</v>
      </c>
      <c r="AS33" s="693">
        <v>46127</v>
      </c>
      <c r="AT33" s="690" t="s">
        <v>473</v>
      </c>
      <c r="AU33" s="690">
        <v>6376</v>
      </c>
      <c r="AV33" s="690">
        <v>4.25710404304</v>
      </c>
    </row>
    <row r="34" spans="3:48">
      <c r="C34" s="693">
        <v>46127</v>
      </c>
      <c r="D34" s="690" t="s">
        <v>116</v>
      </c>
      <c r="E34" s="690">
        <v>221130</v>
      </c>
      <c r="F34" s="690">
        <v>44.915409692049998</v>
      </c>
      <c r="H34" s="684">
        <v>46135</v>
      </c>
      <c r="I34" s="687">
        <v>16.841602646599998</v>
      </c>
      <c r="J34" s="687">
        <v>49.34277308894</v>
      </c>
      <c r="K34" s="687">
        <v>66.184375735540002</v>
      </c>
      <c r="L34" s="688">
        <f t="shared" si="4"/>
        <v>0.24250803510118718</v>
      </c>
      <c r="M34" s="688">
        <f t="shared" si="5"/>
        <v>0.71050357850939372</v>
      </c>
      <c r="U34" s="685">
        <v>57.788224166952673</v>
      </c>
      <c r="V34" s="685">
        <v>57.788224166952673</v>
      </c>
      <c r="W34" s="685"/>
      <c r="Z34" s="693">
        <v>46096</v>
      </c>
      <c r="AA34" s="690" t="s">
        <v>473</v>
      </c>
      <c r="AB34" s="690">
        <v>6281</v>
      </c>
      <c r="AC34" s="690">
        <v>3.4631623275000001</v>
      </c>
      <c r="AE34" s="684">
        <v>46110</v>
      </c>
      <c r="AF34" s="694">
        <v>304676</v>
      </c>
      <c r="AG34" s="694">
        <v>6379</v>
      </c>
      <c r="AH34" s="694">
        <v>311055</v>
      </c>
      <c r="AJ34" s="686">
        <f t="shared" si="3"/>
        <v>2.0507627268489495E-2</v>
      </c>
      <c r="AL34" s="690">
        <v>202603</v>
      </c>
      <c r="AM34" s="693">
        <v>46112</v>
      </c>
      <c r="AN34" s="694">
        <v>1124632.5601971101</v>
      </c>
      <c r="AP34" s="685">
        <f t="shared" si="0"/>
        <v>1.1246325601971101</v>
      </c>
      <c r="AQ34" s="694">
        <v>2393</v>
      </c>
      <c r="AS34" s="693">
        <v>46128</v>
      </c>
      <c r="AT34" s="690" t="s">
        <v>472</v>
      </c>
      <c r="AU34" s="690">
        <v>301786</v>
      </c>
      <c r="AV34" s="690">
        <v>52.863929420719998</v>
      </c>
    </row>
    <row r="35" spans="3:48">
      <c r="C35" s="693">
        <v>46128</v>
      </c>
      <c r="D35" s="690" t="s">
        <v>116</v>
      </c>
      <c r="E35" s="690">
        <v>221502</v>
      </c>
      <c r="F35" s="690">
        <v>40.849398107360003</v>
      </c>
      <c r="H35" s="684">
        <v>46136</v>
      </c>
      <c r="I35" s="687">
        <v>8.5553347288800001</v>
      </c>
      <c r="J35" s="687">
        <v>41.95179537496</v>
      </c>
      <c r="K35" s="687">
        <v>50.507130103839998</v>
      </c>
      <c r="L35" s="688">
        <f t="shared" si="4"/>
        <v>0.12319121037762323</v>
      </c>
      <c r="M35" s="688">
        <f t="shared" si="5"/>
        <v>0.60407834567944096</v>
      </c>
      <c r="U35" s="685">
        <v>63.29662013537471</v>
      </c>
      <c r="V35" s="685">
        <v>63.29662013537471</v>
      </c>
      <c r="W35" s="685"/>
      <c r="Z35" s="693">
        <v>46097</v>
      </c>
      <c r="AA35" s="690" t="s">
        <v>472</v>
      </c>
      <c r="AB35" s="690">
        <v>285753</v>
      </c>
      <c r="AC35" s="690">
        <v>52.803579968800001</v>
      </c>
      <c r="AE35" s="684">
        <v>46111</v>
      </c>
      <c r="AF35" s="694">
        <v>305172</v>
      </c>
      <c r="AG35" s="694">
        <v>6132</v>
      </c>
      <c r="AH35" s="694">
        <v>311304</v>
      </c>
      <c r="AJ35" s="686">
        <f t="shared" si="3"/>
        <v>1.9697787371829464E-2</v>
      </c>
      <c r="AS35" s="693">
        <v>46128</v>
      </c>
      <c r="AT35" s="690" t="s">
        <v>473</v>
      </c>
      <c r="AU35" s="690">
        <v>5992</v>
      </c>
      <c r="AV35" s="690">
        <v>4.08376142912</v>
      </c>
    </row>
    <row r="36" spans="3:48">
      <c r="C36" s="693">
        <v>46128</v>
      </c>
      <c r="D36" s="690" t="s">
        <v>117</v>
      </c>
      <c r="E36" s="690">
        <v>86276</v>
      </c>
      <c r="F36" s="690">
        <v>16.098292742480002</v>
      </c>
      <c r="U36" s="685">
        <f>SUM(U6:U35)</f>
        <v>1676.2151453239928</v>
      </c>
      <c r="V36" s="685">
        <f>SUM(V6:V35)</f>
        <v>1691.6093183559874</v>
      </c>
      <c r="W36" s="685"/>
      <c r="Z36" s="693">
        <v>46097</v>
      </c>
      <c r="AA36" s="690" t="s">
        <v>473</v>
      </c>
      <c r="AB36" s="690">
        <v>5821</v>
      </c>
      <c r="AC36" s="690">
        <v>3.9145046919199999</v>
      </c>
      <c r="AE36" s="684">
        <v>46112</v>
      </c>
      <c r="AF36" s="694">
        <v>301614</v>
      </c>
      <c r="AG36" s="694">
        <v>5751</v>
      </c>
      <c r="AH36" s="694">
        <v>307365</v>
      </c>
      <c r="AJ36" s="686">
        <f t="shared" si="3"/>
        <v>1.871065345761554E-2</v>
      </c>
      <c r="AQ36" s="694">
        <f>SUM(AQ4:AQ34)</f>
        <v>96781</v>
      </c>
      <c r="AS36" s="693">
        <v>46129</v>
      </c>
      <c r="AT36" s="690" t="s">
        <v>473</v>
      </c>
      <c r="AU36" s="690">
        <v>5573</v>
      </c>
      <c r="AV36" s="690">
        <v>3.37602802938</v>
      </c>
    </row>
    <row r="37" spans="3:48">
      <c r="C37" s="693">
        <v>46129</v>
      </c>
      <c r="D37" s="690" t="s">
        <v>117</v>
      </c>
      <c r="E37" s="690">
        <v>90016</v>
      </c>
      <c r="F37" s="690">
        <v>15.583322947319999</v>
      </c>
      <c r="U37" s="685"/>
      <c r="Z37" s="693">
        <v>46098</v>
      </c>
      <c r="AA37" s="690" t="s">
        <v>472</v>
      </c>
      <c r="AB37" s="690">
        <v>288071</v>
      </c>
      <c r="AC37" s="690">
        <v>50.796360496319998</v>
      </c>
      <c r="AE37" s="684" t="s">
        <v>248</v>
      </c>
      <c r="AF37" s="694">
        <v>9519812</v>
      </c>
      <c r="AG37" s="694">
        <v>193701</v>
      </c>
      <c r="AH37" s="694">
        <v>9713513</v>
      </c>
      <c r="AS37" s="693">
        <v>46129</v>
      </c>
      <c r="AT37" s="690" t="s">
        <v>472</v>
      </c>
      <c r="AU37" s="690">
        <v>312734</v>
      </c>
      <c r="AV37" s="690">
        <v>51.406020705940001</v>
      </c>
    </row>
    <row r="38" spans="3:48">
      <c r="C38" s="693">
        <v>46129</v>
      </c>
      <c r="D38" s="690" t="s">
        <v>116</v>
      </c>
      <c r="E38" s="690">
        <v>228291</v>
      </c>
      <c r="F38" s="690">
        <v>39.198725787999997</v>
      </c>
      <c r="Z38" s="693">
        <v>46098</v>
      </c>
      <c r="AA38" s="690" t="s">
        <v>473</v>
      </c>
      <c r="AB38" s="690">
        <v>5586</v>
      </c>
      <c r="AC38" s="690">
        <v>4.0414716561999997</v>
      </c>
      <c r="AS38" s="693">
        <v>46130</v>
      </c>
      <c r="AT38" s="690" t="s">
        <v>472</v>
      </c>
      <c r="AU38" s="690">
        <v>352795</v>
      </c>
      <c r="AV38" s="690">
        <v>50.295489320340003</v>
      </c>
    </row>
    <row r="39" spans="3:48">
      <c r="C39" s="693">
        <v>46130</v>
      </c>
      <c r="D39" s="690" t="s">
        <v>116</v>
      </c>
      <c r="E39" s="690">
        <v>258171</v>
      </c>
      <c r="F39" s="690">
        <v>38.929422072139999</v>
      </c>
      <c r="Z39" s="693">
        <v>46099</v>
      </c>
      <c r="AA39" s="690" t="s">
        <v>473</v>
      </c>
      <c r="AB39" s="690">
        <v>5754</v>
      </c>
      <c r="AC39" s="690">
        <v>3.8287983190600001</v>
      </c>
      <c r="AS39" s="693">
        <v>46130</v>
      </c>
      <c r="AT39" s="690" t="s">
        <v>473</v>
      </c>
      <c r="AU39" s="690">
        <v>6997</v>
      </c>
      <c r="AV39" s="690">
        <v>4.2597163564200002</v>
      </c>
    </row>
    <row r="40" spans="3:48">
      <c r="C40" s="693">
        <v>46130</v>
      </c>
      <c r="D40" s="690" t="s">
        <v>117</v>
      </c>
      <c r="E40" s="690">
        <v>101621</v>
      </c>
      <c r="F40" s="690">
        <v>15.62578360462</v>
      </c>
      <c r="Z40" s="693">
        <v>46099</v>
      </c>
      <c r="AA40" s="690" t="s">
        <v>472</v>
      </c>
      <c r="AB40" s="690">
        <v>281223</v>
      </c>
      <c r="AC40" s="690">
        <v>51.159747561259998</v>
      </c>
      <c r="AS40" s="693">
        <v>46131</v>
      </c>
      <c r="AT40" s="690" t="s">
        <v>472</v>
      </c>
      <c r="AU40" s="690">
        <v>312898</v>
      </c>
      <c r="AV40" s="690">
        <v>38.317670302240003</v>
      </c>
    </row>
    <row r="41" spans="3:48">
      <c r="C41" s="693">
        <v>46131</v>
      </c>
      <c r="D41" s="690" t="s">
        <v>117</v>
      </c>
      <c r="E41" s="690">
        <v>91362</v>
      </c>
      <c r="F41" s="690">
        <v>12.056112758039999</v>
      </c>
      <c r="Z41" s="693">
        <v>46100</v>
      </c>
      <c r="AA41" s="690" t="s">
        <v>473</v>
      </c>
      <c r="AB41" s="690">
        <v>5638</v>
      </c>
      <c r="AC41" s="690">
        <v>3.9668851914999999</v>
      </c>
      <c r="AS41" s="693">
        <v>46131</v>
      </c>
      <c r="AT41" s="690" t="s">
        <v>473</v>
      </c>
      <c r="AU41" s="690">
        <v>6085</v>
      </c>
      <c r="AV41" s="690">
        <v>3.0764531529600001</v>
      </c>
    </row>
    <row r="42" spans="3:48">
      <c r="C42" s="693">
        <v>46131</v>
      </c>
      <c r="D42" s="690" t="s">
        <v>116</v>
      </c>
      <c r="E42" s="690">
        <v>227621</v>
      </c>
      <c r="F42" s="690">
        <v>29.338010697160001</v>
      </c>
      <c r="Z42" s="693">
        <v>46100</v>
      </c>
      <c r="AA42" s="690" t="s">
        <v>472</v>
      </c>
      <c r="AB42" s="690">
        <v>286713</v>
      </c>
      <c r="AC42" s="690">
        <v>51.694042889000002</v>
      </c>
      <c r="AS42" s="693">
        <v>46132</v>
      </c>
      <c r="AT42" s="690" t="s">
        <v>472</v>
      </c>
      <c r="AU42" s="690">
        <v>355084</v>
      </c>
      <c r="AV42" s="690">
        <v>73.111189949960007</v>
      </c>
    </row>
    <row r="43" spans="3:48">
      <c r="C43" s="693">
        <v>46132</v>
      </c>
      <c r="D43" s="690" t="s">
        <v>117</v>
      </c>
      <c r="E43" s="690">
        <v>103324</v>
      </c>
      <c r="F43" s="690">
        <v>24.93329168412</v>
      </c>
      <c r="Z43" s="693">
        <v>46101</v>
      </c>
      <c r="AA43" s="690" t="s">
        <v>472</v>
      </c>
      <c r="AB43" s="690">
        <v>333390</v>
      </c>
      <c r="AC43" s="690">
        <v>61.113512519179999</v>
      </c>
      <c r="AS43" s="693">
        <v>46132</v>
      </c>
      <c r="AT43" s="690" t="s">
        <v>473</v>
      </c>
      <c r="AU43" s="690">
        <v>9622</v>
      </c>
      <c r="AV43" s="690">
        <v>8.7532901772000002</v>
      </c>
    </row>
    <row r="44" spans="3:48">
      <c r="C44" s="693">
        <v>46132</v>
      </c>
      <c r="D44" s="690" t="s">
        <v>116</v>
      </c>
      <c r="E44" s="690">
        <v>261382</v>
      </c>
      <c r="F44" s="690">
        <v>56.93118844304</v>
      </c>
      <c r="Z44" s="693">
        <v>46101</v>
      </c>
      <c r="AA44" s="690" t="s">
        <v>473</v>
      </c>
      <c r="AB44" s="690">
        <v>5638</v>
      </c>
      <c r="AC44" s="690">
        <v>4.0303169616399996</v>
      </c>
      <c r="AS44" s="693">
        <v>46133</v>
      </c>
      <c r="AT44" s="690" t="s">
        <v>472</v>
      </c>
      <c r="AU44" s="690">
        <v>328922</v>
      </c>
      <c r="AV44" s="690">
        <v>64.068913313590002</v>
      </c>
    </row>
    <row r="45" spans="3:48">
      <c r="C45" s="693">
        <v>46133</v>
      </c>
      <c r="D45" s="690" t="s">
        <v>116</v>
      </c>
      <c r="E45" s="690">
        <v>243818</v>
      </c>
      <c r="F45" s="690">
        <v>51.670271316540003</v>
      </c>
      <c r="Z45" s="693">
        <v>46102</v>
      </c>
      <c r="AA45" s="690" t="s">
        <v>472</v>
      </c>
      <c r="AB45" s="690">
        <v>346292</v>
      </c>
      <c r="AC45" s="690">
        <v>49.297532500350002</v>
      </c>
      <c r="AS45" s="693">
        <v>46133</v>
      </c>
      <c r="AT45" s="690" t="s">
        <v>473</v>
      </c>
      <c r="AU45" s="690">
        <v>8938</v>
      </c>
      <c r="AV45" s="690">
        <v>8.1508850918700002</v>
      </c>
    </row>
    <row r="46" spans="3:48">
      <c r="C46" s="693">
        <v>46133</v>
      </c>
      <c r="D46" s="690" t="s">
        <v>117</v>
      </c>
      <c r="E46" s="690">
        <v>94042</v>
      </c>
      <c r="F46" s="690">
        <v>20.549527088920001</v>
      </c>
      <c r="Z46" s="693">
        <v>46102</v>
      </c>
      <c r="AA46" s="690" t="s">
        <v>473</v>
      </c>
      <c r="AB46" s="690">
        <v>7494</v>
      </c>
      <c r="AC46" s="690">
        <v>5.2358751291800001</v>
      </c>
      <c r="AS46" s="693">
        <v>46134</v>
      </c>
      <c r="AT46" s="690" t="s">
        <v>473</v>
      </c>
      <c r="AU46" s="690">
        <v>9333</v>
      </c>
      <c r="AV46" s="690">
        <v>8.6074123175999997</v>
      </c>
    </row>
    <row r="47" spans="3:48">
      <c r="C47" s="693">
        <v>46134</v>
      </c>
      <c r="D47" s="690" t="s">
        <v>116</v>
      </c>
      <c r="E47" s="690">
        <v>235845</v>
      </c>
      <c r="F47" s="690">
        <v>49.023698280399998</v>
      </c>
      <c r="Z47" s="693">
        <v>46103</v>
      </c>
      <c r="AA47" s="690" t="s">
        <v>473</v>
      </c>
      <c r="AB47" s="690">
        <v>6798</v>
      </c>
      <c r="AC47" s="690">
        <v>4.1395312665499997</v>
      </c>
      <c r="AS47" s="693">
        <v>46134</v>
      </c>
      <c r="AT47" s="690" t="s">
        <v>472</v>
      </c>
      <c r="AU47" s="690">
        <v>317238</v>
      </c>
      <c r="AV47" s="690">
        <v>60.191406670399999</v>
      </c>
    </row>
    <row r="48" spans="3:48">
      <c r="C48" s="693">
        <v>46134</v>
      </c>
      <c r="D48" s="690" t="s">
        <v>117</v>
      </c>
      <c r="E48" s="690">
        <v>90726</v>
      </c>
      <c r="F48" s="690">
        <v>19.775120707599999</v>
      </c>
      <c r="Z48" s="693">
        <v>46103</v>
      </c>
      <c r="AA48" s="690" t="s">
        <v>472</v>
      </c>
      <c r="AB48" s="690">
        <v>308867</v>
      </c>
      <c r="AC48" s="690">
        <v>38.270861592099997</v>
      </c>
      <c r="AS48" s="693">
        <v>46135</v>
      </c>
      <c r="AT48" s="690" t="s">
        <v>473</v>
      </c>
      <c r="AU48" s="690">
        <v>9397</v>
      </c>
      <c r="AV48" s="690">
        <v>8.8178707803599998</v>
      </c>
    </row>
    <row r="49" spans="3:48">
      <c r="C49" s="693">
        <v>46135</v>
      </c>
      <c r="D49" s="690" t="s">
        <v>117</v>
      </c>
      <c r="E49" s="690">
        <v>72988</v>
      </c>
      <c r="F49" s="690">
        <v>16.841602646599998</v>
      </c>
      <c r="Z49" s="693">
        <v>46104</v>
      </c>
      <c r="AA49" s="690" t="s">
        <v>473</v>
      </c>
      <c r="AB49" s="690">
        <v>6882</v>
      </c>
      <c r="AC49" s="690">
        <v>5.2456201258200004</v>
      </c>
      <c r="AS49" s="693">
        <v>46135</v>
      </c>
      <c r="AT49" s="690" t="s">
        <v>472</v>
      </c>
      <c r="AU49" s="690">
        <v>298067</v>
      </c>
      <c r="AV49" s="690">
        <v>57.366504955179998</v>
      </c>
    </row>
    <row r="50" spans="3:48">
      <c r="C50" s="693">
        <v>46135</v>
      </c>
      <c r="D50" s="690" t="s">
        <v>116</v>
      </c>
      <c r="E50" s="690">
        <v>234476</v>
      </c>
      <c r="F50" s="690">
        <v>49.34277308894</v>
      </c>
      <c r="Z50" s="693">
        <v>46104</v>
      </c>
      <c r="AA50" s="690" t="s">
        <v>472</v>
      </c>
      <c r="AB50" s="690">
        <v>314193</v>
      </c>
      <c r="AC50" s="690">
        <v>56.773568151139997</v>
      </c>
      <c r="AS50" s="693">
        <v>46136</v>
      </c>
      <c r="AT50" s="690" t="s">
        <v>473</v>
      </c>
      <c r="AU50" s="690">
        <v>5450</v>
      </c>
      <c r="AV50" s="690">
        <v>3.73412148337</v>
      </c>
    </row>
    <row r="51" spans="3:48">
      <c r="C51" s="693">
        <v>46136</v>
      </c>
      <c r="D51" s="690" t="s">
        <v>117</v>
      </c>
      <c r="E51" s="690">
        <v>44177</v>
      </c>
      <c r="F51" s="690">
        <v>8.5553347288800001</v>
      </c>
      <c r="Z51" s="693">
        <v>46105</v>
      </c>
      <c r="AA51" s="690" t="s">
        <v>472</v>
      </c>
      <c r="AB51" s="690">
        <v>278862</v>
      </c>
      <c r="AC51" s="690">
        <v>50.958626702799997</v>
      </c>
      <c r="AS51" s="693">
        <v>46136</v>
      </c>
      <c r="AT51" s="690" t="s">
        <v>472</v>
      </c>
      <c r="AU51" s="690">
        <v>282983</v>
      </c>
      <c r="AV51" s="690">
        <v>46.773008620470002</v>
      </c>
    </row>
    <row r="52" spans="3:48">
      <c r="C52" s="693">
        <v>46136</v>
      </c>
      <c r="D52" s="690" t="s">
        <v>116</v>
      </c>
      <c r="E52" s="690">
        <v>244256</v>
      </c>
      <c r="F52" s="690">
        <v>41.95179537496</v>
      </c>
      <c r="Z52" s="693">
        <v>46105</v>
      </c>
      <c r="AA52" s="690" t="s">
        <v>473</v>
      </c>
      <c r="AB52" s="690">
        <v>6160</v>
      </c>
      <c r="AC52" s="690">
        <v>4.7340453289999997</v>
      </c>
    </row>
    <row r="53" spans="3:48">
      <c r="Z53" s="693">
        <v>46106</v>
      </c>
      <c r="AA53" s="690" t="s">
        <v>473</v>
      </c>
      <c r="AB53" s="690">
        <v>6270</v>
      </c>
      <c r="AC53" s="690">
        <v>4.8457542085599998</v>
      </c>
    </row>
    <row r="54" spans="3:48">
      <c r="Z54" s="693">
        <v>46106</v>
      </c>
      <c r="AA54" s="690" t="s">
        <v>472</v>
      </c>
      <c r="AB54" s="690">
        <v>299466</v>
      </c>
      <c r="AC54" s="690">
        <v>50.114492368199997</v>
      </c>
    </row>
    <row r="55" spans="3:48">
      <c r="Z55" s="693">
        <v>46107</v>
      </c>
      <c r="AA55" s="690" t="s">
        <v>473</v>
      </c>
      <c r="AB55" s="690">
        <v>6022</v>
      </c>
      <c r="AC55" s="690">
        <v>4.2613315254600002</v>
      </c>
    </row>
    <row r="56" spans="3:48">
      <c r="Z56" s="693">
        <v>46107</v>
      </c>
      <c r="AA56" s="690" t="s">
        <v>472</v>
      </c>
      <c r="AB56" s="690">
        <v>286686</v>
      </c>
      <c r="AC56" s="690">
        <v>48.273123154719997</v>
      </c>
    </row>
    <row r="57" spans="3:48">
      <c r="Z57" s="693">
        <v>46108</v>
      </c>
      <c r="AA57" s="690" t="s">
        <v>472</v>
      </c>
      <c r="AB57" s="690">
        <v>317642</v>
      </c>
      <c r="AC57" s="690">
        <v>56.217989811080002</v>
      </c>
    </row>
    <row r="58" spans="3:48">
      <c r="Z58" s="693">
        <v>46108</v>
      </c>
      <c r="AA58" s="690" t="s">
        <v>473</v>
      </c>
      <c r="AB58" s="690">
        <v>6453</v>
      </c>
      <c r="AC58" s="690">
        <v>5.08586306696</v>
      </c>
    </row>
    <row r="59" spans="3:48">
      <c r="Z59" s="693">
        <v>46109</v>
      </c>
      <c r="AA59" s="690" t="s">
        <v>472</v>
      </c>
      <c r="AB59" s="690">
        <v>358355</v>
      </c>
      <c r="AC59" s="690">
        <v>50.597498088599998</v>
      </c>
    </row>
    <row r="60" spans="3:48">
      <c r="Z60" s="693">
        <v>46109</v>
      </c>
      <c r="AA60" s="690" t="s">
        <v>473</v>
      </c>
      <c r="AB60" s="690">
        <v>7217</v>
      </c>
      <c r="AC60" s="690">
        <v>5.2356002517600002</v>
      </c>
    </row>
    <row r="61" spans="3:48">
      <c r="Z61" s="693">
        <v>46110</v>
      </c>
      <c r="AA61" s="690" t="s">
        <v>472</v>
      </c>
      <c r="AB61" s="690">
        <v>304676</v>
      </c>
      <c r="AC61" s="690">
        <v>37.980387403400002</v>
      </c>
    </row>
    <row r="62" spans="3:48">
      <c r="Z62" s="693">
        <v>46110</v>
      </c>
      <c r="AA62" s="690" t="s">
        <v>473</v>
      </c>
      <c r="AB62" s="690">
        <v>6379</v>
      </c>
      <c r="AC62" s="690">
        <v>4.2670438402800004</v>
      </c>
    </row>
    <row r="63" spans="3:48">
      <c r="Z63" s="693">
        <v>46111</v>
      </c>
      <c r="AA63" s="690" t="s">
        <v>472</v>
      </c>
      <c r="AB63" s="690">
        <v>305172</v>
      </c>
      <c r="AC63" s="690">
        <v>58.519331319119999</v>
      </c>
    </row>
    <row r="64" spans="3:48">
      <c r="Z64" s="693">
        <v>46111</v>
      </c>
      <c r="AA64" s="690" t="s">
        <v>473</v>
      </c>
      <c r="AB64" s="690">
        <v>6132</v>
      </c>
      <c r="AC64" s="690">
        <v>4.4975846452799999</v>
      </c>
    </row>
    <row r="65" spans="26:29">
      <c r="Z65" s="693">
        <v>46112</v>
      </c>
      <c r="AA65" s="690" t="s">
        <v>472</v>
      </c>
      <c r="AB65" s="690">
        <v>301614</v>
      </c>
      <c r="AC65" s="690">
        <v>63.147861439609997</v>
      </c>
    </row>
    <row r="66" spans="26:29">
      <c r="Z66" s="693">
        <v>46112</v>
      </c>
      <c r="AA66" s="690" t="s">
        <v>473</v>
      </c>
      <c r="AB66" s="690">
        <v>5751</v>
      </c>
      <c r="AC66" s="690">
        <v>4.3631658518299998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M9"/>
  <sheetViews>
    <sheetView topLeftCell="B1" workbookViewId="0">
      <selection activeCell="B3" sqref="B3"/>
    </sheetView>
  </sheetViews>
  <sheetFormatPr baseColWidth="10" defaultColWidth="11.453125" defaultRowHeight="14.5"/>
  <cols>
    <col min="13" max="13" width="11.453125" customWidth="1"/>
  </cols>
  <sheetData>
    <row r="2" spans="2:13">
      <c r="M2" t="s">
        <v>168</v>
      </c>
    </row>
    <row r="3" spans="2:13">
      <c r="B3" t="str">
        <f>"Facturación se proyecta en "&amp;ROUND(Resumen!B5,0)&amp; "M / YoY " &amp; CONCATENATE(ROUND(Resumen!I5*100,1),"%")</f>
        <v>Facturación se proyecta en 1715M / YoY 21.1%</v>
      </c>
      <c r="M3" t="s">
        <v>169</v>
      </c>
    </row>
    <row r="4" spans="2:13">
      <c r="B4" t="str">
        <f>"Cuentas con consumo Res! "&amp;ROUND(Resumen!B17,0)&amp; "K / YoY " &amp; CONCATENATE(ROUND(Resumen!I6*100,1),"%")</f>
        <v>Cuentas con consumo Res! 755K / YoY 0%</v>
      </c>
      <c r="M4" t="s">
        <v>170</v>
      </c>
    </row>
    <row r="5" spans="2:13">
      <c r="B5" t="e">
        <f>"Facturación se proyecta en "&amp;ROUND(Resumen!B7,0)&amp; "/ YoY " &amp; CONCATENATE(ROUND(Resumen!I7*100,1),"%")</f>
        <v>#REF!</v>
      </c>
      <c r="E5" t="s">
        <v>171</v>
      </c>
      <c r="M5" t="s">
        <v>172</v>
      </c>
    </row>
    <row r="6" spans="2:13">
      <c r="B6" t="e">
        <f>"Facturación se proyecta en "&amp;ROUND(Resumen!#REF!,0)&amp; "/ YoY " &amp; CONCATENATE(ROUND(Resumen!#REF!*100,1),"%")</f>
        <v>#REF!</v>
      </c>
      <c r="M6" t="s">
        <v>173</v>
      </c>
    </row>
    <row r="7" spans="2:13">
      <c r="B7" t="e">
        <f>"Facturación se proyecta en "&amp;ROUND(Resumen!B8,0)&amp; "/ YoY " &amp; CONCATENATE(ROUND(Resumen!I8*100,1),"%")</f>
        <v>#REF!</v>
      </c>
      <c r="M7" t="s">
        <v>174</v>
      </c>
    </row>
    <row r="8" spans="2:13">
      <c r="M8" t="s">
        <v>175</v>
      </c>
    </row>
    <row r="9" spans="2:13">
      <c r="M9" t="s">
        <v>176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3"/>
  <dimension ref="A1:AG117"/>
  <sheetViews>
    <sheetView zoomScale="80" zoomScaleNormal="80" workbookViewId="0">
      <pane ySplit="5" topLeftCell="A6" activePane="bottomLeft" state="frozen"/>
      <selection pane="bottomLeft" activeCell="I79" sqref="I79"/>
    </sheetView>
  </sheetViews>
  <sheetFormatPr baseColWidth="10" defaultColWidth="13.1796875" defaultRowHeight="14.5"/>
  <cols>
    <col min="1" max="1" width="24.1796875" style="21" customWidth="1"/>
    <col min="2" max="2" width="18.1796875" style="5" bestFit="1" customWidth="1"/>
    <col min="3" max="3" width="14.1796875" style="5" bestFit="1" customWidth="1"/>
    <col min="4" max="5" width="14.1796875" style="5" customWidth="1"/>
    <col min="6" max="6" width="13.54296875" style="5" customWidth="1"/>
    <col min="7" max="7" width="14" style="5" bestFit="1" customWidth="1"/>
    <col min="8" max="8" width="14.1796875" style="5" bestFit="1" customWidth="1"/>
    <col min="9" max="9" width="15.453125" style="5" bestFit="1" customWidth="1"/>
    <col min="10" max="10" width="14.54296875" style="5" customWidth="1"/>
    <col min="11" max="11" width="13.7265625" style="5" customWidth="1"/>
    <col min="12" max="14" width="13.1796875" style="5"/>
    <col min="22" max="22" width="19.81640625" customWidth="1"/>
  </cols>
  <sheetData>
    <row r="1" spans="1:33">
      <c r="A1" s="14">
        <v>30</v>
      </c>
      <c r="B1" s="543" t="s">
        <v>177</v>
      </c>
      <c r="C1" s="543"/>
      <c r="D1" s="544">
        <v>2024</v>
      </c>
      <c r="E1" s="715">
        <v>2025</v>
      </c>
      <c r="F1" s="716"/>
      <c r="G1" s="717"/>
      <c r="H1" s="718">
        <v>2026</v>
      </c>
      <c r="I1" s="718"/>
      <c r="J1" s="718"/>
      <c r="K1" s="426"/>
      <c r="L1" s="544"/>
      <c r="M1" s="544"/>
      <c r="N1" s="545"/>
      <c r="O1" s="426"/>
    </row>
    <row r="2" spans="1:33" ht="15">
      <c r="A2" s="556"/>
      <c r="B2" s="559" t="s">
        <v>178</v>
      </c>
      <c r="C2" s="560" t="s">
        <v>143</v>
      </c>
      <c r="D2" s="571" t="s">
        <v>179</v>
      </c>
      <c r="E2" s="559" t="s">
        <v>178</v>
      </c>
      <c r="F2" s="560" t="s">
        <v>143</v>
      </c>
      <c r="G2" s="571" t="s">
        <v>179</v>
      </c>
      <c r="H2" s="560" t="s">
        <v>178</v>
      </c>
      <c r="I2" s="560" t="s">
        <v>143</v>
      </c>
      <c r="J2" s="560" t="s">
        <v>179</v>
      </c>
      <c r="K2" s="570" t="s">
        <v>180</v>
      </c>
      <c r="L2" s="560"/>
      <c r="M2" s="560"/>
      <c r="N2" s="561"/>
      <c r="O2" s="562" t="s">
        <v>108</v>
      </c>
      <c r="P2" s="108"/>
    </row>
    <row r="3" spans="1:33" ht="15">
      <c r="A3" s="557" t="s">
        <v>181</v>
      </c>
      <c r="B3" s="565">
        <f>+VLOOKUP($A$1,$C$9:$G$38,2,0)</f>
        <v>656118</v>
      </c>
      <c r="C3" s="549">
        <f>+D38</f>
        <v>656118</v>
      </c>
      <c r="D3" s="563">
        <f>+C3/B3</f>
        <v>1</v>
      </c>
      <c r="E3" s="565">
        <f>+VLOOKUP($A$1,$C$9:$G$38,3,0)</f>
        <v>690265</v>
      </c>
      <c r="F3" s="549">
        <f>+E38</f>
        <v>690265</v>
      </c>
      <c r="G3" s="563">
        <f>+F3/E3</f>
        <v>1</v>
      </c>
      <c r="H3" s="8">
        <f>+VLOOKUP($A$1,$C$9:$G$38,5,0)</f>
        <v>754640</v>
      </c>
      <c r="I3" s="543">
        <f>+H3*J3</f>
        <v>754640</v>
      </c>
      <c r="J3" s="550">
        <v>1</v>
      </c>
      <c r="K3" s="547">
        <v>1</v>
      </c>
      <c r="L3" s="548">
        <f>+Resumen!B36</f>
        <v>0.85859039808676241</v>
      </c>
      <c r="M3" s="548" t="s">
        <v>182</v>
      </c>
      <c r="N3" s="545"/>
      <c r="O3" s="568">
        <f>+Resumen!B36</f>
        <v>0.85859039808676241</v>
      </c>
    </row>
    <row r="4" spans="1:33" ht="15">
      <c r="A4" s="558" t="s">
        <v>183</v>
      </c>
      <c r="B4" s="566">
        <f>+VLOOKUP($A$1,$C$48:$G$77,2,0)</f>
        <v>7899550</v>
      </c>
      <c r="C4" s="551">
        <f>+D77</f>
        <v>7899550</v>
      </c>
      <c r="D4" s="564">
        <f>+C4/B4</f>
        <v>1</v>
      </c>
      <c r="E4" s="566">
        <f>+VLOOKUP($A$1,$C$48:$G$77,3,0)</f>
        <v>8401849</v>
      </c>
      <c r="F4" s="551">
        <f>+E77</f>
        <v>8401849</v>
      </c>
      <c r="G4" s="564">
        <f>+F4/E4</f>
        <v>1</v>
      </c>
      <c r="H4" s="567">
        <f>+VLOOKUP($A$1,$C$48:$G$77,5,0)</f>
        <v>9669287</v>
      </c>
      <c r="I4" s="551">
        <f>+H4*J4</f>
        <v>9669287</v>
      </c>
      <c r="J4" s="577">
        <f>+AVERAGE(D4,G4)*K4</f>
        <v>1</v>
      </c>
      <c r="K4" s="552">
        <f>+Resumen!J43</f>
        <v>1</v>
      </c>
      <c r="L4" s="553">
        <f>+I4/I3</f>
        <v>12.81311221244567</v>
      </c>
      <c r="M4" s="554" t="s">
        <v>184</v>
      </c>
      <c r="N4" s="555"/>
      <c r="O4" s="569">
        <f>+Resumen!B39</f>
        <v>12.81311221244567</v>
      </c>
      <c r="R4" s="7"/>
    </row>
    <row r="5" spans="1:33">
      <c r="A5" s="546"/>
      <c r="B5" s="543"/>
      <c r="C5" s="543"/>
      <c r="D5" s="543"/>
      <c r="E5" s="548"/>
      <c r="F5" s="548"/>
      <c r="G5" s="548"/>
      <c r="H5" s="543"/>
      <c r="I5" s="548"/>
      <c r="J5" s="548"/>
      <c r="K5" s="548"/>
      <c r="L5" s="548"/>
      <c r="M5" s="548"/>
      <c r="N5" s="548"/>
      <c r="O5" s="543"/>
    </row>
    <row r="6" spans="1:33">
      <c r="G6" s="2"/>
      <c r="I6" s="1"/>
      <c r="J6" s="1"/>
      <c r="K6" s="1"/>
      <c r="L6" s="1"/>
      <c r="M6" s="1"/>
      <c r="N6"/>
    </row>
    <row r="7" spans="1:33">
      <c r="G7" s="2"/>
      <c r="I7" s="1"/>
      <c r="J7" s="1"/>
      <c r="K7" s="1"/>
      <c r="L7" s="1"/>
      <c r="M7" s="1"/>
      <c r="N7"/>
    </row>
    <row r="8" spans="1:33">
      <c r="A8" s="22" t="s">
        <v>181</v>
      </c>
      <c r="D8" s="9">
        <v>2024</v>
      </c>
      <c r="E8" s="9">
        <v>2025</v>
      </c>
      <c r="F8" s="9" t="s">
        <v>185</v>
      </c>
      <c r="G8" s="10" t="s">
        <v>186</v>
      </c>
      <c r="H8" s="10"/>
      <c r="V8" t="s">
        <v>187</v>
      </c>
      <c r="W8" t="s">
        <v>188</v>
      </c>
    </row>
    <row r="9" spans="1:33">
      <c r="A9" s="23"/>
      <c r="B9" s="10">
        <f>+G9-F9</f>
        <v>4117.3999999999942</v>
      </c>
      <c r="C9" s="5">
        <v>1</v>
      </c>
      <c r="D9" s="137">
        <v>179322</v>
      </c>
      <c r="E9" s="137">
        <v>170678</v>
      </c>
      <c r="F9" s="24">
        <f>+E9*1.2</f>
        <v>204813.6</v>
      </c>
      <c r="G9" s="483">
        <v>208931</v>
      </c>
      <c r="H9" s="25">
        <f>+E9/D9-1</f>
        <v>-4.8203789830584043E-2</v>
      </c>
      <c r="I9" s="25">
        <f t="shared" ref="I9:I37" si="0">+F9/E9-1</f>
        <v>0.19999999999999996</v>
      </c>
      <c r="J9" s="25">
        <f t="shared" ref="J9:J37" si="1">+G9/E9-1</f>
        <v>0.22412378865465965</v>
      </c>
      <c r="K9" s="10">
        <f>+D9</f>
        <v>179322</v>
      </c>
      <c r="L9" s="26">
        <f>+K9/SUM($K$9:$K$38)</f>
        <v>0.27330754528910955</v>
      </c>
      <c r="M9" s="10">
        <f>+E9</f>
        <v>170678</v>
      </c>
      <c r="N9" s="26">
        <f>+M9/SUM($M$9:$M$38)</f>
        <v>0.24726445640442438</v>
      </c>
      <c r="O9" s="29">
        <f t="shared" ref="O9:O33" si="2">L9</f>
        <v>0.27330754528910955</v>
      </c>
      <c r="P9" s="15">
        <f>+D9</f>
        <v>179322</v>
      </c>
      <c r="Q9" s="16">
        <f>+P9/SUM($P$9:$P$38)</f>
        <v>0.27330754528910955</v>
      </c>
      <c r="R9" s="15">
        <f>+E9</f>
        <v>170678</v>
      </c>
      <c r="S9" s="16">
        <f>+R9/SUM($R$9:$R$38)</f>
        <v>0.24726445640442438</v>
      </c>
      <c r="T9" s="27">
        <f t="shared" ref="T9:T36" si="3">+AVERAGE(Q9,S9)</f>
        <v>0.26028600084676695</v>
      </c>
      <c r="U9" s="161"/>
      <c r="V9" s="15">
        <f>+G9</f>
        <v>208931</v>
      </c>
      <c r="W9" s="15">
        <f>+V9-M9</f>
        <v>38253</v>
      </c>
    </row>
    <row r="10" spans="1:33">
      <c r="A10" s="23"/>
      <c r="B10" s="10">
        <f t="shared" ref="B10:B38" si="4">+G10-F10</f>
        <v>861.05818671011366</v>
      </c>
      <c r="C10" s="5">
        <f>+C9+1</f>
        <v>2</v>
      </c>
      <c r="D10" s="137">
        <v>267607</v>
      </c>
      <c r="E10" s="137">
        <v>254342</v>
      </c>
      <c r="F10" s="10">
        <f t="shared" ref="F10:F37" si="5">+($F$38-$F$9)*T10+F9</f>
        <v>297692.94181328989</v>
      </c>
      <c r="G10" s="483">
        <v>298554</v>
      </c>
      <c r="H10" s="25">
        <f t="shared" ref="H10:H33" si="6">+E10/D10-1</f>
        <v>-4.9568957463743457E-2</v>
      </c>
      <c r="I10" s="25">
        <f t="shared" si="0"/>
        <v>0.17044350446756695</v>
      </c>
      <c r="J10" s="25">
        <f t="shared" si="1"/>
        <v>0.17382893898766238</v>
      </c>
      <c r="K10" s="10">
        <f t="shared" ref="K10:K38" si="7">+D10-D9</f>
        <v>88285</v>
      </c>
      <c r="L10" s="26">
        <f>+K10/SUM($K$10:$K$38)</f>
        <v>0.18516304666985461</v>
      </c>
      <c r="M10" s="10">
        <f t="shared" ref="M10:M33" si="8">+E10-E9</f>
        <v>83664</v>
      </c>
      <c r="N10" s="26">
        <f>+M10/SUM($M$10:$M$38)</f>
        <v>0.16102019488555333</v>
      </c>
      <c r="O10" s="29">
        <f t="shared" si="2"/>
        <v>0.18516304666985461</v>
      </c>
      <c r="P10" s="15">
        <f t="shared" ref="P10:P33" si="9">+D10-D9</f>
        <v>88285</v>
      </c>
      <c r="Q10" s="16">
        <f>+P10/SUM($P$10:$P$38)</f>
        <v>0.18516304666985461</v>
      </c>
      <c r="R10" s="15">
        <f t="shared" ref="R10:R36" si="10">+E10-E9</f>
        <v>83664</v>
      </c>
      <c r="S10" s="16">
        <f>+R10/SUM($R$10:$R$38)</f>
        <v>0.16102019488555333</v>
      </c>
      <c r="T10" s="27">
        <f t="shared" si="3"/>
        <v>0.17309162077770396</v>
      </c>
      <c r="U10" s="161"/>
      <c r="V10" s="15">
        <f>+G10-G9</f>
        <v>89623</v>
      </c>
      <c r="W10" s="15">
        <f t="shared" ref="W10:W35" si="11">+V10-M10</f>
        <v>5959</v>
      </c>
      <c r="AF10">
        <v>354419</v>
      </c>
      <c r="AG10">
        <f>+AF10</f>
        <v>354419</v>
      </c>
    </row>
    <row r="11" spans="1:33">
      <c r="A11" s="23"/>
      <c r="B11" s="10">
        <f t="shared" si="4"/>
        <v>-43272.571792303876</v>
      </c>
      <c r="C11" s="5">
        <f t="shared" ref="C11:C38" si="12">+C10+1</f>
        <v>3</v>
      </c>
      <c r="D11" s="137">
        <v>319636</v>
      </c>
      <c r="E11" s="137">
        <v>342761</v>
      </c>
      <c r="F11" s="10">
        <f t="shared" si="5"/>
        <v>388041.57179230388</v>
      </c>
      <c r="G11" s="483">
        <v>344769</v>
      </c>
      <c r="H11" s="25">
        <f t="shared" si="6"/>
        <v>7.2347920759864293E-2</v>
      </c>
      <c r="I11" s="25">
        <f t="shared" si="0"/>
        <v>0.13210537894423191</v>
      </c>
      <c r="J11" s="25">
        <f t="shared" si="1"/>
        <v>5.8583094342705699E-3</v>
      </c>
      <c r="K11" s="10">
        <f t="shared" si="7"/>
        <v>52029</v>
      </c>
      <c r="L11" s="26">
        <f>+K11/SUM($K$11:$K$38)</f>
        <v>0.13391898813675804</v>
      </c>
      <c r="M11" s="10">
        <f t="shared" si="8"/>
        <v>88419</v>
      </c>
      <c r="N11" s="26">
        <f>+M11/SUM($M$11:$M$38)</f>
        <v>0.20283169275307794</v>
      </c>
      <c r="O11" s="29">
        <f t="shared" si="2"/>
        <v>0.13391898813675804</v>
      </c>
      <c r="P11" s="15">
        <f t="shared" si="9"/>
        <v>52029</v>
      </c>
      <c r="Q11" s="16">
        <f>+P11/SUM($P$11:$P$38)</f>
        <v>0.13391898813675804</v>
      </c>
      <c r="R11" s="15">
        <f t="shared" si="10"/>
        <v>88419</v>
      </c>
      <c r="S11" s="16">
        <f>+R11/SUM($R$11:$R$38)</f>
        <v>0.20283169275307794</v>
      </c>
      <c r="T11" s="27">
        <f t="shared" si="3"/>
        <v>0.16837534044491798</v>
      </c>
      <c r="U11" s="161"/>
      <c r="V11" s="15">
        <f t="shared" ref="V11:V35" si="13">+G11-G10</f>
        <v>46215</v>
      </c>
      <c r="W11" s="15">
        <f t="shared" si="11"/>
        <v>-42204</v>
      </c>
      <c r="AF11">
        <v>302529</v>
      </c>
      <c r="AG11">
        <f>+AG10+AF11</f>
        <v>656948</v>
      </c>
    </row>
    <row r="12" spans="1:33">
      <c r="A12" s="10"/>
      <c r="B12" s="10">
        <f t="shared" si="4"/>
        <v>-59771.799775855208</v>
      </c>
      <c r="C12" s="5">
        <f t="shared" si="12"/>
        <v>4</v>
      </c>
      <c r="D12" s="137">
        <v>356463</v>
      </c>
      <c r="E12" s="137">
        <v>383022</v>
      </c>
      <c r="F12" s="10">
        <f t="shared" si="5"/>
        <v>448489.79977585521</v>
      </c>
      <c r="G12" s="483">
        <v>388718</v>
      </c>
      <c r="H12" s="25">
        <f t="shared" si="6"/>
        <v>7.4507031585325789E-2</v>
      </c>
      <c r="I12" s="25">
        <f t="shared" si="0"/>
        <v>0.17092438495923257</v>
      </c>
      <c r="J12" s="25">
        <f t="shared" si="1"/>
        <v>1.4871208442334805E-2</v>
      </c>
      <c r="K12" s="10">
        <f t="shared" si="7"/>
        <v>36827</v>
      </c>
      <c r="L12" s="26">
        <f>+K12/SUM($K$12:$K$38)</f>
        <v>0.10944716210673974</v>
      </c>
      <c r="M12" s="10">
        <f t="shared" si="8"/>
        <v>40261</v>
      </c>
      <c r="N12" s="26">
        <f>+M12/SUM($M$12:$M$38)</f>
        <v>0.11585765919241217</v>
      </c>
      <c r="O12" s="29">
        <f t="shared" si="2"/>
        <v>0.10944716210673974</v>
      </c>
      <c r="P12" s="15">
        <f t="shared" si="9"/>
        <v>36827</v>
      </c>
      <c r="Q12" s="16">
        <f>+P12/SUM($P$12:$P$38)</f>
        <v>0.10944716210673974</v>
      </c>
      <c r="R12" s="15">
        <f t="shared" si="10"/>
        <v>40261</v>
      </c>
      <c r="S12" s="16">
        <f>+R12/SUM($R$12:$R$38)</f>
        <v>0.11585765919241217</v>
      </c>
      <c r="T12" s="27">
        <f t="shared" si="3"/>
        <v>0.11265241064957596</v>
      </c>
      <c r="U12" s="161"/>
      <c r="V12" s="15">
        <f t="shared" si="13"/>
        <v>43949</v>
      </c>
      <c r="W12" s="15">
        <f t="shared" si="11"/>
        <v>3688</v>
      </c>
      <c r="AF12">
        <v>288178</v>
      </c>
      <c r="AG12">
        <f t="shared" ref="AG12:AG26" si="14">+AG11+AF12</f>
        <v>945126</v>
      </c>
    </row>
    <row r="13" spans="1:33">
      <c r="A13" s="23"/>
      <c r="B13" s="10">
        <f t="shared" si="4"/>
        <v>-91645.605292451859</v>
      </c>
      <c r="C13" s="5">
        <f t="shared" si="12"/>
        <v>5</v>
      </c>
      <c r="D13" s="137">
        <v>396851</v>
      </c>
      <c r="E13" s="137">
        <v>423462</v>
      </c>
      <c r="F13" s="10">
        <f t="shared" si="5"/>
        <v>511915.60529245186</v>
      </c>
      <c r="G13" s="475">
        <v>420270</v>
      </c>
      <c r="H13" s="25">
        <f t="shared" si="6"/>
        <v>6.7055393586005874E-2</v>
      </c>
      <c r="I13" s="25">
        <f t="shared" si="0"/>
        <v>0.20888203733145327</v>
      </c>
      <c r="J13" s="25">
        <f t="shared" si="1"/>
        <v>-7.5378664437423248E-3</v>
      </c>
      <c r="K13" s="10">
        <f t="shared" si="7"/>
        <v>40388</v>
      </c>
      <c r="L13" s="26">
        <f t="shared" ref="L13:L17" si="15">+K13/SUM($K$12:$K$38)</f>
        <v>0.12003019478010711</v>
      </c>
      <c r="M13" s="10">
        <f t="shared" si="8"/>
        <v>40440</v>
      </c>
      <c r="N13" s="26">
        <f t="shared" ref="N13:N17" si="16">+M13/SUM($M$12:$M$38)</f>
        <v>0.11637276117684976</v>
      </c>
      <c r="O13" s="29">
        <f t="shared" si="2"/>
        <v>0.12003019478010711</v>
      </c>
      <c r="P13" s="15">
        <f t="shared" si="9"/>
        <v>40388</v>
      </c>
      <c r="Q13" s="16">
        <f t="shared" ref="Q13:Q17" si="17">+P13/SUM($P$12:$P$38)</f>
        <v>0.12003019478010711</v>
      </c>
      <c r="R13" s="15">
        <f t="shared" si="10"/>
        <v>40440</v>
      </c>
      <c r="S13" s="16">
        <f t="shared" ref="S13:S17" si="18">+R13/SUM($R$12:$R$38)</f>
        <v>0.11637276117684976</v>
      </c>
      <c r="T13" s="27">
        <f t="shared" si="3"/>
        <v>0.11820147797847844</v>
      </c>
      <c r="U13" s="161"/>
      <c r="V13" s="15">
        <f t="shared" si="13"/>
        <v>31552</v>
      </c>
      <c r="W13" s="15">
        <f t="shared" si="11"/>
        <v>-8888</v>
      </c>
      <c r="AF13">
        <v>305132</v>
      </c>
      <c r="AG13">
        <f t="shared" si="14"/>
        <v>1250258</v>
      </c>
    </row>
    <row r="14" spans="1:33">
      <c r="A14" s="23"/>
      <c r="B14" s="10">
        <f t="shared" si="4"/>
        <v>-84416.942317936802</v>
      </c>
      <c r="C14" s="5">
        <f t="shared" si="12"/>
        <v>6</v>
      </c>
      <c r="D14" s="137">
        <v>424283</v>
      </c>
      <c r="E14" s="137">
        <v>449639</v>
      </c>
      <c r="F14" s="10">
        <f t="shared" si="5"/>
        <v>553998.9423179368</v>
      </c>
      <c r="G14" s="475">
        <v>469582</v>
      </c>
      <c r="H14" s="25">
        <f t="shared" si="6"/>
        <v>5.9761998477431355E-2</v>
      </c>
      <c r="I14" s="25">
        <f t="shared" si="0"/>
        <v>0.23209717644140482</v>
      </c>
      <c r="J14" s="25">
        <f t="shared" si="1"/>
        <v>4.4353359028020289E-2</v>
      </c>
      <c r="K14" s="10">
        <f t="shared" si="7"/>
        <v>27432</v>
      </c>
      <c r="L14" s="26">
        <f t="shared" si="15"/>
        <v>8.152590628919229E-2</v>
      </c>
      <c r="M14" s="10">
        <f t="shared" si="8"/>
        <v>26177</v>
      </c>
      <c r="N14" s="26">
        <f t="shared" si="16"/>
        <v>7.5328629310741746E-2</v>
      </c>
      <c r="O14" s="29">
        <f t="shared" si="2"/>
        <v>8.152590628919229E-2</v>
      </c>
      <c r="P14" s="15">
        <f t="shared" si="9"/>
        <v>27432</v>
      </c>
      <c r="Q14" s="16">
        <f t="shared" si="17"/>
        <v>8.152590628919229E-2</v>
      </c>
      <c r="R14" s="15">
        <f t="shared" si="10"/>
        <v>26177</v>
      </c>
      <c r="S14" s="16">
        <f t="shared" si="18"/>
        <v>7.5328629310741746E-2</v>
      </c>
      <c r="T14" s="27">
        <f t="shared" si="3"/>
        <v>7.8427267799967018E-2</v>
      </c>
      <c r="U14" s="161"/>
      <c r="V14" s="15">
        <f t="shared" si="13"/>
        <v>49312</v>
      </c>
      <c r="W14" s="15">
        <f t="shared" si="11"/>
        <v>23135</v>
      </c>
      <c r="AF14">
        <v>264596</v>
      </c>
      <c r="AG14">
        <f t="shared" si="14"/>
        <v>1514854</v>
      </c>
    </row>
    <row r="15" spans="1:33">
      <c r="A15" s="23"/>
      <c r="B15" s="10">
        <f t="shared" si="4"/>
        <v>-90353.987681490136</v>
      </c>
      <c r="C15" s="5">
        <f t="shared" si="12"/>
        <v>7</v>
      </c>
      <c r="D15" s="137">
        <v>442987</v>
      </c>
      <c r="E15" s="137">
        <v>474491</v>
      </c>
      <c r="F15" s="10">
        <f t="shared" si="5"/>
        <v>588099.98768149014</v>
      </c>
      <c r="G15" s="475">
        <v>497746</v>
      </c>
      <c r="H15" s="25">
        <f t="shared" si="6"/>
        <v>7.1117211114547274E-2</v>
      </c>
      <c r="I15" s="25">
        <f t="shared" si="0"/>
        <v>0.23943338794938174</v>
      </c>
      <c r="J15" s="25">
        <f t="shared" si="1"/>
        <v>4.9010413263897545E-2</v>
      </c>
      <c r="K15" s="10">
        <f t="shared" si="7"/>
        <v>18704</v>
      </c>
      <c r="L15" s="26">
        <f t="shared" si="15"/>
        <v>5.55869258979678E-2</v>
      </c>
      <c r="M15" s="10">
        <f t="shared" si="8"/>
        <v>24852</v>
      </c>
      <c r="N15" s="26">
        <f t="shared" si="16"/>
        <v>7.1515723560016578E-2</v>
      </c>
      <c r="O15" s="29">
        <f t="shared" si="2"/>
        <v>5.55869258979678E-2</v>
      </c>
      <c r="P15" s="15">
        <f t="shared" si="9"/>
        <v>18704</v>
      </c>
      <c r="Q15" s="16">
        <f t="shared" si="17"/>
        <v>5.55869258979678E-2</v>
      </c>
      <c r="R15" s="15">
        <f t="shared" si="10"/>
        <v>24852</v>
      </c>
      <c r="S15" s="16">
        <f t="shared" si="18"/>
        <v>7.1515723560016578E-2</v>
      </c>
      <c r="T15" s="27">
        <f t="shared" si="3"/>
        <v>6.3551324728992192E-2</v>
      </c>
      <c r="U15" s="161"/>
      <c r="V15" s="15">
        <f t="shared" si="13"/>
        <v>28164</v>
      </c>
      <c r="W15" s="15">
        <f t="shared" si="11"/>
        <v>3312</v>
      </c>
      <c r="AF15">
        <v>296573</v>
      </c>
      <c r="AG15">
        <f t="shared" si="14"/>
        <v>1811427</v>
      </c>
    </row>
    <row r="16" spans="1:33">
      <c r="A16" s="23"/>
      <c r="B16" s="10">
        <f t="shared" si="4"/>
        <v>-100006.35080848751</v>
      </c>
      <c r="C16" s="5">
        <f t="shared" si="12"/>
        <v>8</v>
      </c>
      <c r="D16" s="137">
        <v>464336</v>
      </c>
      <c r="E16" s="137">
        <v>495029</v>
      </c>
      <c r="F16" s="10">
        <f t="shared" si="5"/>
        <v>620979.35080848751</v>
      </c>
      <c r="G16" s="475">
        <v>520973</v>
      </c>
      <c r="H16" s="25">
        <f t="shared" si="6"/>
        <v>6.6100840770476621E-2</v>
      </c>
      <c r="I16" s="25">
        <f t="shared" si="0"/>
        <v>0.25443024713398099</v>
      </c>
      <c r="J16" s="25">
        <f t="shared" si="1"/>
        <v>5.2409050782883382E-2</v>
      </c>
      <c r="K16" s="10">
        <f t="shared" si="7"/>
        <v>21349</v>
      </c>
      <c r="L16" s="26">
        <f t="shared" si="15"/>
        <v>6.344767327821399E-2</v>
      </c>
      <c r="M16" s="10">
        <f t="shared" si="8"/>
        <v>20538</v>
      </c>
      <c r="N16" s="26">
        <f t="shared" si="16"/>
        <v>5.9101477968598923E-2</v>
      </c>
      <c r="O16" s="29">
        <f t="shared" si="2"/>
        <v>6.344767327821399E-2</v>
      </c>
      <c r="P16" s="15">
        <f t="shared" si="9"/>
        <v>21349</v>
      </c>
      <c r="Q16" s="16">
        <f t="shared" si="17"/>
        <v>6.344767327821399E-2</v>
      </c>
      <c r="R16" s="15">
        <f t="shared" si="10"/>
        <v>20538</v>
      </c>
      <c r="S16" s="16">
        <f t="shared" si="18"/>
        <v>5.9101477968598923E-2</v>
      </c>
      <c r="T16" s="27">
        <f t="shared" si="3"/>
        <v>6.1274575623406456E-2</v>
      </c>
      <c r="U16" s="161"/>
      <c r="V16" s="15">
        <f t="shared" si="13"/>
        <v>23227</v>
      </c>
      <c r="W16" s="15">
        <f t="shared" si="11"/>
        <v>2689</v>
      </c>
      <c r="AF16">
        <v>258835</v>
      </c>
      <c r="AG16">
        <f t="shared" si="14"/>
        <v>2070262</v>
      </c>
    </row>
    <row r="17" spans="1:33">
      <c r="A17" s="23"/>
      <c r="B17" s="10">
        <f t="shared" si="4"/>
        <v>-106900.96750843269</v>
      </c>
      <c r="C17" s="5">
        <f t="shared" si="12"/>
        <v>9</v>
      </c>
      <c r="D17" s="137">
        <v>484906</v>
      </c>
      <c r="E17" s="137">
        <v>508945</v>
      </c>
      <c r="F17" s="10">
        <f t="shared" si="5"/>
        <v>648124.96750843269</v>
      </c>
      <c r="G17" s="475">
        <v>541224</v>
      </c>
      <c r="H17" s="25">
        <f t="shared" si="6"/>
        <v>4.9574556718209317E-2</v>
      </c>
      <c r="I17" s="25">
        <f t="shared" si="0"/>
        <v>0.27346759965896639</v>
      </c>
      <c r="J17" s="25">
        <f t="shared" si="1"/>
        <v>6.3423356158327504E-2</v>
      </c>
      <c r="K17" s="10">
        <f t="shared" si="7"/>
        <v>20570</v>
      </c>
      <c r="L17" s="26">
        <f t="shared" si="15"/>
        <v>6.1132542008190634E-2</v>
      </c>
      <c r="M17" s="10">
        <f t="shared" si="8"/>
        <v>13916</v>
      </c>
      <c r="N17" s="26">
        <f t="shared" si="16"/>
        <v>4.0045582209125651E-2</v>
      </c>
      <c r="O17" s="29">
        <f t="shared" si="2"/>
        <v>6.1132542008190634E-2</v>
      </c>
      <c r="P17" s="15">
        <f t="shared" si="9"/>
        <v>20570</v>
      </c>
      <c r="Q17" s="16">
        <f t="shared" si="17"/>
        <v>6.1132542008190634E-2</v>
      </c>
      <c r="R17" s="15">
        <f t="shared" si="10"/>
        <v>13916</v>
      </c>
      <c r="S17" s="16">
        <f t="shared" si="18"/>
        <v>4.0045582209125651E-2</v>
      </c>
      <c r="T17" s="27">
        <f t="shared" si="3"/>
        <v>5.0589062108658142E-2</v>
      </c>
      <c r="U17" s="161"/>
      <c r="V17" s="15">
        <f t="shared" si="13"/>
        <v>20251</v>
      </c>
      <c r="W17" s="15">
        <f t="shared" si="11"/>
        <v>6335</v>
      </c>
      <c r="AF17">
        <v>298925</v>
      </c>
      <c r="AG17">
        <f t="shared" si="14"/>
        <v>2369187</v>
      </c>
    </row>
    <row r="18" spans="1:33">
      <c r="A18" s="23"/>
      <c r="B18" s="10">
        <f t="shared" si="4"/>
        <v>-138211.09273194429</v>
      </c>
      <c r="C18" s="5">
        <f t="shared" si="12"/>
        <v>10</v>
      </c>
      <c r="D18" s="137">
        <v>499075</v>
      </c>
      <c r="E18" s="137">
        <v>528368</v>
      </c>
      <c r="F18" s="10">
        <f t="shared" si="5"/>
        <v>699068.09273194429</v>
      </c>
      <c r="G18" s="475">
        <v>560857</v>
      </c>
      <c r="H18" s="25">
        <f t="shared" si="6"/>
        <v>5.8694584982217135E-2</v>
      </c>
      <c r="I18" s="25">
        <f t="shared" si="0"/>
        <v>0.32307045985363292</v>
      </c>
      <c r="J18" s="25">
        <f t="shared" si="1"/>
        <v>6.148934076249879E-2</v>
      </c>
      <c r="K18" s="10">
        <f t="shared" si="7"/>
        <v>14169</v>
      </c>
      <c r="L18" s="26">
        <f>+K18/SUM($K$18:$K$38)</f>
        <v>8.2757049739504235E-2</v>
      </c>
      <c r="M18" s="10">
        <f t="shared" si="8"/>
        <v>19423</v>
      </c>
      <c r="N18" s="26">
        <f>+M18/SUM($M$18:$M$38)</f>
        <v>0.10712000882417824</v>
      </c>
      <c r="O18" s="29">
        <f t="shared" si="2"/>
        <v>8.2757049739504235E-2</v>
      </c>
      <c r="P18" s="15">
        <f t="shared" si="9"/>
        <v>14169</v>
      </c>
      <c r="Q18" s="16">
        <f>+P18/SUM($P$18:$P$38)</f>
        <v>8.2757049739504235E-2</v>
      </c>
      <c r="R18" s="15">
        <f t="shared" si="10"/>
        <v>19423</v>
      </c>
      <c r="S18" s="16">
        <f>+R18/SUM($R$18:$R$38)</f>
        <v>0.10712000882417824</v>
      </c>
      <c r="T18" s="27">
        <f t="shared" si="3"/>
        <v>9.4938529281841239E-2</v>
      </c>
      <c r="U18" s="161"/>
      <c r="V18" s="15">
        <f t="shared" si="13"/>
        <v>19633</v>
      </c>
      <c r="W18" s="15">
        <f t="shared" si="11"/>
        <v>210</v>
      </c>
      <c r="AF18">
        <v>274484</v>
      </c>
      <c r="AG18">
        <f t="shared" si="14"/>
        <v>2643671</v>
      </c>
    </row>
    <row r="19" spans="1:33">
      <c r="A19" s="23"/>
      <c r="B19" s="10">
        <f t="shared" si="4"/>
        <v>-168030.86707818473</v>
      </c>
      <c r="C19" s="5">
        <f t="shared" si="12"/>
        <v>11</v>
      </c>
      <c r="D19" s="137">
        <v>512543</v>
      </c>
      <c r="E19" s="137">
        <v>544241</v>
      </c>
      <c r="F19" s="10">
        <f t="shared" si="5"/>
        <v>743659.86707818473</v>
      </c>
      <c r="G19" s="475">
        <v>575629</v>
      </c>
      <c r="H19" s="25">
        <f t="shared" si="6"/>
        <v>6.1844567187533617E-2</v>
      </c>
      <c r="I19" s="25">
        <f t="shared" si="0"/>
        <v>0.36641647189054982</v>
      </c>
      <c r="J19" s="25">
        <f t="shared" si="1"/>
        <v>5.767297943374361E-2</v>
      </c>
      <c r="K19" s="10">
        <f t="shared" si="7"/>
        <v>13468</v>
      </c>
      <c r="L19" s="26">
        <f t="shared" ref="L19:L20" si="19">+K19/SUM($K$18:$K$38)</f>
        <v>7.8662710557671198E-2</v>
      </c>
      <c r="M19" s="10">
        <f t="shared" si="8"/>
        <v>15873</v>
      </c>
      <c r="N19" s="26">
        <f t="shared" ref="N19:N20" si="20">+M19/SUM($M$18:$M$38)</f>
        <v>8.7541363335539371E-2</v>
      </c>
      <c r="O19" s="29">
        <f t="shared" si="2"/>
        <v>7.8662710557671198E-2</v>
      </c>
      <c r="P19" s="15">
        <f t="shared" si="9"/>
        <v>13468</v>
      </c>
      <c r="Q19" s="16">
        <f t="shared" ref="Q19:Q20" si="21">+P19/SUM($P$18:$P$38)</f>
        <v>7.8662710557671198E-2</v>
      </c>
      <c r="R19" s="15">
        <f t="shared" si="10"/>
        <v>15873</v>
      </c>
      <c r="S19" s="16">
        <f t="shared" ref="S19:S20" si="22">+R19/SUM($R$18:$R$38)</f>
        <v>8.7541363335539371E-2</v>
      </c>
      <c r="T19" s="27">
        <f t="shared" si="3"/>
        <v>8.3102036946605284E-2</v>
      </c>
      <c r="U19" s="161"/>
      <c r="V19" s="15">
        <f t="shared" si="13"/>
        <v>14772</v>
      </c>
      <c r="W19" s="15">
        <f t="shared" si="11"/>
        <v>-1101</v>
      </c>
      <c r="AF19">
        <v>282947</v>
      </c>
      <c r="AG19">
        <f t="shared" si="14"/>
        <v>2926618</v>
      </c>
    </row>
    <row r="20" spans="1:33">
      <c r="A20" s="23"/>
      <c r="B20" s="10">
        <f t="shared" si="4"/>
        <v>-198438.37454075553</v>
      </c>
      <c r="C20" s="5">
        <f t="shared" si="12"/>
        <v>12</v>
      </c>
      <c r="D20" s="137">
        <v>525434</v>
      </c>
      <c r="E20" s="137">
        <v>558519</v>
      </c>
      <c r="F20" s="10">
        <f t="shared" si="5"/>
        <v>784987.37454075553</v>
      </c>
      <c r="G20" s="475">
        <v>586549</v>
      </c>
      <c r="H20" s="25">
        <f t="shared" si="6"/>
        <v>6.2966994903260964E-2</v>
      </c>
      <c r="I20" s="25">
        <f t="shared" si="0"/>
        <v>0.40548016189378622</v>
      </c>
      <c r="J20" s="25">
        <f t="shared" si="1"/>
        <v>5.018629625849802E-2</v>
      </c>
      <c r="K20" s="10">
        <f t="shared" si="7"/>
        <v>12891</v>
      </c>
      <c r="L20" s="26">
        <f t="shared" si="19"/>
        <v>7.5292619676190928E-2</v>
      </c>
      <c r="M20" s="10">
        <f t="shared" si="8"/>
        <v>14278</v>
      </c>
      <c r="N20" s="26">
        <f t="shared" si="20"/>
        <v>7.874476064416501E-2</v>
      </c>
      <c r="O20" s="29">
        <f t="shared" si="2"/>
        <v>7.5292619676190928E-2</v>
      </c>
      <c r="P20" s="15">
        <f t="shared" si="9"/>
        <v>12891</v>
      </c>
      <c r="Q20" s="16">
        <f t="shared" si="21"/>
        <v>7.5292619676190928E-2</v>
      </c>
      <c r="R20" s="15">
        <f t="shared" si="10"/>
        <v>14278</v>
      </c>
      <c r="S20" s="16">
        <f t="shared" si="22"/>
        <v>7.874476064416501E-2</v>
      </c>
      <c r="T20" s="27">
        <f t="shared" si="3"/>
        <v>7.7018690160177969E-2</v>
      </c>
      <c r="U20" s="161"/>
      <c r="V20" s="15">
        <f t="shared" si="13"/>
        <v>10920</v>
      </c>
      <c r="W20" s="15">
        <f t="shared" si="11"/>
        <v>-3358</v>
      </c>
      <c r="AF20">
        <v>309805</v>
      </c>
      <c r="AG20">
        <f t="shared" si="14"/>
        <v>3236423</v>
      </c>
    </row>
    <row r="21" spans="1:33">
      <c r="A21" s="23">
        <v>609128.03322191688</v>
      </c>
      <c r="B21" s="10">
        <f t="shared" si="4"/>
        <v>-228958.04910430417</v>
      </c>
      <c r="C21" s="5">
        <f t="shared" si="12"/>
        <v>13</v>
      </c>
      <c r="D21" s="137">
        <v>536631</v>
      </c>
      <c r="E21" s="137">
        <v>570893</v>
      </c>
      <c r="F21" s="10">
        <f t="shared" si="5"/>
        <v>833174.04910430417</v>
      </c>
      <c r="G21" s="475">
        <v>604216</v>
      </c>
      <c r="H21" s="25">
        <f t="shared" si="6"/>
        <v>6.3846479238061082E-2</v>
      </c>
      <c r="I21" s="25">
        <f t="shared" si="0"/>
        <v>0.45942242960467938</v>
      </c>
      <c r="J21" s="25">
        <f t="shared" si="1"/>
        <v>5.8369957242425441E-2</v>
      </c>
      <c r="K21" s="10">
        <f t="shared" si="7"/>
        <v>11197</v>
      </c>
      <c r="L21" s="26">
        <f>+K21/SUM($K$21:$K$38)</f>
        <v>8.5679960821523682E-2</v>
      </c>
      <c r="M21" s="10">
        <f t="shared" si="8"/>
        <v>12374</v>
      </c>
      <c r="N21" s="26">
        <f>+M21/SUM($M$21:$M$38)</f>
        <v>9.3923155162206062E-2</v>
      </c>
      <c r="O21" s="29">
        <f t="shared" si="2"/>
        <v>8.5679960821523682E-2</v>
      </c>
      <c r="P21" s="15">
        <f t="shared" si="9"/>
        <v>11197</v>
      </c>
      <c r="Q21" s="16">
        <f>+P21/SUM($P$21:$P$38)+Q42</f>
        <v>8.5679960821523682E-2</v>
      </c>
      <c r="R21" s="15">
        <f t="shared" si="10"/>
        <v>12374</v>
      </c>
      <c r="S21" s="16">
        <f>+R21/SUM($R$21:$R$38)</f>
        <v>9.3923155162206062E-2</v>
      </c>
      <c r="T21" s="27">
        <f t="shared" si="3"/>
        <v>8.9801557991864872E-2</v>
      </c>
      <c r="U21" s="161"/>
      <c r="V21" s="15">
        <f t="shared" si="13"/>
        <v>17667</v>
      </c>
      <c r="W21" s="15">
        <f t="shared" si="11"/>
        <v>5293</v>
      </c>
      <c r="AF21">
        <v>258204</v>
      </c>
      <c r="AG21">
        <f t="shared" si="14"/>
        <v>3494627</v>
      </c>
    </row>
    <row r="22" spans="1:33">
      <c r="A22" s="23"/>
      <c r="B22" s="10">
        <f t="shared" si="4"/>
        <v>-257693.47925407626</v>
      </c>
      <c r="C22" s="5">
        <f t="shared" si="12"/>
        <v>14</v>
      </c>
      <c r="D22" s="137">
        <v>545260</v>
      </c>
      <c r="E22" s="137">
        <v>583730</v>
      </c>
      <c r="F22" s="10">
        <f t="shared" si="5"/>
        <v>877031.47925407626</v>
      </c>
      <c r="G22" s="475">
        <v>619338</v>
      </c>
      <c r="H22" s="25">
        <f t="shared" si="6"/>
        <v>7.0553497414077793E-2</v>
      </c>
      <c r="I22" s="25">
        <f t="shared" si="0"/>
        <v>0.50246086247764588</v>
      </c>
      <c r="J22" s="25">
        <f t="shared" si="1"/>
        <v>6.1000805166772309E-2</v>
      </c>
      <c r="K22" s="10">
        <f t="shared" si="7"/>
        <v>8629</v>
      </c>
      <c r="L22" s="26">
        <f t="shared" ref="L22:L24" si="23">+K22/SUM($K$21:$K$38)</f>
        <v>6.6029506289981943E-2</v>
      </c>
      <c r="M22" s="10">
        <f t="shared" si="8"/>
        <v>12837</v>
      </c>
      <c r="N22" s="26">
        <f t="shared" ref="N22:N24" si="24">+M22/SUM($M$21:$M$38)</f>
        <v>9.7437493358432131E-2</v>
      </c>
      <c r="O22" s="29">
        <f t="shared" si="2"/>
        <v>6.6029506289981943E-2</v>
      </c>
      <c r="P22" s="15">
        <f t="shared" si="9"/>
        <v>8629</v>
      </c>
      <c r="Q22" s="16">
        <f>+P22/SUM($P$21:$P$38)</f>
        <v>6.6029506289981943E-2</v>
      </c>
      <c r="R22" s="15">
        <f t="shared" si="10"/>
        <v>12837</v>
      </c>
      <c r="S22" s="16">
        <f t="shared" ref="S22:S24" si="25">+R22/SUM($R$21:$R$38)</f>
        <v>9.7437493358432131E-2</v>
      </c>
      <c r="T22" s="27">
        <f t="shared" si="3"/>
        <v>8.1733499824207037E-2</v>
      </c>
      <c r="U22" s="161"/>
      <c r="V22" s="15">
        <f t="shared" si="13"/>
        <v>15122</v>
      </c>
      <c r="W22" s="15">
        <f t="shared" si="11"/>
        <v>2285</v>
      </c>
      <c r="AF22">
        <v>278449</v>
      </c>
      <c r="AG22">
        <f t="shared" si="14"/>
        <v>3773076</v>
      </c>
    </row>
    <row r="23" spans="1:33">
      <c r="A23" s="23"/>
      <c r="B23" s="10">
        <f t="shared" si="4"/>
        <v>-290590.32435473579</v>
      </c>
      <c r="C23" s="5">
        <f t="shared" si="12"/>
        <v>15</v>
      </c>
      <c r="D23" s="137">
        <v>558451</v>
      </c>
      <c r="E23" s="137">
        <v>593237</v>
      </c>
      <c r="F23" s="10">
        <f t="shared" si="5"/>
        <v>923473.32435473579</v>
      </c>
      <c r="G23" s="475">
        <v>632883</v>
      </c>
      <c r="H23" s="25">
        <f t="shared" si="6"/>
        <v>6.2290156164103827E-2</v>
      </c>
      <c r="I23" s="25">
        <f t="shared" si="0"/>
        <v>0.55666845519537023</v>
      </c>
      <c r="J23" s="25">
        <f t="shared" si="1"/>
        <v>6.6829951604502114E-2</v>
      </c>
      <c r="K23" s="10">
        <f t="shared" si="7"/>
        <v>13191</v>
      </c>
      <c r="L23" s="26">
        <f t="shared" si="23"/>
        <v>0.10093814085886565</v>
      </c>
      <c r="M23" s="10">
        <f t="shared" si="8"/>
        <v>9507</v>
      </c>
      <c r="N23" s="26">
        <f t="shared" si="24"/>
        <v>7.2161583653393646E-2</v>
      </c>
      <c r="O23" s="29">
        <f t="shared" si="2"/>
        <v>0.10093814085886565</v>
      </c>
      <c r="P23" s="15">
        <f t="shared" si="9"/>
        <v>13191</v>
      </c>
      <c r="Q23" s="16">
        <f>+P23/SUM($P$21:$P$38)</f>
        <v>0.10093814085886565</v>
      </c>
      <c r="R23" s="15">
        <f t="shared" si="10"/>
        <v>9507</v>
      </c>
      <c r="S23" s="16">
        <f t="shared" si="25"/>
        <v>7.2161583653393646E-2</v>
      </c>
      <c r="T23" s="27">
        <f t="shared" si="3"/>
        <v>8.654986225612965E-2</v>
      </c>
      <c r="U23" s="161"/>
      <c r="V23" s="15">
        <f t="shared" si="13"/>
        <v>13545</v>
      </c>
      <c r="W23" s="15">
        <f t="shared" si="11"/>
        <v>4038</v>
      </c>
      <c r="AF23">
        <v>288098</v>
      </c>
      <c r="AG23">
        <f t="shared" si="14"/>
        <v>4061174</v>
      </c>
    </row>
    <row r="24" spans="1:33">
      <c r="A24" s="23"/>
      <c r="B24" s="10">
        <f t="shared" si="4"/>
        <v>-319154.47335854883</v>
      </c>
      <c r="C24" s="5">
        <f t="shared" si="12"/>
        <v>16</v>
      </c>
      <c r="D24" s="137">
        <v>571099</v>
      </c>
      <c r="E24" s="137">
        <v>600607</v>
      </c>
      <c r="F24" s="10">
        <f t="shared" si="5"/>
        <v>964448.47335854883</v>
      </c>
      <c r="G24" s="475">
        <v>645294</v>
      </c>
      <c r="H24" s="25">
        <f t="shared" si="6"/>
        <v>5.1668799980388647E-2</v>
      </c>
      <c r="I24" s="25">
        <f t="shared" si="0"/>
        <v>0.60578959845381219</v>
      </c>
      <c r="J24" s="25">
        <f t="shared" si="1"/>
        <v>7.4403062235371964E-2</v>
      </c>
      <c r="K24" s="10">
        <f t="shared" si="7"/>
        <v>12648</v>
      </c>
      <c r="L24" s="26">
        <f t="shared" si="23"/>
        <v>9.6783079795537325E-2</v>
      </c>
      <c r="M24" s="10">
        <f t="shared" si="8"/>
        <v>7370</v>
      </c>
      <c r="N24" s="26">
        <f t="shared" si="24"/>
        <v>5.5940977335175258E-2</v>
      </c>
      <c r="O24" s="29">
        <f t="shared" si="2"/>
        <v>9.6783079795537325E-2</v>
      </c>
      <c r="P24" s="15">
        <f t="shared" si="9"/>
        <v>12648</v>
      </c>
      <c r="Q24" s="16">
        <f>+P24/SUM($P$21:$P$38)</f>
        <v>9.6783079795537325E-2</v>
      </c>
      <c r="R24" s="15">
        <f t="shared" si="10"/>
        <v>7370</v>
      </c>
      <c r="S24" s="16">
        <f t="shared" si="25"/>
        <v>5.5940977335175258E-2</v>
      </c>
      <c r="T24" s="27">
        <f t="shared" si="3"/>
        <v>7.6362028565356288E-2</v>
      </c>
      <c r="U24" s="161"/>
      <c r="V24" s="15">
        <f t="shared" si="13"/>
        <v>12411</v>
      </c>
      <c r="W24" s="15">
        <f t="shared" si="11"/>
        <v>5041</v>
      </c>
      <c r="AF24">
        <v>270551</v>
      </c>
      <c r="AG24">
        <f t="shared" si="14"/>
        <v>4331725</v>
      </c>
    </row>
    <row r="25" spans="1:33">
      <c r="A25" s="23">
        <v>653618.3239588741</v>
      </c>
      <c r="B25" s="10">
        <f t="shared" si="4"/>
        <v>-382017.18656890059</v>
      </c>
      <c r="C25" s="5">
        <f t="shared" si="12"/>
        <v>17</v>
      </c>
      <c r="D25" s="137">
        <v>582614</v>
      </c>
      <c r="E25" s="137">
        <v>613063</v>
      </c>
      <c r="F25" s="10">
        <f t="shared" si="5"/>
        <v>1038060.1865689006</v>
      </c>
      <c r="G25" s="475">
        <v>656043</v>
      </c>
      <c r="H25" s="25">
        <f t="shared" si="6"/>
        <v>5.2262733130340244E-2</v>
      </c>
      <c r="I25" s="25">
        <f t="shared" si="0"/>
        <v>0.69323574668329457</v>
      </c>
      <c r="J25" s="25">
        <f t="shared" si="1"/>
        <v>7.0106987373238949E-2</v>
      </c>
      <c r="K25" s="10">
        <f t="shared" si="7"/>
        <v>11515</v>
      </c>
      <c r="L25" s="26">
        <f>+K25/SUM($K$25:$K$38)</f>
        <v>0.13544031334172363</v>
      </c>
      <c r="M25" s="10">
        <f t="shared" si="8"/>
        <v>12456</v>
      </c>
      <c r="N25" s="26">
        <f>+M25/SUM($M$25:$M$38)</f>
        <v>0.13892792611925317</v>
      </c>
      <c r="O25" s="29">
        <f t="shared" si="2"/>
        <v>0.13544031334172363</v>
      </c>
      <c r="P25" s="15">
        <f t="shared" si="9"/>
        <v>11515</v>
      </c>
      <c r="Q25" s="16">
        <f>+P25/SUM($P$25:$P$38)</f>
        <v>0.13544031334172363</v>
      </c>
      <c r="R25" s="15">
        <f t="shared" si="10"/>
        <v>12456</v>
      </c>
      <c r="S25" s="16">
        <f>+R25/SUM($R$25:$R$38)</f>
        <v>0.13892792611925317</v>
      </c>
      <c r="T25" s="27">
        <f t="shared" si="3"/>
        <v>0.13718411973048839</v>
      </c>
      <c r="U25" s="161"/>
      <c r="V25" s="15">
        <f t="shared" si="13"/>
        <v>10749</v>
      </c>
      <c r="W25" s="15">
        <f t="shared" si="11"/>
        <v>-1707</v>
      </c>
      <c r="AF25">
        <v>270780</v>
      </c>
      <c r="AG25">
        <f t="shared" si="14"/>
        <v>4602505</v>
      </c>
    </row>
    <row r="26" spans="1:33">
      <c r="A26" s="23"/>
      <c r="B26" s="10">
        <f t="shared" si="4"/>
        <v>-420582.46868822305</v>
      </c>
      <c r="C26" s="5">
        <f t="shared" si="12"/>
        <v>18</v>
      </c>
      <c r="D26" s="137">
        <v>590056</v>
      </c>
      <c r="E26" s="137">
        <v>621057</v>
      </c>
      <c r="F26" s="10">
        <f t="shared" si="5"/>
        <v>1085466.468688223</v>
      </c>
      <c r="G26" s="475">
        <v>664884</v>
      </c>
      <c r="H26" s="25">
        <f t="shared" si="6"/>
        <v>5.2539081036376167E-2</v>
      </c>
      <c r="I26" s="25">
        <f t="shared" si="0"/>
        <v>0.74777269830019311</v>
      </c>
      <c r="J26" s="25">
        <f t="shared" si="1"/>
        <v>7.0568401934121949E-2</v>
      </c>
      <c r="K26" s="10">
        <f t="shared" si="7"/>
        <v>7442</v>
      </c>
      <c r="L26" s="26">
        <f t="shared" ref="L26:L27" si="26">+K26/SUM($K$25:$K$38)</f>
        <v>8.7533374892671045E-2</v>
      </c>
      <c r="M26" s="10">
        <f t="shared" si="8"/>
        <v>7994</v>
      </c>
      <c r="N26" s="26">
        <f t="shared" ref="N26:N27" si="27">+M26/SUM($M$25:$M$38)</f>
        <v>8.9161034151999816E-2</v>
      </c>
      <c r="O26" s="29">
        <f t="shared" si="2"/>
        <v>8.7533374892671045E-2</v>
      </c>
      <c r="P26" s="15">
        <f t="shared" si="9"/>
        <v>7442</v>
      </c>
      <c r="Q26" s="16">
        <f t="shared" ref="Q26:Q27" si="28">+P26/SUM($P$25:$P$38)</f>
        <v>8.7533374892671045E-2</v>
      </c>
      <c r="R26" s="15">
        <f t="shared" si="10"/>
        <v>7994</v>
      </c>
      <c r="S26" s="16">
        <f t="shared" ref="S26:S27" si="29">+R26/SUM($R$25:$R$38)</f>
        <v>8.9161034151999816E-2</v>
      </c>
      <c r="T26" s="27">
        <f t="shared" si="3"/>
        <v>8.8347204522335437E-2</v>
      </c>
      <c r="U26" s="161"/>
      <c r="V26" s="15">
        <f t="shared" si="13"/>
        <v>8841</v>
      </c>
      <c r="W26" s="15">
        <f t="shared" si="11"/>
        <v>847</v>
      </c>
      <c r="AF26">
        <v>279948</v>
      </c>
      <c r="AG26">
        <f t="shared" si="14"/>
        <v>4882453</v>
      </c>
    </row>
    <row r="27" spans="1:33">
      <c r="A27" s="23"/>
      <c r="B27" s="10">
        <f t="shared" si="4"/>
        <v>-463175.47297789319</v>
      </c>
      <c r="C27" s="5">
        <f t="shared" si="12"/>
        <v>19</v>
      </c>
      <c r="D27" s="137">
        <v>597691</v>
      </c>
      <c r="E27" s="137">
        <v>629623</v>
      </c>
      <c r="F27" s="10">
        <f t="shared" si="5"/>
        <v>1135193.4729778932</v>
      </c>
      <c r="G27" s="475">
        <v>672018</v>
      </c>
      <c r="H27" s="25">
        <f t="shared" si="6"/>
        <v>5.3425599515468658E-2</v>
      </c>
      <c r="I27" s="25">
        <f t="shared" si="0"/>
        <v>0.80297332368400332</v>
      </c>
      <c r="J27" s="25">
        <f t="shared" si="1"/>
        <v>6.7333944280942637E-2</v>
      </c>
      <c r="K27" s="10">
        <f t="shared" si="7"/>
        <v>7635</v>
      </c>
      <c r="L27" s="26">
        <f t="shared" si="26"/>
        <v>8.9803455698138065E-2</v>
      </c>
      <c r="M27" s="10">
        <f t="shared" si="8"/>
        <v>8566</v>
      </c>
      <c r="N27" s="26">
        <f t="shared" si="27"/>
        <v>9.5540832942961035E-2</v>
      </c>
      <c r="O27" s="29">
        <f t="shared" si="2"/>
        <v>8.9803455698138065E-2</v>
      </c>
      <c r="P27" s="15">
        <f t="shared" si="9"/>
        <v>7635</v>
      </c>
      <c r="Q27" s="16">
        <f t="shared" si="28"/>
        <v>8.9803455698138065E-2</v>
      </c>
      <c r="R27" s="15">
        <f t="shared" si="10"/>
        <v>8566</v>
      </c>
      <c r="S27" s="16">
        <f t="shared" si="29"/>
        <v>9.5540832942961035E-2</v>
      </c>
      <c r="T27" s="27">
        <f t="shared" si="3"/>
        <v>9.2672144320549543E-2</v>
      </c>
      <c r="U27" s="161"/>
      <c r="V27" s="15">
        <f t="shared" si="13"/>
        <v>7134</v>
      </c>
      <c r="W27" s="15">
        <f t="shared" si="11"/>
        <v>-1432</v>
      </c>
    </row>
    <row r="28" spans="1:33">
      <c r="A28" s="23"/>
      <c r="B28" s="10">
        <f t="shared" si="4"/>
        <v>-517477.43191326759</v>
      </c>
      <c r="C28" s="5">
        <f t="shared" si="12"/>
        <v>20</v>
      </c>
      <c r="D28" s="137">
        <v>604479</v>
      </c>
      <c r="E28" s="137">
        <v>638268</v>
      </c>
      <c r="F28" s="10">
        <f t="shared" si="5"/>
        <v>1204611.4319132676</v>
      </c>
      <c r="G28" s="475">
        <v>687134</v>
      </c>
      <c r="H28" s="25">
        <f t="shared" si="6"/>
        <v>5.589772349411648E-2</v>
      </c>
      <c r="I28" s="25">
        <f t="shared" si="0"/>
        <v>0.88731290290797538</v>
      </c>
      <c r="J28" s="25">
        <f t="shared" si="1"/>
        <v>7.6560316356138802E-2</v>
      </c>
      <c r="K28" s="10">
        <f t="shared" si="7"/>
        <v>6788</v>
      </c>
      <c r="L28" s="26">
        <f>+K28/SUM($K$28:$K$38)</f>
        <v>0.11617916374279015</v>
      </c>
      <c r="M28" s="10">
        <f t="shared" si="8"/>
        <v>8645</v>
      </c>
      <c r="N28" s="26">
        <f>+M28/SUM($M$28:$M$38)</f>
        <v>0.14255796312786517</v>
      </c>
      <c r="O28" s="29">
        <f t="shared" si="2"/>
        <v>0.11617916374279015</v>
      </c>
      <c r="P28" s="15">
        <f t="shared" si="9"/>
        <v>6788</v>
      </c>
      <c r="Q28" s="16">
        <f>+P28/SUM($P$28:$P$38)</f>
        <v>0.11617916374279015</v>
      </c>
      <c r="R28" s="15">
        <f t="shared" si="10"/>
        <v>8645</v>
      </c>
      <c r="S28" s="16">
        <f>+R28/SUM($R$28:$R$38)</f>
        <v>0.14255796312786517</v>
      </c>
      <c r="T28" s="27">
        <f t="shared" si="3"/>
        <v>0.12936856343532765</v>
      </c>
      <c r="U28" s="161"/>
      <c r="V28" s="15">
        <f t="shared" si="13"/>
        <v>15116</v>
      </c>
      <c r="W28" s="15">
        <f t="shared" si="11"/>
        <v>6471</v>
      </c>
    </row>
    <row r="29" spans="1:33">
      <c r="A29" s="23"/>
      <c r="B29" s="10">
        <f t="shared" si="4"/>
        <v>-570480.17375770048</v>
      </c>
      <c r="C29" s="5">
        <f t="shared" si="12"/>
        <v>21</v>
      </c>
      <c r="D29" s="137">
        <v>609523</v>
      </c>
      <c r="E29" s="137">
        <v>647696</v>
      </c>
      <c r="F29" s="10">
        <f t="shared" si="5"/>
        <v>1269485.1737577005</v>
      </c>
      <c r="G29" s="475">
        <v>699005</v>
      </c>
      <c r="H29" s="25">
        <f t="shared" si="6"/>
        <v>6.2627661302362636E-2</v>
      </c>
      <c r="I29" s="25">
        <f t="shared" si="0"/>
        <v>0.96000156517517543</v>
      </c>
      <c r="J29" s="25">
        <f t="shared" si="1"/>
        <v>7.9217719423927191E-2</v>
      </c>
      <c r="K29" s="10">
        <f t="shared" si="7"/>
        <v>5044</v>
      </c>
      <c r="L29" s="26">
        <f t="shared" ref="L29:L32" si="30">+K29/SUM($K$28:$K$38)</f>
        <v>8.63299501942595E-2</v>
      </c>
      <c r="M29" s="10">
        <f t="shared" si="8"/>
        <v>9428</v>
      </c>
      <c r="N29" s="26">
        <f t="shared" ref="N29:N32" si="31">+M29/SUM($M$28:$M$38)</f>
        <v>0.15546980640480196</v>
      </c>
      <c r="O29" s="29">
        <f t="shared" si="2"/>
        <v>8.63299501942595E-2</v>
      </c>
      <c r="P29" s="15">
        <f t="shared" si="9"/>
        <v>5044</v>
      </c>
      <c r="Q29" s="16">
        <f t="shared" ref="Q29:Q32" si="32">+P29/SUM($P$28:$P$38)</f>
        <v>8.63299501942595E-2</v>
      </c>
      <c r="R29" s="15">
        <f t="shared" si="10"/>
        <v>9428</v>
      </c>
      <c r="S29" s="16">
        <f t="shared" ref="S29:S32" si="33">+R29/SUM($R$28:$R$38)</f>
        <v>0.15546980640480196</v>
      </c>
      <c r="T29" s="27">
        <f t="shared" si="3"/>
        <v>0.12089987829953072</v>
      </c>
      <c r="U29" s="161"/>
      <c r="V29" s="15">
        <f t="shared" si="13"/>
        <v>11871</v>
      </c>
      <c r="W29" s="15">
        <f t="shared" si="11"/>
        <v>2443</v>
      </c>
    </row>
    <row r="30" spans="1:33">
      <c r="A30" s="23"/>
      <c r="B30" s="10">
        <f t="shared" si="4"/>
        <v>-644809.06636194023</v>
      </c>
      <c r="C30" s="5">
        <f t="shared" si="12"/>
        <v>22</v>
      </c>
      <c r="D30" s="137">
        <v>621538</v>
      </c>
      <c r="E30" s="137">
        <v>653969</v>
      </c>
      <c r="F30" s="10">
        <f t="shared" si="5"/>
        <v>1352411.0663619402</v>
      </c>
      <c r="G30" s="475">
        <v>707602</v>
      </c>
      <c r="H30" s="25">
        <f t="shared" si="6"/>
        <v>5.2178627855416826E-2</v>
      </c>
      <c r="I30" s="25">
        <f t="shared" si="0"/>
        <v>1.0680048539945171</v>
      </c>
      <c r="J30" s="25">
        <f t="shared" si="1"/>
        <v>8.2011532656746766E-2</v>
      </c>
      <c r="K30" s="10">
        <f t="shared" si="7"/>
        <v>12015</v>
      </c>
      <c r="L30" s="26">
        <f t="shared" si="30"/>
        <v>0.20564122751467642</v>
      </c>
      <c r="M30" s="10">
        <f t="shared" si="8"/>
        <v>6273</v>
      </c>
      <c r="N30" s="26">
        <f t="shared" si="31"/>
        <v>0.10344315820718314</v>
      </c>
      <c r="O30" s="29">
        <f t="shared" si="2"/>
        <v>0.20564122751467642</v>
      </c>
      <c r="P30" s="15">
        <f t="shared" si="9"/>
        <v>12015</v>
      </c>
      <c r="Q30" s="16">
        <f t="shared" si="32"/>
        <v>0.20564122751467642</v>
      </c>
      <c r="R30" s="15">
        <f t="shared" si="10"/>
        <v>6273</v>
      </c>
      <c r="S30" s="16">
        <f t="shared" si="33"/>
        <v>0.10344315820718314</v>
      </c>
      <c r="T30" s="27">
        <f t="shared" si="3"/>
        <v>0.15454219286092979</v>
      </c>
      <c r="U30" s="161"/>
      <c r="V30" s="15">
        <f t="shared" si="13"/>
        <v>8597</v>
      </c>
      <c r="W30" s="15">
        <f t="shared" si="11"/>
        <v>2324</v>
      </c>
    </row>
    <row r="31" spans="1:33">
      <c r="A31" s="23">
        <v>705204.58297775348</v>
      </c>
      <c r="B31" s="10">
        <f t="shared" si="4"/>
        <v>-680119.41962537658</v>
      </c>
      <c r="C31" s="5">
        <f t="shared" si="12"/>
        <v>23</v>
      </c>
      <c r="D31" s="137">
        <v>626648</v>
      </c>
      <c r="E31" s="137">
        <v>658215</v>
      </c>
      <c r="F31" s="10">
        <f t="shared" si="5"/>
        <v>1394661.4196253766</v>
      </c>
      <c r="G31" s="475">
        <v>714542</v>
      </c>
      <c r="H31" s="25">
        <f t="shared" si="6"/>
        <v>5.0374372853659422E-2</v>
      </c>
      <c r="I31" s="25">
        <f t="shared" si="0"/>
        <v>1.1188538997521729</v>
      </c>
      <c r="J31" s="25">
        <f t="shared" si="1"/>
        <v>8.5575381904089198E-2</v>
      </c>
      <c r="K31" s="10">
        <f t="shared" si="7"/>
        <v>5110</v>
      </c>
      <c r="L31" s="26">
        <f t="shared" si="30"/>
        <v>8.7459564927174077E-2</v>
      </c>
      <c r="M31" s="10">
        <f t="shared" si="8"/>
        <v>4246</v>
      </c>
      <c r="N31" s="26">
        <f t="shared" si="31"/>
        <v>7.001747963457669E-2</v>
      </c>
      <c r="O31" s="29">
        <f t="shared" si="2"/>
        <v>8.7459564927174077E-2</v>
      </c>
      <c r="P31" s="15">
        <f t="shared" si="9"/>
        <v>5110</v>
      </c>
      <c r="Q31" s="16">
        <f t="shared" si="32"/>
        <v>8.7459564927174077E-2</v>
      </c>
      <c r="R31" s="15">
        <f t="shared" si="10"/>
        <v>4246</v>
      </c>
      <c r="S31" s="16">
        <f t="shared" si="33"/>
        <v>7.001747963457669E-2</v>
      </c>
      <c r="T31" s="27">
        <f t="shared" si="3"/>
        <v>7.8738522280875384E-2</v>
      </c>
      <c r="U31" s="161"/>
      <c r="V31" s="15">
        <f t="shared" si="13"/>
        <v>6940</v>
      </c>
      <c r="W31" s="15">
        <f t="shared" si="11"/>
        <v>2694</v>
      </c>
    </row>
    <row r="32" spans="1:33">
      <c r="A32" s="23"/>
      <c r="B32" s="10">
        <f t="shared" si="4"/>
        <v>-727077.98664616118</v>
      </c>
      <c r="C32" s="5">
        <f t="shared" si="12"/>
        <v>24</v>
      </c>
      <c r="D32" s="137">
        <v>632342</v>
      </c>
      <c r="E32" s="137">
        <v>664791</v>
      </c>
      <c r="F32" s="10">
        <f t="shared" si="5"/>
        <v>1449901.9866461612</v>
      </c>
      <c r="G32" s="475">
        <v>722824</v>
      </c>
      <c r="H32" s="25">
        <f t="shared" si="6"/>
        <v>5.1315585553387333E-2</v>
      </c>
      <c r="I32" s="25">
        <f t="shared" si="0"/>
        <v>1.1809891930639269</v>
      </c>
      <c r="J32" s="25">
        <f t="shared" si="1"/>
        <v>8.7295104777290966E-2</v>
      </c>
      <c r="K32" s="10">
        <f t="shared" si="7"/>
        <v>5694</v>
      </c>
      <c r="L32" s="26">
        <f t="shared" si="30"/>
        <v>9.745494377599398E-2</v>
      </c>
      <c r="M32" s="10">
        <f t="shared" si="8"/>
        <v>6576</v>
      </c>
      <c r="N32" s="26">
        <f t="shared" si="31"/>
        <v>0.1084396952607104</v>
      </c>
      <c r="O32" s="29">
        <f t="shared" si="2"/>
        <v>9.745494377599398E-2</v>
      </c>
      <c r="P32" s="15">
        <f t="shared" si="9"/>
        <v>5694</v>
      </c>
      <c r="Q32" s="16">
        <f t="shared" si="32"/>
        <v>9.745494377599398E-2</v>
      </c>
      <c r="R32" s="15">
        <f t="shared" si="10"/>
        <v>6576</v>
      </c>
      <c r="S32" s="16">
        <f t="shared" si="33"/>
        <v>0.1084396952607104</v>
      </c>
      <c r="T32" s="27">
        <f t="shared" si="3"/>
        <v>0.10294731951835219</v>
      </c>
      <c r="U32" s="161"/>
      <c r="V32" s="15">
        <f>+G32-G31</f>
        <v>8282</v>
      </c>
      <c r="W32" s="15">
        <f t="shared" si="11"/>
        <v>1706</v>
      </c>
    </row>
    <row r="33" spans="1:23">
      <c r="A33" s="23"/>
      <c r="B33" s="10">
        <f t="shared" si="4"/>
        <v>-839031.3579444855</v>
      </c>
      <c r="C33" s="5">
        <f t="shared" si="12"/>
        <v>25</v>
      </c>
      <c r="D33" s="137">
        <v>637115</v>
      </c>
      <c r="E33" s="137">
        <v>670813</v>
      </c>
      <c r="F33" s="10">
        <f t="shared" si="5"/>
        <v>1567186.3579444855</v>
      </c>
      <c r="G33" s="475">
        <v>728155</v>
      </c>
      <c r="H33" s="25">
        <f t="shared" si="6"/>
        <v>5.2891550191095815E-2</v>
      </c>
      <c r="I33" s="25">
        <f t="shared" si="0"/>
        <v>1.3362492348008841</v>
      </c>
      <c r="J33" s="25">
        <f t="shared" si="1"/>
        <v>8.5481348751440311E-2</v>
      </c>
      <c r="K33" s="10">
        <f t="shared" si="7"/>
        <v>4773</v>
      </c>
      <c r="L33" s="26">
        <f>+K33/SUM($K$33:$K$38)</f>
        <v>0.2007486541049798</v>
      </c>
      <c r="M33" s="10">
        <f t="shared" si="8"/>
        <v>6022</v>
      </c>
      <c r="N33" s="26">
        <f>+M33/SUM($M$33:$M$38)</f>
        <v>0.23639789589385254</v>
      </c>
      <c r="O33" s="29">
        <f t="shared" si="2"/>
        <v>0.2007486541049798</v>
      </c>
      <c r="P33" s="15">
        <f t="shared" si="9"/>
        <v>4773</v>
      </c>
      <c r="Q33" s="16">
        <f>+P33/SUM($P$33:$P$38)</f>
        <v>0.2007486541049798</v>
      </c>
      <c r="R33" s="15">
        <f t="shared" si="10"/>
        <v>6022</v>
      </c>
      <c r="S33" s="16">
        <f>+R33/SUM($R$33:$R$38)</f>
        <v>0.23639789589385254</v>
      </c>
      <c r="T33" s="27">
        <f t="shared" si="3"/>
        <v>0.21857327499941617</v>
      </c>
      <c r="U33" s="161"/>
      <c r="V33" s="15">
        <f t="shared" si="13"/>
        <v>5331</v>
      </c>
      <c r="W33" s="15">
        <f t="shared" si="11"/>
        <v>-691</v>
      </c>
    </row>
    <row r="34" spans="1:23">
      <c r="A34" s="23"/>
      <c r="B34" s="10">
        <f t="shared" si="4"/>
        <v>-964574.15105858841</v>
      </c>
      <c r="C34" s="5">
        <f t="shared" si="12"/>
        <v>26</v>
      </c>
      <c r="D34" s="137">
        <v>641271</v>
      </c>
      <c r="E34" s="137">
        <v>675955</v>
      </c>
      <c r="F34" s="10">
        <f t="shared" si="5"/>
        <v>1696785.1510585884</v>
      </c>
      <c r="G34" s="475">
        <v>732211</v>
      </c>
      <c r="H34" s="25">
        <f t="shared" ref="H34:H35" si="34">+E34/D34-1</f>
        <v>5.4086337913300309E-2</v>
      </c>
      <c r="I34" s="25">
        <f t="shared" si="0"/>
        <v>1.5102043051069796</v>
      </c>
      <c r="J34" s="25">
        <f t="shared" si="1"/>
        <v>8.3224475002034115E-2</v>
      </c>
      <c r="K34" s="10">
        <f t="shared" si="7"/>
        <v>4156</v>
      </c>
      <c r="L34" s="26">
        <f>+K34/SUM($K$34:$K$38)</f>
        <v>0.21870231016155345</v>
      </c>
      <c r="M34" s="10">
        <f t="shared" ref="M34:M38" si="35">+E34-E33</f>
        <v>5142</v>
      </c>
      <c r="N34" s="26">
        <f>+M34/SUM($M$34:$M$38)</f>
        <v>0.26434299814929058</v>
      </c>
      <c r="O34" s="29">
        <f t="shared" ref="O34:O38" si="36">L34</f>
        <v>0.21870231016155345</v>
      </c>
      <c r="P34" s="15">
        <f t="shared" ref="P34:P36" si="37">+D34-D33</f>
        <v>4156</v>
      </c>
      <c r="Q34" s="16">
        <f>+P34/SUM($P$34:$P$38)</f>
        <v>0.21870231016155345</v>
      </c>
      <c r="R34" s="15">
        <f t="shared" si="10"/>
        <v>5142</v>
      </c>
      <c r="S34" s="16">
        <f>+R34/SUM($R$34:$R$38)</f>
        <v>0.26434299814929058</v>
      </c>
      <c r="T34" s="27">
        <f t="shared" si="3"/>
        <v>0.24152265415542201</v>
      </c>
      <c r="U34" s="161"/>
      <c r="V34" s="15">
        <f t="shared" si="13"/>
        <v>4056</v>
      </c>
      <c r="W34" s="15">
        <f t="shared" si="11"/>
        <v>-1086</v>
      </c>
    </row>
    <row r="35" spans="1:23">
      <c r="A35" s="23"/>
      <c r="B35" s="10">
        <f t="shared" si="4"/>
        <v>-1072936.8983255636</v>
      </c>
      <c r="C35" s="5">
        <f t="shared" si="12"/>
        <v>27</v>
      </c>
      <c r="D35" s="137">
        <v>645122</v>
      </c>
      <c r="E35" s="137">
        <v>680315</v>
      </c>
      <c r="F35" s="10">
        <f t="shared" si="5"/>
        <v>1811291.8983255636</v>
      </c>
      <c r="G35" s="475">
        <v>738355</v>
      </c>
      <c r="H35" s="25">
        <f t="shared" si="34"/>
        <v>5.4552472245559702E-2</v>
      </c>
      <c r="I35" s="25">
        <f t="shared" si="0"/>
        <v>1.6624312242498895</v>
      </c>
      <c r="J35" s="25">
        <f t="shared" si="1"/>
        <v>8.5313420988806676E-2</v>
      </c>
      <c r="K35" s="10">
        <f t="shared" si="7"/>
        <v>3851</v>
      </c>
      <c r="L35" s="26">
        <f t="shared" ref="L35:L38" si="38">+K35/SUM($K$34:$K$38)</f>
        <v>0.20265221280850393</v>
      </c>
      <c r="M35" s="10">
        <f t="shared" si="35"/>
        <v>4360</v>
      </c>
      <c r="N35" s="26">
        <f t="shared" ref="N35:N38" si="39">+M35/SUM($M$34:$M$38)</f>
        <v>0.22414147645486326</v>
      </c>
      <c r="O35" s="29">
        <f t="shared" si="36"/>
        <v>0.20265221280850393</v>
      </c>
      <c r="P35" s="15">
        <f t="shared" si="37"/>
        <v>3851</v>
      </c>
      <c r="Q35" s="16">
        <f t="shared" ref="Q35:Q38" si="40">+P35/SUM($P$34:$P$38)</f>
        <v>0.20265221280850393</v>
      </c>
      <c r="R35" s="15">
        <f t="shared" si="10"/>
        <v>4360</v>
      </c>
      <c r="S35" s="16">
        <f t="shared" ref="S35:S38" si="41">+R35/SUM($R$34:$R$38)</f>
        <v>0.22414147645486326</v>
      </c>
      <c r="T35" s="27">
        <f t="shared" si="3"/>
        <v>0.2133968446316836</v>
      </c>
      <c r="U35" s="161"/>
      <c r="V35" s="15">
        <f t="shared" si="13"/>
        <v>6144</v>
      </c>
      <c r="W35" s="15">
        <f t="shared" si="11"/>
        <v>1784</v>
      </c>
    </row>
    <row r="36" spans="1:23">
      <c r="A36" s="23"/>
      <c r="B36" s="10">
        <f t="shared" si="4"/>
        <v>-1170083.8804785551</v>
      </c>
      <c r="C36" s="5">
        <f t="shared" si="12"/>
        <v>28</v>
      </c>
      <c r="D36" s="137">
        <v>648083</v>
      </c>
      <c r="E36" s="137">
        <v>684652</v>
      </c>
      <c r="F36" s="10">
        <f t="shared" si="5"/>
        <v>1912915.8804785551</v>
      </c>
      <c r="G36" s="475">
        <v>742832</v>
      </c>
      <c r="H36" s="25">
        <f>+E36/D36-1</f>
        <v>5.6426414517893431E-2</v>
      </c>
      <c r="I36" s="25">
        <f t="shared" si="0"/>
        <v>1.7939973599413355</v>
      </c>
      <c r="J36" s="25">
        <f t="shared" si="1"/>
        <v>8.4977477609062602E-2</v>
      </c>
      <c r="K36" s="10">
        <f t="shared" si="7"/>
        <v>2961</v>
      </c>
      <c r="L36" s="26">
        <f t="shared" si="38"/>
        <v>0.15581750249960533</v>
      </c>
      <c r="M36" s="10">
        <f t="shared" si="35"/>
        <v>4337</v>
      </c>
      <c r="N36" s="26">
        <f t="shared" si="39"/>
        <v>0.22295907875796833</v>
      </c>
      <c r="O36" s="29">
        <f t="shared" si="36"/>
        <v>0.15581750249960533</v>
      </c>
      <c r="P36" s="15">
        <f t="shared" si="37"/>
        <v>2961</v>
      </c>
      <c r="Q36" s="16">
        <f t="shared" si="40"/>
        <v>0.15581750249960533</v>
      </c>
      <c r="R36" s="15">
        <f t="shared" si="10"/>
        <v>4337</v>
      </c>
      <c r="S36" s="16">
        <f t="shared" si="41"/>
        <v>0.22295907875796833</v>
      </c>
      <c r="T36" s="27">
        <f t="shared" si="3"/>
        <v>0.18938829062878682</v>
      </c>
      <c r="U36" s="161"/>
      <c r="V36" s="15"/>
      <c r="W36" s="15"/>
    </row>
    <row r="37" spans="1:23">
      <c r="A37" s="23"/>
      <c r="B37" s="10">
        <f t="shared" si="4"/>
        <v>-1257968.266449854</v>
      </c>
      <c r="C37" s="5">
        <f t="shared" si="12"/>
        <v>29</v>
      </c>
      <c r="D37" s="137">
        <v>651686</v>
      </c>
      <c r="E37" s="137">
        <v>687748</v>
      </c>
      <c r="F37" s="10">
        <f t="shared" si="5"/>
        <v>2006487.266449854</v>
      </c>
      <c r="G37" s="475">
        <v>748519</v>
      </c>
      <c r="H37" s="25">
        <f t="shared" ref="H37:H38" si="42">+E37/D37-1</f>
        <v>5.5336465721221639E-2</v>
      </c>
      <c r="I37" s="25">
        <f t="shared" si="0"/>
        <v>1.9174745203909773</v>
      </c>
      <c r="J37" s="25">
        <f t="shared" si="1"/>
        <v>8.8362307124121076E-2</v>
      </c>
      <c r="K37" s="10">
        <f t="shared" si="7"/>
        <v>3603</v>
      </c>
      <c r="L37" s="26">
        <f>+K37/SUM($K$37:$K$38)</f>
        <v>0.44841319228375853</v>
      </c>
      <c r="M37" s="10">
        <f t="shared" si="35"/>
        <v>3096</v>
      </c>
      <c r="N37" s="26">
        <f>+M37/SUM($M$37:$M$38)</f>
        <v>0.55157669695350076</v>
      </c>
      <c r="O37" s="29">
        <f t="shared" si="36"/>
        <v>0.44841319228375853</v>
      </c>
      <c r="P37" s="15">
        <f t="shared" ref="P37:P38" si="43">+D37-D36</f>
        <v>3603</v>
      </c>
      <c r="Q37" s="16">
        <f t="shared" si="40"/>
        <v>0.18960164184602432</v>
      </c>
      <c r="R37" s="15">
        <f t="shared" ref="R37:R38" si="44">+E37-E36</f>
        <v>3096</v>
      </c>
      <c r="S37" s="16">
        <f t="shared" si="41"/>
        <v>0.15916101172115979</v>
      </c>
      <c r="T37" s="27">
        <f t="shared" ref="T37:T38" si="45">+AVERAGE(Q37,S37)</f>
        <v>0.17438132678359206</v>
      </c>
      <c r="U37" s="161"/>
      <c r="V37" s="15"/>
      <c r="W37" s="15"/>
    </row>
    <row r="38" spans="1:23">
      <c r="A38" s="23"/>
      <c r="B38" s="10">
        <f t="shared" si="4"/>
        <v>13235.770159103093</v>
      </c>
      <c r="C38" s="5">
        <f t="shared" si="12"/>
        <v>30</v>
      </c>
      <c r="D38" s="137">
        <v>656118</v>
      </c>
      <c r="E38" s="137">
        <v>690265</v>
      </c>
      <c r="F38" s="30">
        <f>Resumen!D17*1000</f>
        <v>741404.22984089691</v>
      </c>
      <c r="G38" s="30">
        <v>754640</v>
      </c>
      <c r="H38" s="25">
        <f t="shared" si="42"/>
        <v>5.2043992086789226E-2</v>
      </c>
      <c r="I38" s="25">
        <f t="shared" ref="I38" si="46">+F38/E38-1</f>
        <v>7.4086372394510658E-2</v>
      </c>
      <c r="J38" s="25">
        <f t="shared" ref="J38" si="47">+G38/E38-1</f>
        <v>9.3261283709879628E-2</v>
      </c>
      <c r="K38" s="10">
        <f t="shared" si="7"/>
        <v>4432</v>
      </c>
      <c r="L38" s="26">
        <f t="shared" si="38"/>
        <v>0.233226332684313</v>
      </c>
      <c r="M38" s="10">
        <f t="shared" si="35"/>
        <v>2517</v>
      </c>
      <c r="N38" s="26">
        <f t="shared" si="39"/>
        <v>0.12939543491671807</v>
      </c>
      <c r="O38" s="29">
        <f t="shared" si="36"/>
        <v>0.233226332684313</v>
      </c>
      <c r="P38" s="15">
        <f t="shared" si="43"/>
        <v>4432</v>
      </c>
      <c r="Q38" s="16">
        <f t="shared" si="40"/>
        <v>0.233226332684313</v>
      </c>
      <c r="R38" s="15">
        <f t="shared" si="44"/>
        <v>2517</v>
      </c>
      <c r="S38" s="16">
        <f t="shared" si="41"/>
        <v>0.12939543491671807</v>
      </c>
      <c r="T38" s="27">
        <f t="shared" si="45"/>
        <v>0.18131088380051552</v>
      </c>
      <c r="U38" s="161"/>
      <c r="V38" s="15"/>
      <c r="W38" s="15"/>
    </row>
    <row r="39" spans="1:23">
      <c r="A39" s="23"/>
      <c r="B39" s="10"/>
      <c r="D39" s="10"/>
      <c r="E39" s="10"/>
      <c r="H39" s="117"/>
      <c r="I39" s="117"/>
      <c r="J39" s="117"/>
      <c r="K39"/>
      <c r="L39"/>
      <c r="M39"/>
      <c r="N39"/>
      <c r="U39" s="19"/>
    </row>
    <row r="40" spans="1:23">
      <c r="C40" s="10"/>
      <c r="D40" s="674" t="e">
        <f>+#REF!-D35</f>
        <v>#REF!</v>
      </c>
      <c r="E40" s="674" t="e">
        <f>+#REF!-E35</f>
        <v>#REF!</v>
      </c>
      <c r="F40" s="117"/>
      <c r="G40" s="10"/>
      <c r="H40" s="10"/>
      <c r="I40" s="12"/>
      <c r="J40"/>
      <c r="K40" s="12"/>
      <c r="L40" s="12"/>
      <c r="M40" s="12"/>
      <c r="N40" s="10"/>
      <c r="O40" s="11"/>
    </row>
    <row r="41" spans="1:23">
      <c r="C41" s="10"/>
      <c r="H41" s="10"/>
      <c r="I41" s="12"/>
      <c r="J41"/>
      <c r="K41" s="12"/>
      <c r="L41" s="12"/>
      <c r="M41" s="12"/>
      <c r="N41" s="10"/>
      <c r="O41" s="11"/>
    </row>
    <row r="42" spans="1:23">
      <c r="C42" s="10"/>
      <c r="D42" s="10"/>
      <c r="E42" s="10"/>
      <c r="F42" s="10"/>
      <c r="G42" s="10"/>
      <c r="H42" s="10"/>
      <c r="I42" s="12"/>
      <c r="J42" s="12"/>
      <c r="K42" s="12"/>
      <c r="L42" s="12"/>
      <c r="M42" s="12"/>
      <c r="N42" s="10"/>
      <c r="O42" s="11"/>
    </row>
    <row r="43" spans="1:23">
      <c r="C43" s="10"/>
      <c r="D43" s="10"/>
      <c r="E43" s="10"/>
      <c r="F43" s="10"/>
      <c r="G43" s="10"/>
      <c r="H43" s="10"/>
      <c r="I43" s="12"/>
      <c r="J43"/>
      <c r="K43" s="12"/>
      <c r="L43" s="12"/>
      <c r="M43" s="12"/>
      <c r="N43" s="10"/>
      <c r="O43" s="11"/>
    </row>
    <row r="44" spans="1:23">
      <c r="C44" s="10"/>
      <c r="D44" s="10"/>
      <c r="E44" s="10"/>
      <c r="F44" s="10"/>
      <c r="G44" s="10"/>
      <c r="H44" s="10"/>
      <c r="I44" s="12"/>
      <c r="J44"/>
      <c r="K44" s="12"/>
      <c r="L44" s="12"/>
      <c r="M44" s="12"/>
      <c r="N44" s="10"/>
      <c r="O44" s="11"/>
    </row>
    <row r="45" spans="1:23">
      <c r="C45" s="10"/>
      <c r="D45" s="10"/>
      <c r="E45" s="117"/>
      <c r="F45" s="117"/>
      <c r="G45" s="117"/>
      <c r="H45" s="10"/>
      <c r="I45" s="12"/>
      <c r="J45"/>
      <c r="K45" s="12"/>
      <c r="L45" s="12"/>
      <c r="M45" s="12"/>
      <c r="N45" s="10"/>
      <c r="O45" s="11"/>
    </row>
    <row r="46" spans="1:23">
      <c r="C46" s="10"/>
      <c r="D46" s="10"/>
      <c r="E46" s="10"/>
      <c r="F46" s="10"/>
      <c r="G46" s="10"/>
      <c r="H46" s="10"/>
      <c r="I46" s="12"/>
      <c r="J46"/>
      <c r="K46" s="12"/>
      <c r="L46" s="12"/>
      <c r="M46" s="12"/>
      <c r="N46" s="10"/>
      <c r="O46" s="11"/>
    </row>
    <row r="47" spans="1:23">
      <c r="A47" s="22" t="s">
        <v>183</v>
      </c>
      <c r="D47" s="9">
        <f>+D8</f>
        <v>2024</v>
      </c>
      <c r="E47" s="9">
        <f>+E8</f>
        <v>2025</v>
      </c>
      <c r="F47" s="9" t="str">
        <f>+F8</f>
        <v>2026P</v>
      </c>
      <c r="G47" s="10" t="str">
        <f>+G8</f>
        <v>2026R</v>
      </c>
      <c r="H47" s="10"/>
      <c r="I47" s="12"/>
      <c r="J47"/>
    </row>
    <row r="48" spans="1:23">
      <c r="A48" s="23"/>
      <c r="B48" s="10">
        <f t="shared" ref="B48:B59" si="48">+G48-F48</f>
        <v>2238.4000000000233</v>
      </c>
      <c r="C48" s="5">
        <v>1</v>
      </c>
      <c r="D48" s="137">
        <v>304081</v>
      </c>
      <c r="E48" s="137">
        <v>313428</v>
      </c>
      <c r="F48" s="465">
        <f>+E48*1.2</f>
        <v>376113.6</v>
      </c>
      <c r="G48" s="483">
        <v>378352</v>
      </c>
      <c r="H48" s="25">
        <f>+E48/D48-1</f>
        <v>3.0738520328465135E-2</v>
      </c>
      <c r="I48" s="25">
        <f>+F48/E48-1</f>
        <v>0.19999999999999996</v>
      </c>
      <c r="J48" s="25">
        <f>+G48/E48-1</f>
        <v>0.20714167209055989</v>
      </c>
      <c r="K48" s="10">
        <f>+D48-D47</f>
        <v>302057</v>
      </c>
      <c r="L48" s="26">
        <f>+K48/SUM($K$48:$K$77)</f>
        <v>3.8247040908760542E-2</v>
      </c>
      <c r="M48" s="10">
        <f>+E48-E47</f>
        <v>311403</v>
      </c>
      <c r="N48" s="26">
        <f>+M48/SUM($M$48:$M$77)</f>
        <v>3.7072562472737526E-2</v>
      </c>
      <c r="O48" s="29">
        <f>L48</f>
        <v>3.8247040908760542E-2</v>
      </c>
      <c r="P48" s="15">
        <f>+D48</f>
        <v>304081</v>
      </c>
      <c r="Q48" s="16">
        <f>+P48/SUM($P$48:$P$77)</f>
        <v>3.849345848814173E-2</v>
      </c>
      <c r="R48" s="15">
        <f>+E48</f>
        <v>313428</v>
      </c>
      <c r="S48" s="16">
        <f>+R48/SUM($R$48:$R$77)</f>
        <v>3.7304645679778342E-2</v>
      </c>
      <c r="T48" s="17">
        <f t="shared" ref="T48:T58" si="49">+Q48</f>
        <v>3.849345848814173E-2</v>
      </c>
      <c r="U48" s="356"/>
      <c r="V48" s="356"/>
    </row>
    <row r="49" spans="1:22">
      <c r="A49" s="23"/>
      <c r="B49" s="10">
        <f t="shared" si="48"/>
        <v>20332.589962102706</v>
      </c>
      <c r="C49" s="5">
        <f>+C48+1</f>
        <v>2</v>
      </c>
      <c r="D49" s="137">
        <v>574522</v>
      </c>
      <c r="E49" s="137">
        <v>606613</v>
      </c>
      <c r="F49" s="189">
        <f t="shared" ref="F49:F76" si="50">+($F$77-$F$48)*T49+F48</f>
        <v>697033.41003789729</v>
      </c>
      <c r="G49" s="483">
        <v>717366</v>
      </c>
      <c r="H49" s="25">
        <f>+E49/D49-1</f>
        <v>5.585686884053187E-2</v>
      </c>
      <c r="I49" s="25">
        <f>+F49/E49-1</f>
        <v>0.14905781781448346</v>
      </c>
      <c r="J49" s="25">
        <f>+G49/E49-1</f>
        <v>0.18257604106736913</v>
      </c>
      <c r="K49" s="10">
        <f>+D49-D48</f>
        <v>270441</v>
      </c>
      <c r="L49" s="26">
        <f>+K49/SUM($K$49:$K$77)</f>
        <v>3.5605569583655731E-2</v>
      </c>
      <c r="M49" s="10">
        <f>+E49-E48</f>
        <v>293185</v>
      </c>
      <c r="N49" s="26">
        <f>+M49/SUM($M$49:$M$77)</f>
        <v>3.6247495030241376E-2</v>
      </c>
      <c r="O49" s="29">
        <f>L49</f>
        <v>3.5605569583655731E-2</v>
      </c>
      <c r="P49" s="15">
        <f t="shared" ref="P49:P61" si="51">+D49-D48</f>
        <v>270441</v>
      </c>
      <c r="Q49" s="16">
        <f>+P49/SUM($P$49:$P$77)</f>
        <v>3.5605569583655731E-2</v>
      </c>
      <c r="R49" s="15">
        <f t="shared" ref="R49:R72" si="52">+E49-E48</f>
        <v>293185</v>
      </c>
      <c r="S49" s="16">
        <f>+R49/SUM($R$49:$R$77)</f>
        <v>3.6247495030241376E-2</v>
      </c>
      <c r="T49" s="17">
        <f t="shared" si="49"/>
        <v>3.5605569583655731E-2</v>
      </c>
      <c r="U49" s="356"/>
      <c r="V49" s="356"/>
    </row>
    <row r="50" spans="1:22">
      <c r="A50" s="23"/>
      <c r="B50" s="10">
        <f t="shared" si="48"/>
        <v>-9986.5659615668701</v>
      </c>
      <c r="C50" s="5">
        <f t="shared" ref="C50:C77" si="53">+C49+1</f>
        <v>3</v>
      </c>
      <c r="D50" s="137">
        <v>819601</v>
      </c>
      <c r="E50" s="137">
        <v>870085</v>
      </c>
      <c r="F50" s="189">
        <f t="shared" si="50"/>
        <v>998594.56596156687</v>
      </c>
      <c r="G50" s="483">
        <v>988608</v>
      </c>
      <c r="H50" s="25">
        <f t="shared" ref="H50:H77" si="54">+E50/D50-1</f>
        <v>6.1595825285718275E-2</v>
      </c>
      <c r="I50" s="25">
        <f t="shared" ref="I50:I77" si="55">+F50/E50-1</f>
        <v>0.14769771454693137</v>
      </c>
      <c r="J50" s="25">
        <f t="shared" ref="J50:J77" si="56">+G50/E50-1</f>
        <v>0.13622002448036685</v>
      </c>
      <c r="K50" s="10">
        <f t="shared" ref="K50:K77" si="57">+D50-D49</f>
        <v>245079</v>
      </c>
      <c r="L50" s="26">
        <f>+K50/SUM($K$50:$K$77)</f>
        <v>3.3457756065915382E-2</v>
      </c>
      <c r="M50" s="10">
        <f t="shared" ref="M50:M77" si="58">+E50-E49</f>
        <v>263472</v>
      </c>
      <c r="N50" s="26">
        <f>+M50/SUM($M$50:$M$77)</f>
        <v>3.3799104991818082E-2</v>
      </c>
      <c r="O50" s="29">
        <f t="shared" ref="O50:O77" si="59">L50</f>
        <v>3.3457756065915382E-2</v>
      </c>
      <c r="P50" s="15">
        <f t="shared" si="51"/>
        <v>245079</v>
      </c>
      <c r="Q50" s="16">
        <f>+P50/SUM($P$50:$P$77)</f>
        <v>3.3457756065915382E-2</v>
      </c>
      <c r="R50" s="15">
        <f t="shared" si="52"/>
        <v>263472</v>
      </c>
      <c r="S50" s="16">
        <f>+R50/SUM($R$50:$R$77)</f>
        <v>3.3799104991818082E-2</v>
      </c>
      <c r="T50" s="17">
        <f t="shared" si="49"/>
        <v>3.3457756065915382E-2</v>
      </c>
      <c r="U50" s="356"/>
      <c r="V50" s="356"/>
    </row>
    <row r="51" spans="1:22">
      <c r="A51" s="23"/>
      <c r="B51" s="10">
        <f t="shared" si="48"/>
        <v>17950.224127508001</v>
      </c>
      <c r="C51" s="5">
        <f t="shared" si="53"/>
        <v>4</v>
      </c>
      <c r="D51" s="137">
        <v>1054694</v>
      </c>
      <c r="E51" s="137">
        <v>1148413</v>
      </c>
      <c r="F51" s="189">
        <f t="shared" si="50"/>
        <v>1297881.775872492</v>
      </c>
      <c r="G51" s="483">
        <v>1315832</v>
      </c>
      <c r="H51" s="25">
        <f t="shared" si="54"/>
        <v>8.8858948661886705E-2</v>
      </c>
      <c r="I51" s="25">
        <f t="shared" si="55"/>
        <v>0.13015245897816552</v>
      </c>
      <c r="J51" s="25">
        <f t="shared" si="56"/>
        <v>0.14578291955942668</v>
      </c>
      <c r="K51" s="10">
        <f t="shared" si="57"/>
        <v>235093</v>
      </c>
      <c r="L51" s="26">
        <f>+K51/SUM($K$51:$K$77)</f>
        <v>3.3205465180610766E-2</v>
      </c>
      <c r="M51" s="10">
        <f t="shared" si="58"/>
        <v>278328</v>
      </c>
      <c r="N51" s="26">
        <f>+M51/SUM($M$51:$M$77)</f>
        <v>3.6953892872904674E-2</v>
      </c>
      <c r="O51" s="29">
        <f t="shared" si="59"/>
        <v>3.3205465180610766E-2</v>
      </c>
      <c r="P51" s="15">
        <f t="shared" si="51"/>
        <v>235093</v>
      </c>
      <c r="Q51" s="16">
        <f>+P51/SUM($P$51:$P$77)</f>
        <v>3.3205465180610766E-2</v>
      </c>
      <c r="R51" s="15">
        <f t="shared" si="52"/>
        <v>278328</v>
      </c>
      <c r="S51" s="16">
        <f>+R51/SUM($R$51:$R$77)</f>
        <v>3.6953892872904674E-2</v>
      </c>
      <c r="T51" s="17">
        <f t="shared" si="49"/>
        <v>3.3205465180610766E-2</v>
      </c>
      <c r="U51" s="356"/>
      <c r="V51" s="356"/>
    </row>
    <row r="52" spans="1:22">
      <c r="A52" s="23"/>
      <c r="B52" s="10">
        <f t="shared" si="48"/>
        <v>-35116.327476381557</v>
      </c>
      <c r="C52" s="5">
        <f t="shared" si="53"/>
        <v>5</v>
      </c>
      <c r="D52" s="137">
        <v>1329483</v>
      </c>
      <c r="E52" s="137">
        <v>1454812</v>
      </c>
      <c r="F52" s="189">
        <f t="shared" si="50"/>
        <v>1647704.3274763816</v>
      </c>
      <c r="G52" s="475">
        <v>1612588</v>
      </c>
      <c r="H52" s="25">
        <f t="shared" si="54"/>
        <v>9.4268975233229746E-2</v>
      </c>
      <c r="I52" s="25">
        <f t="shared" si="55"/>
        <v>0.13258917817311211</v>
      </c>
      <c r="J52" s="25">
        <f t="shared" si="56"/>
        <v>0.10845112633109988</v>
      </c>
      <c r="K52" s="10">
        <f t="shared" si="57"/>
        <v>274789</v>
      </c>
      <c r="L52" s="26">
        <f t="shared" ref="L52:L56" si="60">+K52/SUM($K$51:$K$77)</f>
        <v>3.8812285229738237E-2</v>
      </c>
      <c r="M52" s="10">
        <f t="shared" si="58"/>
        <v>306399</v>
      </c>
      <c r="N52" s="26">
        <f t="shared" ref="N52:N56" si="61">+M52/SUM($M$51:$M$77)</f>
        <v>4.0680908217517173E-2</v>
      </c>
      <c r="O52" s="29">
        <f t="shared" si="59"/>
        <v>3.8812285229738237E-2</v>
      </c>
      <c r="P52" s="15">
        <f t="shared" si="51"/>
        <v>274789</v>
      </c>
      <c r="Q52" s="16">
        <f t="shared" ref="Q52:Q56" si="62">+P52/SUM($P$51:$P$77)</f>
        <v>3.8812285229738237E-2</v>
      </c>
      <c r="R52" s="15">
        <f t="shared" si="52"/>
        <v>306399</v>
      </c>
      <c r="S52" s="16">
        <f t="shared" ref="S52:S56" si="63">+R52/SUM($R$51:$R$77)</f>
        <v>4.0680908217517173E-2</v>
      </c>
      <c r="T52" s="17">
        <f t="shared" si="49"/>
        <v>3.8812285229738237E-2</v>
      </c>
      <c r="U52" s="18"/>
    </row>
    <row r="53" spans="1:22">
      <c r="A53" s="23"/>
      <c r="B53" s="10">
        <f t="shared" si="48"/>
        <v>-52336.955293206032</v>
      </c>
      <c r="C53" s="5">
        <f t="shared" si="53"/>
        <v>6</v>
      </c>
      <c r="D53" s="137">
        <v>1608341</v>
      </c>
      <c r="E53" s="137">
        <v>1722043</v>
      </c>
      <c r="F53" s="189">
        <f t="shared" si="50"/>
        <v>2002706.955293206</v>
      </c>
      <c r="G53" s="475">
        <v>1950370</v>
      </c>
      <c r="H53" s="25">
        <f t="shared" si="54"/>
        <v>7.0695207048753872E-2</v>
      </c>
      <c r="I53" s="25">
        <f t="shared" si="55"/>
        <v>0.16298312834999251</v>
      </c>
      <c r="J53" s="25">
        <f t="shared" si="56"/>
        <v>0.13259076573581496</v>
      </c>
      <c r="K53" s="10">
        <f t="shared" si="57"/>
        <v>278858</v>
      </c>
      <c r="L53" s="26">
        <f t="shared" si="60"/>
        <v>3.9387006883806648E-2</v>
      </c>
      <c r="M53" s="10">
        <f t="shared" si="58"/>
        <v>267231</v>
      </c>
      <c r="N53" s="26">
        <f t="shared" si="61"/>
        <v>3.5480532847285175E-2</v>
      </c>
      <c r="O53" s="29">
        <f t="shared" si="59"/>
        <v>3.9387006883806648E-2</v>
      </c>
      <c r="P53" s="15">
        <f t="shared" si="51"/>
        <v>278858</v>
      </c>
      <c r="Q53" s="16">
        <f t="shared" si="62"/>
        <v>3.9387006883806648E-2</v>
      </c>
      <c r="R53" s="15">
        <f t="shared" si="52"/>
        <v>267231</v>
      </c>
      <c r="S53" s="16">
        <f t="shared" si="63"/>
        <v>3.5480532847285175E-2</v>
      </c>
      <c r="T53" s="17">
        <f t="shared" si="49"/>
        <v>3.9387006883806648E-2</v>
      </c>
      <c r="U53" s="18"/>
    </row>
    <row r="54" spans="1:22">
      <c r="A54" s="23"/>
      <c r="B54" s="10">
        <f t="shared" si="48"/>
        <v>-60043.925224025268</v>
      </c>
      <c r="C54" s="5">
        <f t="shared" si="53"/>
        <v>7</v>
      </c>
      <c r="D54" s="137">
        <v>1846275</v>
      </c>
      <c r="E54" s="137">
        <v>2008078</v>
      </c>
      <c r="F54" s="189">
        <f t="shared" si="50"/>
        <v>2305610.9252240253</v>
      </c>
      <c r="G54" s="475">
        <v>2245567</v>
      </c>
      <c r="H54" s="25">
        <f t="shared" si="54"/>
        <v>8.7637540453074481E-2</v>
      </c>
      <c r="I54" s="25">
        <f t="shared" si="55"/>
        <v>0.1481680120114981</v>
      </c>
      <c r="J54" s="25">
        <f t="shared" si="56"/>
        <v>0.11826682031275682</v>
      </c>
      <c r="K54" s="10">
        <f t="shared" si="57"/>
        <v>237934</v>
      </c>
      <c r="L54" s="26">
        <f t="shared" si="60"/>
        <v>3.3606739257585047E-2</v>
      </c>
      <c r="M54" s="10">
        <f t="shared" si="58"/>
        <v>286035</v>
      </c>
      <c r="N54" s="26">
        <f t="shared" si="61"/>
        <v>3.7977159135628782E-2</v>
      </c>
      <c r="O54" s="29">
        <f t="shared" si="59"/>
        <v>3.3606739257585047E-2</v>
      </c>
      <c r="P54" s="15">
        <f t="shared" si="51"/>
        <v>237934</v>
      </c>
      <c r="Q54" s="16">
        <f t="shared" si="62"/>
        <v>3.3606739257585047E-2</v>
      </c>
      <c r="R54" s="15">
        <f t="shared" si="52"/>
        <v>286035</v>
      </c>
      <c r="S54" s="16">
        <f t="shared" si="63"/>
        <v>3.7977159135628782E-2</v>
      </c>
      <c r="T54" s="17">
        <f t="shared" si="49"/>
        <v>3.3606739257585047E-2</v>
      </c>
      <c r="U54" s="18"/>
    </row>
    <row r="55" spans="1:22">
      <c r="A55" s="23"/>
      <c r="B55" s="10">
        <f t="shared" si="48"/>
        <v>-68732.218199010007</v>
      </c>
      <c r="C55" s="5">
        <f t="shared" si="53"/>
        <v>8</v>
      </c>
      <c r="D55" s="137">
        <v>2084635</v>
      </c>
      <c r="E55" s="137">
        <v>2287958</v>
      </c>
      <c r="F55" s="189">
        <f t="shared" si="50"/>
        <v>2609057.21819901</v>
      </c>
      <c r="G55" s="475">
        <v>2540325</v>
      </c>
      <c r="H55" s="25">
        <f t="shared" si="54"/>
        <v>9.753410069388635E-2</v>
      </c>
      <c r="I55" s="25">
        <f t="shared" si="55"/>
        <v>0.14034314362370726</v>
      </c>
      <c r="J55" s="25">
        <f t="shared" si="56"/>
        <v>0.11030228701750655</v>
      </c>
      <c r="K55" s="10">
        <f t="shared" si="57"/>
        <v>238360</v>
      </c>
      <c r="L55" s="26">
        <f t="shared" si="60"/>
        <v>3.3666909182537896E-2</v>
      </c>
      <c r="M55" s="10">
        <f t="shared" si="58"/>
        <v>279880</v>
      </c>
      <c r="N55" s="26">
        <f t="shared" si="61"/>
        <v>3.7159953498277429E-2</v>
      </c>
      <c r="O55" s="29">
        <f t="shared" si="59"/>
        <v>3.3666909182537896E-2</v>
      </c>
      <c r="P55" s="15">
        <f t="shared" si="51"/>
        <v>238360</v>
      </c>
      <c r="Q55" s="16">
        <f t="shared" si="62"/>
        <v>3.3666909182537896E-2</v>
      </c>
      <c r="R55" s="15">
        <f t="shared" si="52"/>
        <v>279880</v>
      </c>
      <c r="S55" s="16">
        <f t="shared" si="63"/>
        <v>3.7159953498277429E-2</v>
      </c>
      <c r="T55" s="17">
        <f t="shared" si="49"/>
        <v>3.3666909182537896E-2</v>
      </c>
      <c r="U55" s="18"/>
    </row>
    <row r="56" spans="1:22">
      <c r="A56" s="23"/>
      <c r="B56" s="10">
        <f t="shared" si="48"/>
        <v>-89732.501451869961</v>
      </c>
      <c r="C56" s="5">
        <f t="shared" si="53"/>
        <v>9</v>
      </c>
      <c r="D56" s="137">
        <v>2332015</v>
      </c>
      <c r="E56" s="137">
        <v>2555578</v>
      </c>
      <c r="F56" s="189">
        <f t="shared" si="50"/>
        <v>2923986.50145187</v>
      </c>
      <c r="G56" s="475">
        <v>2834254</v>
      </c>
      <c r="H56" s="25">
        <f t="shared" si="54"/>
        <v>9.5866879072390221E-2</v>
      </c>
      <c r="I56" s="25">
        <f t="shared" si="55"/>
        <v>0.14415858230579137</v>
      </c>
      <c r="J56" s="25">
        <f t="shared" si="56"/>
        <v>0.1090461727249179</v>
      </c>
      <c r="K56" s="10">
        <f t="shared" si="57"/>
        <v>247380</v>
      </c>
      <c r="L56" s="26">
        <f t="shared" si="60"/>
        <v>3.4940929659239069E-2</v>
      </c>
      <c r="M56" s="10">
        <f t="shared" si="58"/>
        <v>267620</v>
      </c>
      <c r="N56" s="26">
        <f t="shared" si="61"/>
        <v>3.5532180774649869E-2</v>
      </c>
      <c r="O56" s="29">
        <f t="shared" si="59"/>
        <v>3.4940929659239069E-2</v>
      </c>
      <c r="P56" s="15">
        <f t="shared" si="51"/>
        <v>247380</v>
      </c>
      <c r="Q56" s="16">
        <f t="shared" si="62"/>
        <v>3.4940929659239069E-2</v>
      </c>
      <c r="R56" s="15">
        <f t="shared" si="52"/>
        <v>267620</v>
      </c>
      <c r="S56" s="16">
        <f t="shared" si="63"/>
        <v>3.5532180774649869E-2</v>
      </c>
      <c r="T56" s="17">
        <f t="shared" si="49"/>
        <v>3.4940929659239069E-2</v>
      </c>
      <c r="U56" s="18"/>
    </row>
    <row r="57" spans="1:22">
      <c r="A57" s="23"/>
      <c r="B57" s="10">
        <f t="shared" si="48"/>
        <v>-147758.79259102419</v>
      </c>
      <c r="C57" s="5">
        <f t="shared" si="53"/>
        <v>10</v>
      </c>
      <c r="D57" s="137">
        <v>2567197</v>
      </c>
      <c r="E57" s="137">
        <v>2818156</v>
      </c>
      <c r="F57" s="189">
        <f t="shared" si="50"/>
        <v>3304718.7925910242</v>
      </c>
      <c r="G57" s="475">
        <v>3156960</v>
      </c>
      <c r="H57" s="25">
        <f t="shared" si="54"/>
        <v>9.7756035084179294E-2</v>
      </c>
      <c r="I57" s="25">
        <f t="shared" si="55"/>
        <v>0.17265289522333904</v>
      </c>
      <c r="J57" s="25">
        <f t="shared" si="56"/>
        <v>0.12022187558105379</v>
      </c>
      <c r="K57" s="10">
        <f t="shared" si="57"/>
        <v>235182</v>
      </c>
      <c r="L57" s="26">
        <f>+K57/SUM($K$57:$K$77)</f>
        <v>4.2241674277754875E-2</v>
      </c>
      <c r="M57" s="10">
        <f t="shared" si="58"/>
        <v>262578</v>
      </c>
      <c r="N57" s="26">
        <f>+M57/SUM($M$57:$M$77)</f>
        <v>4.4913757846668415E-2</v>
      </c>
      <c r="O57" s="29">
        <f t="shared" si="59"/>
        <v>4.2241674277754875E-2</v>
      </c>
      <c r="P57" s="15">
        <f t="shared" si="51"/>
        <v>235182</v>
      </c>
      <c r="Q57" s="16">
        <f>+P57/SUM($P$57:$P$77)</f>
        <v>4.2241674277754875E-2</v>
      </c>
      <c r="R57" s="15">
        <f t="shared" si="52"/>
        <v>262578</v>
      </c>
      <c r="S57" s="16">
        <f>+R57/SUM($R$57:$R$77)</f>
        <v>4.4913757846668415E-2</v>
      </c>
      <c r="T57" s="17">
        <f t="shared" si="49"/>
        <v>4.2241674277754875E-2</v>
      </c>
      <c r="U57" s="18"/>
    </row>
    <row r="58" spans="1:22">
      <c r="A58" s="23"/>
      <c r="B58" s="10">
        <f t="shared" si="48"/>
        <v>-193609.53089584596</v>
      </c>
      <c r="C58" s="5">
        <f t="shared" si="53"/>
        <v>11</v>
      </c>
      <c r="D58" s="137">
        <v>2807783</v>
      </c>
      <c r="E58" s="137">
        <v>3093335</v>
      </c>
      <c r="F58" s="189">
        <f t="shared" si="50"/>
        <v>3694199.530895846</v>
      </c>
      <c r="G58" s="475">
        <v>3500590</v>
      </c>
      <c r="H58" s="25">
        <f t="shared" si="54"/>
        <v>0.10170016700008522</v>
      </c>
      <c r="I58" s="25">
        <f t="shared" si="55"/>
        <v>0.19424489455420968</v>
      </c>
      <c r="J58" s="25">
        <f t="shared" si="56"/>
        <v>0.13165564027174548</v>
      </c>
      <c r="K58" s="10">
        <f t="shared" si="57"/>
        <v>240586</v>
      </c>
      <c r="L58" s="26">
        <f t="shared" ref="L58:L59" si="64">+K58/SUM($K$57:$K$77)</f>
        <v>4.3212301314675163E-2</v>
      </c>
      <c r="M58" s="10">
        <f t="shared" si="58"/>
        <v>275179</v>
      </c>
      <c r="N58" s="26">
        <f t="shared" ref="N58:N59" si="65">+M58/SUM($M$57:$M$77)</f>
        <v>4.7069148864293156E-2</v>
      </c>
      <c r="O58" s="29">
        <f t="shared" si="59"/>
        <v>4.3212301314675163E-2</v>
      </c>
      <c r="P58" s="15">
        <f t="shared" si="51"/>
        <v>240586</v>
      </c>
      <c r="Q58" s="16">
        <f t="shared" ref="Q58:Q59" si="66">+P58/SUM($P$57:$P$77)</f>
        <v>4.3212301314675163E-2</v>
      </c>
      <c r="R58" s="15">
        <f t="shared" si="52"/>
        <v>275179</v>
      </c>
      <c r="S58" s="16">
        <f t="shared" ref="S58:S59" si="67">+R58/SUM($R$57:$R$77)</f>
        <v>4.7069148864293156E-2</v>
      </c>
      <c r="T58" s="17">
        <f t="shared" si="49"/>
        <v>4.3212301314675163E-2</v>
      </c>
      <c r="U58" s="18"/>
    </row>
    <row r="59" spans="1:22">
      <c r="A59" s="23"/>
      <c r="B59" s="10">
        <f t="shared" si="48"/>
        <v>-371161.38178343186</v>
      </c>
      <c r="C59" s="5">
        <f t="shared" si="53"/>
        <v>12</v>
      </c>
      <c r="D59" s="137">
        <v>3068543</v>
      </c>
      <c r="E59" s="137">
        <v>3402696</v>
      </c>
      <c r="F59" s="189">
        <f t="shared" si="50"/>
        <v>4143740.3817834319</v>
      </c>
      <c r="G59" s="475">
        <v>3772579</v>
      </c>
      <c r="H59" s="25">
        <f t="shared" si="54"/>
        <v>0.10889630681401563</v>
      </c>
      <c r="I59" s="25">
        <f t="shared" si="55"/>
        <v>0.21778154198418886</v>
      </c>
      <c r="J59" s="25">
        <f t="shared" si="56"/>
        <v>0.10870292262370773</v>
      </c>
      <c r="K59" s="10">
        <f t="shared" si="57"/>
        <v>260760</v>
      </c>
      <c r="L59" s="26">
        <f t="shared" si="64"/>
        <v>4.6835807947323185E-2</v>
      </c>
      <c r="M59" s="10">
        <f t="shared" si="58"/>
        <v>309361</v>
      </c>
      <c r="N59" s="26">
        <f t="shared" si="65"/>
        <v>5.2915952750052127E-2</v>
      </c>
      <c r="O59" s="29">
        <f t="shared" si="59"/>
        <v>4.6835807947323185E-2</v>
      </c>
      <c r="P59" s="15">
        <f t="shared" si="51"/>
        <v>260760</v>
      </c>
      <c r="Q59" s="16">
        <f t="shared" si="66"/>
        <v>4.6835807947323185E-2</v>
      </c>
      <c r="R59" s="15">
        <f t="shared" si="52"/>
        <v>309361</v>
      </c>
      <c r="S59" s="16">
        <f t="shared" si="67"/>
        <v>5.2915952750052127E-2</v>
      </c>
      <c r="T59" s="17">
        <f>+AVERAGE(Q59,S59)</f>
        <v>4.987588034868766E-2</v>
      </c>
      <c r="U59" s="18"/>
    </row>
    <row r="60" spans="1:22">
      <c r="A60" s="23">
        <v>4021176.5212308778</v>
      </c>
      <c r="B60" s="10">
        <f>+G60-F60</f>
        <v>-577861.24294742849</v>
      </c>
      <c r="C60" s="5">
        <f t="shared" si="53"/>
        <v>13</v>
      </c>
      <c r="D60" s="137">
        <v>3358776</v>
      </c>
      <c r="E60" s="137">
        <v>3668188</v>
      </c>
      <c r="F60" s="189">
        <f t="shared" si="50"/>
        <v>4653817.2429474285</v>
      </c>
      <c r="G60" s="475">
        <v>4075956</v>
      </c>
      <c r="H60" s="25">
        <f t="shared" si="54"/>
        <v>9.2120462930543656E-2</v>
      </c>
      <c r="I60" s="25">
        <f t="shared" si="55"/>
        <v>0.26869649073259838</v>
      </c>
      <c r="J60" s="25">
        <f t="shared" si="56"/>
        <v>0.11116333186848659</v>
      </c>
      <c r="K60" s="10">
        <f t="shared" si="57"/>
        <v>290233</v>
      </c>
      <c r="L60" s="26">
        <f>+K60/SUM($K$60:$K$77)</f>
        <v>6.0077122637164464E-2</v>
      </c>
      <c r="M60" s="10">
        <f t="shared" si="58"/>
        <v>265492</v>
      </c>
      <c r="N60" s="26">
        <f>+M60/SUM($M$60:$M$77)</f>
        <v>5.3107396392948966E-2</v>
      </c>
      <c r="O60" s="29">
        <f t="shared" si="59"/>
        <v>6.0077122637164464E-2</v>
      </c>
      <c r="P60" s="15">
        <f t="shared" si="51"/>
        <v>290233</v>
      </c>
      <c r="Q60" s="16">
        <f>+P60/SUM($P$60:$P$77)</f>
        <v>6.0077122637164464E-2</v>
      </c>
      <c r="R60" s="15">
        <f t="shared" si="52"/>
        <v>265492</v>
      </c>
      <c r="S60" s="16">
        <f>+R60/SUM($R$60:$R$77)</f>
        <v>5.3107396392948966E-2</v>
      </c>
      <c r="T60" s="17">
        <f t="shared" ref="T60:T75" si="68">+AVERAGE(Q60,S60)</f>
        <v>5.6592259515056711E-2</v>
      </c>
      <c r="U60" s="18"/>
    </row>
    <row r="61" spans="1:22">
      <c r="A61" s="23"/>
      <c r="B61" s="10">
        <f t="shared" ref="B61:B77" si="69">+G61-F61</f>
        <v>-771435.89211511612</v>
      </c>
      <c r="C61" s="5">
        <f t="shared" si="53"/>
        <v>14</v>
      </c>
      <c r="D61" s="137">
        <v>3608684</v>
      </c>
      <c r="E61" s="137">
        <v>3959897</v>
      </c>
      <c r="F61" s="189">
        <f t="shared" si="50"/>
        <v>5149910.8921151161</v>
      </c>
      <c r="G61" s="475">
        <v>4378475</v>
      </c>
      <c r="H61" s="25">
        <f t="shared" si="54"/>
        <v>9.7324398589624384E-2</v>
      </c>
      <c r="I61" s="25">
        <f t="shared" si="55"/>
        <v>0.30051637507619922</v>
      </c>
      <c r="J61" s="25">
        <f t="shared" si="56"/>
        <v>0.10570426453011272</v>
      </c>
      <c r="K61" s="10">
        <f t="shared" si="57"/>
        <v>249908</v>
      </c>
      <c r="L61" s="26">
        <f t="shared" ref="L61:L63" si="70">+K61/SUM($K$60:$K$77)</f>
        <v>5.1730001633199872E-2</v>
      </c>
      <c r="M61" s="10">
        <f t="shared" si="58"/>
        <v>291709</v>
      </c>
      <c r="N61" s="26">
        <f t="shared" ref="N61:N63" si="71">+M61/SUM($M$60:$M$77)</f>
        <v>5.8351684775400953E-2</v>
      </c>
      <c r="O61" s="29">
        <f t="shared" si="59"/>
        <v>5.1730001633199872E-2</v>
      </c>
      <c r="P61" s="15">
        <f t="shared" si="51"/>
        <v>249908</v>
      </c>
      <c r="Q61" s="16">
        <f t="shared" ref="Q61:Q63" si="72">+P61/SUM($P$60:$P$77)</f>
        <v>5.1730001633199872E-2</v>
      </c>
      <c r="R61" s="15">
        <f t="shared" si="52"/>
        <v>291709</v>
      </c>
      <c r="S61" s="16">
        <f t="shared" ref="S61:S63" si="73">+R61/SUM($R$60:$R$77)</f>
        <v>5.8351684775400953E-2</v>
      </c>
      <c r="T61" s="17">
        <f t="shared" si="68"/>
        <v>5.5040843204300416E-2</v>
      </c>
      <c r="U61" s="18"/>
    </row>
    <row r="62" spans="1:22">
      <c r="A62" s="23"/>
      <c r="B62" s="10">
        <f t="shared" si="69"/>
        <v>-949876.57335685939</v>
      </c>
      <c r="C62" s="5">
        <f t="shared" si="53"/>
        <v>15</v>
      </c>
      <c r="D62" s="137">
        <v>3876362</v>
      </c>
      <c r="E62" s="137">
        <v>4221794</v>
      </c>
      <c r="F62" s="189">
        <f t="shared" si="50"/>
        <v>5635706.5733568594</v>
      </c>
      <c r="G62" s="475">
        <v>4685830</v>
      </c>
      <c r="H62" s="25">
        <f t="shared" si="54"/>
        <v>8.911242035702549E-2</v>
      </c>
      <c r="I62" s="25">
        <f t="shared" si="55"/>
        <v>0.33490799725350384</v>
      </c>
      <c r="J62" s="25">
        <f t="shared" si="56"/>
        <v>0.10991441079313669</v>
      </c>
      <c r="K62" s="10">
        <f t="shared" si="57"/>
        <v>267678</v>
      </c>
      <c r="L62" s="26">
        <f t="shared" si="70"/>
        <v>5.540832377183473E-2</v>
      </c>
      <c r="M62" s="10">
        <f t="shared" si="58"/>
        <v>261897</v>
      </c>
      <c r="N62" s="26">
        <f t="shared" si="71"/>
        <v>5.2388274573712784E-2</v>
      </c>
      <c r="O62" s="29">
        <f t="shared" si="59"/>
        <v>5.540832377183473E-2</v>
      </c>
      <c r="P62" s="15">
        <f t="shared" ref="P62:P71" si="74">+D62-D61</f>
        <v>267678</v>
      </c>
      <c r="Q62" s="16">
        <f t="shared" si="72"/>
        <v>5.540832377183473E-2</v>
      </c>
      <c r="R62" s="15">
        <f t="shared" si="52"/>
        <v>261897</v>
      </c>
      <c r="S62" s="16">
        <f t="shared" si="73"/>
        <v>5.2388274573712784E-2</v>
      </c>
      <c r="T62" s="17">
        <f t="shared" si="68"/>
        <v>5.3898299172773757E-2</v>
      </c>
      <c r="U62" s="18"/>
    </row>
    <row r="63" spans="1:22">
      <c r="A63" s="23"/>
      <c r="B63" s="10">
        <f t="shared" si="69"/>
        <v>-1148737.2500028368</v>
      </c>
      <c r="C63" s="5">
        <f t="shared" si="53"/>
        <v>16</v>
      </c>
      <c r="D63" s="137">
        <v>4138088</v>
      </c>
      <c r="E63" s="137">
        <v>4512979</v>
      </c>
      <c r="F63" s="189">
        <f t="shared" si="50"/>
        <v>6142352.2500028368</v>
      </c>
      <c r="G63" s="475">
        <v>4993615</v>
      </c>
      <c r="H63" s="25">
        <f t="shared" si="54"/>
        <v>9.0595221754588007E-2</v>
      </c>
      <c r="I63" s="25">
        <f t="shared" si="55"/>
        <v>0.36104162018100161</v>
      </c>
      <c r="J63" s="25">
        <f t="shared" si="56"/>
        <v>0.10650082794535498</v>
      </c>
      <c r="K63" s="10">
        <f t="shared" si="57"/>
        <v>261726</v>
      </c>
      <c r="L63" s="26">
        <f t="shared" si="70"/>
        <v>5.4176282501764123E-2</v>
      </c>
      <c r="M63" s="10">
        <f t="shared" si="58"/>
        <v>291185</v>
      </c>
      <c r="N63" s="26">
        <f t="shared" si="71"/>
        <v>5.8246867019273063E-2</v>
      </c>
      <c r="O63" s="29">
        <f t="shared" si="59"/>
        <v>5.4176282501764123E-2</v>
      </c>
      <c r="P63" s="15">
        <f t="shared" si="74"/>
        <v>261726</v>
      </c>
      <c r="Q63" s="16">
        <f t="shared" si="72"/>
        <v>5.4176282501764123E-2</v>
      </c>
      <c r="R63" s="15">
        <f t="shared" si="52"/>
        <v>291185</v>
      </c>
      <c r="S63" s="16">
        <f t="shared" si="73"/>
        <v>5.8246867019273063E-2</v>
      </c>
      <c r="T63" s="17">
        <f t="shared" si="68"/>
        <v>5.6211574760518593E-2</v>
      </c>
      <c r="U63" s="18"/>
    </row>
    <row r="64" spans="1:22">
      <c r="A64" s="23"/>
      <c r="B64" s="10">
        <f t="shared" si="69"/>
        <v>-1465264.4132008543</v>
      </c>
      <c r="C64" s="5">
        <f t="shared" si="53"/>
        <v>17</v>
      </c>
      <c r="D64" s="137">
        <v>4402170</v>
      </c>
      <c r="E64" s="137">
        <v>4787772</v>
      </c>
      <c r="F64" s="189">
        <f t="shared" si="50"/>
        <v>6777190.4132008543</v>
      </c>
      <c r="G64" s="475">
        <v>5311926</v>
      </c>
      <c r="H64" s="25">
        <f t="shared" si="54"/>
        <v>8.7593618601734979E-2</v>
      </c>
      <c r="I64" s="25">
        <f t="shared" si="55"/>
        <v>0.41552070842154865</v>
      </c>
      <c r="J64" s="25">
        <f t="shared" si="56"/>
        <v>0.10947764429885143</v>
      </c>
      <c r="K64" s="10">
        <f t="shared" si="57"/>
        <v>264082</v>
      </c>
      <c r="L64" s="26">
        <f>+K64/SUM($K$64:$K$77)</f>
        <v>7.0207275787978182E-2</v>
      </c>
      <c r="M64" s="10">
        <f t="shared" si="58"/>
        <v>274793</v>
      </c>
      <c r="N64" s="26">
        <f>+M64/SUM($M$64:$M$77)</f>
        <v>7.0661400355373161E-2</v>
      </c>
      <c r="O64" s="29">
        <f t="shared" si="59"/>
        <v>7.0207275787978182E-2</v>
      </c>
      <c r="P64" s="15">
        <f t="shared" si="74"/>
        <v>264082</v>
      </c>
      <c r="Q64" s="16">
        <f>+P64/SUM($P$64:$P$77)</f>
        <v>7.0207275787978182E-2</v>
      </c>
      <c r="R64" s="15">
        <f t="shared" si="52"/>
        <v>274793</v>
      </c>
      <c r="S64" s="16">
        <f>+R64/SUM($R$64:$R$77)</f>
        <v>7.0661400355373161E-2</v>
      </c>
      <c r="T64" s="17">
        <f t="shared" si="68"/>
        <v>7.0434338071675678E-2</v>
      </c>
      <c r="U64" s="18"/>
    </row>
    <row r="65" spans="1:21">
      <c r="A65" s="23"/>
      <c r="B65" s="10">
        <f t="shared" si="69"/>
        <v>-1668734.2555406904</v>
      </c>
      <c r="C65" s="5">
        <f t="shared" si="53"/>
        <v>18</v>
      </c>
      <c r="D65" s="137">
        <v>4649827</v>
      </c>
      <c r="E65" s="137">
        <v>5017788</v>
      </c>
      <c r="F65" s="189">
        <f t="shared" si="50"/>
        <v>7340460.2555406904</v>
      </c>
      <c r="G65" s="475">
        <v>5671726</v>
      </c>
      <c r="H65" s="25">
        <f t="shared" si="54"/>
        <v>7.9134341987347145E-2</v>
      </c>
      <c r="I65" s="25">
        <f t="shared" si="55"/>
        <v>0.46288768189104257</v>
      </c>
      <c r="J65" s="25">
        <f t="shared" si="56"/>
        <v>0.1303239594817478</v>
      </c>
      <c r="K65" s="10">
        <f t="shared" si="57"/>
        <v>247657</v>
      </c>
      <c r="L65" s="26">
        <f t="shared" ref="L65:L66" si="75">+K65/SUM($K$64:$K$77)</f>
        <v>6.5840622608974914E-2</v>
      </c>
      <c r="M65" s="10">
        <f t="shared" si="58"/>
        <v>230016</v>
      </c>
      <c r="N65" s="26">
        <f t="shared" ref="N65:N66" si="76">+M65/SUM($M$64:$M$77)</f>
        <v>5.9147258715256619E-2</v>
      </c>
      <c r="O65" s="29">
        <f t="shared" si="59"/>
        <v>6.5840622608974914E-2</v>
      </c>
      <c r="P65" s="15">
        <f t="shared" si="74"/>
        <v>247657</v>
      </c>
      <c r="Q65" s="16">
        <f t="shared" ref="Q65:Q66" si="77">+P65/SUM($P$64:$P$77)</f>
        <v>6.5840622608974914E-2</v>
      </c>
      <c r="R65" s="15">
        <f t="shared" si="52"/>
        <v>230016</v>
      </c>
      <c r="S65" s="16">
        <f t="shared" ref="S65:S66" si="78">+R65/SUM($R$64:$R$77)</f>
        <v>5.9147258715256619E-2</v>
      </c>
      <c r="T65" s="17">
        <f t="shared" si="68"/>
        <v>6.2493940662115763E-2</v>
      </c>
      <c r="U65" s="18"/>
    </row>
    <row r="66" spans="1:21">
      <c r="A66" s="23"/>
      <c r="B66" s="10">
        <f t="shared" si="69"/>
        <v>-2012140.0462339949</v>
      </c>
      <c r="C66" s="5">
        <f t="shared" si="53"/>
        <v>19</v>
      </c>
      <c r="D66" s="137">
        <v>4923393</v>
      </c>
      <c r="E66" s="137">
        <v>5306638</v>
      </c>
      <c r="F66" s="189">
        <f t="shared" si="50"/>
        <v>8002951.0462339949</v>
      </c>
      <c r="G66" s="475">
        <v>5990811</v>
      </c>
      <c r="H66" s="25">
        <f t="shared" si="54"/>
        <v>7.7841642948267564E-2</v>
      </c>
      <c r="I66" s="25">
        <f t="shared" si="55"/>
        <v>0.50810193690129135</v>
      </c>
      <c r="J66" s="25">
        <f t="shared" si="56"/>
        <v>0.1289277693334272</v>
      </c>
      <c r="K66" s="10">
        <f t="shared" si="57"/>
        <v>273566</v>
      </c>
      <c r="L66" s="26">
        <f t="shared" si="75"/>
        <v>7.2728635833620006E-2</v>
      </c>
      <c r="M66" s="10">
        <f t="shared" si="58"/>
        <v>288850</v>
      </c>
      <c r="N66" s="26">
        <f t="shared" si="76"/>
        <v>7.4276075055221699E-2</v>
      </c>
      <c r="O66" s="29">
        <f t="shared" si="59"/>
        <v>7.2728635833620006E-2</v>
      </c>
      <c r="P66" s="15">
        <f t="shared" si="74"/>
        <v>273566</v>
      </c>
      <c r="Q66" s="16">
        <f t="shared" si="77"/>
        <v>7.2728635833620006E-2</v>
      </c>
      <c r="R66" s="15">
        <f t="shared" si="52"/>
        <v>288850</v>
      </c>
      <c r="S66" s="16">
        <f t="shared" si="78"/>
        <v>7.4276075055221699E-2</v>
      </c>
      <c r="T66" s="17">
        <f t="shared" si="68"/>
        <v>7.3502355444420853E-2</v>
      </c>
      <c r="U66" s="18"/>
    </row>
    <row r="67" spans="1:21">
      <c r="A67" s="23"/>
      <c r="B67" s="10">
        <f t="shared" si="69"/>
        <v>-2488876.4084060658</v>
      </c>
      <c r="C67" s="5">
        <f t="shared" si="53"/>
        <v>20</v>
      </c>
      <c r="D67" s="137">
        <v>5227046</v>
      </c>
      <c r="E67" s="137">
        <v>5568920</v>
      </c>
      <c r="F67" s="189">
        <f t="shared" si="50"/>
        <v>8844632.4084060658</v>
      </c>
      <c r="G67" s="475">
        <v>6355756</v>
      </c>
      <c r="H67" s="25">
        <f t="shared" si="54"/>
        <v>6.5404819471648112E-2</v>
      </c>
      <c r="I67" s="25">
        <f t="shared" si="55"/>
        <v>0.58821322777236262</v>
      </c>
      <c r="J67" s="25">
        <f t="shared" si="56"/>
        <v>0.14129059135344013</v>
      </c>
      <c r="K67" s="10">
        <f t="shared" si="57"/>
        <v>303653</v>
      </c>
      <c r="L67" s="26">
        <f>+K67/SUM($K$67:$K$77)</f>
        <v>0.10202855561719358</v>
      </c>
      <c r="M67" s="10">
        <f t="shared" si="58"/>
        <v>262282</v>
      </c>
      <c r="N67" s="26">
        <f>+M67/SUM($M$67:$M$77)</f>
        <v>8.4738003321906008E-2</v>
      </c>
      <c r="O67" s="29">
        <f t="shared" si="59"/>
        <v>0.10202855561719358</v>
      </c>
      <c r="P67" s="15">
        <f t="shared" si="74"/>
        <v>303653</v>
      </c>
      <c r="Q67" s="16">
        <f>+P67/SUM($P$67:$P$77)</f>
        <v>0.10202855561719358</v>
      </c>
      <c r="R67" s="15">
        <f t="shared" si="52"/>
        <v>262282</v>
      </c>
      <c r="S67" s="16">
        <f>+R67/SUM($R$67:$R$77)</f>
        <v>8.4738003321906008E-2</v>
      </c>
      <c r="T67" s="17">
        <f t="shared" si="68"/>
        <v>9.3383279469549801E-2</v>
      </c>
      <c r="U67" s="18"/>
    </row>
    <row r="68" spans="1:21">
      <c r="A68" s="23"/>
      <c r="B68" s="10">
        <f t="shared" si="69"/>
        <v>-2993473.6366345994</v>
      </c>
      <c r="C68" s="5">
        <f t="shared" si="53"/>
        <v>21</v>
      </c>
      <c r="D68" s="137">
        <v>5485142</v>
      </c>
      <c r="E68" s="137">
        <v>5879582</v>
      </c>
      <c r="F68" s="189">
        <f t="shared" si="50"/>
        <v>9687770.6366345994</v>
      </c>
      <c r="G68" s="475">
        <v>6694297</v>
      </c>
      <c r="H68" s="25">
        <f t="shared" si="54"/>
        <v>7.1910626926340315E-2</v>
      </c>
      <c r="I68" s="25">
        <f t="shared" si="55"/>
        <v>0.6476971724579399</v>
      </c>
      <c r="J68" s="25">
        <f t="shared" si="56"/>
        <v>0.13856682328777792</v>
      </c>
      <c r="K68" s="10">
        <f t="shared" si="57"/>
        <v>258096</v>
      </c>
      <c r="L68" s="26">
        <f t="shared" ref="L68:L71" si="79">+K68/SUM($K$67:$K$77)</f>
        <v>8.6721231440411245E-2</v>
      </c>
      <c r="M68" s="10">
        <f t="shared" si="58"/>
        <v>310662</v>
      </c>
      <c r="N68" s="26">
        <f t="shared" ref="N68:N72" si="80">+M68/SUM($M$67:$M$77)</f>
        <v>0.10036860168822093</v>
      </c>
      <c r="O68" s="29">
        <f t="shared" si="59"/>
        <v>8.6721231440411245E-2</v>
      </c>
      <c r="P68" s="15">
        <f t="shared" si="74"/>
        <v>258096</v>
      </c>
      <c r="Q68" s="16">
        <f t="shared" ref="Q68:Q71" si="81">+P68/SUM($P$67:$P$77)</f>
        <v>8.6721231440411245E-2</v>
      </c>
      <c r="R68" s="15">
        <f t="shared" si="52"/>
        <v>310662</v>
      </c>
      <c r="S68" s="16">
        <f t="shared" ref="S68:S71" si="82">+R68/SUM($R$67:$R$77)</f>
        <v>0.10036860168822093</v>
      </c>
      <c r="T68" s="17">
        <f t="shared" si="68"/>
        <v>9.3544916564316086E-2</v>
      </c>
      <c r="U68" s="18"/>
    </row>
    <row r="69" spans="1:21">
      <c r="A69" s="23"/>
      <c r="B69" s="10">
        <f t="shared" si="69"/>
        <v>-3513236.1396581251</v>
      </c>
      <c r="C69" s="5">
        <f t="shared" si="53"/>
        <v>22</v>
      </c>
      <c r="D69" s="137">
        <v>5783456</v>
      </c>
      <c r="E69" s="137">
        <v>6151302</v>
      </c>
      <c r="F69" s="189">
        <f t="shared" si="50"/>
        <v>10535109.139658125</v>
      </c>
      <c r="G69" s="475">
        <v>7021873</v>
      </c>
      <c r="H69" s="25">
        <f t="shared" si="54"/>
        <v>6.360314663066502E-2</v>
      </c>
      <c r="I69" s="25">
        <f t="shared" si="55"/>
        <v>0.71266329301636056</v>
      </c>
      <c r="J69" s="25">
        <f t="shared" si="56"/>
        <v>0.14152629800975469</v>
      </c>
      <c r="K69" s="10">
        <f t="shared" si="57"/>
        <v>298314</v>
      </c>
      <c r="L69" s="26">
        <f t="shared" si="79"/>
        <v>0.10023463143913443</v>
      </c>
      <c r="M69" s="10">
        <f t="shared" si="58"/>
        <v>271720</v>
      </c>
      <c r="N69" s="26">
        <f t="shared" si="80"/>
        <v>8.7787230014367362E-2</v>
      </c>
      <c r="O69" s="29">
        <f t="shared" si="59"/>
        <v>0.10023463143913443</v>
      </c>
      <c r="P69" s="15">
        <f t="shared" si="74"/>
        <v>298314</v>
      </c>
      <c r="Q69" s="16">
        <f t="shared" si="81"/>
        <v>0.10023463143913443</v>
      </c>
      <c r="R69" s="15">
        <f t="shared" si="52"/>
        <v>271720</v>
      </c>
      <c r="S69" s="16">
        <f t="shared" si="82"/>
        <v>8.7787230014367362E-2</v>
      </c>
      <c r="T69" s="17">
        <f t="shared" si="68"/>
        <v>9.4010930726750902E-2</v>
      </c>
      <c r="U69" s="18"/>
    </row>
    <row r="70" spans="1:21">
      <c r="A70" s="23"/>
      <c r="B70" s="10">
        <f t="shared" si="69"/>
        <v>-3971404.3918386064</v>
      </c>
      <c r="C70" s="5">
        <f t="shared" si="53"/>
        <v>23</v>
      </c>
      <c r="D70" s="137">
        <v>6035442</v>
      </c>
      <c r="E70" s="137">
        <v>6427779</v>
      </c>
      <c r="F70" s="189">
        <f t="shared" si="50"/>
        <v>11319222.391838606</v>
      </c>
      <c r="G70" s="475">
        <v>7347818</v>
      </c>
      <c r="H70" s="25">
        <f t="shared" si="54"/>
        <v>6.5005512438028656E-2</v>
      </c>
      <c r="I70" s="25">
        <f t="shared" si="55"/>
        <v>0.76098499837013778</v>
      </c>
      <c r="J70" s="25">
        <f t="shared" si="56"/>
        <v>0.14313482153011181</v>
      </c>
      <c r="K70" s="10">
        <f t="shared" si="57"/>
        <v>251986</v>
      </c>
      <c r="L70" s="26">
        <f t="shared" si="79"/>
        <v>8.4668248348457417E-2</v>
      </c>
      <c r="M70" s="10">
        <f t="shared" si="58"/>
        <v>276477</v>
      </c>
      <c r="N70" s="26">
        <f t="shared" si="80"/>
        <v>8.9324120391146192E-2</v>
      </c>
      <c r="O70" s="29">
        <f t="shared" si="59"/>
        <v>8.4668248348457417E-2</v>
      </c>
      <c r="P70" s="15">
        <f t="shared" si="74"/>
        <v>251986</v>
      </c>
      <c r="Q70" s="16">
        <f t="shared" si="81"/>
        <v>8.4668248348457417E-2</v>
      </c>
      <c r="R70" s="15">
        <f t="shared" si="52"/>
        <v>276477</v>
      </c>
      <c r="S70" s="16">
        <f t="shared" si="82"/>
        <v>8.9324120391146192E-2</v>
      </c>
      <c r="T70" s="17">
        <f t="shared" si="68"/>
        <v>8.6996184369801804E-2</v>
      </c>
      <c r="U70" s="18"/>
    </row>
    <row r="71" spans="1:21">
      <c r="A71" s="23"/>
      <c r="B71" s="10">
        <f t="shared" si="69"/>
        <v>-4413290.4699331932</v>
      </c>
      <c r="C71" s="5">
        <f t="shared" si="53"/>
        <v>24</v>
      </c>
      <c r="D71" s="137">
        <v>6292643</v>
      </c>
      <c r="E71" s="137">
        <v>6699164</v>
      </c>
      <c r="F71" s="189">
        <f t="shared" si="50"/>
        <v>12103818.469933193</v>
      </c>
      <c r="G71" s="475">
        <v>7690528</v>
      </c>
      <c r="H71" s="25">
        <f t="shared" si="54"/>
        <v>6.4602584319498169E-2</v>
      </c>
      <c r="I71" s="25">
        <f t="shared" si="55"/>
        <v>0.80676551132845731</v>
      </c>
      <c r="J71" s="25">
        <f t="shared" si="56"/>
        <v>0.14798324089393833</v>
      </c>
      <c r="K71" s="10">
        <f t="shared" si="57"/>
        <v>257201</v>
      </c>
      <c r="L71" s="26">
        <f t="shared" si="79"/>
        <v>8.6420508057874629E-2</v>
      </c>
      <c r="M71" s="10">
        <f t="shared" si="58"/>
        <v>271385</v>
      </c>
      <c r="N71" s="26">
        <f t="shared" si="80"/>
        <v>8.7678998297692795E-2</v>
      </c>
      <c r="O71" s="29">
        <f t="shared" si="59"/>
        <v>8.6420508057874629E-2</v>
      </c>
      <c r="P71" s="15">
        <f t="shared" si="74"/>
        <v>257201</v>
      </c>
      <c r="Q71" s="16">
        <f t="shared" si="81"/>
        <v>8.6420508057874629E-2</v>
      </c>
      <c r="R71" s="15">
        <f t="shared" si="52"/>
        <v>271385</v>
      </c>
      <c r="S71" s="16">
        <f t="shared" si="82"/>
        <v>8.7678998297692795E-2</v>
      </c>
      <c r="T71" s="17">
        <f t="shared" si="68"/>
        <v>8.7049753177783712E-2</v>
      </c>
      <c r="U71" s="18"/>
    </row>
    <row r="72" spans="1:21">
      <c r="A72" s="23"/>
      <c r="B72" s="10">
        <f t="shared" si="69"/>
        <v>-5494700.5694794413</v>
      </c>
      <c r="C72" s="5">
        <f t="shared" si="53"/>
        <v>25</v>
      </c>
      <c r="D72" s="137">
        <v>6541501</v>
      </c>
      <c r="E72" s="137">
        <v>6982095</v>
      </c>
      <c r="F72" s="189">
        <f t="shared" si="50"/>
        <v>13550594.569479441</v>
      </c>
      <c r="G72" s="475">
        <v>8055894</v>
      </c>
      <c r="H72" s="25">
        <f t="shared" si="54"/>
        <v>6.7353654765167859E-2</v>
      </c>
      <c r="I72" s="25">
        <f t="shared" si="55"/>
        <v>0.94076341978724742</v>
      </c>
      <c r="J72" s="25">
        <f t="shared" si="56"/>
        <v>0.15379323827590419</v>
      </c>
      <c r="K72" s="10">
        <f t="shared" si="57"/>
        <v>248858</v>
      </c>
      <c r="L72" s="26">
        <f>+K72/SUM($K$72:$K$77)</f>
        <v>0.15486770547393222</v>
      </c>
      <c r="M72" s="10">
        <f t="shared" si="58"/>
        <v>282931</v>
      </c>
      <c r="N72" s="26">
        <f t="shared" si="80"/>
        <v>9.1409277105825748E-2</v>
      </c>
      <c r="O72" s="29">
        <f t="shared" si="59"/>
        <v>0.15486770547393222</v>
      </c>
      <c r="P72" s="15">
        <f t="shared" ref="P72:P77" si="83">+D72-D71</f>
        <v>248858</v>
      </c>
      <c r="Q72" s="16">
        <f>+P72/SUM($P$72:$P$77)</f>
        <v>0.15486770547393222</v>
      </c>
      <c r="R72" s="15">
        <f t="shared" si="52"/>
        <v>282931</v>
      </c>
      <c r="S72" s="16">
        <f>+R72/SUM($R$72:$R$77)</f>
        <v>0.16616755301186067</v>
      </c>
      <c r="T72" s="17">
        <f t="shared" si="68"/>
        <v>0.16051762924289645</v>
      </c>
      <c r="U72" s="18"/>
    </row>
    <row r="73" spans="1:21">
      <c r="A73" s="23"/>
      <c r="B73" s="10">
        <f t="shared" si="69"/>
        <v>-7027476.8242107127</v>
      </c>
      <c r="C73" s="5">
        <f t="shared" si="53"/>
        <v>26</v>
      </c>
      <c r="D73" s="137">
        <v>6802114</v>
      </c>
      <c r="E73" s="137">
        <v>7294532</v>
      </c>
      <c r="F73" s="189">
        <f t="shared" si="50"/>
        <v>15407161.824210713</v>
      </c>
      <c r="G73" s="475">
        <v>8379685</v>
      </c>
      <c r="H73" s="25">
        <f t="shared" si="54"/>
        <v>7.2391906398510786E-2</v>
      </c>
      <c r="I73" s="25">
        <f t="shared" si="55"/>
        <v>1.1121522017054297</v>
      </c>
      <c r="J73" s="25">
        <f t="shared" si="56"/>
        <v>0.14876252513526578</v>
      </c>
      <c r="K73" s="10">
        <f t="shared" si="57"/>
        <v>260613</v>
      </c>
      <c r="L73" s="26">
        <f>+K73/SUM($K$73:$K$77)</f>
        <v>0.19190250130886294</v>
      </c>
      <c r="M73" s="10">
        <f t="shared" si="58"/>
        <v>312437</v>
      </c>
      <c r="N73" s="26">
        <f>+M73/SUM($M$73:$M$77)</f>
        <v>0.22006418013261453</v>
      </c>
      <c r="O73" s="29">
        <f t="shared" si="59"/>
        <v>0.19190250130886294</v>
      </c>
      <c r="P73" s="15">
        <f t="shared" si="83"/>
        <v>260613</v>
      </c>
      <c r="Q73" s="16">
        <f>+P73/SUM($P$73:$P$77)</f>
        <v>0.19190250130886294</v>
      </c>
      <c r="R73" s="15">
        <f t="shared" ref="R73:R77" si="84">+E73-E72</f>
        <v>312437</v>
      </c>
      <c r="S73" s="16">
        <f>+R73/SUM($R$73:$R$77)</f>
        <v>0.22006418013261453</v>
      </c>
      <c r="T73" s="17">
        <f t="shared" si="68"/>
        <v>0.20598334072073873</v>
      </c>
      <c r="U73" s="18"/>
    </row>
    <row r="74" spans="1:21">
      <c r="A74" s="23"/>
      <c r="B74" s="10">
        <f t="shared" si="69"/>
        <v>-8589054.517089732</v>
      </c>
      <c r="C74" s="5">
        <f t="shared" si="53"/>
        <v>27</v>
      </c>
      <c r="D74" s="137">
        <v>7102821</v>
      </c>
      <c r="E74" s="137">
        <v>7571036</v>
      </c>
      <c r="F74" s="189">
        <f t="shared" si="50"/>
        <v>17282719.517089732</v>
      </c>
      <c r="G74" s="475">
        <v>8693665</v>
      </c>
      <c r="H74" s="25">
        <f t="shared" si="54"/>
        <v>6.5919583219118172E-2</v>
      </c>
      <c r="I74" s="25">
        <f t="shared" si="55"/>
        <v>1.2827416904489337</v>
      </c>
      <c r="J74" s="25">
        <f t="shared" si="56"/>
        <v>0.14827944286620753</v>
      </c>
      <c r="K74" s="10">
        <f t="shared" si="57"/>
        <v>300707</v>
      </c>
      <c r="L74" s="26">
        <f t="shared" ref="L74:L77" si="85">+K74/SUM($K$73:$K$77)</f>
        <v>0.22142573647931701</v>
      </c>
      <c r="M74" s="10">
        <f t="shared" si="58"/>
        <v>276504</v>
      </c>
      <c r="N74" s="26">
        <f t="shared" ref="N74:N77" si="86">+M74/SUM($M$73:$M$77)</f>
        <v>0.19475486598382535</v>
      </c>
      <c r="O74" s="29">
        <f t="shared" si="59"/>
        <v>0.22142573647931701</v>
      </c>
      <c r="P74" s="15">
        <f t="shared" si="83"/>
        <v>300707</v>
      </c>
      <c r="Q74" s="16">
        <f t="shared" ref="Q74:Q77" si="87">+P74/SUM($P$73:$P$77)</f>
        <v>0.22142573647931701</v>
      </c>
      <c r="R74" s="15">
        <f t="shared" si="84"/>
        <v>276504</v>
      </c>
      <c r="S74" s="16">
        <f t="shared" ref="S74:S77" si="88">+R74/SUM($R$73:$R$77)</f>
        <v>0.19475486598382535</v>
      </c>
      <c r="T74" s="17">
        <f t="shared" si="68"/>
        <v>0.20809030123157118</v>
      </c>
      <c r="U74" s="18"/>
    </row>
    <row r="75" spans="1:21">
      <c r="A75" s="23"/>
      <c r="B75" s="10">
        <f t="shared" si="69"/>
        <v>-9979132.8963859715</v>
      </c>
      <c r="C75" s="5">
        <f t="shared" si="53"/>
        <v>28</v>
      </c>
      <c r="D75" s="137">
        <v>7359745</v>
      </c>
      <c r="E75" s="137">
        <v>7837022</v>
      </c>
      <c r="F75" s="189">
        <f t="shared" si="50"/>
        <v>18979599.896385971</v>
      </c>
      <c r="G75" s="475">
        <v>9000467</v>
      </c>
      <c r="H75" s="25">
        <f t="shared" si="54"/>
        <v>6.4849665307697535E-2</v>
      </c>
      <c r="I75" s="25">
        <f t="shared" si="55"/>
        <v>1.4217872421930129</v>
      </c>
      <c r="J75" s="25">
        <f t="shared" si="56"/>
        <v>0.14845498711117555</v>
      </c>
      <c r="K75" s="10">
        <f t="shared" si="57"/>
        <v>256924</v>
      </c>
      <c r="L75" s="26">
        <f t="shared" si="85"/>
        <v>0.18918610447782075</v>
      </c>
      <c r="M75" s="10">
        <f t="shared" si="58"/>
        <v>265986</v>
      </c>
      <c r="N75" s="26">
        <f t="shared" si="86"/>
        <v>0.18734654031613929</v>
      </c>
      <c r="O75" s="29">
        <f t="shared" si="59"/>
        <v>0.18918610447782075</v>
      </c>
      <c r="P75" s="15">
        <f t="shared" si="83"/>
        <v>256924</v>
      </c>
      <c r="Q75" s="16">
        <f t="shared" si="87"/>
        <v>0.18918610447782075</v>
      </c>
      <c r="R75" s="15">
        <f t="shared" si="84"/>
        <v>265986</v>
      </c>
      <c r="S75" s="16">
        <f t="shared" si="88"/>
        <v>0.18734654031613929</v>
      </c>
      <c r="T75" s="17">
        <f t="shared" si="68"/>
        <v>0.18826632239698002</v>
      </c>
      <c r="U75" s="18"/>
    </row>
    <row r="76" spans="1:21">
      <c r="A76" s="23"/>
      <c r="B76" s="10">
        <f t="shared" si="69"/>
        <v>-11386856.593415339</v>
      </c>
      <c r="C76" s="5">
        <f t="shared" si="53"/>
        <v>29</v>
      </c>
      <c r="D76" s="137">
        <v>7619358</v>
      </c>
      <c r="E76" s="137">
        <v>8109202</v>
      </c>
      <c r="F76" s="189">
        <f t="shared" si="50"/>
        <v>20705064.593415339</v>
      </c>
      <c r="G76" s="475">
        <v>9318208</v>
      </c>
      <c r="H76" s="25">
        <f t="shared" si="54"/>
        <v>6.4289406010322736E-2</v>
      </c>
      <c r="I76" s="25">
        <f t="shared" si="55"/>
        <v>1.5532801616503495</v>
      </c>
      <c r="J76" s="25">
        <f t="shared" si="56"/>
        <v>0.14909062568671994</v>
      </c>
      <c r="K76" s="10">
        <f t="shared" si="57"/>
        <v>259613</v>
      </c>
      <c r="L76" s="26">
        <f t="shared" si="85"/>
        <v>0.19116615085317246</v>
      </c>
      <c r="M76" s="10">
        <f t="shared" si="58"/>
        <v>272180</v>
      </c>
      <c r="N76" s="26">
        <f t="shared" si="86"/>
        <v>0.19170926794360149</v>
      </c>
      <c r="O76" s="29">
        <f t="shared" si="59"/>
        <v>0.19116615085317246</v>
      </c>
      <c r="P76" s="15">
        <f t="shared" si="83"/>
        <v>259613</v>
      </c>
      <c r="Q76" s="16">
        <f t="shared" si="87"/>
        <v>0.19116615085317246</v>
      </c>
      <c r="R76" s="15">
        <f t="shared" si="84"/>
        <v>272180</v>
      </c>
      <c r="S76" s="16">
        <f t="shared" si="88"/>
        <v>0.19170926794360149</v>
      </c>
      <c r="T76" s="17">
        <f t="shared" ref="T76:T77" si="89">+AVERAGE(Q76,S76)</f>
        <v>0.19143770939838697</v>
      </c>
      <c r="U76" s="18"/>
    </row>
    <row r="77" spans="1:21">
      <c r="A77" s="23"/>
      <c r="B77" s="10">
        <f t="shared" si="69"/>
        <v>279982.09901849926</v>
      </c>
      <c r="C77" s="5">
        <f t="shared" si="53"/>
        <v>30</v>
      </c>
      <c r="D77" s="137">
        <v>7899550</v>
      </c>
      <c r="E77" s="137">
        <v>8401849</v>
      </c>
      <c r="F77" s="465">
        <f>Resumen!D17*Resumen!D39*1000</f>
        <v>9389304.9009815007</v>
      </c>
      <c r="G77" s="30">
        <v>9669287</v>
      </c>
      <c r="H77" s="25">
        <f t="shared" si="54"/>
        <v>6.3585773873195306E-2</v>
      </c>
      <c r="I77" s="25">
        <f t="shared" si="55"/>
        <v>0.11752840368608153</v>
      </c>
      <c r="J77" s="25">
        <f t="shared" si="56"/>
        <v>0.15085227073231144</v>
      </c>
      <c r="K77" s="10">
        <f t="shared" si="57"/>
        <v>280192</v>
      </c>
      <c r="L77" s="26">
        <f t="shared" si="85"/>
        <v>0.20631950688082684</v>
      </c>
      <c r="M77" s="10">
        <f t="shared" si="58"/>
        <v>292647</v>
      </c>
      <c r="N77" s="26">
        <f t="shared" si="86"/>
        <v>0.20612514562381934</v>
      </c>
      <c r="O77" s="29">
        <f t="shared" si="59"/>
        <v>0.20631950688082684</v>
      </c>
      <c r="P77" s="15">
        <f t="shared" si="83"/>
        <v>280192</v>
      </c>
      <c r="Q77" s="16">
        <f t="shared" si="87"/>
        <v>0.20631950688082684</v>
      </c>
      <c r="R77" s="15">
        <f t="shared" si="84"/>
        <v>292647</v>
      </c>
      <c r="S77" s="16">
        <f t="shared" si="88"/>
        <v>0.20612514562381934</v>
      </c>
      <c r="T77" s="17">
        <f t="shared" si="89"/>
        <v>0.20622232625232309</v>
      </c>
      <c r="U77" s="18"/>
    </row>
    <row r="78" spans="1:21">
      <c r="B78" s="10"/>
      <c r="E78" s="116"/>
      <c r="F78" s="116"/>
      <c r="G78" s="116"/>
      <c r="I78" s="26"/>
      <c r="J78" s="26"/>
      <c r="K78" s="26"/>
    </row>
    <row r="79" spans="1:21">
      <c r="G79" s="189"/>
      <c r="H79" s="493"/>
      <c r="I79" s="697"/>
      <c r="J79" s="26"/>
      <c r="K79" s="26"/>
    </row>
    <row r="80" spans="1:21">
      <c r="D80" s="10"/>
      <c r="E80" s="10"/>
      <c r="F80" s="10"/>
      <c r="G80" s="10"/>
      <c r="H80" s="10"/>
      <c r="I80" s="26"/>
      <c r="J80" s="115"/>
      <c r="K80" s="26"/>
    </row>
    <row r="81" spans="1:11">
      <c r="A81" s="22" t="s">
        <v>189</v>
      </c>
      <c r="D81" s="10"/>
      <c r="E81" s="10"/>
      <c r="F81" s="10"/>
      <c r="G81" s="10"/>
      <c r="H81" s="10"/>
      <c r="I81" s="26"/>
      <c r="J81" s="26"/>
      <c r="K81" s="26"/>
    </row>
    <row r="82" spans="1:11">
      <c r="D82" s="10"/>
      <c r="E82" s="10"/>
      <c r="F82" s="10"/>
      <c r="G82" s="677"/>
      <c r="H82" s="10"/>
      <c r="I82" s="26"/>
      <c r="J82" s="26"/>
      <c r="K82" s="26"/>
    </row>
    <row r="83" spans="1:11" ht="15">
      <c r="B83" s="36"/>
      <c r="C83" s="501">
        <v>45597</v>
      </c>
      <c r="D83" s="501">
        <v>45627</v>
      </c>
      <c r="E83" s="36"/>
      <c r="F83" s="36"/>
      <c r="G83" s="10"/>
      <c r="H83" s="10"/>
      <c r="I83" s="26"/>
      <c r="J83" s="26"/>
      <c r="K83" s="26"/>
    </row>
    <row r="84" spans="1:11">
      <c r="B84" s="35" t="s">
        <v>38</v>
      </c>
      <c r="C84" s="480">
        <v>807811</v>
      </c>
      <c r="D84" s="480">
        <f>Resumen!B33*1000</f>
        <v>878929</v>
      </c>
      <c r="E84" s="36"/>
      <c r="F84" s="36"/>
      <c r="G84" s="116"/>
      <c r="I84" s="26"/>
      <c r="J84" s="26"/>
      <c r="K84" s="26"/>
    </row>
    <row r="85" spans="1:11">
      <c r="B85" s="36"/>
      <c r="C85" s="36"/>
      <c r="D85" s="36"/>
      <c r="E85" s="36"/>
      <c r="F85" s="36"/>
    </row>
    <row r="86" spans="1:11" ht="15">
      <c r="B86" s="96" t="s">
        <v>103</v>
      </c>
      <c r="C86" s="501">
        <v>45597</v>
      </c>
      <c r="D86" s="501">
        <v>45627</v>
      </c>
      <c r="E86" s="501" t="s">
        <v>190</v>
      </c>
      <c r="F86" s="501" t="s">
        <v>191</v>
      </c>
      <c r="G86" s="10"/>
    </row>
    <row r="87" spans="1:11">
      <c r="B87" s="35">
        <v>1</v>
      </c>
      <c r="C87" s="480">
        <v>144845</v>
      </c>
      <c r="D87" s="480">
        <v>169329</v>
      </c>
      <c r="E87" s="363">
        <f>SUM($C87:C$87)/$C$84</f>
        <v>0.17930555538362314</v>
      </c>
      <c r="F87" s="363">
        <f>SUM($D87:D$87)/$D$84</f>
        <v>0.19265378659709714</v>
      </c>
      <c r="G87" s="10"/>
      <c r="H87" s="10"/>
    </row>
    <row r="88" spans="1:11">
      <c r="B88" s="35">
        <v>2</v>
      </c>
      <c r="C88" s="480">
        <v>85234</v>
      </c>
      <c r="D88" s="480">
        <v>111059</v>
      </c>
      <c r="E88" s="363">
        <f>SUM($C$87:C88)/$C$84</f>
        <v>0.28481785962310491</v>
      </c>
      <c r="F88" s="363">
        <f>SUM($D$87:D88)/$D$84</f>
        <v>0.3190109781336149</v>
      </c>
      <c r="G88" s="10"/>
    </row>
    <row r="89" spans="1:11">
      <c r="B89" s="35">
        <v>3</v>
      </c>
      <c r="C89" s="480">
        <v>46351</v>
      </c>
      <c r="D89" s="480">
        <v>59496</v>
      </c>
      <c r="E89" s="363">
        <f>SUM($C$87:C89)/$C$84</f>
        <v>0.34219638009385861</v>
      </c>
      <c r="F89" s="363">
        <f>SUM($D$87:D89)/$D$84</f>
        <v>0.38670245264407022</v>
      </c>
      <c r="G89" s="10"/>
    </row>
    <row r="90" spans="1:11">
      <c r="B90" s="35">
        <v>4</v>
      </c>
      <c r="C90" s="480">
        <v>58763</v>
      </c>
      <c r="D90" s="480">
        <v>38054</v>
      </c>
      <c r="E90" s="363">
        <f>SUM($C$87:C90)/$C$84</f>
        <v>0.41493988073943039</v>
      </c>
      <c r="F90" s="363">
        <f>SUM($D$87:D90)/$D$84</f>
        <v>0.42999832750995814</v>
      </c>
      <c r="G90" s="10"/>
    </row>
    <row r="91" spans="1:11">
      <c r="B91" s="35">
        <v>5</v>
      </c>
      <c r="C91" s="480">
        <v>50457</v>
      </c>
      <c r="D91" s="480">
        <v>38134</v>
      </c>
      <c r="E91" s="363">
        <f>SUM($C$87:C91)/$C$84</f>
        <v>0.47740127331764487</v>
      </c>
      <c r="F91" s="363">
        <f>SUM($D$87:D91)/$D$84</f>
        <v>0.47338522224206964</v>
      </c>
      <c r="G91" s="10"/>
    </row>
    <row r="92" spans="1:11">
      <c r="B92" s="35">
        <v>6</v>
      </c>
      <c r="C92" s="480">
        <v>37286</v>
      </c>
      <c r="D92" s="480">
        <v>30363</v>
      </c>
      <c r="E92" s="363">
        <f>SUM($C$87:C92)/$C$84</f>
        <v>0.52355810950828841</v>
      </c>
      <c r="F92" s="363">
        <f>SUM($D$87:D92)/$D$84</f>
        <v>0.50793067471889086</v>
      </c>
      <c r="G92" s="10"/>
    </row>
    <row r="93" spans="1:11">
      <c r="B93" s="35">
        <v>7</v>
      </c>
      <c r="C93" s="480">
        <v>31152</v>
      </c>
      <c r="D93" s="480">
        <v>22618</v>
      </c>
      <c r="E93" s="363">
        <f>SUM($C$87:C93)/$C$84</f>
        <v>0.56212158537083545</v>
      </c>
      <c r="F93" s="363">
        <f>SUM($D$87:D93)/$D$84</f>
        <v>0.53366426639694442</v>
      </c>
    </row>
    <row r="94" spans="1:11">
      <c r="B94" s="35">
        <v>8</v>
      </c>
      <c r="C94" s="480">
        <v>21523</v>
      </c>
      <c r="D94" s="480">
        <v>16540</v>
      </c>
      <c r="E94" s="363">
        <f>SUM($C$87:C94)/$C$84</f>
        <v>0.58876519383865777</v>
      </c>
      <c r="F94" s="363">
        <f>SUM($D$87:D94)/$D$84</f>
        <v>0.55248262373866375</v>
      </c>
    </row>
    <row r="95" spans="1:11">
      <c r="B95" s="35">
        <v>9</v>
      </c>
      <c r="C95" s="480">
        <v>16670</v>
      </c>
      <c r="D95" s="480">
        <v>14402</v>
      </c>
      <c r="E95" s="363">
        <f>SUM($C$87:C95)/$C$84</f>
        <v>0.60940120894615202</v>
      </c>
      <c r="F95" s="363">
        <f>SUM($D$87:D95)/$D$84</f>
        <v>0.56886847515555861</v>
      </c>
    </row>
    <row r="96" spans="1:11">
      <c r="B96" s="35">
        <v>10</v>
      </c>
      <c r="C96" s="480">
        <v>12953</v>
      </c>
      <c r="D96" s="480">
        <v>23670</v>
      </c>
      <c r="E96" s="363">
        <f>SUM($C$87:C96)/$C$84</f>
        <v>0.62543590022913775</v>
      </c>
      <c r="F96" s="363">
        <f>SUM($D$87:D96)/$D$84</f>
        <v>0.59579897807445192</v>
      </c>
    </row>
    <row r="97" spans="2:6">
      <c r="B97" s="35">
        <v>11</v>
      </c>
      <c r="C97" s="480">
        <v>18819</v>
      </c>
      <c r="D97" s="136"/>
      <c r="E97" s="363">
        <f>SUM($C$87:C97)/$C$84</f>
        <v>0.64873219106944569</v>
      </c>
      <c r="F97" s="119"/>
    </row>
    <row r="98" spans="2:6">
      <c r="B98" s="35">
        <v>12</v>
      </c>
      <c r="C98" s="480">
        <v>13723</v>
      </c>
      <c r="D98" s="136"/>
      <c r="E98" s="363">
        <f>SUM($C$87:C98)/$C$84</f>
        <v>0.66572007561174584</v>
      </c>
      <c r="F98" s="119"/>
    </row>
    <row r="99" spans="2:6">
      <c r="B99" s="35">
        <v>13</v>
      </c>
      <c r="C99" s="480">
        <v>12336</v>
      </c>
      <c r="D99" s="136"/>
      <c r="E99" s="363">
        <f>SUM($C$87:C99)/$C$84</f>
        <v>0.68099097437395628</v>
      </c>
      <c r="F99" s="119"/>
    </row>
    <row r="100" spans="2:6">
      <c r="B100" s="35">
        <v>14</v>
      </c>
      <c r="C100" s="480">
        <v>11790</v>
      </c>
      <c r="D100" s="136"/>
      <c r="E100" s="363">
        <f>SUM($C$87:C100)/$C$84</f>
        <v>0.69558597246138021</v>
      </c>
      <c r="F100" s="119"/>
    </row>
    <row r="101" spans="2:6">
      <c r="B101" s="35">
        <v>15</v>
      </c>
      <c r="C101" s="480">
        <v>14867</v>
      </c>
      <c r="D101" s="136"/>
      <c r="E101" s="363">
        <f>SUM($C$87:C101)/$C$84</f>
        <v>0.71399002984609028</v>
      </c>
      <c r="F101" s="119"/>
    </row>
    <row r="102" spans="2:6">
      <c r="B102" s="35">
        <v>16</v>
      </c>
      <c r="C102" s="480">
        <v>8446</v>
      </c>
      <c r="D102" s="136"/>
      <c r="E102" s="363">
        <f>SUM($C$87:C102)/$C$84</f>
        <v>0.72444544577877745</v>
      </c>
      <c r="F102" s="119"/>
    </row>
    <row r="103" spans="2:6">
      <c r="B103" s="35">
        <v>17</v>
      </c>
      <c r="C103" s="480">
        <v>6689</v>
      </c>
      <c r="D103" s="136"/>
      <c r="E103" s="363">
        <f>SUM($C$87:C103)/$C$84</f>
        <v>0.73272584800157459</v>
      </c>
      <c r="F103" s="119"/>
    </row>
    <row r="104" spans="2:6">
      <c r="B104" s="35">
        <v>18</v>
      </c>
      <c r="C104" s="480">
        <v>12368</v>
      </c>
      <c r="D104" s="136"/>
      <c r="E104" s="363">
        <f>SUM($C$87:C104)/$C$84</f>
        <v>0.74803635999014617</v>
      </c>
      <c r="F104" s="119"/>
    </row>
    <row r="105" spans="2:6">
      <c r="B105" s="35">
        <v>19</v>
      </c>
      <c r="C105" s="480">
        <v>8198</v>
      </c>
      <c r="D105" s="136"/>
      <c r="E105" s="363">
        <f>SUM($C$87:C105)/$C$84</f>
        <v>0.75818477341853474</v>
      </c>
      <c r="F105" s="119"/>
    </row>
    <row r="106" spans="2:6">
      <c r="B106" s="35">
        <v>20</v>
      </c>
      <c r="C106" s="480">
        <v>9581</v>
      </c>
      <c r="D106" s="136"/>
      <c r="E106" s="363">
        <f>SUM($C$87:C106)/$C$84</f>
        <v>0.77004522097371786</v>
      </c>
      <c r="F106" s="119"/>
    </row>
    <row r="107" spans="2:6">
      <c r="B107" s="35">
        <v>21</v>
      </c>
      <c r="C107" s="480">
        <v>8131</v>
      </c>
      <c r="D107" s="136"/>
      <c r="E107" s="363">
        <f>SUM($C$87:C107)/$C$84</f>
        <v>0.78011069420941281</v>
      </c>
      <c r="F107" s="119"/>
    </row>
    <row r="108" spans="2:6">
      <c r="B108" s="35">
        <v>22</v>
      </c>
      <c r="C108" s="480">
        <v>8564</v>
      </c>
      <c r="D108" s="136"/>
      <c r="E108" s="363">
        <f>SUM($C$87:C108)/$C$84</f>
        <v>0.79071218391430664</v>
      </c>
      <c r="F108" s="119"/>
    </row>
    <row r="109" spans="2:6">
      <c r="B109" s="35">
        <v>23</v>
      </c>
      <c r="C109" s="480">
        <v>5535</v>
      </c>
      <c r="D109" s="136"/>
      <c r="E109" s="363">
        <f>SUM($C$87:C109)/$C$84</f>
        <v>0.79756403416145605</v>
      </c>
      <c r="F109" s="119"/>
    </row>
    <row r="110" spans="2:6">
      <c r="B110" s="35">
        <v>24</v>
      </c>
      <c r="C110" s="480">
        <v>4360</v>
      </c>
      <c r="D110" s="136"/>
      <c r="E110" s="363">
        <f>SUM($C$87:C110)/$C$84</f>
        <v>0.80296133625315824</v>
      </c>
      <c r="F110" s="119"/>
    </row>
    <row r="111" spans="2:6">
      <c r="B111" s="35">
        <v>25</v>
      </c>
      <c r="C111" s="480">
        <v>7736</v>
      </c>
      <c r="D111" s="136"/>
      <c r="E111" s="363">
        <f>SUM($C$87:C111)/$C$84</f>
        <v>0.81253783372595823</v>
      </c>
      <c r="F111" s="119"/>
    </row>
    <row r="112" spans="2:6">
      <c r="B112" s="35">
        <v>26</v>
      </c>
      <c r="C112" s="480">
        <v>4593</v>
      </c>
      <c r="D112" s="136"/>
      <c r="E112" s="363">
        <f>SUM($C$87:C112)/$C$84</f>
        <v>0.81822356962210219</v>
      </c>
      <c r="F112" s="119"/>
    </row>
    <row r="113" spans="2:6">
      <c r="B113" s="35">
        <v>27</v>
      </c>
      <c r="C113" s="480">
        <v>4906</v>
      </c>
      <c r="D113" s="136"/>
      <c r="E113" s="363">
        <f>SUM($C$87:C113)/$C$84</f>
        <v>0.82429677238859089</v>
      </c>
      <c r="F113" s="119"/>
    </row>
    <row r="114" spans="2:6">
      <c r="B114" s="35">
        <v>28</v>
      </c>
      <c r="C114" s="480">
        <v>4630</v>
      </c>
      <c r="D114" s="136"/>
      <c r="E114" s="363">
        <f>SUM($C$87:C114)/$C$84</f>
        <v>0.83002831107771491</v>
      </c>
      <c r="F114" s="119"/>
    </row>
    <row r="115" spans="2:6">
      <c r="B115" s="35">
        <v>29</v>
      </c>
      <c r="C115" s="480">
        <v>5245</v>
      </c>
      <c r="D115" s="136"/>
      <c r="E115" s="363">
        <f>SUM($C$87:C115)/$C$84</f>
        <v>0.83652116646096675</v>
      </c>
      <c r="F115" s="119"/>
    </row>
    <row r="116" spans="2:6">
      <c r="B116" s="35">
        <v>30</v>
      </c>
      <c r="C116" s="480">
        <v>4109</v>
      </c>
      <c r="D116" s="136"/>
      <c r="E116" s="363">
        <f>SUM($C$87:C116)/$C$84</f>
        <v>0.8416077523083989</v>
      </c>
      <c r="F116" s="119"/>
    </row>
    <row r="117" spans="2:6">
      <c r="B117" s="35">
        <v>31</v>
      </c>
      <c r="C117" s="36"/>
      <c r="D117" s="36"/>
      <c r="E117" s="502"/>
      <c r="F117" s="36"/>
    </row>
  </sheetData>
  <mergeCells count="2">
    <mergeCell ref="E1:G1"/>
    <mergeCell ref="H1:J1"/>
  </mergeCells>
  <pageMargins left="0.7" right="0.7" top="0.75" bottom="0.75" header="0.3" footer="0.3"/>
  <pageSetup paperSize="9" orientation="portrait" r:id="rId1"/>
  <ignoredErrors>
    <ignoredError sqref="E88:E116 F88:F89" formulaRange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2"/>
  <dimension ref="A1:V145"/>
  <sheetViews>
    <sheetView showGridLines="0" zoomScale="85" zoomScaleNormal="85" workbookViewId="0">
      <pane ySplit="1" topLeftCell="A2" activePane="bottomLeft" state="frozen"/>
      <selection pane="bottomLeft" activeCell="F8" sqref="F8"/>
    </sheetView>
  </sheetViews>
  <sheetFormatPr baseColWidth="10" defaultColWidth="12.453125" defaultRowHeight="14.5"/>
  <cols>
    <col min="1" max="1" width="4.453125" style="35" customWidth="1"/>
    <col min="2" max="2" width="29" style="36" customWidth="1"/>
    <col min="3" max="3" width="19.7265625" style="36" customWidth="1"/>
    <col min="4" max="4" width="15" style="36" customWidth="1"/>
    <col min="5" max="5" width="16.81640625" style="36" customWidth="1"/>
    <col min="6" max="6" width="17.26953125" style="36" customWidth="1"/>
    <col min="7" max="7" width="19.26953125" style="36" customWidth="1"/>
    <col min="8" max="8" width="16.54296875" style="36" customWidth="1"/>
    <col min="9" max="10" width="17.81640625" style="36" customWidth="1"/>
    <col min="11" max="11" width="16.7265625" style="36" customWidth="1"/>
    <col min="12" max="12" width="19.54296875" style="36" customWidth="1"/>
    <col min="13" max="13" width="18.1796875" style="36" customWidth="1"/>
    <col min="14" max="14" width="17.453125" style="36" customWidth="1"/>
    <col min="15" max="15" width="27.453125" style="36" bestFit="1" customWidth="1"/>
    <col min="16" max="16" width="16.81640625" style="36" customWidth="1"/>
    <col min="17" max="17" width="15.1796875" style="36" bestFit="1" customWidth="1"/>
    <col min="18" max="18" width="27.453125" style="36" bestFit="1" customWidth="1"/>
    <col min="19" max="19" width="14" style="36" customWidth="1"/>
    <col min="20" max="20" width="17.1796875" style="36" customWidth="1"/>
    <col min="21" max="21" width="16.1796875" style="36" customWidth="1"/>
    <col min="22" max="22" width="18.26953125" style="36" customWidth="1"/>
    <col min="23" max="23" width="16.81640625" style="36" bestFit="1" customWidth="1"/>
    <col min="24" max="16384" width="12.453125" style="36"/>
  </cols>
  <sheetData>
    <row r="1" spans="1:18" s="33" customFormat="1" ht="24.75" customHeight="1">
      <c r="A1" s="31">
        <v>1</v>
      </c>
      <c r="B1" s="32" t="s">
        <v>192</v>
      </c>
    </row>
    <row r="2" spans="1:18">
      <c r="C2" s="37"/>
      <c r="D2" s="37"/>
      <c r="E2" s="38"/>
      <c r="I2" s="48"/>
    </row>
    <row r="3" spans="1:18" ht="15">
      <c r="C3" s="39" t="str">
        <f>+Resumen!B3</f>
        <v>Días del mes</v>
      </c>
      <c r="D3" s="463"/>
      <c r="E3" s="464"/>
      <c r="F3" s="462"/>
      <c r="G3" s="40"/>
      <c r="H3" s="40"/>
      <c r="I3" s="40"/>
      <c r="J3" s="40"/>
      <c r="N3" s="139" t="s">
        <v>193</v>
      </c>
      <c r="O3" s="140"/>
      <c r="P3" s="140"/>
      <c r="Q3" s="140"/>
      <c r="R3" s="140"/>
    </row>
    <row r="4" spans="1:18" s="45" customFormat="1" ht="30">
      <c r="A4" s="41"/>
      <c r="B4" s="42" t="s">
        <v>108</v>
      </c>
      <c r="C4" s="351">
        <v>45688</v>
      </c>
      <c r="D4" s="351"/>
      <c r="E4" s="43" t="s">
        <v>109</v>
      </c>
      <c r="F4" s="195">
        <f>Resumen!E4</f>
        <v>45748</v>
      </c>
      <c r="G4" s="195">
        <v>45656</v>
      </c>
      <c r="H4" s="44" t="s">
        <v>110</v>
      </c>
      <c r="I4" s="43" t="str">
        <f>Resumen!I4</f>
        <v>2026 vs 2025</v>
      </c>
      <c r="J4" s="43" t="str">
        <f>+Resumen!H4</f>
        <v>Abril vs Mar</v>
      </c>
      <c r="L4" s="36"/>
      <c r="M4" s="42" t="s">
        <v>108</v>
      </c>
      <c r="N4" s="141">
        <v>2021</v>
      </c>
      <c r="O4" s="141" t="s">
        <v>109</v>
      </c>
      <c r="P4" s="141">
        <v>2020</v>
      </c>
      <c r="Q4" s="142" t="s">
        <v>110</v>
      </c>
      <c r="R4" s="141" t="s">
        <v>194</v>
      </c>
    </row>
    <row r="5" spans="1:18" ht="15">
      <c r="B5" s="36" t="s">
        <v>6</v>
      </c>
      <c r="C5" s="495">
        <f>D72</f>
        <v>412.36929870678</v>
      </c>
      <c r="D5" s="495"/>
      <c r="E5" s="46">
        <f>+Graf_PowerBI!T105</f>
        <v>412.16340000000002</v>
      </c>
      <c r="F5" s="46">
        <f>Graf_PowerBI!C165</f>
        <v>376.38981804385992</v>
      </c>
      <c r="G5" s="46">
        <v>412.36929870678</v>
      </c>
      <c r="H5" s="47">
        <f>+C5/E5</f>
        <v>1.0004995560177832</v>
      </c>
      <c r="I5" s="47">
        <f>+C5/F5-1</f>
        <v>9.5591004161349247E-2</v>
      </c>
      <c r="J5" s="47">
        <f>+C5/G5-1</f>
        <v>0</v>
      </c>
      <c r="K5" s="503"/>
      <c r="M5" s="36" t="s">
        <v>6</v>
      </c>
      <c r="N5" s="143">
        <f>+C5+N20</f>
        <v>759.00019583717688</v>
      </c>
      <c r="O5" s="143">
        <f>+E5+O20</f>
        <v>610.12040000000002</v>
      </c>
      <c r="P5" s="143">
        <f>+F5+P20</f>
        <v>531.22152253649995</v>
      </c>
      <c r="Q5" s="144">
        <f t="shared" ref="Q5:Q11" si="0">+N5/O5</f>
        <v>1.2440170757069864</v>
      </c>
      <c r="R5" s="144">
        <f t="shared" ref="R5:R11" si="1">+N5/P5-1</f>
        <v>0.42878284037338932</v>
      </c>
    </row>
    <row r="6" spans="1:18">
      <c r="B6" s="36" t="s">
        <v>195</v>
      </c>
      <c r="C6" s="50">
        <f>+C5/Resumen!$B$5</f>
        <v>0.24039274214751155</v>
      </c>
      <c r="D6" s="50"/>
      <c r="E6" s="50">
        <f>+E5/Resumen!D5</f>
        <v>0.26113060302726648</v>
      </c>
      <c r="F6" s="50">
        <f>+F5/Resumen!E5</f>
        <v>0.26567911536501326</v>
      </c>
      <c r="G6" s="50">
        <v>0.26904557753127989</v>
      </c>
      <c r="H6" s="47">
        <f t="shared" ref="H6:H12" si="2">+C6/E6</f>
        <v>0.92058433351226343</v>
      </c>
      <c r="I6" s="47">
        <f t="shared" ref="I6:I12" si="3">+C6/F6-1</f>
        <v>-9.5176367863018085E-2</v>
      </c>
      <c r="J6" s="47">
        <f t="shared" ref="J6:J12" si="4">+C6/G6-1</f>
        <v>-0.10649807235890019</v>
      </c>
      <c r="K6" s="49"/>
      <c r="M6" s="36" t="s">
        <v>195</v>
      </c>
      <c r="N6" s="145">
        <f>+N5/(Resumen!B5+'Resumen Digital'!N21)</f>
        <v>0.31167636498413753</v>
      </c>
      <c r="O6" s="145">
        <f>+O5/(Resumen!D5+'Resumen Digital'!O21)</f>
        <v>0.30718062148561309</v>
      </c>
      <c r="P6" s="145">
        <f>+P5/(Resumen!E5+'Resumen Digital'!P21)</f>
        <v>0.29264418302409573</v>
      </c>
      <c r="Q6" s="144">
        <f t="shared" si="0"/>
        <v>1.0146355049246978</v>
      </c>
      <c r="R6" s="144">
        <f t="shared" si="1"/>
        <v>6.5035230713862191E-2</v>
      </c>
    </row>
    <row r="7" spans="1:18">
      <c r="B7" s="36" t="s">
        <v>181</v>
      </c>
      <c r="C7" s="46">
        <f>+Proyección_indicadores_digital!I3/1000</f>
        <v>399.56400000000002</v>
      </c>
      <c r="D7" s="46"/>
      <c r="E7" s="46">
        <f>+E10*E9</f>
        <v>388.39787995049488</v>
      </c>
      <c r="F7" s="46">
        <f>+Proyección_indicadores_digital!F3/1000</f>
        <v>385.077</v>
      </c>
      <c r="G7" s="46">
        <v>399.56400000000002</v>
      </c>
      <c r="H7" s="47">
        <f t="shared" si="2"/>
        <v>1.0287491786796785</v>
      </c>
      <c r="I7" s="47">
        <f t="shared" si="3"/>
        <v>3.7621047219127624E-2</v>
      </c>
      <c r="J7" s="47">
        <f t="shared" si="4"/>
        <v>0</v>
      </c>
      <c r="K7" s="49"/>
      <c r="M7" s="36" t="s">
        <v>181</v>
      </c>
      <c r="N7" s="143">
        <f>+C7+N22</f>
        <v>983.60808403475585</v>
      </c>
      <c r="O7" s="143">
        <f>+E7+O22</f>
        <v>858.33450597363094</v>
      </c>
      <c r="P7" s="143">
        <f>+F7+P22</f>
        <v>768.68000000000006</v>
      </c>
      <c r="Q7" s="144">
        <f t="shared" si="0"/>
        <v>1.1459496002890199</v>
      </c>
      <c r="R7" s="144">
        <f t="shared" si="1"/>
        <v>0.27960670764785833</v>
      </c>
    </row>
    <row r="8" spans="1:18">
      <c r="B8" s="36" t="s">
        <v>196</v>
      </c>
      <c r="C8" s="46">
        <f>+C5/C7*1000</f>
        <v>1032.0481792823678</v>
      </c>
      <c r="D8" s="46"/>
      <c r="E8" s="46">
        <f>+E5/E7*1000</f>
        <v>1061.1885936466344</v>
      </c>
      <c r="F8" s="46">
        <f>+F5/F7*1000</f>
        <v>977.44040294242427</v>
      </c>
      <c r="G8" s="46">
        <v>1032.0481792823678</v>
      </c>
      <c r="H8" s="47">
        <f t="shared" si="2"/>
        <v>0.9725398345414461</v>
      </c>
      <c r="I8" s="47">
        <f t="shared" si="3"/>
        <v>5.5868139045158971E-2</v>
      </c>
      <c r="J8" s="47">
        <f t="shared" si="4"/>
        <v>0</v>
      </c>
      <c r="K8" s="49"/>
      <c r="M8" s="36" t="s">
        <v>196</v>
      </c>
      <c r="N8" s="143">
        <f>+(N5*1000)/N7</f>
        <v>771.64900142317003</v>
      </c>
      <c r="O8" s="143">
        <f>+(O5*1000)/O7</f>
        <v>710.81891238652315</v>
      </c>
      <c r="P8" s="143">
        <f>+(P5*1000)/P7</f>
        <v>691.08279457836795</v>
      </c>
      <c r="Q8" s="144">
        <f t="shared" si="0"/>
        <v>1.0855774768744042</v>
      </c>
      <c r="R8" s="144">
        <f t="shared" si="1"/>
        <v>0.11657967392164026</v>
      </c>
    </row>
    <row r="9" spans="1:18">
      <c r="B9" s="36" t="s">
        <v>38</v>
      </c>
      <c r="C9" s="46">
        <f>+Resumen!B33</f>
        <v>878.92899999999997</v>
      </c>
      <c r="D9" s="46"/>
      <c r="E9" s="46">
        <f>+Resumen!D33</f>
        <v>873.61227559443773</v>
      </c>
      <c r="F9" s="46">
        <f>+Resumen!E33</f>
        <v>816.01300000000003</v>
      </c>
      <c r="G9" s="46">
        <v>808.80899999999997</v>
      </c>
      <c r="H9" s="47">
        <f t="shared" si="2"/>
        <v>1.0060859085364209</v>
      </c>
      <c r="I9" s="47">
        <f t="shared" si="3"/>
        <v>7.7101712840359049E-2</v>
      </c>
      <c r="J9" s="47">
        <f t="shared" si="4"/>
        <v>8.6695375546018916E-2</v>
      </c>
      <c r="K9" s="49"/>
      <c r="M9" s="36" t="s">
        <v>38</v>
      </c>
      <c r="N9" s="146">
        <f>+C9+N23</f>
        <v>5513.8789999999999</v>
      </c>
      <c r="O9" s="146">
        <f>+E9+O23</f>
        <v>4685.3543141837145</v>
      </c>
      <c r="P9" s="146">
        <f>+F9+P23</f>
        <v>4234.7910000000002</v>
      </c>
      <c r="Q9" s="144">
        <f t="shared" si="0"/>
        <v>1.1768328775708889</v>
      </c>
      <c r="R9" s="144">
        <f t="shared" si="1"/>
        <v>0.30204276905282912</v>
      </c>
    </row>
    <row r="10" spans="1:18" ht="15">
      <c r="B10" s="36" t="s">
        <v>45</v>
      </c>
      <c r="C10" s="504">
        <f>+C7/C9</f>
        <v>0.45460327284683977</v>
      </c>
      <c r="D10" s="504"/>
      <c r="E10" s="50">
        <f>+Graf_PowerBI!U105</f>
        <v>0.44458839556279672</v>
      </c>
      <c r="F10" s="50">
        <f>+F7/F9</f>
        <v>0.47190057021150394</v>
      </c>
      <c r="G10" s="50">
        <v>0.49401527431074582</v>
      </c>
      <c r="H10" s="47">
        <f t="shared" si="2"/>
        <v>1.0225261778849746</v>
      </c>
      <c r="I10" s="47">
        <f t="shared" si="3"/>
        <v>-3.6654537961061551E-2</v>
      </c>
      <c r="J10" s="47">
        <f t="shared" si="4"/>
        <v>-7.9778912744942976E-2</v>
      </c>
      <c r="K10" s="49"/>
      <c r="M10" s="36" t="s">
        <v>45</v>
      </c>
      <c r="N10" s="145">
        <f>+N7/N9</f>
        <v>0.1783876802582639</v>
      </c>
      <c r="O10" s="145">
        <f>+O7/O9</f>
        <v>0.18319521820905674</v>
      </c>
      <c r="P10" s="145">
        <f>+P7/P9</f>
        <v>0.18151545141188788</v>
      </c>
      <c r="Q10" s="144">
        <f t="shared" si="0"/>
        <v>0.97375729564454783</v>
      </c>
      <c r="R10" s="144">
        <f t="shared" si="1"/>
        <v>-1.7231431976149292E-2</v>
      </c>
    </row>
    <row r="11" spans="1:18" ht="15">
      <c r="B11" s="36" t="s">
        <v>127</v>
      </c>
      <c r="C11" s="498">
        <f>Proyección_indicadores_digital!L4</f>
        <v>5.8028701284399995</v>
      </c>
      <c r="D11" s="498"/>
      <c r="E11" s="51">
        <f>+Graf_PowerBI!W105</f>
        <v>5.6806630724129752</v>
      </c>
      <c r="F11" s="51">
        <f>Graf_PowerBI!H165</f>
        <v>5.4977816642614581</v>
      </c>
      <c r="G11" s="51">
        <v>5.8028701284399995</v>
      </c>
      <c r="H11" s="47">
        <f t="shared" si="2"/>
        <v>1.021512815400107</v>
      </c>
      <c r="I11" s="47">
        <f t="shared" si="3"/>
        <v>5.5493012056440971E-2</v>
      </c>
      <c r="J11" s="47">
        <f t="shared" si="4"/>
        <v>0</v>
      </c>
      <c r="K11" s="49"/>
      <c r="M11" s="36" t="s">
        <v>127</v>
      </c>
      <c r="N11" s="147">
        <f>+(N24*N7+C11*C7)/(C7+N7)</f>
        <v>6.2724895344250902</v>
      </c>
      <c r="O11" s="147">
        <f>+(O24*O7+E11*E7)/(E7+O7)</f>
        <v>4.3329625541049825</v>
      </c>
      <c r="P11" s="147">
        <f>+(P24*P7+F11*F7)/(F7+P7)</f>
        <v>4.2729041425896259</v>
      </c>
      <c r="Q11" s="144">
        <f t="shared" si="0"/>
        <v>1.4476214497821194</v>
      </c>
      <c r="R11" s="144">
        <f t="shared" si="1"/>
        <v>0.46796869883058045</v>
      </c>
    </row>
    <row r="12" spans="1:18">
      <c r="B12" s="36" t="s">
        <v>197</v>
      </c>
      <c r="C12" s="46">
        <f>+C8/C11</f>
        <v>177.85133157198814</v>
      </c>
      <c r="D12" s="46"/>
      <c r="E12" s="46">
        <f>+E8/E11</f>
        <v>186.8071702404053</v>
      </c>
      <c r="F12" s="46">
        <f>+F8/F11</f>
        <v>177.78814486146536</v>
      </c>
      <c r="G12" s="46">
        <v>177.85133157198814</v>
      </c>
      <c r="H12" s="47">
        <f t="shared" si="2"/>
        <v>0.95205837839686913</v>
      </c>
      <c r="I12" s="47">
        <f t="shared" si="3"/>
        <v>3.5540452133075995E-4</v>
      </c>
      <c r="J12" s="47">
        <f t="shared" si="4"/>
        <v>0</v>
      </c>
      <c r="K12" s="49"/>
      <c r="M12" s="36" t="s">
        <v>198</v>
      </c>
      <c r="N12" s="145">
        <f>N7/(N25+Resumen!B17)</f>
        <v>0.55215388365682594</v>
      </c>
      <c r="O12" s="145">
        <f>O7/(O25+Resumen!D17)</f>
        <v>0.57222722132263815</v>
      </c>
      <c r="P12" s="145">
        <f>P7/(P25+Resumen!E17)</f>
        <v>0.54662699541467075</v>
      </c>
      <c r="Q12" s="144">
        <f>+N12/O12</f>
        <v>0.9649206872413113</v>
      </c>
      <c r="R12" s="144">
        <f>+N12/P12-1</f>
        <v>1.0110895159801903E-2</v>
      </c>
    </row>
    <row r="13" spans="1:18">
      <c r="B13" s="36" t="s">
        <v>128</v>
      </c>
      <c r="C13" s="51"/>
      <c r="D13" s="51"/>
      <c r="E13" s="51"/>
      <c r="F13" s="51"/>
      <c r="G13" s="51"/>
      <c r="H13" s="47"/>
      <c r="I13" s="47"/>
      <c r="J13" s="47"/>
      <c r="K13" s="49"/>
    </row>
    <row r="14" spans="1:18">
      <c r="B14" s="36" t="s">
        <v>199</v>
      </c>
      <c r="C14" s="51">
        <f>+C8/C11</f>
        <v>177.85133157198814</v>
      </c>
      <c r="D14" s="51"/>
      <c r="E14" s="51">
        <f>+E8/E11</f>
        <v>186.8071702404053</v>
      </c>
      <c r="F14" s="51">
        <f>+F8/F11</f>
        <v>177.78814486146536</v>
      </c>
      <c r="G14" s="51">
        <v>177.85133157198814</v>
      </c>
      <c r="H14" s="47"/>
      <c r="I14" s="47">
        <f>+C14/F14-1</f>
        <v>3.5540452133075995E-4</v>
      </c>
      <c r="J14" s="47">
        <f>+C14/G14-1</f>
        <v>0</v>
      </c>
      <c r="K14" s="49"/>
    </row>
    <row r="15" spans="1:18" hidden="1">
      <c r="B15" s="36" t="s">
        <v>200</v>
      </c>
      <c r="C15" s="50">
        <f>C16/C7</f>
        <v>3.2393322812769944E-2</v>
      </c>
      <c r="D15" s="50"/>
      <c r="E15" s="50"/>
      <c r="F15" s="50">
        <f>F16/F7</f>
        <v>3.2559721821869392E-2</v>
      </c>
      <c r="G15" s="50">
        <v>3.4098234539757834E-2</v>
      </c>
      <c r="H15" s="47"/>
      <c r="I15" s="47">
        <f>+C15/F15-1</f>
        <v>-5.1105783400053895E-3</v>
      </c>
      <c r="J15" s="47">
        <f>+C15/G15-1</f>
        <v>-4.9999999999999933E-2</v>
      </c>
      <c r="K15" s="49">
        <v>-5.0000000000000044E-2</v>
      </c>
    </row>
    <row r="16" spans="1:18" hidden="1">
      <c r="B16" s="36" t="s">
        <v>201</v>
      </c>
      <c r="C16" s="51">
        <f>+G15*C7*0.95</f>
        <v>12.943205636361609</v>
      </c>
      <c r="D16" s="51"/>
      <c r="E16" s="51"/>
      <c r="F16" s="51">
        <v>12.538</v>
      </c>
      <c r="G16" s="51">
        <v>14.367393418030584</v>
      </c>
      <c r="H16" s="47"/>
      <c r="I16" s="47"/>
      <c r="J16" s="47"/>
      <c r="K16" s="49"/>
    </row>
    <row r="17" spans="2:19" ht="15" hidden="1">
      <c r="B17" s="36" t="s">
        <v>202</v>
      </c>
      <c r="C17" s="50">
        <f>+C5/Resumen!B46</f>
        <v>0.35326983498721121</v>
      </c>
      <c r="D17" s="50"/>
      <c r="E17" s="50"/>
      <c r="F17" s="50">
        <f>+F5/Resumen!E46</f>
        <v>0.32244681970315325</v>
      </c>
      <c r="G17" s="50">
        <v>0.35605838406687906</v>
      </c>
      <c r="H17" s="47"/>
      <c r="I17" s="47">
        <f>+C17/F17-1</f>
        <v>9.5591004161349247E-2</v>
      </c>
      <c r="J17" s="47">
        <f>+C17/G17-1</f>
        <v>-7.8317186294483143E-3</v>
      </c>
      <c r="K17" s="49">
        <v>-1.5900593736978497E-2</v>
      </c>
      <c r="M17" s="86"/>
      <c r="N17" s="86"/>
      <c r="O17" s="86"/>
      <c r="P17" s="159"/>
    </row>
    <row r="18" spans="2:19" ht="15" hidden="1">
      <c r="B18" s="36" t="s">
        <v>203</v>
      </c>
      <c r="C18" s="254">
        <f>C7/Resumen!B17</f>
        <v>0.52947630658327149</v>
      </c>
      <c r="D18" s="254"/>
      <c r="E18" s="254">
        <f>E7/Resumen!D17</f>
        <v>0.52386790406340666</v>
      </c>
      <c r="F18" s="254">
        <f>F7/Resumen!E17</f>
        <v>0.55869150146246338</v>
      </c>
      <c r="G18" s="254">
        <v>0.53299255447528404</v>
      </c>
      <c r="K18" s="86"/>
      <c r="M18" s="86"/>
      <c r="N18" s="263"/>
      <c r="O18" s="263" t="s">
        <v>204</v>
      </c>
      <c r="P18" s="262" t="s">
        <v>205</v>
      </c>
    </row>
    <row r="19" spans="2:19" ht="15">
      <c r="K19" s="86"/>
      <c r="M19" s="86"/>
      <c r="N19" s="263"/>
      <c r="O19" s="263"/>
      <c r="P19" s="262"/>
    </row>
    <row r="20" spans="2:19" ht="15">
      <c r="B20" s="52" t="s">
        <v>134</v>
      </c>
      <c r="E20" s="49"/>
      <c r="M20" s="88"/>
      <c r="N20" s="255">
        <v>346.63089713039687</v>
      </c>
      <c r="O20" s="256">
        <v>197.95699999999997</v>
      </c>
      <c r="P20" s="256">
        <v>154.83170449264003</v>
      </c>
      <c r="Q20" s="86" t="s">
        <v>206</v>
      </c>
    </row>
    <row r="21" spans="2:19" ht="15">
      <c r="B21" s="53"/>
      <c r="C21" s="54" t="s">
        <v>38</v>
      </c>
      <c r="D21" s="54" t="s">
        <v>45</v>
      </c>
      <c r="E21" s="54" t="s">
        <v>94</v>
      </c>
      <c r="F21" s="54" t="s">
        <v>15</v>
      </c>
      <c r="G21" s="365"/>
      <c r="M21" s="88"/>
      <c r="N21" s="347">
        <v>719.82067826333696</v>
      </c>
      <c r="O21" s="257">
        <v>407.81399999999996</v>
      </c>
      <c r="P21" s="257">
        <v>398.53882312840005</v>
      </c>
      <c r="Q21" s="86" t="s">
        <v>207</v>
      </c>
    </row>
    <row r="22" spans="2:19" ht="15">
      <c r="B22" s="55" t="s">
        <v>38</v>
      </c>
      <c r="C22" s="56">
        <f>+(C9-E9)*E8*E10/1000</f>
        <v>2.5083887544602455</v>
      </c>
      <c r="D22" s="56"/>
      <c r="E22" s="56"/>
      <c r="F22" s="57">
        <f>+SUM(C22:E22)</f>
        <v>2.5083887544602455</v>
      </c>
      <c r="M22" s="88"/>
      <c r="N22" s="264">
        <v>584.04408403475577</v>
      </c>
      <c r="O22" s="257">
        <v>469.93662602313611</v>
      </c>
      <c r="P22" s="257">
        <v>383.60300000000001</v>
      </c>
      <c r="Q22" s="86" t="s">
        <v>208</v>
      </c>
    </row>
    <row r="23" spans="2:19" ht="15">
      <c r="B23" s="58" t="s">
        <v>45</v>
      </c>
      <c r="C23" s="56">
        <f>+(C9-E9)*(C10-E10)*E8/1000</f>
        <v>5.6504411287641547E-2</v>
      </c>
      <c r="D23" s="56">
        <f>+E9*(C10-E10)*E8/1000</f>
        <v>9.2844660660759715</v>
      </c>
      <c r="E23" s="56"/>
      <c r="F23" s="57">
        <f>+SUM(C23:E23)</f>
        <v>9.3409704773636122</v>
      </c>
      <c r="M23" s="88"/>
      <c r="N23" s="258">
        <v>4634.95</v>
      </c>
      <c r="O23" s="259">
        <v>3811.7420385892765</v>
      </c>
      <c r="P23" s="259">
        <v>3418.7779999999998</v>
      </c>
      <c r="Q23" s="86" t="s">
        <v>209</v>
      </c>
    </row>
    <row r="24" spans="2:19" ht="15">
      <c r="B24" s="59" t="s">
        <v>94</v>
      </c>
      <c r="C24" s="60">
        <f>+(C9-E9)*(C10-E10)*(C8-E8)/1000+(C9-E9)*E10*(C8-E8)/1000</f>
        <v>-7.043239071495104E-2</v>
      </c>
      <c r="D24" s="60">
        <f>+E9*(C10-E10)*(C8-E8)/1000</f>
        <v>-0.25495297436877506</v>
      </c>
      <c r="E24" s="60">
        <f>+E9*E10*(C8-E8)/1000</f>
        <v>-11.318075159960129</v>
      </c>
      <c r="F24" s="61">
        <f>+SUM(C24:E24)</f>
        <v>-11.643460525043855</v>
      </c>
      <c r="M24" s="88"/>
      <c r="N24" s="260">
        <v>6.4632596301356866</v>
      </c>
      <c r="O24" s="261">
        <v>3.7231256892509341</v>
      </c>
      <c r="P24" s="261">
        <v>3.6592909857326457</v>
      </c>
      <c r="Q24" s="86" t="s">
        <v>210</v>
      </c>
    </row>
    <row r="25" spans="2:19" ht="15">
      <c r="B25" s="62"/>
      <c r="C25" s="56"/>
      <c r="D25" s="56"/>
      <c r="E25" s="56"/>
      <c r="F25" s="57">
        <f>+SUM(F22:F24)</f>
        <v>0.20589870678000288</v>
      </c>
      <c r="K25" s="162"/>
      <c r="L25" s="162"/>
      <c r="M25" s="162"/>
      <c r="N25" s="264">
        <v>1026.7620930550711</v>
      </c>
      <c r="O25" s="259">
        <v>758.58471509200626</v>
      </c>
      <c r="P25" s="259">
        <v>716.976</v>
      </c>
      <c r="Q25" s="36" t="s">
        <v>211</v>
      </c>
    </row>
    <row r="26" spans="2:19" ht="15">
      <c r="C26" s="63"/>
      <c r="F26" s="64"/>
      <c r="G26" s="65"/>
      <c r="J26" s="66"/>
      <c r="K26" s="66"/>
      <c r="P26" s="160"/>
      <c r="Q26" s="160"/>
      <c r="R26" s="86"/>
      <c r="S26" s="159"/>
    </row>
    <row r="27" spans="2:19" ht="18.5" hidden="1">
      <c r="B27" s="67" t="s">
        <v>212</v>
      </c>
      <c r="C27" s="63"/>
      <c r="F27" s="64"/>
      <c r="G27" s="65"/>
      <c r="J27" s="135"/>
      <c r="K27" s="66"/>
      <c r="P27" s="160"/>
      <c r="Q27" s="160"/>
      <c r="R27" s="86"/>
      <c r="S27" s="159"/>
    </row>
    <row r="28" spans="2:19" ht="15" hidden="1">
      <c r="C28" s="63"/>
      <c r="F28" s="64"/>
      <c r="G28" s="65"/>
      <c r="J28" s="66"/>
      <c r="K28" s="66"/>
      <c r="P28" s="86"/>
      <c r="Q28" s="86"/>
      <c r="R28" s="86"/>
      <c r="S28" s="159"/>
    </row>
    <row r="29" spans="2:19" ht="15" hidden="1">
      <c r="B29" s="68" t="s">
        <v>213</v>
      </c>
      <c r="C29" s="69" t="e">
        <f>+VLOOKUP(MID(#REF!,9,2)*1,$A$39:$H$74,7,0)/(MID(#REF!,9,2)*1)</f>
        <v>#REF!</v>
      </c>
      <c r="D29" s="70"/>
      <c r="E29" s="70">
        <v>3</v>
      </c>
      <c r="F29" s="64"/>
      <c r="G29" s="65"/>
      <c r="H29" s="119"/>
      <c r="I29" s="119"/>
      <c r="J29" s="66"/>
      <c r="K29" s="66"/>
      <c r="O29" s="159"/>
      <c r="P29" s="159"/>
      <c r="Q29" s="159"/>
      <c r="R29" s="159"/>
      <c r="S29" s="159"/>
    </row>
    <row r="30" spans="2:19" hidden="1">
      <c r="B30" s="70"/>
      <c r="C30" s="70"/>
      <c r="D30" s="70"/>
      <c r="E30" s="70"/>
      <c r="F30" s="64"/>
      <c r="G30" s="65"/>
      <c r="J30" s="66"/>
      <c r="K30" s="66"/>
      <c r="O30" s="89"/>
      <c r="P30" s="89"/>
      <c r="Q30" s="89"/>
      <c r="R30" s="89"/>
      <c r="S30" s="89"/>
    </row>
    <row r="31" spans="2:19" ht="30" hidden="1">
      <c r="B31" s="71" t="s">
        <v>214</v>
      </c>
      <c r="C31" s="72" t="s">
        <v>215</v>
      </c>
      <c r="D31" s="72" t="s">
        <v>216</v>
      </c>
      <c r="E31" s="71" t="s">
        <v>217</v>
      </c>
      <c r="F31" s="64"/>
      <c r="G31" s="65"/>
      <c r="J31" s="66"/>
      <c r="K31" s="66"/>
    </row>
    <row r="32" spans="2:19" hidden="1">
      <c r="B32" s="73" t="s">
        <v>218</v>
      </c>
      <c r="C32" s="74">
        <v>-2.8</v>
      </c>
      <c r="D32" s="74">
        <f>+E5+C32*31</f>
        <v>325.36340000000001</v>
      </c>
      <c r="E32" s="75">
        <f>+D32/$F$5-1</f>
        <v>-0.13556800847868289</v>
      </c>
      <c r="F32" s="64"/>
      <c r="G32" s="65"/>
      <c r="J32" s="66"/>
      <c r="K32" s="66"/>
    </row>
    <row r="33" spans="1:21" hidden="1">
      <c r="B33" s="73" t="s">
        <v>219</v>
      </c>
      <c r="C33" s="74">
        <f>+((D33-E5)/31)</f>
        <v>6.6418937670960077E-3</v>
      </c>
      <c r="D33" s="74">
        <f>+C5</f>
        <v>412.36929870678</v>
      </c>
      <c r="E33" s="75">
        <f>+D33/$F$5-1</f>
        <v>9.5591004161349247E-2</v>
      </c>
      <c r="F33" s="64"/>
      <c r="G33" s="65"/>
      <c r="J33" s="66"/>
      <c r="K33" s="66"/>
    </row>
    <row r="34" spans="1:21" hidden="1">
      <c r="B34" s="73" t="s">
        <v>220</v>
      </c>
      <c r="C34" s="74">
        <v>-0.5</v>
      </c>
      <c r="D34" s="74">
        <f>+E5+C34*31</f>
        <v>396.66340000000002</v>
      </c>
      <c r="E34" s="75">
        <f>+D34/$F$5-1</f>
        <v>5.3863258207951015E-2</v>
      </c>
      <c r="F34" s="64"/>
      <c r="G34" s="65"/>
      <c r="J34" s="66"/>
      <c r="K34" s="66"/>
    </row>
    <row r="35" spans="1:21" hidden="1">
      <c r="B35" s="73" t="s">
        <v>221</v>
      </c>
      <c r="C35" s="134">
        <v>-0.6990332514710379</v>
      </c>
      <c r="D35" s="134">
        <v>122.56496920439787</v>
      </c>
      <c r="E35" s="75">
        <v>6.8576352998745538E-2</v>
      </c>
      <c r="F35" s="64"/>
      <c r="G35" s="65"/>
      <c r="J35" s="66"/>
      <c r="K35" s="66"/>
    </row>
    <row r="36" spans="1:21" hidden="1">
      <c r="B36" s="73" t="s">
        <v>222</v>
      </c>
      <c r="C36" s="74">
        <f>+(D36-E5)/31</f>
        <v>0</v>
      </c>
      <c r="D36" s="74">
        <f>+E5</f>
        <v>412.16340000000002</v>
      </c>
      <c r="E36" s="75">
        <f>+D36/$F$5-1</f>
        <v>9.5043968357219066E-2</v>
      </c>
      <c r="F36" s="64"/>
      <c r="G36" s="65"/>
      <c r="J36" s="66"/>
      <c r="K36" s="66"/>
    </row>
    <row r="37" spans="1:21">
      <c r="C37" s="63"/>
      <c r="E37" s="383"/>
      <c r="F37" s="64"/>
      <c r="G37" s="65"/>
      <c r="J37" s="66"/>
      <c r="K37" s="66"/>
    </row>
    <row r="38" spans="1:21" s="79" customFormat="1" ht="24.75" customHeight="1">
      <c r="A38" s="77">
        <v>2</v>
      </c>
      <c r="B38" s="78" t="str">
        <f>+Resumen!A69</f>
        <v>2  Control de meta diaria - Marzo 2026</v>
      </c>
    </row>
    <row r="39" spans="1:21">
      <c r="D39" s="86"/>
    </row>
    <row r="40" spans="1:21" s="45" customFormat="1" ht="33.75" customHeight="1">
      <c r="A40" s="41"/>
      <c r="B40" s="80" t="s">
        <v>146</v>
      </c>
      <c r="C40" s="80" t="s">
        <v>147</v>
      </c>
      <c r="D40" s="80" t="s">
        <v>223</v>
      </c>
      <c r="E40" s="80" t="s">
        <v>148</v>
      </c>
      <c r="F40" s="80" t="s">
        <v>224</v>
      </c>
      <c r="G40" s="80" t="s">
        <v>225</v>
      </c>
      <c r="H40" s="80" t="s">
        <v>226</v>
      </c>
      <c r="I40" s="80" t="s">
        <v>227</v>
      </c>
      <c r="J40" s="80" t="s">
        <v>228</v>
      </c>
      <c r="K40" s="80" t="s">
        <v>229</v>
      </c>
      <c r="L40" s="80"/>
      <c r="M40" s="80"/>
      <c r="N40" s="80"/>
      <c r="O40" s="80"/>
      <c r="P40" s="80"/>
      <c r="Q40" s="80"/>
      <c r="T40" s="81"/>
      <c r="U40" s="81"/>
    </row>
    <row r="41" spans="1:21">
      <c r="A41" s="98">
        <v>1</v>
      </c>
      <c r="B41" s="87">
        <f>+Resumen!A72</f>
        <v>46113</v>
      </c>
      <c r="C41" s="35" t="str">
        <f>+TEXT(B41,"dddddd")</f>
        <v>miércoles</v>
      </c>
      <c r="D41" s="222">
        <v>16.109130840439999</v>
      </c>
      <c r="E41" s="157">
        <v>13.175507865224514</v>
      </c>
      <c r="F41" s="192">
        <f t="shared" ref="F41:F68" si="5">+D41-E41</f>
        <v>2.933622975215485</v>
      </c>
      <c r="G41" s="192">
        <f>+F41</f>
        <v>2.933622975215485</v>
      </c>
      <c r="H41" s="194">
        <f>+I41</f>
        <v>0.23195241148138696</v>
      </c>
      <c r="I41" s="194">
        <f>+D41/Resumen!C72</f>
        <v>0.23195241148138696</v>
      </c>
      <c r="J41" s="214">
        <f>+D41/E41</f>
        <v>1.2226572975572729</v>
      </c>
      <c r="K41" s="214">
        <f>+D41/E41</f>
        <v>1.2226572975572729</v>
      </c>
      <c r="L41" s="467"/>
      <c r="M41" s="467"/>
      <c r="N41" s="350"/>
      <c r="O41" s="222"/>
      <c r="P41" s="121"/>
      <c r="Q41" s="121"/>
      <c r="T41" s="180">
        <f t="shared" ref="T41:T68" si="6">+D41/E41</f>
        <v>1.2226572975572729</v>
      </c>
    </row>
    <row r="42" spans="1:21">
      <c r="A42" s="98">
        <f>+A41+1</f>
        <v>2</v>
      </c>
      <c r="B42" s="87">
        <f>+B41+1</f>
        <v>46114</v>
      </c>
      <c r="C42" s="35" t="str">
        <f t="shared" ref="C42:C68" si="7">+TEXT(B42,"dddddd")</f>
        <v>jueves</v>
      </c>
      <c r="D42" s="222">
        <v>19.530028947449999</v>
      </c>
      <c r="E42" s="157">
        <v>10.779960980638238</v>
      </c>
      <c r="F42" s="192">
        <f t="shared" si="5"/>
        <v>8.7500679668117609</v>
      </c>
      <c r="G42" s="192">
        <f>+F42+G41</f>
        <v>11.683690942027246</v>
      </c>
      <c r="H42" s="194">
        <f t="shared" ref="H42:H70" si="8">+I42</f>
        <v>0.36069656314261933</v>
      </c>
      <c r="I42" s="194">
        <f>+D42/Resumen!C73</f>
        <v>0.36069656314261933</v>
      </c>
      <c r="J42" s="214">
        <f>+SUM($D$41:D42)/SUM($E$41:E42)</f>
        <v>1.4877254132325228</v>
      </c>
      <c r="K42" s="214">
        <f t="shared" ref="K42:K68" si="9">+D42/E42</f>
        <v>1.8116975546133847</v>
      </c>
      <c r="L42" s="467"/>
      <c r="M42" s="467"/>
      <c r="N42" s="350"/>
      <c r="O42" s="222"/>
      <c r="P42" s="121"/>
      <c r="Q42" s="121"/>
      <c r="T42" s="180">
        <f t="shared" si="6"/>
        <v>1.8116975546133847</v>
      </c>
    </row>
    <row r="43" spans="1:21">
      <c r="A43" s="98">
        <f t="shared" ref="A43:B68" si="10">+A42+1</f>
        <v>3</v>
      </c>
      <c r="B43" s="87">
        <f t="shared" si="10"/>
        <v>46115</v>
      </c>
      <c r="C43" s="35" t="str">
        <f t="shared" si="7"/>
        <v>viernes</v>
      </c>
      <c r="D43" s="222">
        <v>16.445878244149998</v>
      </c>
      <c r="E43" s="157">
        <v>8.7747307192343911</v>
      </c>
      <c r="F43" s="192">
        <f t="shared" si="5"/>
        <v>7.6711475249156074</v>
      </c>
      <c r="G43" s="192">
        <f t="shared" ref="G43:G68" si="11">+F43+G42</f>
        <v>19.354838466942851</v>
      </c>
      <c r="H43" s="194">
        <f t="shared" si="8"/>
        <v>0.44480344603531075</v>
      </c>
      <c r="I43" s="194">
        <f>+D43/Resumen!C74</f>
        <v>0.44480344603531075</v>
      </c>
      <c r="J43" s="214">
        <f>+SUM($D$41:D43)/SUM($E$41:E43)</f>
        <v>1.5913449573824925</v>
      </c>
      <c r="K43" s="214">
        <f t="shared" si="9"/>
        <v>1.8742316739247955</v>
      </c>
      <c r="L43" s="467"/>
      <c r="M43" s="467"/>
      <c r="N43" s="350"/>
      <c r="O43" s="222"/>
      <c r="P43" s="121"/>
      <c r="Q43" s="121"/>
      <c r="T43" s="180">
        <f t="shared" si="6"/>
        <v>1.8742316739247955</v>
      </c>
    </row>
    <row r="44" spans="1:21">
      <c r="A44" s="98">
        <f t="shared" si="10"/>
        <v>4</v>
      </c>
      <c r="B44" s="87">
        <f t="shared" si="10"/>
        <v>46116</v>
      </c>
      <c r="C44" s="35" t="str">
        <f t="shared" si="7"/>
        <v>sábado</v>
      </c>
      <c r="D44" s="222">
        <v>15.551409060259999</v>
      </c>
      <c r="E44" s="157">
        <v>14.083935834311671</v>
      </c>
      <c r="F44" s="192">
        <f t="shared" si="5"/>
        <v>1.4674732259483285</v>
      </c>
      <c r="G44" s="192">
        <f t="shared" si="11"/>
        <v>20.82231169289118</v>
      </c>
      <c r="H44" s="194">
        <f t="shared" si="8"/>
        <v>0.31487564881649382</v>
      </c>
      <c r="I44" s="194">
        <f>+D44/Resumen!C75</f>
        <v>0.31487564881649382</v>
      </c>
      <c r="J44" s="214">
        <f>+SUM($D$41:D44)/SUM($E$41:E44)</f>
        <v>1.4447868472895931</v>
      </c>
      <c r="K44" s="214">
        <f t="shared" si="9"/>
        <v>1.1041948247430402</v>
      </c>
      <c r="L44" s="467"/>
      <c r="M44" s="467"/>
      <c r="N44" s="350"/>
      <c r="O44" s="222"/>
      <c r="P44" s="121"/>
      <c r="Q44" s="121"/>
      <c r="T44" s="180">
        <f t="shared" si="6"/>
        <v>1.1041948247430402</v>
      </c>
    </row>
    <row r="45" spans="1:21">
      <c r="A45" s="98">
        <f t="shared" si="10"/>
        <v>5</v>
      </c>
      <c r="B45" s="87">
        <f t="shared" si="10"/>
        <v>46117</v>
      </c>
      <c r="C45" s="35" t="str">
        <f t="shared" si="7"/>
        <v>domingo</v>
      </c>
      <c r="D45" s="222">
        <v>14.63088575686</v>
      </c>
      <c r="E45" s="157">
        <v>14.298660188172979</v>
      </c>
      <c r="F45" s="192">
        <f t="shared" si="5"/>
        <v>0.33222556868702036</v>
      </c>
      <c r="G45" s="192">
        <f t="shared" si="11"/>
        <v>21.154537261578199</v>
      </c>
      <c r="H45" s="194">
        <f t="shared" si="8"/>
        <v>0.36625059211353783</v>
      </c>
      <c r="I45" s="194">
        <f>+D45/Resumen!C76</f>
        <v>0.36625059211353783</v>
      </c>
      <c r="J45" s="214">
        <f>+SUM($D$41:D45)/SUM($E$41:E45)</f>
        <v>1.3461556137005917</v>
      </c>
      <c r="K45" s="214">
        <f t="shared" si="9"/>
        <v>1.0232347341859218</v>
      </c>
      <c r="L45" s="466"/>
      <c r="M45" s="350"/>
      <c r="N45" s="350"/>
      <c r="O45" s="222"/>
      <c r="P45" s="121"/>
      <c r="Q45" s="121"/>
      <c r="S45" s="49">
        <f>+SUM(N41:N45)/SUM(D41:D45)</f>
        <v>0</v>
      </c>
      <c r="T45" s="180">
        <f t="shared" si="6"/>
        <v>1.0232347341859218</v>
      </c>
    </row>
    <row r="46" spans="1:21">
      <c r="A46" s="98">
        <f t="shared" si="10"/>
        <v>6</v>
      </c>
      <c r="B46" s="87">
        <f t="shared" si="10"/>
        <v>46118</v>
      </c>
      <c r="C46" s="35" t="str">
        <f t="shared" si="7"/>
        <v>lunes</v>
      </c>
      <c r="D46" s="222">
        <v>15.008025788199999</v>
      </c>
      <c r="E46" s="157">
        <v>14.073837946944366</v>
      </c>
      <c r="F46" s="192">
        <f t="shared" si="5"/>
        <v>0.9341878412556337</v>
      </c>
      <c r="G46" s="192">
        <f t="shared" si="11"/>
        <v>22.088725102833834</v>
      </c>
      <c r="H46" s="194">
        <f t="shared" si="8"/>
        <v>0.24369388815408893</v>
      </c>
      <c r="I46" s="194">
        <f>+D46/Resumen!C77</f>
        <v>0.24369388815408893</v>
      </c>
      <c r="J46" s="214">
        <f>+SUM($D$41:D46)/SUM($E$41:E46)</f>
        <v>1.2937852656042987</v>
      </c>
      <c r="K46" s="214">
        <f t="shared" si="9"/>
        <v>1.0663776181577009</v>
      </c>
      <c r="L46" s="466"/>
      <c r="M46" s="350"/>
      <c r="N46" s="350"/>
      <c r="O46" s="222"/>
      <c r="P46" s="121"/>
      <c r="Q46" s="121"/>
      <c r="T46" s="180">
        <f t="shared" si="6"/>
        <v>1.0663776181577009</v>
      </c>
    </row>
    <row r="47" spans="1:21">
      <c r="A47" s="98">
        <f t="shared" si="10"/>
        <v>7</v>
      </c>
      <c r="B47" s="87">
        <f t="shared" si="10"/>
        <v>46119</v>
      </c>
      <c r="C47" s="35" t="str">
        <f t="shared" si="7"/>
        <v>martes</v>
      </c>
      <c r="D47" s="222">
        <v>11.66428260448</v>
      </c>
      <c r="E47" s="157">
        <v>13.9467801144984</v>
      </c>
      <c r="F47" s="192">
        <f t="shared" si="5"/>
        <v>-2.2824975100184002</v>
      </c>
      <c r="G47" s="192">
        <f>+F47+G46</f>
        <v>19.806227592815432</v>
      </c>
      <c r="H47" s="194">
        <f t="shared" si="8"/>
        <v>0.18388716582892436</v>
      </c>
      <c r="I47" s="194">
        <f>+D47/Resumen!C78</f>
        <v>0.18388716582892436</v>
      </c>
      <c r="J47" s="214">
        <f>+SUM($D$41:D47)/SUM($E$41:E47)</f>
        <v>1.2222087854820107</v>
      </c>
      <c r="K47" s="214">
        <f t="shared" si="9"/>
        <v>0.8363423319734119</v>
      </c>
      <c r="L47" s="466"/>
      <c r="M47" s="350"/>
      <c r="N47" s="350"/>
      <c r="O47" s="222"/>
      <c r="P47" s="121"/>
      <c r="Q47" s="121"/>
      <c r="T47" s="180">
        <f t="shared" si="6"/>
        <v>0.8363423319734119</v>
      </c>
    </row>
    <row r="48" spans="1:21">
      <c r="A48" s="98">
        <f t="shared" si="10"/>
        <v>8</v>
      </c>
      <c r="B48" s="87">
        <f t="shared" si="10"/>
        <v>46120</v>
      </c>
      <c r="C48" s="35" t="str">
        <f t="shared" si="7"/>
        <v>miércoles</v>
      </c>
      <c r="D48" s="222">
        <v>9.1356698834800003</v>
      </c>
      <c r="E48" s="157">
        <v>13.024865549689961</v>
      </c>
      <c r="F48" s="192">
        <f t="shared" si="5"/>
        <v>-3.8891956662099609</v>
      </c>
      <c r="G48" s="192">
        <f t="shared" si="11"/>
        <v>15.917031926605471</v>
      </c>
      <c r="H48" s="194">
        <f t="shared" si="8"/>
        <v>0.16322635576685016</v>
      </c>
      <c r="I48" s="194">
        <f>+D48/Resumen!C79</f>
        <v>0.16322635576685016</v>
      </c>
      <c r="J48" s="214">
        <f>+SUM($D$41:D48)/SUM($E$41:E48)</f>
        <v>1.1558075571696373</v>
      </c>
      <c r="K48" s="214">
        <f t="shared" si="9"/>
        <v>0.7014022408620918</v>
      </c>
      <c r="L48" s="466"/>
      <c r="M48" s="350"/>
      <c r="N48" s="350"/>
      <c r="O48" s="222"/>
      <c r="P48" s="121"/>
      <c r="Q48" s="121"/>
      <c r="T48" s="180">
        <f t="shared" si="6"/>
        <v>0.7014022408620918</v>
      </c>
    </row>
    <row r="49" spans="1:22">
      <c r="A49" s="98">
        <f t="shared" si="10"/>
        <v>9</v>
      </c>
      <c r="B49" s="87">
        <f t="shared" si="10"/>
        <v>46121</v>
      </c>
      <c r="C49" s="35" t="str">
        <f t="shared" si="7"/>
        <v>jueves</v>
      </c>
      <c r="D49" s="222">
        <v>11.025164977619999</v>
      </c>
      <c r="E49" s="157">
        <v>11.194254102897306</v>
      </c>
      <c r="F49" s="192">
        <f t="shared" si="5"/>
        <v>-0.16908912527730635</v>
      </c>
      <c r="G49" s="192">
        <f t="shared" si="11"/>
        <v>15.747942801328165</v>
      </c>
      <c r="H49" s="194">
        <f t="shared" si="8"/>
        <v>0.21187192192675372</v>
      </c>
      <c r="I49" s="194">
        <f>+D49/Resumen!C80</f>
        <v>0.21187192192675372</v>
      </c>
      <c r="J49" s="214">
        <f>+SUM($D$41:D49)/SUM($E$41:E49)</f>
        <v>1.1389289003310192</v>
      </c>
      <c r="K49" s="214">
        <f t="shared" si="9"/>
        <v>0.98489500740977975</v>
      </c>
      <c r="L49" s="466"/>
      <c r="M49" s="350"/>
      <c r="N49" s="350"/>
      <c r="O49" s="222"/>
      <c r="P49" s="121"/>
      <c r="Q49" s="121"/>
      <c r="T49" s="180">
        <f t="shared" si="6"/>
        <v>0.98489500740977975</v>
      </c>
    </row>
    <row r="50" spans="1:22">
      <c r="A50" s="98">
        <f t="shared" si="10"/>
        <v>10</v>
      </c>
      <c r="B50" s="87">
        <f t="shared" si="10"/>
        <v>46122</v>
      </c>
      <c r="C50" s="35" t="str">
        <f t="shared" si="7"/>
        <v>viernes</v>
      </c>
      <c r="D50" s="222">
        <v>14.806531678480001</v>
      </c>
      <c r="E50" s="157">
        <v>9.2999509319473859</v>
      </c>
      <c r="F50" s="192">
        <f t="shared" si="5"/>
        <v>5.5065807465326149</v>
      </c>
      <c r="G50" s="192">
        <f t="shared" si="11"/>
        <v>21.254523547860778</v>
      </c>
      <c r="H50" s="194">
        <f t="shared" si="8"/>
        <v>0.25568718863385026</v>
      </c>
      <c r="I50" s="194">
        <f>+D50/Resumen!C81</f>
        <v>0.25568718863385026</v>
      </c>
      <c r="J50" s="214">
        <f>+SUM($D$41:D50)/SUM($E$41:E50)</f>
        <v>1.1732906078558278</v>
      </c>
      <c r="K50" s="214">
        <f t="shared" si="9"/>
        <v>1.5921085806610327</v>
      </c>
      <c r="L50" s="466"/>
      <c r="M50" s="350"/>
      <c r="N50" s="350"/>
      <c r="O50" s="222"/>
      <c r="P50" s="121"/>
      <c r="Q50" s="121"/>
      <c r="T50" s="180">
        <f t="shared" si="6"/>
        <v>1.5921085806610327</v>
      </c>
    </row>
    <row r="51" spans="1:22">
      <c r="A51" s="98">
        <f t="shared" si="10"/>
        <v>11</v>
      </c>
      <c r="B51" s="87">
        <f t="shared" si="10"/>
        <v>46123</v>
      </c>
      <c r="C51" s="35" t="str">
        <f t="shared" si="7"/>
        <v>sábado</v>
      </c>
      <c r="D51" s="222">
        <v>13.88146141022</v>
      </c>
      <c r="E51" s="157">
        <v>16.469384831530643</v>
      </c>
      <c r="F51" s="192">
        <f t="shared" si="5"/>
        <v>-2.5879234213106432</v>
      </c>
      <c r="G51" s="192">
        <f t="shared" si="11"/>
        <v>18.666600126550136</v>
      </c>
      <c r="H51" s="194">
        <f t="shared" si="8"/>
        <v>0.26392688395311659</v>
      </c>
      <c r="I51" s="194">
        <f>+D51/Resumen!C82</f>
        <v>0.26392688395311659</v>
      </c>
      <c r="J51" s="214">
        <f>+SUM($D$41:D51)/SUM($E$41:E51)</f>
        <v>1.1341744490064085</v>
      </c>
      <c r="K51" s="214">
        <f t="shared" si="9"/>
        <v>0.84286459708221384</v>
      </c>
      <c r="L51" s="466"/>
      <c r="M51" s="350"/>
      <c r="N51" s="350"/>
      <c r="O51" s="222"/>
      <c r="P51" s="121"/>
      <c r="Q51" s="121"/>
      <c r="T51" s="180">
        <f t="shared" si="6"/>
        <v>0.84286459708221384</v>
      </c>
    </row>
    <row r="52" spans="1:22">
      <c r="A52" s="98">
        <f t="shared" si="10"/>
        <v>12</v>
      </c>
      <c r="B52" s="87">
        <f t="shared" si="10"/>
        <v>46124</v>
      </c>
      <c r="C52" s="35" t="str">
        <f t="shared" si="7"/>
        <v>domingo</v>
      </c>
      <c r="D52" s="222">
        <v>14.82068851535</v>
      </c>
      <c r="E52" s="157">
        <v>16.469384831530643</v>
      </c>
      <c r="F52" s="192">
        <f t="shared" si="5"/>
        <v>-1.6486963161806436</v>
      </c>
      <c r="G52" s="192">
        <f t="shared" si="11"/>
        <v>17.017903810369493</v>
      </c>
      <c r="H52" s="194">
        <f t="shared" si="8"/>
        <v>0.44385856237652604</v>
      </c>
      <c r="I52" s="194">
        <f>+D52/Resumen!C83</f>
        <v>0.44385856237652604</v>
      </c>
      <c r="J52" s="214">
        <f>+SUM($D$41:D52)/SUM($E$41:E52)</f>
        <v>1.1093757096505998</v>
      </c>
      <c r="K52" s="214">
        <f t="shared" si="9"/>
        <v>0.89989326662497959</v>
      </c>
      <c r="L52" s="466"/>
      <c r="M52" s="350"/>
      <c r="N52" s="350"/>
      <c r="O52" s="222"/>
      <c r="P52" s="121"/>
      <c r="Q52" s="121"/>
      <c r="T52" s="180">
        <f t="shared" si="6"/>
        <v>0.89989326662497959</v>
      </c>
    </row>
    <row r="53" spans="1:22">
      <c r="A53" s="98">
        <f>+A52+1</f>
        <v>13</v>
      </c>
      <c r="B53" s="87">
        <f t="shared" si="10"/>
        <v>46125</v>
      </c>
      <c r="C53" s="35" t="str">
        <f t="shared" si="7"/>
        <v>lunes</v>
      </c>
      <c r="D53" s="222">
        <v>13.671898802979999</v>
      </c>
      <c r="E53" s="157">
        <v>16.768828192103928</v>
      </c>
      <c r="F53" s="192">
        <f t="shared" si="5"/>
        <v>-3.0969293891239289</v>
      </c>
      <c r="G53" s="192">
        <f t="shared" si="11"/>
        <v>13.920974421245564</v>
      </c>
      <c r="H53" s="194">
        <f t="shared" si="8"/>
        <v>0.24437028471093022</v>
      </c>
      <c r="I53" s="194">
        <f>+D53/Resumen!C84</f>
        <v>0.24437028471093022</v>
      </c>
      <c r="J53" s="214">
        <f>+SUM($D$41:D53)/SUM($E$41:E53)</f>
        <v>1.0807668124344452</v>
      </c>
      <c r="K53" s="214">
        <f t="shared" si="9"/>
        <v>0.8153162908197602</v>
      </c>
      <c r="L53" s="466"/>
      <c r="M53" s="350"/>
      <c r="N53" s="350"/>
      <c r="O53" s="222"/>
      <c r="P53" s="121"/>
      <c r="Q53" s="121"/>
      <c r="T53" s="180">
        <f t="shared" si="6"/>
        <v>0.8153162908197602</v>
      </c>
    </row>
    <row r="54" spans="1:22">
      <c r="A54" s="98">
        <f>+A53+1</f>
        <v>14</v>
      </c>
      <c r="B54" s="87">
        <f t="shared" si="10"/>
        <v>46126</v>
      </c>
      <c r="C54" s="35" t="str">
        <f t="shared" si="7"/>
        <v>martes</v>
      </c>
      <c r="D54" s="222">
        <v>11.716022280320001</v>
      </c>
      <c r="E54" s="157">
        <v>14.523002987804292</v>
      </c>
      <c r="F54" s="192">
        <f t="shared" si="5"/>
        <v>-2.806980707484291</v>
      </c>
      <c r="G54" s="192">
        <f t="shared" si="11"/>
        <v>11.113993713761273</v>
      </c>
      <c r="H54" s="194">
        <f t="shared" si="8"/>
        <v>0.20435346442939242</v>
      </c>
      <c r="I54" s="194">
        <f>+D54/Resumen!C85</f>
        <v>0.20435346442939242</v>
      </c>
      <c r="J54" s="214">
        <f>+SUM($D$41:D54)/SUM($E$41:E54)</f>
        <v>1.0594703030999841</v>
      </c>
      <c r="K54" s="214">
        <f t="shared" si="9"/>
        <v>0.80672174275241448</v>
      </c>
      <c r="L54" s="466"/>
      <c r="M54" s="350"/>
      <c r="N54" s="350"/>
      <c r="O54" s="222"/>
      <c r="P54" s="121"/>
      <c r="Q54" s="121"/>
      <c r="T54" s="180">
        <f t="shared" si="6"/>
        <v>0.80672174275241448</v>
      </c>
    </row>
    <row r="55" spans="1:22">
      <c r="A55" s="98">
        <f>+A54+1</f>
        <v>15</v>
      </c>
      <c r="B55" s="87">
        <f t="shared" si="10"/>
        <v>46127</v>
      </c>
      <c r="C55" s="35" t="str">
        <f t="shared" si="7"/>
        <v>miércoles</v>
      </c>
      <c r="D55" s="222">
        <v>10.567305450799999</v>
      </c>
      <c r="E55" s="157">
        <v>16.667877564570947</v>
      </c>
      <c r="F55" s="192">
        <f t="shared" si="5"/>
        <v>-6.1005721137709479</v>
      </c>
      <c r="G55" s="192">
        <f t="shared" si="11"/>
        <v>5.0134215999903251</v>
      </c>
      <c r="H55" s="194">
        <f t="shared" si="8"/>
        <v>0.16479900404280057</v>
      </c>
      <c r="I55" s="194">
        <f>+D55/Resumen!C86</f>
        <v>0.16479900404280057</v>
      </c>
      <c r="J55" s="214">
        <f>+SUM($D$41:D55)/SUM($E$41:E55)</f>
        <v>1.0246298103184606</v>
      </c>
      <c r="K55" s="214">
        <f t="shared" si="9"/>
        <v>0.63399226505369499</v>
      </c>
      <c r="L55" s="466"/>
      <c r="M55" s="350"/>
      <c r="N55" s="350"/>
      <c r="O55" s="157"/>
      <c r="P55" s="121"/>
      <c r="Q55" s="121"/>
      <c r="T55" s="180">
        <f t="shared" si="6"/>
        <v>0.63399226505369499</v>
      </c>
    </row>
    <row r="56" spans="1:22">
      <c r="A56" s="98">
        <f t="shared" si="10"/>
        <v>16</v>
      </c>
      <c r="B56" s="87">
        <f t="shared" si="10"/>
        <v>46128</v>
      </c>
      <c r="C56" s="35" t="str">
        <f t="shared" si="7"/>
        <v>jueves</v>
      </c>
      <c r="D56" s="222">
        <v>16.97333131832</v>
      </c>
      <c r="E56" s="157">
        <v>11.1627225916589</v>
      </c>
      <c r="F56" s="192">
        <f t="shared" si="5"/>
        <v>5.8106087266610995</v>
      </c>
      <c r="G56" s="192">
        <f t="shared" si="11"/>
        <v>10.824030326651425</v>
      </c>
      <c r="H56" s="194">
        <f t="shared" si="8"/>
        <v>0.29801814969486845</v>
      </c>
      <c r="I56" s="194">
        <f>+D56/Resumen!C87</f>
        <v>0.29801814969486845</v>
      </c>
      <c r="J56" s="214">
        <f>+SUM($D$41:D56)/SUM($E$41:E56)</f>
        <v>1.0504114598700018</v>
      </c>
      <c r="K56" s="214">
        <f t="shared" si="9"/>
        <v>1.5205368743108378</v>
      </c>
      <c r="L56" s="466"/>
      <c r="M56" s="350"/>
      <c r="N56" s="350"/>
      <c r="O56" s="222"/>
      <c r="P56" s="121"/>
      <c r="Q56" s="121"/>
      <c r="T56" s="180">
        <f t="shared" si="6"/>
        <v>1.5205368743108378</v>
      </c>
      <c r="V56" s="90"/>
    </row>
    <row r="57" spans="1:22">
      <c r="A57" s="98">
        <f t="shared" si="10"/>
        <v>17</v>
      </c>
      <c r="B57" s="87">
        <f t="shared" si="10"/>
        <v>46129</v>
      </c>
      <c r="C57" s="35" t="str">
        <f t="shared" si="7"/>
        <v>viernes</v>
      </c>
      <c r="D57" s="222">
        <v>17.451134267800001</v>
      </c>
      <c r="E57" s="157">
        <v>9.0067353276635398</v>
      </c>
      <c r="F57" s="192">
        <f t="shared" si="5"/>
        <v>8.4443989401364608</v>
      </c>
      <c r="G57" s="192">
        <f t="shared" si="11"/>
        <v>19.268429266787884</v>
      </c>
      <c r="H57" s="194">
        <f t="shared" si="8"/>
        <v>0.31855202053054088</v>
      </c>
      <c r="I57" s="194">
        <f>+D57/Resumen!C88</f>
        <v>0.31855202053054088</v>
      </c>
      <c r="J57" s="214">
        <f>+SUM($D$41:D57)/SUM($E$41:E57)</f>
        <v>1.0861272708969538</v>
      </c>
      <c r="K57" s="214">
        <f t="shared" si="9"/>
        <v>1.937564903700467</v>
      </c>
      <c r="L57" s="466"/>
      <c r="M57" s="350"/>
      <c r="N57" s="350"/>
      <c r="O57" s="222"/>
      <c r="P57" s="121"/>
      <c r="Q57" s="121"/>
      <c r="T57" s="180">
        <f t="shared" si="6"/>
        <v>1.937564903700467</v>
      </c>
    </row>
    <row r="58" spans="1:22">
      <c r="A58" s="98">
        <f t="shared" si="10"/>
        <v>18</v>
      </c>
      <c r="B58" s="87">
        <f t="shared" si="10"/>
        <v>46130</v>
      </c>
      <c r="C58" s="35" t="str">
        <f t="shared" si="7"/>
        <v>sábado</v>
      </c>
      <c r="D58" s="222">
        <v>16.132418595650002</v>
      </c>
      <c r="E58" s="157">
        <v>16.212612533137968</v>
      </c>
      <c r="F58" s="192">
        <f t="shared" si="5"/>
        <v>-8.0193937487965883E-2</v>
      </c>
      <c r="G58" s="192">
        <f t="shared" si="11"/>
        <v>19.188235329299918</v>
      </c>
      <c r="H58" s="194">
        <f t="shared" si="8"/>
        <v>0.29566431089712003</v>
      </c>
      <c r="I58" s="194">
        <f>+D58/Resumen!C89</f>
        <v>0.29566431089712003</v>
      </c>
      <c r="J58" s="214">
        <f>+SUM($D$41:D58)/SUM($E$41:E58)</f>
        <v>1.0799732953895416</v>
      </c>
      <c r="K58" s="214">
        <f t="shared" si="9"/>
        <v>0.99505360796577036</v>
      </c>
      <c r="L58" s="466"/>
      <c r="M58" s="350"/>
      <c r="N58" s="350"/>
      <c r="O58" s="222"/>
      <c r="P58" s="221"/>
      <c r="Q58" s="221"/>
      <c r="T58" s="180">
        <f t="shared" si="6"/>
        <v>0.99505360796577036</v>
      </c>
    </row>
    <row r="59" spans="1:22">
      <c r="A59" s="98">
        <f t="shared" ref="A59:A68" si="12">+A58+1</f>
        <v>19</v>
      </c>
      <c r="B59" s="87">
        <f t="shared" si="10"/>
        <v>46131</v>
      </c>
      <c r="C59" s="35" t="str">
        <f t="shared" si="7"/>
        <v>domingo</v>
      </c>
      <c r="D59" s="222">
        <v>20.038403432959999</v>
      </c>
      <c r="E59" s="157">
        <v>15.870498110384073</v>
      </c>
      <c r="F59" s="192">
        <f t="shared" si="5"/>
        <v>4.1679053225759262</v>
      </c>
      <c r="G59" s="192">
        <f t="shared" si="11"/>
        <v>23.356140651875844</v>
      </c>
      <c r="H59" s="194">
        <f t="shared" si="8"/>
        <v>0.48388911116199423</v>
      </c>
      <c r="I59" s="194">
        <f>+D59/Resumen!C90</f>
        <v>0.48388911116199423</v>
      </c>
      <c r="J59" s="214">
        <f>+SUM($D$41:D59)/SUM($E$41:E59)</f>
        <v>1.0913049970105955</v>
      </c>
      <c r="K59" s="214">
        <f t="shared" si="9"/>
        <v>1.262619691807207</v>
      </c>
      <c r="L59" s="466"/>
      <c r="M59" s="350"/>
      <c r="N59" s="350"/>
      <c r="O59" s="222"/>
      <c r="P59" s="221"/>
      <c r="Q59" s="221"/>
      <c r="T59" s="180">
        <f t="shared" si="6"/>
        <v>1.262619691807207</v>
      </c>
    </row>
    <row r="60" spans="1:22">
      <c r="A60" s="98">
        <f t="shared" si="12"/>
        <v>20</v>
      </c>
      <c r="B60" s="87">
        <f t="shared" si="10"/>
        <v>46132</v>
      </c>
      <c r="C60" s="35" t="str">
        <f t="shared" si="7"/>
        <v>lunes</v>
      </c>
      <c r="D60" s="222">
        <v>14.95067207044</v>
      </c>
      <c r="E60" s="157">
        <v>16.169941470957358</v>
      </c>
      <c r="F60" s="192">
        <f t="shared" si="5"/>
        <v>-1.2192694005173585</v>
      </c>
      <c r="G60" s="192">
        <f t="shared" si="11"/>
        <v>22.136871251358485</v>
      </c>
      <c r="H60" s="194">
        <f t="shared" si="8"/>
        <v>0.18251851494743984</v>
      </c>
      <c r="I60" s="194">
        <f>+D60/Resumen!C91</f>
        <v>0.18251851494743984</v>
      </c>
      <c r="J60" s="214">
        <f>+SUM($D$41:D60)/SUM($E$41:E60)</f>
        <v>1.081393494128817</v>
      </c>
      <c r="K60" s="214">
        <f t="shared" si="9"/>
        <v>0.92459654831111948</v>
      </c>
      <c r="L60" s="466"/>
      <c r="M60" s="350"/>
      <c r="N60" s="350"/>
      <c r="O60" s="222"/>
      <c r="P60" s="221"/>
      <c r="Q60" s="221"/>
      <c r="T60" s="180">
        <f t="shared" si="6"/>
        <v>0.92459654831111948</v>
      </c>
    </row>
    <row r="61" spans="1:22">
      <c r="A61" s="98">
        <f t="shared" si="12"/>
        <v>21</v>
      </c>
      <c r="B61" s="87">
        <f t="shared" si="10"/>
        <v>46133</v>
      </c>
      <c r="C61" s="35" t="str">
        <f t="shared" si="7"/>
        <v>martes</v>
      </c>
      <c r="D61" s="222">
        <v>11.745413020239999</v>
      </c>
      <c r="E61" s="157">
        <v>16.319663151244001</v>
      </c>
      <c r="F61" s="192">
        <f t="shared" si="5"/>
        <v>-4.5742501310040016</v>
      </c>
      <c r="G61" s="192">
        <f t="shared" si="11"/>
        <v>17.562621120354486</v>
      </c>
      <c r="H61" s="194">
        <f t="shared" si="8"/>
        <v>0.16237327122608941</v>
      </c>
      <c r="I61" s="194">
        <f>+D61/Resumen!C92</f>
        <v>0.16237327122608941</v>
      </c>
      <c r="J61" s="214">
        <f>+SUM($D$41:D61)/SUM($E$41:E61)</f>
        <v>1.0609193176591816</v>
      </c>
      <c r="K61" s="214">
        <f t="shared" si="9"/>
        <v>0.71970928023380676</v>
      </c>
      <c r="L61" s="466"/>
      <c r="M61" s="350"/>
      <c r="N61" s="350"/>
      <c r="O61" s="157"/>
      <c r="Q61" s="221"/>
      <c r="T61" s="180">
        <f t="shared" si="6"/>
        <v>0.71970928023380676</v>
      </c>
    </row>
    <row r="62" spans="1:22">
      <c r="A62" s="98">
        <f t="shared" si="12"/>
        <v>22</v>
      </c>
      <c r="B62" s="87">
        <f t="shared" si="10"/>
        <v>46134</v>
      </c>
      <c r="C62" s="35" t="str">
        <f t="shared" si="7"/>
        <v>miércoles</v>
      </c>
      <c r="D62" s="222">
        <v>10.558323705039999</v>
      </c>
      <c r="E62" s="157">
        <v>23.287889299559247</v>
      </c>
      <c r="F62" s="192">
        <f t="shared" si="5"/>
        <v>-12.729565594519247</v>
      </c>
      <c r="G62" s="192">
        <f t="shared" si="11"/>
        <v>4.8330555258352383</v>
      </c>
      <c r="H62" s="194">
        <f t="shared" si="8"/>
        <v>0.15284033434649694</v>
      </c>
      <c r="I62" s="194">
        <f>+D62/Resumen!C93</f>
        <v>0.15284033434649694</v>
      </c>
      <c r="J62" s="214">
        <f>+SUM($D$41:D62)/SUM($E$41:E62)</f>
        <v>1.0155113923381098</v>
      </c>
      <c r="K62" s="214">
        <f t="shared" si="9"/>
        <v>0.45338259595900043</v>
      </c>
      <c r="L62" s="466"/>
      <c r="M62" s="350"/>
      <c r="N62" s="350"/>
      <c r="O62" s="222"/>
      <c r="P62" s="221"/>
      <c r="Q62" s="221"/>
      <c r="T62" s="180">
        <f t="shared" si="6"/>
        <v>0.45338259595900043</v>
      </c>
    </row>
    <row r="63" spans="1:22">
      <c r="A63" s="98">
        <f t="shared" si="12"/>
        <v>23</v>
      </c>
      <c r="B63" s="87">
        <f t="shared" si="10"/>
        <v>46135</v>
      </c>
      <c r="C63" s="35" t="str">
        <f t="shared" si="7"/>
        <v>jueves</v>
      </c>
      <c r="D63" s="222">
        <v>14.834114158069999</v>
      </c>
      <c r="E63" s="157">
        <v>14.931308835476155</v>
      </c>
      <c r="F63" s="192">
        <f t="shared" si="5"/>
        <v>-9.719467740615606E-2</v>
      </c>
      <c r="G63" s="192">
        <f t="shared" si="11"/>
        <v>4.7358608484290823</v>
      </c>
      <c r="H63" s="194">
        <f t="shared" si="8"/>
        <v>0.21343615939223495</v>
      </c>
      <c r="I63" s="194">
        <f>+D63/Resumen!C94</f>
        <v>0.21343615939223495</v>
      </c>
      <c r="J63" s="214">
        <f>+SUM($D$41:D63)/SUM($E$41:E63)</f>
        <v>1.0145043857638534</v>
      </c>
      <c r="K63" s="214">
        <f t="shared" si="9"/>
        <v>0.99349054537166726</v>
      </c>
      <c r="L63" s="466"/>
      <c r="M63" s="350"/>
      <c r="N63" s="350"/>
      <c r="O63" s="222"/>
      <c r="P63" s="221"/>
      <c r="Q63" s="221"/>
      <c r="T63" s="180">
        <f t="shared" si="6"/>
        <v>0.99349054537166726</v>
      </c>
    </row>
    <row r="64" spans="1:22">
      <c r="A64" s="98">
        <f t="shared" si="12"/>
        <v>24</v>
      </c>
      <c r="B64" s="87">
        <f t="shared" si="10"/>
        <v>46136</v>
      </c>
      <c r="C64" s="35" t="str">
        <f t="shared" si="7"/>
        <v>viernes</v>
      </c>
      <c r="D64" s="222">
        <v>10.05584393592</v>
      </c>
      <c r="E64" s="157">
        <v>14.132667706653027</v>
      </c>
      <c r="F64" s="192">
        <f t="shared" si="5"/>
        <v>-4.0768237707330268</v>
      </c>
      <c r="G64" s="192">
        <f t="shared" si="11"/>
        <v>0.65903707769605546</v>
      </c>
      <c r="H64" s="194">
        <f t="shared" si="8"/>
        <v>0.16721628877800515</v>
      </c>
      <c r="I64" s="194">
        <f>+D64/Resumen!C95</f>
        <v>0.16721628877800515</v>
      </c>
      <c r="J64" s="214">
        <f>+SUM($D$41:D64)/SUM($E$41:E64)</f>
        <v>1.0019346741460153</v>
      </c>
      <c r="K64" s="214">
        <f t="shared" si="9"/>
        <v>0.71153190216070528</v>
      </c>
      <c r="L64" s="466"/>
      <c r="M64" s="350"/>
      <c r="N64" s="350"/>
      <c r="O64" s="222"/>
      <c r="P64" s="221"/>
      <c r="Q64" s="221"/>
      <c r="T64" s="180">
        <f t="shared" si="6"/>
        <v>0.71153190216070528</v>
      </c>
    </row>
    <row r="65" spans="1:20">
      <c r="A65" s="98">
        <f t="shared" si="12"/>
        <v>25</v>
      </c>
      <c r="B65" s="87">
        <f t="shared" si="10"/>
        <v>46137</v>
      </c>
      <c r="C65" s="35" t="str">
        <f t="shared" si="7"/>
        <v>sábado</v>
      </c>
      <c r="D65" s="222">
        <v>6.6863286675399998</v>
      </c>
      <c r="E65" s="157">
        <v>18.390336092565317</v>
      </c>
      <c r="F65" s="192">
        <f t="shared" si="5"/>
        <v>-11.704007425025317</v>
      </c>
      <c r="G65" s="192">
        <f t="shared" si="11"/>
        <v>-11.044970347329262</v>
      </c>
      <c r="H65" s="194">
        <f t="shared" si="8"/>
        <v>0.12283737516779022</v>
      </c>
      <c r="I65" s="194">
        <f>+D65/Resumen!C96</f>
        <v>0.12283737516779022</v>
      </c>
      <c r="J65" s="214">
        <f>+SUM($D$41:D65)/SUM($E$41:E65)</f>
        <v>0.96923709399685887</v>
      </c>
      <c r="K65" s="214">
        <f t="shared" si="9"/>
        <v>0.36357838344472071</v>
      </c>
      <c r="L65" s="466"/>
      <c r="M65" s="350"/>
      <c r="N65" s="350"/>
      <c r="O65" s="222"/>
      <c r="P65" s="221"/>
      <c r="Q65" s="221"/>
      <c r="T65" s="180">
        <f t="shared" si="6"/>
        <v>0.36357838344472071</v>
      </c>
    </row>
    <row r="66" spans="1:20">
      <c r="A66" s="98">
        <f t="shared" si="12"/>
        <v>26</v>
      </c>
      <c r="B66" s="87">
        <f t="shared" si="10"/>
        <v>46138</v>
      </c>
      <c r="C66" s="35" t="str">
        <f t="shared" si="7"/>
        <v>domingo</v>
      </c>
      <c r="D66" s="222">
        <v>14.25884061895</v>
      </c>
      <c r="E66" s="157">
        <v>17.978990241055417</v>
      </c>
      <c r="F66" s="192">
        <f t="shared" si="5"/>
        <v>-3.7201496221054171</v>
      </c>
      <c r="G66" s="192">
        <f t="shared" si="11"/>
        <v>-14.765119969434679</v>
      </c>
      <c r="H66" s="194">
        <f t="shared" si="8"/>
        <v>0.33125758779400372</v>
      </c>
      <c r="I66" s="194">
        <f>+D66/Resumen!C97</f>
        <v>0.33125758779400372</v>
      </c>
      <c r="J66" s="214">
        <f>+SUM($D$41:D66)/SUM($E$41:E66)</f>
        <v>0.9608367139580497</v>
      </c>
      <c r="K66" s="214">
        <f t="shared" si="9"/>
        <v>0.79308350623549628</v>
      </c>
      <c r="L66" s="466"/>
      <c r="M66" s="350"/>
      <c r="N66" s="350"/>
      <c r="O66" s="222"/>
      <c r="P66" s="221"/>
      <c r="Q66" s="221"/>
      <c r="T66" s="180">
        <f t="shared" si="6"/>
        <v>0.79308350623549628</v>
      </c>
    </row>
    <row r="67" spans="1:20">
      <c r="A67" s="98">
        <f t="shared" si="12"/>
        <v>27</v>
      </c>
      <c r="B67" s="87">
        <f t="shared" si="10"/>
        <v>46139</v>
      </c>
      <c r="C67" s="35" t="str">
        <f t="shared" si="7"/>
        <v>lunes</v>
      </c>
      <c r="D67" s="222">
        <v>14.28831411434</v>
      </c>
      <c r="E67" s="157">
        <v>15.852675521456325</v>
      </c>
      <c r="F67" s="192">
        <f t="shared" si="5"/>
        <v>-1.5643614071163245</v>
      </c>
      <c r="G67" s="192">
        <f t="shared" si="11"/>
        <v>-16.329481376551001</v>
      </c>
      <c r="H67" s="194">
        <f t="shared" si="8"/>
        <v>0.25047610180216529</v>
      </c>
      <c r="I67" s="194">
        <f>+D67/Resumen!C98</f>
        <v>0.25047610180216529</v>
      </c>
      <c r="J67" s="214">
        <f>+SUM($D$41:D67)/SUM($E$41:E67)</f>
        <v>0.95843509067923371</v>
      </c>
      <c r="K67" s="214">
        <f t="shared" si="9"/>
        <v>0.90131877707337238</v>
      </c>
      <c r="L67" s="466"/>
      <c r="M67" s="350"/>
      <c r="N67" s="350"/>
      <c r="O67" s="222"/>
      <c r="P67" s="221"/>
      <c r="Q67" s="221"/>
      <c r="T67" s="180">
        <f t="shared" si="6"/>
        <v>0.90131877707337238</v>
      </c>
    </row>
    <row r="68" spans="1:20">
      <c r="A68" s="98">
        <f t="shared" si="12"/>
        <v>28</v>
      </c>
      <c r="B68" s="87">
        <f t="shared" si="10"/>
        <v>46140</v>
      </c>
      <c r="C68" s="35" t="str">
        <f t="shared" si="7"/>
        <v>martes</v>
      </c>
      <c r="D68" s="222">
        <v>11.45163528982</v>
      </c>
      <c r="E68" s="157">
        <v>16.158660419760601</v>
      </c>
      <c r="F68" s="192">
        <f t="shared" si="5"/>
        <v>-4.7070251299406003</v>
      </c>
      <c r="G68" s="192">
        <f t="shared" si="11"/>
        <v>-21.036506506491602</v>
      </c>
      <c r="H68" s="194">
        <f t="shared" si="8"/>
        <v>0.18913296662622683</v>
      </c>
      <c r="I68" s="194">
        <f>+D68/Resumen!C99</f>
        <v>0.18913296662622683</v>
      </c>
      <c r="J68" s="214">
        <f>+SUM($D$41:D68)/SUM($E$41:E68)</f>
        <v>0.94856922594118676</v>
      </c>
      <c r="K68" s="214">
        <f t="shared" si="9"/>
        <v>0.70869954515633438</v>
      </c>
      <c r="L68" s="466"/>
      <c r="M68" s="350"/>
      <c r="N68" s="350"/>
      <c r="O68" s="222"/>
      <c r="P68" s="221"/>
      <c r="Q68" s="221"/>
      <c r="T68" s="180">
        <f t="shared" si="6"/>
        <v>0.70869954515633438</v>
      </c>
    </row>
    <row r="69" spans="1:20">
      <c r="A69" s="98"/>
      <c r="B69" s="87">
        <f t="shared" ref="B69" si="13">+B68+1</f>
        <v>46141</v>
      </c>
      <c r="C69" s="35" t="str">
        <f t="shared" ref="C69" si="14">+TEXT(B69,"dddddd")</f>
        <v>miércoles</v>
      </c>
      <c r="D69" s="222">
        <v>9.2402367117999997</v>
      </c>
      <c r="E69" s="157">
        <v>14.972168028664219</v>
      </c>
      <c r="F69" s="192">
        <f t="shared" ref="F69" si="15">+D69-E69</f>
        <v>-5.7319313168642196</v>
      </c>
      <c r="G69" s="192">
        <f t="shared" ref="G69" si="16">+F69+G68</f>
        <v>-26.768437823355821</v>
      </c>
      <c r="H69" s="194">
        <f t="shared" si="8"/>
        <v>0.14883442943223357</v>
      </c>
      <c r="I69" s="194">
        <f>+D69/Resumen!C100</f>
        <v>0.14883442943223357</v>
      </c>
      <c r="J69" s="214">
        <f>+SUM($D$41:D69)/SUM($E$41:E69)</f>
        <v>0.93686656910744415</v>
      </c>
      <c r="K69" s="214">
        <f t="shared" ref="K69" si="17">+D69/E69</f>
        <v>0.61716090108724164</v>
      </c>
      <c r="L69" s="466"/>
      <c r="M69" s="350"/>
      <c r="N69" s="350"/>
      <c r="O69" s="222"/>
      <c r="P69" s="221"/>
      <c r="Q69" s="221"/>
      <c r="T69" s="180"/>
    </row>
    <row r="70" spans="1:20">
      <c r="A70" s="98"/>
      <c r="B70" s="87">
        <f>+B69+1</f>
        <v>46142</v>
      </c>
      <c r="C70" s="35" t="str">
        <f t="shared" ref="C70:C71" si="18">+TEXT(B70,"dddddd")</f>
        <v>jueves</v>
      </c>
      <c r="D70" s="222">
        <v>15.1399045588</v>
      </c>
      <c r="E70" s="157">
        <v>14.972168028664219</v>
      </c>
      <c r="F70" s="192">
        <f t="shared" ref="F70" si="19">+D70-E70</f>
        <v>0.16773653013578027</v>
      </c>
      <c r="G70" s="192">
        <f>+F70+G69</f>
        <v>-26.600701293220041</v>
      </c>
      <c r="H70" s="194">
        <f t="shared" si="8"/>
        <v>0.20643679864854395</v>
      </c>
      <c r="I70" s="194">
        <f>+D70/Resumen!C101</f>
        <v>0.20643679864854395</v>
      </c>
      <c r="J70" s="214">
        <f>+SUM($D$41:D70)/SUM($E$41:E70)</f>
        <v>0.93940200630289084</v>
      </c>
      <c r="K70" s="214">
        <f t="shared" ref="K70" si="20">+D70/E70</f>
        <v>1.0112032225269345</v>
      </c>
      <c r="L70" s="466"/>
      <c r="M70" s="350"/>
      <c r="N70" s="350"/>
      <c r="O70" s="222"/>
      <c r="P70" s="221"/>
      <c r="Q70" s="221"/>
      <c r="T70" s="180"/>
    </row>
    <row r="71" spans="1:20">
      <c r="A71" s="98"/>
      <c r="B71" s="87">
        <f t="shared" ref="B71" si="21">+B70+1</f>
        <v>46143</v>
      </c>
      <c r="C71" s="35" t="str">
        <f t="shared" si="18"/>
        <v>viernes</v>
      </c>
      <c r="D71" s="222">
        <v>12.483275883639999</v>
      </c>
      <c r="E71" s="157"/>
      <c r="F71" s="192"/>
      <c r="G71" s="192"/>
      <c r="H71" s="194"/>
      <c r="I71" s="194"/>
      <c r="J71" s="214"/>
      <c r="K71" s="214"/>
      <c r="L71" s="466"/>
      <c r="M71" s="350"/>
      <c r="N71" s="350"/>
      <c r="O71" s="222"/>
      <c r="P71" s="221"/>
      <c r="Q71" s="221"/>
      <c r="T71" s="180"/>
    </row>
    <row r="72" spans="1:20" ht="15">
      <c r="A72" s="98"/>
      <c r="B72" s="150" t="s">
        <v>15</v>
      </c>
      <c r="C72" s="151"/>
      <c r="D72" s="152">
        <f>+SUM(D41:D70)</f>
        <v>412.36929870678</v>
      </c>
      <c r="E72" s="152">
        <f>+SUM(E41:E70)</f>
        <v>438.97</v>
      </c>
      <c r="F72" s="153">
        <f>+SUM(F41:F70)</f>
        <v>-26.600701293220041</v>
      </c>
      <c r="G72" s="153">
        <f>G70</f>
        <v>-26.600701293220041</v>
      </c>
      <c r="H72" s="154">
        <f>H70</f>
        <v>0.20643679864854395</v>
      </c>
      <c r="I72" s="154"/>
      <c r="J72" s="154">
        <f>+D72/E72</f>
        <v>0.93940200630289084</v>
      </c>
      <c r="K72" s="152"/>
      <c r="L72" s="152"/>
      <c r="M72" s="152"/>
      <c r="N72" s="152"/>
      <c r="O72" s="380"/>
      <c r="P72" s="380"/>
      <c r="Q72" s="251"/>
    </row>
    <row r="73" spans="1:20" ht="15">
      <c r="A73" s="98"/>
      <c r="B73" s="361"/>
      <c r="D73" s="362"/>
      <c r="E73" s="362"/>
      <c r="G73" s="84"/>
      <c r="H73" s="363"/>
      <c r="I73" s="363"/>
      <c r="J73" s="363"/>
      <c r="K73" s="362"/>
      <c r="L73" s="362"/>
      <c r="M73" s="362"/>
      <c r="N73" s="362"/>
      <c r="O73" s="362"/>
      <c r="P73" s="366"/>
      <c r="Q73" s="366"/>
    </row>
    <row r="74" spans="1:20">
      <c r="B74" s="91"/>
      <c r="D74" s="84"/>
      <c r="E74" s="193"/>
      <c r="F74" s="193"/>
      <c r="G74" s="92"/>
      <c r="O74" s="49"/>
    </row>
    <row r="75" spans="1:20" s="95" customFormat="1" ht="24.75" customHeight="1">
      <c r="A75" s="99">
        <v>3</v>
      </c>
      <c r="B75" s="94" t="s">
        <v>230</v>
      </c>
    </row>
    <row r="77" spans="1:20" ht="15" customHeight="1">
      <c r="B77" s="96" t="s">
        <v>103</v>
      </c>
      <c r="C77" s="96">
        <v>2022</v>
      </c>
      <c r="D77" s="96">
        <v>2023</v>
      </c>
      <c r="E77" s="96" t="s">
        <v>231</v>
      </c>
      <c r="F77" s="96" t="s">
        <v>232</v>
      </c>
      <c r="G77" s="96"/>
      <c r="K77" s="96"/>
    </row>
    <row r="78" spans="1:20">
      <c r="B78" s="35">
        <v>1</v>
      </c>
      <c r="C78" s="97">
        <v>11.02007313468</v>
      </c>
      <c r="D78" s="97">
        <v>10.46300696266</v>
      </c>
      <c r="E78" s="157">
        <v>13.175507865224514</v>
      </c>
      <c r="F78" s="84">
        <f t="shared" ref="F78:F107" si="22">D41</f>
        <v>16.109130840439999</v>
      </c>
      <c r="G78" s="84"/>
      <c r="H78" s="85"/>
      <c r="I78" s="85"/>
      <c r="J78" s="85"/>
      <c r="K78" s="88"/>
      <c r="L78" s="88"/>
      <c r="M78" s="88"/>
      <c r="N78" s="184"/>
      <c r="O78" s="119"/>
    </row>
    <row r="79" spans="1:20">
      <c r="B79" s="35">
        <f>+B78+1</f>
        <v>2</v>
      </c>
      <c r="C79" s="97">
        <v>13.02376614083</v>
      </c>
      <c r="D79" s="97">
        <v>14.062355283760001</v>
      </c>
      <c r="E79" s="157">
        <v>10.779960980638238</v>
      </c>
      <c r="F79" s="84">
        <f t="shared" si="22"/>
        <v>19.530028947449999</v>
      </c>
      <c r="G79" s="84"/>
      <c r="H79" s="85"/>
      <c r="I79" s="85"/>
      <c r="J79" s="85"/>
      <c r="K79" s="88"/>
      <c r="L79" s="88"/>
      <c r="M79" s="88"/>
      <c r="N79" s="184"/>
      <c r="O79" s="119"/>
    </row>
    <row r="80" spans="1:20">
      <c r="B80" s="35">
        <f t="shared" ref="B80:B107" si="23">+B79+1</f>
        <v>3</v>
      </c>
      <c r="C80" s="97">
        <v>12.33673833227</v>
      </c>
      <c r="D80" s="97">
        <v>12.11595747022</v>
      </c>
      <c r="E80" s="157">
        <v>8.7747307192343911</v>
      </c>
      <c r="F80" s="84">
        <f t="shared" si="22"/>
        <v>16.445878244149998</v>
      </c>
      <c r="G80" s="84"/>
      <c r="H80" s="85"/>
      <c r="I80" s="85"/>
      <c r="J80" s="85"/>
      <c r="K80" s="88"/>
      <c r="L80" s="88"/>
      <c r="M80" s="88"/>
      <c r="N80" s="184"/>
      <c r="O80" s="119"/>
    </row>
    <row r="81" spans="2:19">
      <c r="B81" s="35">
        <f t="shared" si="23"/>
        <v>4</v>
      </c>
      <c r="C81" s="97">
        <v>11.90563849554</v>
      </c>
      <c r="D81" s="97">
        <v>9.6850854874800003</v>
      </c>
      <c r="E81" s="157">
        <v>14.083935834311671</v>
      </c>
      <c r="F81" s="84">
        <f t="shared" si="22"/>
        <v>15.551409060259999</v>
      </c>
      <c r="G81" s="84"/>
      <c r="H81" s="85"/>
      <c r="I81" s="85"/>
      <c r="J81" s="85"/>
      <c r="K81" s="88"/>
      <c r="L81" s="88"/>
      <c r="M81" s="88"/>
      <c r="N81" s="184"/>
      <c r="O81" s="119"/>
    </row>
    <row r="82" spans="2:19">
      <c r="B82" s="35">
        <f t="shared" si="23"/>
        <v>5</v>
      </c>
      <c r="C82" s="97">
        <v>8.8621749162600008</v>
      </c>
      <c r="D82" s="97">
        <v>7.9297344964800001</v>
      </c>
      <c r="E82" s="157">
        <v>14.298660188172979</v>
      </c>
      <c r="F82" s="84">
        <f t="shared" si="22"/>
        <v>14.63088575686</v>
      </c>
      <c r="G82" s="84"/>
      <c r="H82" s="85"/>
      <c r="I82" s="85"/>
      <c r="J82" s="85"/>
      <c r="K82" s="88"/>
      <c r="L82" s="88"/>
      <c r="M82" s="88"/>
      <c r="N82" s="184"/>
      <c r="O82" s="119"/>
    </row>
    <row r="83" spans="2:19">
      <c r="B83" s="35">
        <f t="shared" si="23"/>
        <v>6</v>
      </c>
      <c r="C83" s="97">
        <v>7.6497786364399998</v>
      </c>
      <c r="D83" s="97">
        <v>12.9886757464</v>
      </c>
      <c r="E83" s="157">
        <v>14.073837946944366</v>
      </c>
      <c r="F83" s="84">
        <f t="shared" si="22"/>
        <v>15.008025788199999</v>
      </c>
      <c r="G83" s="84"/>
      <c r="H83" s="85"/>
      <c r="I83" s="85"/>
      <c r="J83" s="85"/>
      <c r="K83" s="88"/>
      <c r="L83" s="88"/>
      <c r="M83" s="88"/>
      <c r="N83" s="184"/>
      <c r="O83" s="119"/>
    </row>
    <row r="84" spans="2:19">
      <c r="B84" s="35">
        <f t="shared" si="23"/>
        <v>7</v>
      </c>
      <c r="C84" s="97">
        <v>12.019161228250001</v>
      </c>
      <c r="D84" s="97">
        <v>12.73794212656</v>
      </c>
      <c r="E84" s="157">
        <v>13.9467801144984</v>
      </c>
      <c r="F84" s="84">
        <f t="shared" si="22"/>
        <v>11.66428260448</v>
      </c>
      <c r="G84" s="84"/>
      <c r="H84" s="85"/>
      <c r="I84" s="85"/>
      <c r="J84" s="85"/>
      <c r="K84" s="88"/>
      <c r="L84" s="88"/>
      <c r="M84" s="88"/>
      <c r="N84" s="184"/>
      <c r="O84" s="119"/>
    </row>
    <row r="85" spans="2:19">
      <c r="B85" s="35">
        <f t="shared" si="23"/>
        <v>8</v>
      </c>
      <c r="C85" s="97">
        <v>12.930119898639999</v>
      </c>
      <c r="D85" s="97">
        <v>11.95505052745</v>
      </c>
      <c r="E85" s="157">
        <v>13.024865549689961</v>
      </c>
      <c r="F85" s="84">
        <f t="shared" si="22"/>
        <v>9.1356698834800003</v>
      </c>
      <c r="G85" s="84"/>
      <c r="H85" s="85"/>
      <c r="I85" s="85"/>
      <c r="J85" s="85"/>
      <c r="K85" s="88"/>
      <c r="L85" s="88"/>
      <c r="M85" s="88"/>
      <c r="N85" s="184"/>
      <c r="O85" s="127"/>
    </row>
    <row r="86" spans="2:19">
      <c r="B86" s="35">
        <f t="shared" si="23"/>
        <v>9</v>
      </c>
      <c r="C86" s="97">
        <v>12.159205085250001</v>
      </c>
      <c r="D86" s="97">
        <v>10.9083626803</v>
      </c>
      <c r="E86" s="157">
        <v>11.194254102897306</v>
      </c>
      <c r="F86" s="84">
        <f t="shared" si="22"/>
        <v>11.025164977619999</v>
      </c>
      <c r="G86" s="84"/>
      <c r="H86" s="85"/>
      <c r="I86" s="85"/>
      <c r="J86" s="85"/>
      <c r="K86" s="88"/>
      <c r="L86" s="88"/>
      <c r="M86" s="88"/>
      <c r="N86" s="184"/>
      <c r="O86" s="127"/>
    </row>
    <row r="87" spans="2:19">
      <c r="B87" s="35">
        <f t="shared" si="23"/>
        <v>10</v>
      </c>
      <c r="C87" s="97">
        <v>12.049912619160001</v>
      </c>
      <c r="D87" s="97">
        <v>11.696391010359999</v>
      </c>
      <c r="E87" s="157">
        <v>9.2999509319473859</v>
      </c>
      <c r="F87" s="84">
        <f t="shared" si="22"/>
        <v>14.806531678480001</v>
      </c>
      <c r="G87" s="84"/>
      <c r="H87" s="85"/>
      <c r="I87" s="85"/>
      <c r="J87" s="85"/>
      <c r="K87" s="88"/>
      <c r="L87" s="88"/>
      <c r="M87" s="88"/>
      <c r="N87" s="184"/>
      <c r="O87" s="127"/>
    </row>
    <row r="88" spans="2:19">
      <c r="B88" s="35">
        <f t="shared" si="23"/>
        <v>11</v>
      </c>
      <c r="C88" s="97">
        <v>11.4287023074</v>
      </c>
      <c r="D88" s="97">
        <v>10.197549083049999</v>
      </c>
      <c r="E88" s="157">
        <v>16.469384831530643</v>
      </c>
      <c r="F88" s="84">
        <f t="shared" si="22"/>
        <v>13.88146141022</v>
      </c>
      <c r="G88" s="84"/>
      <c r="H88" s="85"/>
      <c r="I88" s="85"/>
      <c r="J88" s="85"/>
      <c r="K88" s="88"/>
      <c r="L88" s="88"/>
      <c r="M88" s="88"/>
      <c r="N88" s="184"/>
      <c r="O88" s="127"/>
    </row>
    <row r="89" spans="2:19">
      <c r="B89" s="35">
        <f t="shared" si="23"/>
        <v>12</v>
      </c>
      <c r="C89" s="97">
        <v>9.6783959512000006</v>
      </c>
      <c r="D89" s="97">
        <v>8.4700960111299999</v>
      </c>
      <c r="E89" s="157">
        <v>16.469384831530643</v>
      </c>
      <c r="F89" s="84">
        <f t="shared" si="22"/>
        <v>14.82068851535</v>
      </c>
      <c r="G89" s="84"/>
      <c r="H89" s="85"/>
      <c r="I89" s="85"/>
      <c r="J89" s="85"/>
      <c r="K89" s="88"/>
      <c r="L89" s="88"/>
      <c r="M89" s="88"/>
      <c r="N89" s="184"/>
      <c r="O89" s="127"/>
    </row>
    <row r="90" spans="2:19">
      <c r="B90" s="35">
        <f t="shared" si="23"/>
        <v>13</v>
      </c>
      <c r="C90" s="97">
        <v>8.0424083959800008</v>
      </c>
      <c r="D90" s="97">
        <v>14.683370299850001</v>
      </c>
      <c r="E90" s="157">
        <v>16.768828192103928</v>
      </c>
      <c r="F90" s="84">
        <f t="shared" si="22"/>
        <v>13.671898802979999</v>
      </c>
      <c r="G90" s="84"/>
      <c r="H90" s="85"/>
      <c r="I90" s="85"/>
      <c r="J90" s="85"/>
      <c r="K90" s="88"/>
      <c r="L90" s="88"/>
      <c r="M90" s="88"/>
      <c r="N90" s="184"/>
      <c r="O90" s="127"/>
    </row>
    <row r="91" spans="2:19">
      <c r="B91" s="35">
        <f t="shared" si="23"/>
        <v>14</v>
      </c>
      <c r="C91" s="97">
        <v>15.36639581132</v>
      </c>
      <c r="D91" s="97">
        <v>14.608350128630001</v>
      </c>
      <c r="E91" s="157">
        <v>14.523002987804292</v>
      </c>
      <c r="F91" s="84">
        <f t="shared" si="22"/>
        <v>11.716022280320001</v>
      </c>
      <c r="G91" s="84"/>
      <c r="H91" s="85"/>
      <c r="I91" s="85"/>
      <c r="J91" s="85"/>
      <c r="K91" s="88"/>
      <c r="L91" s="88"/>
      <c r="M91" s="88"/>
      <c r="N91" s="184"/>
      <c r="O91" s="127"/>
      <c r="S91" s="158"/>
    </row>
    <row r="92" spans="2:19">
      <c r="B92" s="35">
        <f t="shared" si="23"/>
        <v>15</v>
      </c>
      <c r="C92" s="97">
        <v>23.211304340000002</v>
      </c>
      <c r="D92" s="97">
        <v>16.772875191120001</v>
      </c>
      <c r="E92" s="157">
        <v>16.667877564570947</v>
      </c>
      <c r="F92" s="84">
        <f t="shared" si="22"/>
        <v>10.567305450799999</v>
      </c>
      <c r="G92" s="84"/>
      <c r="H92" s="85"/>
      <c r="I92" s="85"/>
      <c r="J92" s="85"/>
      <c r="K92" s="88"/>
      <c r="L92" s="88"/>
      <c r="M92" s="88"/>
      <c r="N92" s="184"/>
      <c r="O92" s="127"/>
    </row>
    <row r="93" spans="2:19">
      <c r="B93" s="35">
        <f t="shared" si="23"/>
        <v>16</v>
      </c>
      <c r="C93" s="97">
        <v>15.594569720399999</v>
      </c>
      <c r="D93" s="97">
        <v>14.685143741399999</v>
      </c>
      <c r="E93" s="157">
        <v>11.1627225916589</v>
      </c>
      <c r="F93" s="84">
        <f t="shared" si="22"/>
        <v>16.97333131832</v>
      </c>
      <c r="G93" s="84"/>
      <c r="H93" s="85"/>
      <c r="I93" s="85"/>
      <c r="J93" s="85"/>
      <c r="K93" s="88"/>
      <c r="L93" s="88"/>
      <c r="M93" s="88"/>
      <c r="N93" s="184"/>
      <c r="O93" s="119"/>
    </row>
    <row r="94" spans="2:19">
      <c r="B94" s="35">
        <f t="shared" si="23"/>
        <v>17</v>
      </c>
      <c r="C94" s="97">
        <v>18.399065692560001</v>
      </c>
      <c r="D94" s="97">
        <v>15.403688786769999</v>
      </c>
      <c r="E94" s="157">
        <v>9.0067353276635398</v>
      </c>
      <c r="F94" s="84">
        <f t="shared" si="22"/>
        <v>17.451134267800001</v>
      </c>
      <c r="G94" s="84"/>
      <c r="H94" s="85"/>
      <c r="I94" s="85"/>
      <c r="J94" s="85"/>
      <c r="K94" s="88"/>
      <c r="L94" s="88"/>
      <c r="M94" s="88"/>
      <c r="N94" s="184"/>
      <c r="O94" s="119"/>
    </row>
    <row r="95" spans="2:19">
      <c r="B95" s="35">
        <f t="shared" si="23"/>
        <v>18</v>
      </c>
      <c r="C95" s="97">
        <v>14.192494674160001</v>
      </c>
      <c r="D95" s="97">
        <v>10.345561260389999</v>
      </c>
      <c r="E95" s="157">
        <v>16.212612533137968</v>
      </c>
      <c r="F95" s="84">
        <f t="shared" si="22"/>
        <v>16.132418595650002</v>
      </c>
      <c r="G95" s="84"/>
      <c r="H95" s="85"/>
      <c r="I95" s="85"/>
      <c r="J95" s="85"/>
      <c r="K95" s="88"/>
      <c r="L95" s="88"/>
      <c r="M95" s="88"/>
      <c r="N95" s="184"/>
      <c r="O95" s="119"/>
    </row>
    <row r="96" spans="2:19">
      <c r="B96" s="35">
        <f t="shared" si="23"/>
        <v>19</v>
      </c>
      <c r="C96" s="97">
        <v>9.47564600834</v>
      </c>
      <c r="D96" s="97">
        <v>8.61200584917</v>
      </c>
      <c r="E96" s="157">
        <v>15.870498110384073</v>
      </c>
      <c r="F96" s="84">
        <f t="shared" si="22"/>
        <v>20.038403432959999</v>
      </c>
      <c r="G96" s="84"/>
      <c r="H96" s="85"/>
      <c r="I96" s="85"/>
      <c r="J96" s="85"/>
      <c r="K96" s="88"/>
      <c r="L96" s="88"/>
      <c r="M96" s="88"/>
      <c r="N96" s="184"/>
      <c r="O96" s="119"/>
    </row>
    <row r="97" spans="1:15">
      <c r="B97" s="35">
        <f t="shared" si="23"/>
        <v>20</v>
      </c>
      <c r="C97" s="97">
        <v>7.3827680961600004</v>
      </c>
      <c r="D97" s="97">
        <v>14.970699571100001</v>
      </c>
      <c r="E97" s="157">
        <v>16.169941470957358</v>
      </c>
      <c r="F97" s="84">
        <f t="shared" si="22"/>
        <v>14.95067207044</v>
      </c>
      <c r="G97" s="84"/>
      <c r="H97" s="85"/>
      <c r="I97" s="85"/>
      <c r="J97" s="85"/>
      <c r="K97" s="88"/>
      <c r="L97" s="88"/>
      <c r="M97" s="88"/>
      <c r="N97" s="184"/>
      <c r="O97" s="119"/>
    </row>
    <row r="98" spans="1:15">
      <c r="B98" s="35">
        <f t="shared" si="23"/>
        <v>21</v>
      </c>
      <c r="C98" s="97">
        <v>13.817009649599999</v>
      </c>
      <c r="D98" s="97">
        <v>14.592774116259999</v>
      </c>
      <c r="E98" s="157">
        <v>16.319663151244001</v>
      </c>
      <c r="F98" s="84">
        <f t="shared" si="22"/>
        <v>11.745413020239999</v>
      </c>
      <c r="G98" s="84"/>
      <c r="H98" s="85"/>
      <c r="I98" s="85"/>
      <c r="J98" s="85"/>
      <c r="K98" s="88"/>
      <c r="L98" s="88"/>
      <c r="M98" s="88"/>
      <c r="N98" s="184"/>
      <c r="O98" s="119"/>
    </row>
    <row r="99" spans="1:15">
      <c r="B99" s="35">
        <f t="shared" si="23"/>
        <v>22</v>
      </c>
      <c r="C99" s="97">
        <v>14.553349521399999</v>
      </c>
      <c r="D99" s="97">
        <v>14.867118281390001</v>
      </c>
      <c r="E99" s="157">
        <v>23.287889299559247</v>
      </c>
      <c r="F99" s="84">
        <f t="shared" si="22"/>
        <v>10.558323705039999</v>
      </c>
      <c r="G99" s="84"/>
      <c r="H99" s="85"/>
      <c r="I99" s="85"/>
      <c r="J99" s="85"/>
      <c r="K99" s="88"/>
      <c r="L99" s="88"/>
      <c r="M99" s="88"/>
      <c r="N99" s="184"/>
      <c r="O99" s="119"/>
    </row>
    <row r="100" spans="1:15">
      <c r="B100" s="35">
        <f t="shared" si="23"/>
        <v>23</v>
      </c>
      <c r="C100" s="97">
        <v>13.2830890785</v>
      </c>
      <c r="D100" s="97">
        <v>15.15477683776</v>
      </c>
      <c r="E100" s="157">
        <v>14.931308835476155</v>
      </c>
      <c r="F100" s="84">
        <f t="shared" si="22"/>
        <v>14.834114158069999</v>
      </c>
      <c r="G100" s="84"/>
      <c r="H100" s="85"/>
      <c r="I100" s="85"/>
      <c r="J100" s="85"/>
      <c r="K100" s="88"/>
      <c r="L100" s="88"/>
      <c r="M100" s="88"/>
      <c r="N100" s="184"/>
      <c r="O100" s="119"/>
    </row>
    <row r="101" spans="1:15">
      <c r="B101" s="35">
        <f t="shared" si="23"/>
        <v>24</v>
      </c>
      <c r="C101" s="97">
        <v>13.5387846272</v>
      </c>
      <c r="D101" s="97">
        <v>19.904996029660001</v>
      </c>
      <c r="E101" s="157">
        <v>14.132667706653027</v>
      </c>
      <c r="F101" s="84">
        <f t="shared" si="22"/>
        <v>10.05584393592</v>
      </c>
      <c r="G101" s="84"/>
      <c r="H101" s="85"/>
      <c r="I101" s="85"/>
      <c r="J101" s="85"/>
      <c r="K101" s="88"/>
      <c r="L101" s="88"/>
      <c r="M101" s="88"/>
      <c r="N101" s="184"/>
      <c r="O101" s="119"/>
    </row>
    <row r="102" spans="1:15">
      <c r="B102" s="35">
        <f t="shared" si="23"/>
        <v>25</v>
      </c>
      <c r="C102" s="97">
        <v>21.43454311392</v>
      </c>
      <c r="D102" s="97">
        <v>13.514485679290001</v>
      </c>
      <c r="E102" s="157">
        <v>18.390336092565317</v>
      </c>
      <c r="F102" s="84">
        <f t="shared" si="22"/>
        <v>6.6863286675399998</v>
      </c>
      <c r="G102" s="84"/>
      <c r="H102" s="85"/>
      <c r="I102" s="85"/>
      <c r="J102" s="85"/>
      <c r="K102" s="88"/>
      <c r="L102" s="88"/>
      <c r="M102" s="88"/>
      <c r="N102" s="184"/>
      <c r="O102" s="119"/>
    </row>
    <row r="103" spans="1:15">
      <c r="B103" s="35">
        <f t="shared" si="23"/>
        <v>26</v>
      </c>
      <c r="C103" s="97">
        <v>12.996165581370001</v>
      </c>
      <c r="D103" s="97">
        <v>12.76837008265</v>
      </c>
      <c r="E103" s="157">
        <v>17.978990241055417</v>
      </c>
      <c r="F103" s="84">
        <f t="shared" si="22"/>
        <v>14.25884061895</v>
      </c>
      <c r="G103" s="84"/>
      <c r="H103" s="85"/>
      <c r="I103" s="85"/>
      <c r="J103" s="85"/>
      <c r="K103" s="88"/>
      <c r="L103" s="88"/>
      <c r="M103" s="88"/>
      <c r="N103" s="184"/>
      <c r="O103" s="119"/>
    </row>
    <row r="104" spans="1:15">
      <c r="B104" s="35">
        <f t="shared" si="23"/>
        <v>27</v>
      </c>
      <c r="C104" s="97">
        <v>12.324123617350001</v>
      </c>
      <c r="D104" s="97">
        <v>16.476385968780001</v>
      </c>
      <c r="E104" s="157">
        <v>15.852675521456325</v>
      </c>
      <c r="F104" s="84">
        <f t="shared" si="22"/>
        <v>14.28831411434</v>
      </c>
      <c r="G104" s="84"/>
      <c r="H104" s="85"/>
      <c r="I104" s="85"/>
      <c r="J104" s="85"/>
      <c r="K104" s="88"/>
      <c r="L104" s="88"/>
      <c r="M104" s="88"/>
      <c r="N104" s="184"/>
      <c r="O104" s="119"/>
    </row>
    <row r="105" spans="1:15">
      <c r="B105" s="35">
        <f t="shared" si="23"/>
        <v>28</v>
      </c>
      <c r="C105" s="97">
        <v>16.174601577840001</v>
      </c>
      <c r="D105" s="97">
        <v>17.376273659839999</v>
      </c>
      <c r="E105" s="157">
        <v>16.158660419760601</v>
      </c>
      <c r="F105" s="84">
        <f t="shared" si="22"/>
        <v>11.45163528982</v>
      </c>
      <c r="G105" s="84"/>
      <c r="H105" s="85"/>
      <c r="I105" s="85"/>
      <c r="J105" s="85"/>
      <c r="K105" s="88"/>
      <c r="L105" s="88"/>
      <c r="M105" s="88"/>
      <c r="N105" s="184"/>
      <c r="O105" s="119"/>
    </row>
    <row r="106" spans="1:15">
      <c r="B106" s="35">
        <f t="shared" si="23"/>
        <v>29</v>
      </c>
      <c r="C106" s="97">
        <v>14.871251837280001</v>
      </c>
      <c r="D106" s="97">
        <v>15.270000024770001</v>
      </c>
      <c r="E106" s="157">
        <v>14.972168028664219</v>
      </c>
      <c r="F106" s="84">
        <f t="shared" si="22"/>
        <v>9.2402367117999997</v>
      </c>
      <c r="G106" s="84"/>
      <c r="H106" s="85"/>
      <c r="I106" s="85"/>
      <c r="J106" s="85"/>
      <c r="K106" s="88"/>
      <c r="L106" s="88"/>
      <c r="M106" s="88"/>
      <c r="N106" s="184"/>
      <c r="O106" s="119"/>
    </row>
    <row r="107" spans="1:15" ht="11.25" customHeight="1">
      <c r="B107" s="35">
        <f t="shared" si="23"/>
        <v>30</v>
      </c>
      <c r="C107" s="97">
        <v>17.591369666799999</v>
      </c>
      <c r="D107" s="97">
        <v>16.920987917680002</v>
      </c>
      <c r="E107" s="157">
        <v>14.972168028664219</v>
      </c>
      <c r="F107" s="84">
        <f t="shared" si="22"/>
        <v>15.1399045588</v>
      </c>
      <c r="G107" s="84"/>
      <c r="H107" s="85"/>
      <c r="I107" s="85"/>
      <c r="J107" s="85"/>
      <c r="K107" s="88"/>
      <c r="L107" s="88"/>
      <c r="M107" s="88"/>
      <c r="N107" s="184"/>
      <c r="O107" s="119"/>
    </row>
    <row r="108" spans="1:15" ht="11.25" customHeight="1">
      <c r="B108" s="35"/>
      <c r="C108" s="97"/>
      <c r="D108" s="97"/>
      <c r="E108" s="157"/>
      <c r="F108" s="84"/>
      <c r="G108" s="84"/>
      <c r="H108" s="85"/>
      <c r="I108" s="85"/>
      <c r="J108" s="85"/>
      <c r="K108" s="88"/>
      <c r="L108" s="88"/>
      <c r="M108" s="88"/>
      <c r="N108" s="184"/>
      <c r="O108" s="119"/>
    </row>
    <row r="109" spans="1:15">
      <c r="L109" s="88"/>
      <c r="M109" s="88"/>
      <c r="N109" s="184"/>
    </row>
    <row r="110" spans="1:15" s="95" customFormat="1" ht="24.75" customHeight="1">
      <c r="A110" s="93">
        <v>4</v>
      </c>
      <c r="B110" s="94" t="s">
        <v>233</v>
      </c>
    </row>
    <row r="132" spans="13:17">
      <c r="M132" s="45"/>
      <c r="N132" s="41" t="s">
        <v>103</v>
      </c>
      <c r="O132" s="45"/>
    </row>
    <row r="133" spans="13:17">
      <c r="M133" s="41"/>
      <c r="N133" s="168">
        <v>4</v>
      </c>
      <c r="O133" s="167" t="s">
        <v>167</v>
      </c>
      <c r="P133" s="180"/>
    </row>
    <row r="134" spans="13:17">
      <c r="M134" s="165">
        <v>43466</v>
      </c>
      <c r="N134" s="166">
        <v>0.10474122522474812</v>
      </c>
      <c r="O134" s="109">
        <v>0.10023055470814851</v>
      </c>
      <c r="P134" s="178">
        <f>O134/N134-1</f>
        <v>-4.3064901206958828E-2</v>
      </c>
      <c r="Q134" s="89"/>
    </row>
    <row r="135" spans="13:17">
      <c r="M135" s="165">
        <v>43497</v>
      </c>
      <c r="N135" s="166">
        <v>0.10973568281938326</v>
      </c>
      <c r="O135" s="109">
        <v>9.1485783005729224E-2</v>
      </c>
      <c r="P135" s="178">
        <f t="shared" ref="P135:P144" si="24">O135/N135-1</f>
        <v>-0.16630779838215437</v>
      </c>
      <c r="Q135" s="89"/>
    </row>
    <row r="136" spans="13:17">
      <c r="M136" s="165">
        <v>43525</v>
      </c>
      <c r="N136" s="166">
        <v>8.668347030415996E-2</v>
      </c>
      <c r="O136" s="109">
        <v>8.9342581843789584E-2</v>
      </c>
      <c r="P136" s="178">
        <f t="shared" si="24"/>
        <v>3.0676108493340015E-2</v>
      </c>
      <c r="Q136" s="89"/>
    </row>
    <row r="137" spans="13:17">
      <c r="M137" s="165">
        <v>43556</v>
      </c>
      <c r="N137" s="166">
        <v>8.7933114980175836E-2</v>
      </c>
      <c r="O137" s="109">
        <v>9.3504942641219863E-2</v>
      </c>
      <c r="P137" s="178">
        <f t="shared" si="24"/>
        <v>6.3364383967293492E-2</v>
      </c>
      <c r="Q137" s="89"/>
    </row>
    <row r="138" spans="13:17">
      <c r="M138" s="165">
        <v>43586</v>
      </c>
      <c r="N138" s="166">
        <v>0.10056268582146397</v>
      </c>
      <c r="O138" s="109">
        <v>9.5686172520316859E-2</v>
      </c>
      <c r="P138" s="178">
        <f t="shared" si="24"/>
        <v>-4.8492273861944435E-2</v>
      </c>
      <c r="Q138" s="89"/>
    </row>
    <row r="139" spans="13:17">
      <c r="M139" s="165">
        <v>43617</v>
      </c>
      <c r="N139" s="166">
        <v>8.1129261426314728E-2</v>
      </c>
      <c r="O139" s="109">
        <v>8.7508092412682065E-2</v>
      </c>
      <c r="P139" s="178">
        <f t="shared" si="24"/>
        <v>7.8625527636053683E-2</v>
      </c>
      <c r="Q139" s="89"/>
    </row>
    <row r="140" spans="13:17">
      <c r="M140" s="165">
        <v>43647</v>
      </c>
      <c r="N140" s="175">
        <v>8.3970025250468358E-2</v>
      </c>
      <c r="O140" s="174">
        <v>8.7105258801429927E-2</v>
      </c>
      <c r="P140" s="178">
        <f t="shared" si="24"/>
        <v>3.7337532549379437E-2</v>
      </c>
      <c r="Q140" s="89"/>
    </row>
    <row r="141" spans="13:17">
      <c r="M141" s="165">
        <v>43678</v>
      </c>
      <c r="N141" s="175">
        <v>9.1617515090620424E-2</v>
      </c>
      <c r="O141" s="174">
        <v>8.9151131667918854E-2</v>
      </c>
      <c r="P141" s="178">
        <f t="shared" si="24"/>
        <v>-2.6920435685927835E-2</v>
      </c>
      <c r="Q141" s="89"/>
    </row>
    <row r="142" spans="13:17">
      <c r="M142" s="165">
        <v>43709</v>
      </c>
      <c r="N142" s="175">
        <v>9.4489970744637858E-2</v>
      </c>
      <c r="O142" s="174">
        <v>8.8066781338964686E-2</v>
      </c>
      <c r="P142" s="178">
        <f t="shared" si="24"/>
        <v>-6.7977472688948604E-2</v>
      </c>
      <c r="Q142" s="89"/>
    </row>
    <row r="143" spans="13:17">
      <c r="M143" s="165">
        <v>43739</v>
      </c>
      <c r="N143" s="175">
        <v>9.1624816181570992E-2</v>
      </c>
      <c r="O143" s="174">
        <v>9.5857864195270356E-2</v>
      </c>
      <c r="P143" s="178">
        <f t="shared" si="24"/>
        <v>4.6199798156329352E-2</v>
      </c>
      <c r="Q143" s="89"/>
    </row>
    <row r="144" spans="13:17">
      <c r="M144" s="165">
        <v>43770</v>
      </c>
      <c r="N144" s="175">
        <v>9.7652915044785626E-2</v>
      </c>
      <c r="O144" s="174">
        <v>9.0904757446011633E-2</v>
      </c>
      <c r="P144" s="178">
        <f t="shared" si="24"/>
        <v>-6.9103493691705431E-2</v>
      </c>
      <c r="Q144" s="89"/>
    </row>
    <row r="145" spans="13:17">
      <c r="M145" s="176">
        <v>43800</v>
      </c>
      <c r="N145" s="181">
        <v>9.6885065598240241E-2</v>
      </c>
      <c r="O145" s="177">
        <f>N145+(N145*P145)</f>
        <v>9.5425949869445761E-2</v>
      </c>
      <c r="P145" s="179">
        <f>AVERAGE(P134:P144)</f>
        <v>-1.5060274974113047E-2</v>
      </c>
      <c r="Q145" s="89"/>
    </row>
  </sheetData>
  <dataConsolidate link="1"/>
  <conditionalFormatting sqref="E2">
    <cfRule type="iconSet" priority="1847">
      <iconSet>
        <cfvo type="percent" val="0"/>
        <cfvo type="num" val="0.99"/>
        <cfvo type="num" val="1"/>
      </iconSet>
    </cfRule>
  </conditionalFormatting>
  <conditionalFormatting sqref="F72">
    <cfRule type="iconSet" priority="1860">
      <iconSet>
        <cfvo type="percent" val="0"/>
        <cfvo type="num" val="0"/>
        <cfvo type="num" val="0"/>
      </iconSet>
    </cfRule>
  </conditionalFormatting>
  <conditionalFormatting sqref="F41:G43">
    <cfRule type="iconSet" priority="86">
      <iconSet>
        <cfvo type="percent" val="0"/>
        <cfvo type="num" val="0"/>
        <cfvo type="num" val="0"/>
      </iconSet>
    </cfRule>
    <cfRule type="iconSet" priority="89">
      <iconSet>
        <cfvo type="percent" val="0"/>
        <cfvo type="num" val="0"/>
        <cfvo type="num" val="0"/>
      </iconSet>
    </cfRule>
  </conditionalFormatting>
  <conditionalFormatting sqref="F44:G46">
    <cfRule type="iconSet" priority="80">
      <iconSet>
        <cfvo type="percent" val="0"/>
        <cfvo type="num" val="0"/>
        <cfvo type="num" val="0"/>
      </iconSet>
    </cfRule>
    <cfRule type="iconSet" priority="83">
      <iconSet>
        <cfvo type="percent" val="0"/>
        <cfvo type="num" val="0"/>
        <cfvo type="num" val="0"/>
      </iconSet>
    </cfRule>
  </conditionalFormatting>
  <conditionalFormatting sqref="F47:G49">
    <cfRule type="iconSet" priority="77">
      <iconSet>
        <cfvo type="percent" val="0"/>
        <cfvo type="num" val="0"/>
        <cfvo type="num" val="0"/>
      </iconSet>
    </cfRule>
    <cfRule type="iconSet" priority="74">
      <iconSet>
        <cfvo type="percent" val="0"/>
        <cfvo type="num" val="0"/>
        <cfvo type="num" val="0"/>
      </iconSet>
    </cfRule>
  </conditionalFormatting>
  <conditionalFormatting sqref="F50:G51">
    <cfRule type="iconSet" priority="68">
      <iconSet>
        <cfvo type="percent" val="0"/>
        <cfvo type="num" val="0"/>
        <cfvo type="num" val="0"/>
      </iconSet>
    </cfRule>
    <cfRule type="iconSet" priority="71">
      <iconSet>
        <cfvo type="percent" val="0"/>
        <cfvo type="num" val="0"/>
        <cfvo type="num" val="0"/>
      </iconSet>
    </cfRule>
  </conditionalFormatting>
  <conditionalFormatting sqref="F52:G53">
    <cfRule type="iconSet" priority="65">
      <iconSet>
        <cfvo type="percent" val="0"/>
        <cfvo type="num" val="0"/>
        <cfvo type="num" val="0"/>
      </iconSet>
    </cfRule>
    <cfRule type="iconSet" priority="62">
      <iconSet>
        <cfvo type="percent" val="0"/>
        <cfvo type="num" val="0"/>
        <cfvo type="num" val="0"/>
      </iconSet>
    </cfRule>
  </conditionalFormatting>
  <conditionalFormatting sqref="F54:G55">
    <cfRule type="iconSet" priority="53">
      <iconSet>
        <cfvo type="percent" val="0"/>
        <cfvo type="num" val="0"/>
        <cfvo type="num" val="0"/>
      </iconSet>
    </cfRule>
    <cfRule type="iconSet" priority="50">
      <iconSet>
        <cfvo type="percent" val="0"/>
        <cfvo type="num" val="0"/>
        <cfvo type="num" val="0"/>
      </iconSet>
    </cfRule>
  </conditionalFormatting>
  <conditionalFormatting sqref="F56:G57">
    <cfRule type="iconSet" priority="44">
      <iconSet>
        <cfvo type="percent" val="0"/>
        <cfvo type="num" val="0"/>
        <cfvo type="num" val="0"/>
      </iconSet>
    </cfRule>
    <cfRule type="iconSet" priority="47">
      <iconSet>
        <cfvo type="percent" val="0"/>
        <cfvo type="num" val="0"/>
        <cfvo type="num" val="0"/>
      </iconSet>
    </cfRule>
  </conditionalFormatting>
  <conditionalFormatting sqref="F58:G59">
    <cfRule type="iconSet" priority="35">
      <iconSet>
        <cfvo type="percent" val="0"/>
        <cfvo type="num" val="0"/>
        <cfvo type="num" val="0"/>
      </iconSet>
    </cfRule>
    <cfRule type="iconSet" priority="32">
      <iconSet>
        <cfvo type="percent" val="0"/>
        <cfvo type="num" val="0"/>
        <cfvo type="num" val="0"/>
      </iconSet>
    </cfRule>
  </conditionalFormatting>
  <conditionalFormatting sqref="F60:G62">
    <cfRule type="iconSet" priority="26">
      <iconSet>
        <cfvo type="percent" val="0"/>
        <cfvo type="num" val="0"/>
        <cfvo type="num" val="0"/>
      </iconSet>
    </cfRule>
    <cfRule type="iconSet" priority="29">
      <iconSet>
        <cfvo type="percent" val="0"/>
        <cfvo type="num" val="0"/>
        <cfvo type="num" val="0"/>
      </iconSet>
    </cfRule>
  </conditionalFormatting>
  <conditionalFormatting sqref="F63:G63">
    <cfRule type="iconSet" priority="20">
      <iconSet>
        <cfvo type="percent" val="0"/>
        <cfvo type="num" val="0"/>
        <cfvo type="num" val="0"/>
      </iconSet>
    </cfRule>
    <cfRule type="iconSet" priority="23">
      <iconSet>
        <cfvo type="percent" val="0"/>
        <cfvo type="num" val="0"/>
        <cfvo type="num" val="0"/>
      </iconSet>
    </cfRule>
  </conditionalFormatting>
  <conditionalFormatting sqref="F64:G65">
    <cfRule type="iconSet" priority="17">
      <iconSet>
        <cfvo type="percent" val="0"/>
        <cfvo type="num" val="0"/>
        <cfvo type="num" val="0"/>
      </iconSet>
    </cfRule>
    <cfRule type="iconSet" priority="14">
      <iconSet>
        <cfvo type="percent" val="0"/>
        <cfvo type="num" val="0"/>
        <cfvo type="num" val="0"/>
      </iconSet>
    </cfRule>
  </conditionalFormatting>
  <conditionalFormatting sqref="F66:G71">
    <cfRule type="iconSet" priority="1967">
      <iconSet>
        <cfvo type="percent" val="0"/>
        <cfvo type="num" val="0"/>
        <cfvo type="num" val="0"/>
      </iconSet>
    </cfRule>
    <cfRule type="iconSet" priority="1968">
      <iconSet>
        <cfvo type="percent" val="0"/>
        <cfvo type="num" val="0"/>
        <cfvo type="num" val="0"/>
      </iconSet>
    </cfRule>
  </conditionalFormatting>
  <conditionalFormatting sqref="G72:G73">
    <cfRule type="iconSet" priority="1852">
      <iconSet>
        <cfvo type="percent" val="0"/>
        <cfvo type="num" val="0"/>
        <cfvo type="num" val="0"/>
      </iconSet>
    </cfRule>
  </conditionalFormatting>
  <conditionalFormatting sqref="H5 H7:H14">
    <cfRule type="iconSet" priority="1856">
      <iconSet>
        <cfvo type="percent" val="0"/>
        <cfvo type="num" val="0.99"/>
        <cfvo type="num" val="1"/>
      </iconSet>
    </cfRule>
  </conditionalFormatting>
  <conditionalFormatting sqref="H6">
    <cfRule type="iconSet" priority="1843">
      <iconSet>
        <cfvo type="percent" val="0"/>
        <cfvo type="num" val="0.99"/>
        <cfvo type="num" val="1"/>
      </iconSet>
    </cfRule>
  </conditionalFormatting>
  <conditionalFormatting sqref="H15:H16">
    <cfRule type="iconSet" priority="1769">
      <iconSet>
        <cfvo type="percent" val="0"/>
        <cfvo type="num" val="0.99"/>
        <cfvo type="num" val="1"/>
      </iconSet>
    </cfRule>
  </conditionalFormatting>
  <conditionalFormatting sqref="H17">
    <cfRule type="iconSet" priority="1828">
      <iconSet>
        <cfvo type="percent" val="0"/>
        <cfvo type="num" val="0.99"/>
        <cfvo type="num" val="1"/>
      </iconSet>
    </cfRule>
  </conditionalFormatting>
  <conditionalFormatting sqref="I72:I73">
    <cfRule type="iconSet" priority="1834">
      <iconSet>
        <cfvo type="percent" val="0"/>
        <cfvo type="num" val="0.99"/>
        <cfvo type="num" val="1"/>
      </iconSet>
    </cfRule>
  </conditionalFormatting>
  <conditionalFormatting sqref="J41:J43">
    <cfRule type="iconSet" priority="87">
      <iconSet>
        <cfvo type="percent" val="0"/>
        <cfvo type="num" val="0.99"/>
        <cfvo type="num" val="1"/>
      </iconSet>
    </cfRule>
    <cfRule type="iconSet" priority="90">
      <iconSet>
        <cfvo type="percent" val="0"/>
        <cfvo type="num" val="0.99"/>
        <cfvo type="num" val="1"/>
      </iconSet>
    </cfRule>
  </conditionalFormatting>
  <conditionalFormatting sqref="J44:J46">
    <cfRule type="iconSet" priority="84">
      <iconSet>
        <cfvo type="percent" val="0"/>
        <cfvo type="num" val="0.99"/>
        <cfvo type="num" val="1"/>
      </iconSet>
    </cfRule>
    <cfRule type="iconSet" priority="81">
      <iconSet>
        <cfvo type="percent" val="0"/>
        <cfvo type="num" val="0.99"/>
        <cfvo type="num" val="1"/>
      </iconSet>
    </cfRule>
  </conditionalFormatting>
  <conditionalFormatting sqref="J47:J49">
    <cfRule type="iconSet" priority="78">
      <iconSet>
        <cfvo type="percent" val="0"/>
        <cfvo type="num" val="0.99"/>
        <cfvo type="num" val="1"/>
      </iconSet>
    </cfRule>
    <cfRule type="iconSet" priority="75">
      <iconSet>
        <cfvo type="percent" val="0"/>
        <cfvo type="num" val="0.99"/>
        <cfvo type="num" val="1"/>
      </iconSet>
    </cfRule>
  </conditionalFormatting>
  <conditionalFormatting sqref="J50:J51">
    <cfRule type="iconSet" priority="72">
      <iconSet>
        <cfvo type="percent" val="0"/>
        <cfvo type="num" val="0.99"/>
        <cfvo type="num" val="1"/>
      </iconSet>
    </cfRule>
    <cfRule type="iconSet" priority="69">
      <iconSet>
        <cfvo type="percent" val="0"/>
        <cfvo type="num" val="0.99"/>
        <cfvo type="num" val="1"/>
      </iconSet>
    </cfRule>
  </conditionalFormatting>
  <conditionalFormatting sqref="J52:J53">
    <cfRule type="iconSet" priority="66">
      <iconSet>
        <cfvo type="percent" val="0"/>
        <cfvo type="num" val="0.99"/>
        <cfvo type="num" val="1"/>
      </iconSet>
    </cfRule>
    <cfRule type="iconSet" priority="63">
      <iconSet>
        <cfvo type="percent" val="0"/>
        <cfvo type="num" val="0.99"/>
        <cfvo type="num" val="1"/>
      </iconSet>
    </cfRule>
  </conditionalFormatting>
  <conditionalFormatting sqref="J54:J55">
    <cfRule type="iconSet" priority="54">
      <iconSet>
        <cfvo type="percent" val="0"/>
        <cfvo type="num" val="0.99"/>
        <cfvo type="num" val="1"/>
      </iconSet>
    </cfRule>
    <cfRule type="iconSet" priority="51">
      <iconSet>
        <cfvo type="percent" val="0"/>
        <cfvo type="num" val="0.99"/>
        <cfvo type="num" val="1"/>
      </iconSet>
    </cfRule>
  </conditionalFormatting>
  <conditionalFormatting sqref="J56:J57">
    <cfRule type="iconSet" priority="48">
      <iconSet>
        <cfvo type="percent" val="0"/>
        <cfvo type="num" val="0.99"/>
        <cfvo type="num" val="1"/>
      </iconSet>
    </cfRule>
    <cfRule type="iconSet" priority="45">
      <iconSet>
        <cfvo type="percent" val="0"/>
        <cfvo type="num" val="0.99"/>
        <cfvo type="num" val="1"/>
      </iconSet>
    </cfRule>
  </conditionalFormatting>
  <conditionalFormatting sqref="J58:J59">
    <cfRule type="iconSet" priority="36">
      <iconSet>
        <cfvo type="percent" val="0"/>
        <cfvo type="num" val="0.99"/>
        <cfvo type="num" val="1"/>
      </iconSet>
    </cfRule>
    <cfRule type="iconSet" priority="33">
      <iconSet>
        <cfvo type="percent" val="0"/>
        <cfvo type="num" val="0.99"/>
        <cfvo type="num" val="1"/>
      </iconSet>
    </cfRule>
  </conditionalFormatting>
  <conditionalFormatting sqref="J60:J62">
    <cfRule type="iconSet" priority="30">
      <iconSet>
        <cfvo type="percent" val="0"/>
        <cfvo type="num" val="0.99"/>
        <cfvo type="num" val="1"/>
      </iconSet>
    </cfRule>
    <cfRule type="iconSet" priority="27">
      <iconSet>
        <cfvo type="percent" val="0"/>
        <cfvo type="num" val="0.99"/>
        <cfvo type="num" val="1"/>
      </iconSet>
    </cfRule>
  </conditionalFormatting>
  <conditionalFormatting sqref="J63">
    <cfRule type="iconSet" priority="21">
      <iconSet>
        <cfvo type="percent" val="0"/>
        <cfvo type="num" val="0.99"/>
        <cfvo type="num" val="1"/>
      </iconSet>
    </cfRule>
    <cfRule type="iconSet" priority="24">
      <iconSet>
        <cfvo type="percent" val="0"/>
        <cfvo type="num" val="0.99"/>
        <cfvo type="num" val="1"/>
      </iconSet>
    </cfRule>
  </conditionalFormatting>
  <conditionalFormatting sqref="J64:J65">
    <cfRule type="iconSet" priority="18">
      <iconSet>
        <cfvo type="percent" val="0"/>
        <cfvo type="num" val="0.99"/>
        <cfvo type="num" val="1"/>
      </iconSet>
    </cfRule>
    <cfRule type="iconSet" priority="15">
      <iconSet>
        <cfvo type="percent" val="0"/>
        <cfvo type="num" val="0.99"/>
        <cfvo type="num" val="1"/>
      </iconSet>
    </cfRule>
  </conditionalFormatting>
  <conditionalFormatting sqref="J66:J71">
    <cfRule type="iconSet" priority="1969">
      <iconSet>
        <cfvo type="percent" val="0"/>
        <cfvo type="num" val="0.99"/>
        <cfvo type="num" val="1"/>
      </iconSet>
    </cfRule>
    <cfRule type="iconSet" priority="1970">
      <iconSet>
        <cfvo type="percent" val="0"/>
        <cfvo type="num" val="0.99"/>
        <cfvo type="num" val="1"/>
      </iconSet>
    </cfRule>
  </conditionalFormatting>
  <conditionalFormatting sqref="J72:J73">
    <cfRule type="iconSet" priority="1854">
      <iconSet>
        <cfvo type="percent" val="0"/>
        <cfvo type="num" val="0.99"/>
        <cfvo type="num" val="1"/>
      </iconSet>
    </cfRule>
  </conditionalFormatting>
  <conditionalFormatting sqref="K41:K43">
    <cfRule type="iconSet" priority="88">
      <iconSet>
        <cfvo type="percent" val="0"/>
        <cfvo type="num" val="0.99"/>
        <cfvo type="num" val="1"/>
      </iconSet>
    </cfRule>
    <cfRule type="iconSet" priority="91">
      <iconSet>
        <cfvo type="percent" val="0"/>
        <cfvo type="num" val="0.99"/>
        <cfvo type="num" val="1"/>
      </iconSet>
    </cfRule>
  </conditionalFormatting>
  <conditionalFormatting sqref="K44:K46">
    <cfRule type="iconSet" priority="82">
      <iconSet>
        <cfvo type="percent" val="0"/>
        <cfvo type="num" val="0.99"/>
        <cfvo type="num" val="1"/>
      </iconSet>
    </cfRule>
    <cfRule type="iconSet" priority="85">
      <iconSet>
        <cfvo type="percent" val="0"/>
        <cfvo type="num" val="0.99"/>
        <cfvo type="num" val="1"/>
      </iconSet>
    </cfRule>
  </conditionalFormatting>
  <conditionalFormatting sqref="K47:K49">
    <cfRule type="iconSet" priority="76">
      <iconSet>
        <cfvo type="percent" val="0"/>
        <cfvo type="num" val="0.99"/>
        <cfvo type="num" val="1"/>
      </iconSet>
    </cfRule>
    <cfRule type="iconSet" priority="79">
      <iconSet>
        <cfvo type="percent" val="0"/>
        <cfvo type="num" val="0.99"/>
        <cfvo type="num" val="1"/>
      </iconSet>
    </cfRule>
  </conditionalFormatting>
  <conditionalFormatting sqref="K50:K51">
    <cfRule type="iconSet" priority="70">
      <iconSet>
        <cfvo type="percent" val="0"/>
        <cfvo type="num" val="0.99"/>
        <cfvo type="num" val="1"/>
      </iconSet>
    </cfRule>
    <cfRule type="iconSet" priority="73">
      <iconSet>
        <cfvo type="percent" val="0"/>
        <cfvo type="num" val="0.99"/>
        <cfvo type="num" val="1"/>
      </iconSet>
    </cfRule>
  </conditionalFormatting>
  <conditionalFormatting sqref="K52:K53">
    <cfRule type="iconSet" priority="67">
      <iconSet>
        <cfvo type="percent" val="0"/>
        <cfvo type="num" val="0.99"/>
        <cfvo type="num" val="1"/>
      </iconSet>
    </cfRule>
    <cfRule type="iconSet" priority="64">
      <iconSet>
        <cfvo type="percent" val="0"/>
        <cfvo type="num" val="0.99"/>
        <cfvo type="num" val="1"/>
      </iconSet>
    </cfRule>
  </conditionalFormatting>
  <conditionalFormatting sqref="K54:K55">
    <cfRule type="iconSet" priority="55">
      <iconSet>
        <cfvo type="percent" val="0"/>
        <cfvo type="num" val="0.99"/>
        <cfvo type="num" val="1"/>
      </iconSet>
    </cfRule>
    <cfRule type="iconSet" priority="52">
      <iconSet>
        <cfvo type="percent" val="0"/>
        <cfvo type="num" val="0.99"/>
        <cfvo type="num" val="1"/>
      </iconSet>
    </cfRule>
  </conditionalFormatting>
  <conditionalFormatting sqref="K56:K57">
    <cfRule type="iconSet" priority="46">
      <iconSet>
        <cfvo type="percent" val="0"/>
        <cfvo type="num" val="0.99"/>
        <cfvo type="num" val="1"/>
      </iconSet>
    </cfRule>
    <cfRule type="iconSet" priority="49">
      <iconSet>
        <cfvo type="percent" val="0"/>
        <cfvo type="num" val="0.99"/>
        <cfvo type="num" val="1"/>
      </iconSet>
    </cfRule>
  </conditionalFormatting>
  <conditionalFormatting sqref="K58:K59">
    <cfRule type="iconSet" priority="34">
      <iconSet>
        <cfvo type="percent" val="0"/>
        <cfvo type="num" val="0.99"/>
        <cfvo type="num" val="1"/>
      </iconSet>
    </cfRule>
    <cfRule type="iconSet" priority="37">
      <iconSet>
        <cfvo type="percent" val="0"/>
        <cfvo type="num" val="0.99"/>
        <cfvo type="num" val="1"/>
      </iconSet>
    </cfRule>
  </conditionalFormatting>
  <conditionalFormatting sqref="K60:K62">
    <cfRule type="iconSet" priority="31">
      <iconSet>
        <cfvo type="percent" val="0"/>
        <cfvo type="num" val="0.99"/>
        <cfvo type="num" val="1"/>
      </iconSet>
    </cfRule>
    <cfRule type="iconSet" priority="28">
      <iconSet>
        <cfvo type="percent" val="0"/>
        <cfvo type="num" val="0.99"/>
        <cfvo type="num" val="1"/>
      </iconSet>
    </cfRule>
  </conditionalFormatting>
  <conditionalFormatting sqref="K63">
    <cfRule type="iconSet" priority="25">
      <iconSet>
        <cfvo type="percent" val="0"/>
        <cfvo type="num" val="0.99"/>
        <cfvo type="num" val="1"/>
      </iconSet>
    </cfRule>
    <cfRule type="iconSet" priority="22">
      <iconSet>
        <cfvo type="percent" val="0"/>
        <cfvo type="num" val="0.99"/>
        <cfvo type="num" val="1"/>
      </iconSet>
    </cfRule>
  </conditionalFormatting>
  <conditionalFormatting sqref="K64:K65">
    <cfRule type="iconSet" priority="19">
      <iconSet>
        <cfvo type="percent" val="0"/>
        <cfvo type="num" val="0.99"/>
        <cfvo type="num" val="1"/>
      </iconSet>
    </cfRule>
    <cfRule type="iconSet" priority="16">
      <iconSet>
        <cfvo type="percent" val="0"/>
        <cfvo type="num" val="0.99"/>
        <cfvo type="num" val="1"/>
      </iconSet>
    </cfRule>
  </conditionalFormatting>
  <conditionalFormatting sqref="K66:K71">
    <cfRule type="iconSet" priority="1971">
      <iconSet>
        <cfvo type="percent" val="0"/>
        <cfvo type="num" val="0.99"/>
        <cfvo type="num" val="1"/>
      </iconSet>
    </cfRule>
    <cfRule type="iconSet" priority="1972">
      <iconSet>
        <cfvo type="percent" val="0"/>
        <cfvo type="num" val="0.99"/>
        <cfvo type="num" val="1"/>
      </iconSet>
    </cfRule>
  </conditionalFormatting>
  <conditionalFormatting sqref="Q5:Q12">
    <cfRule type="iconSet" priority="1837">
      <iconSet>
        <cfvo type="percent" val="0"/>
        <cfvo type="num" val="0.99"/>
        <cfvo type="num" val="1"/>
      </iconSe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853" id="{D7F56654-2968-499D-9A5F-516F562EDE7B}">
            <x14:iconSet custom="1">
              <x14:cfvo type="percent">
                <xm:f>0</xm:f>
              </x14:cfvo>
              <x14:cfvo type="num">
                <xm:f>-0.01</xm:f>
              </x14:cfvo>
              <x14:cfvo type="num">
                <xm:f>0.01</xm:f>
              </x14:cfvo>
              <x14:cfIcon iconSet="3Arrows" iconId="0"/>
              <x14:cfIcon iconSet="3Arrows" iconId="1"/>
              <x14:cfIcon iconSet="3Arrows" iconId="2"/>
            </x14:iconSet>
          </x14:cfRule>
          <xm:sqref>I5:I13</xm:sqref>
        </x14:conditionalFormatting>
        <x14:conditionalFormatting xmlns:xm="http://schemas.microsoft.com/office/excel/2006/main">
          <x14:cfRule type="iconSet" priority="1764" id="{AA4D9603-B29A-45A8-BEA6-5808432B9789}">
            <x14:iconSet custom="1">
              <x14:cfvo type="percent">
                <xm:f>0</xm:f>
              </x14:cfvo>
              <x14:cfvo type="num">
                <xm:f>-0.01</xm:f>
              </x14:cfvo>
              <x14:cfvo type="num">
                <xm:f>0.01</xm:f>
              </x14:cfvo>
              <x14:cfIcon iconSet="3Arrows" iconId="0"/>
              <x14:cfIcon iconSet="3Arrows" iconId="1"/>
              <x14:cfIcon iconSet="3Arrows" iconId="2"/>
            </x14:iconSet>
          </x14:cfRule>
          <xm:sqref>I14:I17</xm:sqref>
        </x14:conditionalFormatting>
        <x14:conditionalFormatting xmlns:xm="http://schemas.microsoft.com/office/excel/2006/main">
          <x14:cfRule type="iconSet" priority="1832" id="{26973A96-7FDB-4C23-BC4E-0580850D8C6B}">
            <x14:iconSet custom="1">
              <x14:cfvo type="percent">
                <xm:f>0</xm:f>
              </x14:cfvo>
              <x14:cfvo type="num">
                <xm:f>-0.01</xm:f>
              </x14:cfvo>
              <x14:cfvo type="num">
                <xm:f>0.01</xm:f>
              </x14:cfvo>
              <x14:cfIcon iconSet="3Arrows" iconId="0"/>
              <x14:cfIcon iconSet="3Arrows" iconId="1"/>
              <x14:cfIcon iconSet="3Arrows" iconId="2"/>
            </x14:iconSet>
          </x14:cfRule>
          <xm:sqref>J5:J13</xm:sqref>
        </x14:conditionalFormatting>
        <x14:conditionalFormatting xmlns:xm="http://schemas.microsoft.com/office/excel/2006/main">
          <x14:cfRule type="iconSet" priority="1763" id="{35CC4096-54D9-4056-A19F-AE8C29A58A51}">
            <x14:iconSet custom="1">
              <x14:cfvo type="percent">
                <xm:f>0</xm:f>
              </x14:cfvo>
              <x14:cfvo type="num">
                <xm:f>-0.01</xm:f>
              </x14:cfvo>
              <x14:cfvo type="num">
                <xm:f>0.01</xm:f>
              </x14:cfvo>
              <x14:cfIcon iconSet="3Arrows" iconId="0"/>
              <x14:cfIcon iconSet="3Arrows" iconId="1"/>
              <x14:cfIcon iconSet="3Arrows" iconId="2"/>
            </x14:iconSet>
          </x14:cfRule>
          <xm:sqref>J14:J17</xm:sqref>
        </x14:conditionalFormatting>
        <x14:conditionalFormatting xmlns:xm="http://schemas.microsoft.com/office/excel/2006/main">
          <x14:cfRule type="iconSet" priority="1836" id="{0FEC7267-B68E-4485-9E83-35D61BBFD4C8}">
            <x14:iconSet custom="1">
              <x14:cfvo type="percent">
                <xm:f>0</xm:f>
              </x14:cfvo>
              <x14:cfvo type="num">
                <xm:f>-0.01</xm:f>
              </x14:cfvo>
              <x14:cfvo type="num">
                <xm:f>0.01</xm:f>
              </x14:cfvo>
              <x14:cfIcon iconSet="3Arrows" iconId="0"/>
              <x14:cfIcon iconSet="3Arrows" iconId="1"/>
              <x14:cfIcon iconSet="3Arrows" iconId="2"/>
            </x14:iconSet>
          </x14:cfRule>
          <xm:sqref>R5:R12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5"/>
  <dimension ref="A1:AG89"/>
  <sheetViews>
    <sheetView zoomScale="70" zoomScaleNormal="70" workbookViewId="0">
      <selection activeCell="E32" sqref="E32"/>
    </sheetView>
  </sheetViews>
  <sheetFormatPr baseColWidth="10" defaultColWidth="13.1796875" defaultRowHeight="14.5"/>
  <cols>
    <col min="1" max="1" width="22.453125" style="21" customWidth="1"/>
    <col min="2" max="3" width="14.1796875" style="5" bestFit="1" customWidth="1"/>
    <col min="4" max="5" width="13.1796875" style="5"/>
    <col min="6" max="6" width="14.1796875" style="5" bestFit="1" customWidth="1"/>
    <col min="7" max="7" width="13.81640625" style="5" bestFit="1" customWidth="1"/>
    <col min="8" max="9" width="14.1796875" style="5" bestFit="1" customWidth="1"/>
    <col min="10" max="14" width="13.1796875" style="5"/>
  </cols>
  <sheetData>
    <row r="1" spans="1:33">
      <c r="A1" s="14">
        <v>31</v>
      </c>
      <c r="B1" s="1"/>
      <c r="C1" s="1"/>
      <c r="D1" s="6">
        <v>2020</v>
      </c>
      <c r="E1" s="6"/>
      <c r="F1" s="6"/>
      <c r="G1" s="6">
        <v>2021</v>
      </c>
      <c r="H1" s="6"/>
      <c r="I1" s="6"/>
      <c r="J1" s="6">
        <v>2022</v>
      </c>
      <c r="K1"/>
      <c r="L1" s="6"/>
      <c r="M1" s="6"/>
    </row>
    <row r="2" spans="1:33">
      <c r="A2" s="20"/>
      <c r="B2" s="1" t="s">
        <v>178</v>
      </c>
      <c r="C2" s="1" t="s">
        <v>143</v>
      </c>
      <c r="D2" s="1" t="s">
        <v>179</v>
      </c>
      <c r="E2" s="1" t="s">
        <v>178</v>
      </c>
      <c r="F2" s="1" t="s">
        <v>143</v>
      </c>
      <c r="G2" s="1" t="s">
        <v>179</v>
      </c>
      <c r="H2" s="1" t="s">
        <v>178</v>
      </c>
      <c r="I2" s="1" t="s">
        <v>143</v>
      </c>
      <c r="J2" s="1" t="s">
        <v>179</v>
      </c>
      <c r="K2" s="1" t="s">
        <v>180</v>
      </c>
      <c r="L2" s="1"/>
      <c r="M2" s="1"/>
    </row>
    <row r="3" spans="1:33" ht="15">
      <c r="A3" s="20" t="s">
        <v>181</v>
      </c>
      <c r="B3" s="8">
        <f>+VLOOKUP($A$1,$C$9:$G$42,2,0)</f>
        <v>348578</v>
      </c>
      <c r="C3" s="1">
        <f>+D39</f>
        <v>348578</v>
      </c>
      <c r="D3" s="4">
        <f>+C3/B3</f>
        <v>1</v>
      </c>
      <c r="E3" s="8">
        <f>+VLOOKUP($A$1,$C$9:$G$42,3,0)</f>
        <v>385077</v>
      </c>
      <c r="F3" s="1">
        <f>+E39</f>
        <v>385077</v>
      </c>
      <c r="G3" s="4">
        <f>+F3/E3</f>
        <v>1</v>
      </c>
      <c r="H3" s="8">
        <f>+VLOOKUP($A$1,$C$9:$G$42,5,0)</f>
        <v>399564</v>
      </c>
      <c r="I3" s="1">
        <f>+H3*J3</f>
        <v>399564</v>
      </c>
      <c r="J3" s="4">
        <f>+AVERAGE(D3,G3)*K3</f>
        <v>1</v>
      </c>
      <c r="K3" s="373">
        <v>1</v>
      </c>
      <c r="L3" s="7">
        <f>+I3/F3-1</f>
        <v>3.7621047219127624E-2</v>
      </c>
      <c r="M3" s="20" t="s">
        <v>234</v>
      </c>
      <c r="N3" s="10"/>
      <c r="O3" s="360">
        <f>+'Resumen Digital'!C10</f>
        <v>0.45460327284683977</v>
      </c>
    </row>
    <row r="4" spans="1:33" ht="15">
      <c r="A4" s="20" t="s">
        <v>183</v>
      </c>
      <c r="B4" s="8">
        <f>+VLOOKUP($A$1,$C$50:$G$84,2,0)</f>
        <v>1978086</v>
      </c>
      <c r="C4" s="1">
        <f>+D80</f>
        <v>1978086</v>
      </c>
      <c r="D4" s="4">
        <f>+C4/B4</f>
        <v>1</v>
      </c>
      <c r="E4" s="8">
        <f>+VLOOKUP($A$1,$C$50:$G$84,3,0)</f>
        <v>2153625</v>
      </c>
      <c r="F4" s="1">
        <f>+E80</f>
        <v>2153625</v>
      </c>
      <c r="G4" s="4">
        <f>+F4/E4</f>
        <v>1</v>
      </c>
      <c r="H4" s="8">
        <f>+VLOOKUP($A$1,$C$50:$G$84,5,0)</f>
        <v>2318618</v>
      </c>
      <c r="I4" s="1">
        <f>+H4*J4</f>
        <v>2318618</v>
      </c>
      <c r="J4" s="4">
        <f>+AVERAGE(D4,G4)*K4</f>
        <v>1</v>
      </c>
      <c r="K4" s="373">
        <v>1</v>
      </c>
      <c r="L4" s="3">
        <f>+I4/I3</f>
        <v>5.8028701284399995</v>
      </c>
      <c r="M4" s="1"/>
      <c r="O4" s="443">
        <f>+'Resumen Digital'!C11</f>
        <v>5.8028701284399995</v>
      </c>
      <c r="R4" s="7"/>
    </row>
    <row r="5" spans="1:33">
      <c r="A5" s="20"/>
      <c r="B5" s="1"/>
      <c r="C5" s="1"/>
      <c r="D5" s="1"/>
      <c r="E5" s="2"/>
      <c r="F5" s="2"/>
      <c r="G5" s="2"/>
      <c r="H5" s="1"/>
      <c r="I5" s="2"/>
      <c r="J5" s="2"/>
      <c r="K5" s="2"/>
      <c r="L5" s="2"/>
      <c r="M5" s="2"/>
      <c r="N5" s="113"/>
      <c r="O5" s="1"/>
    </row>
    <row r="6" spans="1:33">
      <c r="G6" s="2"/>
      <c r="I6" s="1"/>
      <c r="J6" s="1"/>
      <c r="K6" s="1"/>
      <c r="L6" s="1"/>
      <c r="M6" s="1"/>
      <c r="N6"/>
    </row>
    <row r="7" spans="1:33">
      <c r="G7" s="2"/>
      <c r="I7" s="1"/>
      <c r="J7" s="1"/>
      <c r="K7" s="1"/>
      <c r="L7" s="1"/>
      <c r="M7" s="1"/>
      <c r="N7"/>
    </row>
    <row r="8" spans="1:33">
      <c r="A8" s="22" t="s">
        <v>181</v>
      </c>
      <c r="D8" s="9">
        <v>2022</v>
      </c>
      <c r="E8" s="9">
        <v>2023</v>
      </c>
      <c r="F8" s="9" t="s">
        <v>235</v>
      </c>
      <c r="G8" s="10" t="s">
        <v>232</v>
      </c>
      <c r="H8" s="10"/>
    </row>
    <row r="9" spans="1:33">
      <c r="A9" s="23"/>
      <c r="B9" s="10">
        <f t="shared" ref="B9:B39" si="0">+G9-F9</f>
        <v>-14070</v>
      </c>
      <c r="C9" s="5">
        <v>1</v>
      </c>
      <c r="D9" s="10">
        <v>46497</v>
      </c>
      <c r="E9" s="10">
        <v>51262</v>
      </c>
      <c r="F9" s="114">
        <f>+E9*1.5</f>
        <v>76893</v>
      </c>
      <c r="G9" s="483">
        <v>62823</v>
      </c>
      <c r="H9" s="25"/>
      <c r="I9" s="25"/>
      <c r="J9" s="25"/>
      <c r="K9" s="10">
        <f t="shared" ref="K9:K16" si="1">+D9-D8</f>
        <v>44475</v>
      </c>
      <c r="L9" s="26">
        <f t="shared" ref="L9:L39" si="2">+K9/SUM($K$10:$K$42)</f>
        <v>0.14722872342186366</v>
      </c>
      <c r="M9" s="10">
        <f t="shared" ref="M9:M16" si="3">+E9-E8</f>
        <v>49239</v>
      </c>
      <c r="N9" s="26">
        <f t="shared" ref="N9:N39" si="4">+M9/SUM($M$10:$M$42)</f>
        <v>0.14516129032258066</v>
      </c>
      <c r="O9" s="29">
        <f t="shared" ref="O9:O16" si="5">+AVERAGE(L9,N9)</f>
        <v>0.14619500687222214</v>
      </c>
      <c r="P9" s="15">
        <f t="shared" ref="P9:P16" si="6">+D9-D8</f>
        <v>44475</v>
      </c>
      <c r="Q9" s="16">
        <f t="shared" ref="Q9:Q39" si="7">+P9/SUM($P$10:$P$42)</f>
        <v>0.14722872342186366</v>
      </c>
      <c r="R9" s="15">
        <f t="shared" ref="R9:R16" si="8">+E9-E8</f>
        <v>49239</v>
      </c>
      <c r="S9" s="16">
        <f t="shared" ref="S9:S39" si="9">+R9/SUM($R$10:$R$42)</f>
        <v>0.14516129032258066</v>
      </c>
      <c r="T9" s="27">
        <f t="shared" ref="T9:T16" si="10">+AVERAGE(Q9,S9)</f>
        <v>0.14619500687222214</v>
      </c>
    </row>
    <row r="10" spans="1:33">
      <c r="A10" s="23"/>
      <c r="B10" s="10">
        <f t="shared" si="0"/>
        <v>-5833.41293819774</v>
      </c>
      <c r="C10" s="5">
        <f>+C9+1</f>
        <v>2</v>
      </c>
      <c r="D10" s="10">
        <v>80509</v>
      </c>
      <c r="E10" s="10">
        <v>88287</v>
      </c>
      <c r="F10" s="10">
        <f t="shared" ref="F10:F38" si="11">+($F$39-$F$9)*T10+F9</f>
        <v>111430.41293819774</v>
      </c>
      <c r="G10" s="475">
        <v>105597</v>
      </c>
      <c r="H10" s="25"/>
      <c r="I10" s="25"/>
      <c r="J10" s="25"/>
      <c r="K10" s="10">
        <f t="shared" si="1"/>
        <v>34012</v>
      </c>
      <c r="L10" s="26">
        <f t="shared" si="2"/>
        <v>0.11259231795445593</v>
      </c>
      <c r="M10" s="10">
        <f t="shared" si="3"/>
        <v>37025</v>
      </c>
      <c r="N10" s="26">
        <f t="shared" si="4"/>
        <v>0.10915324791717029</v>
      </c>
      <c r="O10" s="29">
        <f t="shared" si="5"/>
        <v>0.11087278293581311</v>
      </c>
      <c r="P10" s="15">
        <f t="shared" si="6"/>
        <v>34012</v>
      </c>
      <c r="Q10" s="16">
        <f t="shared" si="7"/>
        <v>0.11259231795445593</v>
      </c>
      <c r="R10" s="15">
        <f t="shared" si="8"/>
        <v>37025</v>
      </c>
      <c r="S10" s="16">
        <f t="shared" si="9"/>
        <v>0.10915324791717029</v>
      </c>
      <c r="T10" s="27">
        <f t="shared" si="10"/>
        <v>0.11087278293581311</v>
      </c>
      <c r="U10" s="19"/>
      <c r="V10" s="19"/>
    </row>
    <row r="11" spans="1:33">
      <c r="A11" s="23"/>
      <c r="B11" s="10">
        <f t="shared" si="0"/>
        <v>-3212.1856523495226</v>
      </c>
      <c r="C11" s="5">
        <f t="shared" ref="C11:C39" si="12">+C10+1</f>
        <v>3</v>
      </c>
      <c r="D11" s="10">
        <v>106040</v>
      </c>
      <c r="E11" s="10">
        <v>114127</v>
      </c>
      <c r="F11" s="10">
        <f t="shared" si="11"/>
        <v>136459.18565234952</v>
      </c>
      <c r="G11" s="475">
        <v>133247</v>
      </c>
      <c r="H11" s="25"/>
      <c r="I11" s="25"/>
      <c r="J11" s="25"/>
      <c r="K11" s="10">
        <f t="shared" si="1"/>
        <v>25531</v>
      </c>
      <c r="L11" s="26">
        <f t="shared" si="2"/>
        <v>8.4517066614583511E-2</v>
      </c>
      <c r="M11" s="10">
        <f t="shared" si="3"/>
        <v>25840</v>
      </c>
      <c r="N11" s="26">
        <f t="shared" si="4"/>
        <v>7.6178796115588934E-2</v>
      </c>
      <c r="O11" s="29">
        <f t="shared" si="5"/>
        <v>8.0347931365086223E-2</v>
      </c>
      <c r="P11" s="15">
        <f t="shared" si="6"/>
        <v>25531</v>
      </c>
      <c r="Q11" s="16">
        <f t="shared" si="7"/>
        <v>8.4517066614583511E-2</v>
      </c>
      <c r="R11" s="15">
        <f t="shared" si="8"/>
        <v>25840</v>
      </c>
      <c r="S11" s="16">
        <f t="shared" si="9"/>
        <v>7.6178796115588934E-2</v>
      </c>
      <c r="T11" s="27">
        <f t="shared" si="10"/>
        <v>8.0347931365086223E-2</v>
      </c>
      <c r="U11" s="19"/>
      <c r="V11" s="19"/>
      <c r="AF11">
        <v>56278</v>
      </c>
      <c r="AG11">
        <f>+AF11</f>
        <v>56278</v>
      </c>
    </row>
    <row r="12" spans="1:33">
      <c r="A12" s="23"/>
      <c r="B12" s="10">
        <f t="shared" si="0"/>
        <v>-1493.7030201101152</v>
      </c>
      <c r="C12" s="5">
        <f t="shared" si="12"/>
        <v>4</v>
      </c>
      <c r="D12" s="10">
        <v>127880</v>
      </c>
      <c r="E12" s="10">
        <v>136922</v>
      </c>
      <c r="F12" s="10">
        <f t="shared" si="11"/>
        <v>158186.70302011012</v>
      </c>
      <c r="G12" s="475">
        <v>156693</v>
      </c>
      <c r="H12" s="25"/>
      <c r="I12" s="25"/>
      <c r="J12" s="25"/>
      <c r="K12" s="10">
        <f t="shared" si="1"/>
        <v>21840</v>
      </c>
      <c r="L12" s="26">
        <f t="shared" si="2"/>
        <v>7.2298489477987699E-2</v>
      </c>
      <c r="M12" s="10">
        <f t="shared" si="3"/>
        <v>22795</v>
      </c>
      <c r="N12" s="26">
        <f t="shared" si="4"/>
        <v>6.7201844328748067E-2</v>
      </c>
      <c r="O12" s="29">
        <f t="shared" si="5"/>
        <v>6.9750166903367883E-2</v>
      </c>
      <c r="P12" s="15">
        <f t="shared" si="6"/>
        <v>21840</v>
      </c>
      <c r="Q12" s="16">
        <f t="shared" si="7"/>
        <v>7.2298489477987699E-2</v>
      </c>
      <c r="R12" s="15">
        <f t="shared" si="8"/>
        <v>22795</v>
      </c>
      <c r="S12" s="16">
        <f t="shared" si="9"/>
        <v>6.7201844328748067E-2</v>
      </c>
      <c r="T12" s="27">
        <f t="shared" si="10"/>
        <v>6.9750166903367883E-2</v>
      </c>
      <c r="U12" s="19"/>
      <c r="V12" s="19"/>
      <c r="AF12">
        <v>37726</v>
      </c>
      <c r="AG12">
        <f>+AG11+AF12</f>
        <v>94004</v>
      </c>
    </row>
    <row r="13" spans="1:33">
      <c r="A13"/>
      <c r="B13" s="10">
        <f t="shared" si="0"/>
        <v>606.1795216598839</v>
      </c>
      <c r="C13" s="5">
        <f t="shared" si="12"/>
        <v>5</v>
      </c>
      <c r="D13" s="10">
        <v>146044</v>
      </c>
      <c r="E13" s="10">
        <v>154832</v>
      </c>
      <c r="F13" s="10">
        <f t="shared" si="11"/>
        <v>175775.82047834012</v>
      </c>
      <c r="G13" s="475">
        <v>176382</v>
      </c>
      <c r="H13" s="25"/>
      <c r="I13" s="25"/>
      <c r="J13" s="25"/>
      <c r="K13" s="10">
        <f t="shared" si="1"/>
        <v>18164</v>
      </c>
      <c r="L13" s="26">
        <f t="shared" si="2"/>
        <v>6.0129567897352035E-2</v>
      </c>
      <c r="M13" s="10">
        <f t="shared" si="3"/>
        <v>17910</v>
      </c>
      <c r="N13" s="26">
        <f t="shared" si="4"/>
        <v>5.2800396224078866E-2</v>
      </c>
      <c r="O13" s="29">
        <f t="shared" si="5"/>
        <v>5.646498206071545E-2</v>
      </c>
      <c r="P13" s="15">
        <f t="shared" si="6"/>
        <v>18164</v>
      </c>
      <c r="Q13" s="16">
        <f t="shared" si="7"/>
        <v>6.0129567897352035E-2</v>
      </c>
      <c r="R13" s="15">
        <f t="shared" si="8"/>
        <v>17910</v>
      </c>
      <c r="S13" s="16">
        <f t="shared" si="9"/>
        <v>5.2800396224078866E-2</v>
      </c>
      <c r="T13" s="27">
        <f t="shared" si="10"/>
        <v>5.646498206071545E-2</v>
      </c>
      <c r="U13" s="19"/>
      <c r="V13" s="19"/>
      <c r="AF13">
        <v>29106</v>
      </c>
      <c r="AG13">
        <f t="shared" ref="AG13:AG17" si="13">+AG12+AF13</f>
        <v>123110</v>
      </c>
    </row>
    <row r="14" spans="1:33">
      <c r="A14"/>
      <c r="B14" s="10">
        <f t="shared" si="0"/>
        <v>2559.5643815698568</v>
      </c>
      <c r="C14" s="5">
        <f t="shared" si="12"/>
        <v>6</v>
      </c>
      <c r="D14" s="10">
        <v>161216</v>
      </c>
      <c r="E14" s="10">
        <v>173289</v>
      </c>
      <c r="F14" s="10">
        <f t="shared" si="11"/>
        <v>192073.43561843014</v>
      </c>
      <c r="G14" s="475">
        <v>194633</v>
      </c>
      <c r="H14" s="25"/>
      <c r="I14" s="25"/>
      <c r="J14" s="25"/>
      <c r="K14" s="10">
        <f t="shared" si="1"/>
        <v>15172</v>
      </c>
      <c r="L14" s="26">
        <f t="shared" si="2"/>
        <v>5.0224939668499509E-2</v>
      </c>
      <c r="M14" s="10">
        <f t="shared" si="3"/>
        <v>18457</v>
      </c>
      <c r="N14" s="26">
        <f t="shared" si="4"/>
        <v>5.4413004640302826E-2</v>
      </c>
      <c r="O14" s="29">
        <f t="shared" si="5"/>
        <v>5.2318972154401164E-2</v>
      </c>
      <c r="P14" s="15">
        <f t="shared" si="6"/>
        <v>15172</v>
      </c>
      <c r="Q14" s="16">
        <f t="shared" si="7"/>
        <v>5.0224939668499509E-2</v>
      </c>
      <c r="R14" s="15">
        <f t="shared" si="8"/>
        <v>18457</v>
      </c>
      <c r="S14" s="16">
        <f t="shared" si="9"/>
        <v>5.4413004640302826E-2</v>
      </c>
      <c r="T14" s="27">
        <f t="shared" si="10"/>
        <v>5.2318972154401164E-2</v>
      </c>
      <c r="U14" s="19"/>
      <c r="V14" s="19"/>
      <c r="AF14">
        <v>22931</v>
      </c>
      <c r="AG14">
        <f t="shared" si="13"/>
        <v>146041</v>
      </c>
    </row>
    <row r="15" spans="1:33">
      <c r="A15"/>
      <c r="B15" s="10">
        <f t="shared" si="0"/>
        <v>3269.5653645448619</v>
      </c>
      <c r="C15" s="5">
        <f t="shared" si="12"/>
        <v>7</v>
      </c>
      <c r="D15" s="10">
        <v>177238</v>
      </c>
      <c r="E15" s="10">
        <v>188571</v>
      </c>
      <c r="F15" s="10">
        <f t="shared" si="11"/>
        <v>207351.43463545514</v>
      </c>
      <c r="G15" s="475">
        <v>210621</v>
      </c>
      <c r="H15" s="25"/>
      <c r="I15" s="25"/>
      <c r="J15" s="25"/>
      <c r="K15" s="10">
        <f t="shared" si="1"/>
        <v>16022</v>
      </c>
      <c r="L15" s="26">
        <f t="shared" si="2"/>
        <v>5.3038754506241702E-2</v>
      </c>
      <c r="M15" s="10">
        <f t="shared" si="3"/>
        <v>15282</v>
      </c>
      <c r="N15" s="26">
        <f t="shared" si="4"/>
        <v>4.5052800396224078E-2</v>
      </c>
      <c r="O15" s="29">
        <f t="shared" si="5"/>
        <v>4.904577745123289E-2</v>
      </c>
      <c r="P15" s="15">
        <f t="shared" si="6"/>
        <v>16022</v>
      </c>
      <c r="Q15" s="16">
        <f t="shared" si="7"/>
        <v>5.3038754506241702E-2</v>
      </c>
      <c r="R15" s="15">
        <f t="shared" si="8"/>
        <v>15282</v>
      </c>
      <c r="S15" s="16">
        <f t="shared" si="9"/>
        <v>4.5052800396224078E-2</v>
      </c>
      <c r="T15" s="27">
        <f t="shared" si="10"/>
        <v>4.904577745123289E-2</v>
      </c>
      <c r="U15" s="19"/>
      <c r="V15" s="19"/>
      <c r="AF15">
        <v>18488</v>
      </c>
      <c r="AG15">
        <f t="shared" si="13"/>
        <v>164529</v>
      </c>
    </row>
    <row r="16" spans="1:33">
      <c r="A16"/>
      <c r="B16" s="10">
        <f t="shared" si="0"/>
        <v>2438.9749083384231</v>
      </c>
      <c r="C16" s="5">
        <f t="shared" si="12"/>
        <v>8</v>
      </c>
      <c r="D16" s="10">
        <v>192649</v>
      </c>
      <c r="E16" s="10">
        <v>201964</v>
      </c>
      <c r="F16" s="10">
        <f t="shared" si="11"/>
        <v>221447.02509166158</v>
      </c>
      <c r="G16" s="475">
        <v>223886</v>
      </c>
      <c r="H16" s="25"/>
      <c r="I16" s="25"/>
      <c r="J16" s="25"/>
      <c r="K16" s="10">
        <f t="shared" si="1"/>
        <v>15411</v>
      </c>
      <c r="L16" s="26">
        <f t="shared" si="2"/>
        <v>5.1016118193464667E-2</v>
      </c>
      <c r="M16" s="10">
        <f t="shared" si="3"/>
        <v>13393</v>
      </c>
      <c r="N16" s="26">
        <f t="shared" si="4"/>
        <v>3.9483847382975334E-2</v>
      </c>
      <c r="O16" s="29">
        <f t="shared" si="5"/>
        <v>4.5249982788219997E-2</v>
      </c>
      <c r="P16" s="15">
        <f t="shared" si="6"/>
        <v>15411</v>
      </c>
      <c r="Q16" s="16">
        <f t="shared" si="7"/>
        <v>5.1016118193464667E-2</v>
      </c>
      <c r="R16" s="15">
        <f t="shared" si="8"/>
        <v>13393</v>
      </c>
      <c r="S16" s="16">
        <f t="shared" si="9"/>
        <v>3.9483847382975334E-2</v>
      </c>
      <c r="T16" s="27">
        <f t="shared" si="10"/>
        <v>4.5249982788219997E-2</v>
      </c>
      <c r="U16" s="19"/>
      <c r="V16" s="19"/>
      <c r="AF16">
        <v>18806</v>
      </c>
      <c r="AG16">
        <f t="shared" si="13"/>
        <v>183335</v>
      </c>
    </row>
    <row r="17" spans="1:33">
      <c r="A17"/>
      <c r="B17" s="10">
        <f t="shared" si="0"/>
        <v>2529.6022491747281</v>
      </c>
      <c r="C17" s="5">
        <f t="shared" si="12"/>
        <v>9</v>
      </c>
      <c r="D17" s="10">
        <v>206133</v>
      </c>
      <c r="E17" s="10">
        <v>214075</v>
      </c>
      <c r="F17" s="10">
        <f t="shared" si="11"/>
        <v>233960.39775082527</v>
      </c>
      <c r="G17" s="475">
        <v>236490</v>
      </c>
      <c r="H17" s="25"/>
      <c r="I17" s="25"/>
      <c r="J17" s="25"/>
      <c r="K17" s="10">
        <f t="shared" ref="K17:K28" si="14">+D17-D16</f>
        <v>13484</v>
      </c>
      <c r="L17" s="26">
        <f t="shared" si="2"/>
        <v>4.4637034437783246E-2</v>
      </c>
      <c r="M17" s="10">
        <f t="shared" ref="M17:M28" si="15">+E17-E16</f>
        <v>12111</v>
      </c>
      <c r="N17" s="26">
        <f t="shared" si="4"/>
        <v>3.5704388535444956E-2</v>
      </c>
      <c r="O17" s="29">
        <f t="shared" ref="O17:O28" si="16">+AVERAGE(L17,N17)</f>
        <v>4.0170711486614101E-2</v>
      </c>
      <c r="P17" s="15">
        <f t="shared" ref="P17:P29" si="17">+D17-D16</f>
        <v>13484</v>
      </c>
      <c r="Q17" s="16">
        <f t="shared" si="7"/>
        <v>4.4637034437783246E-2</v>
      </c>
      <c r="R17" s="15">
        <f t="shared" ref="R17:R29" si="18">+E17-E16</f>
        <v>12111</v>
      </c>
      <c r="S17" s="16">
        <f t="shared" si="9"/>
        <v>3.5704388535444956E-2</v>
      </c>
      <c r="T17" s="27">
        <f t="shared" ref="T17:T29" si="19">+AVERAGE(Q17,S17)</f>
        <v>4.0170711486614101E-2</v>
      </c>
      <c r="U17" s="19"/>
      <c r="V17" s="19"/>
      <c r="AF17">
        <v>16965</v>
      </c>
      <c r="AG17">
        <f t="shared" si="13"/>
        <v>200300</v>
      </c>
    </row>
    <row r="18" spans="1:33">
      <c r="A18"/>
      <c r="B18" s="10">
        <f t="shared" si="0"/>
        <v>2892.4710259477724</v>
      </c>
      <c r="C18" s="5">
        <f t="shared" si="12"/>
        <v>10</v>
      </c>
      <c r="D18" s="10">
        <v>219096</v>
      </c>
      <c r="E18" s="10">
        <v>227389</v>
      </c>
      <c r="F18" s="10">
        <f t="shared" si="11"/>
        <v>246757.52897405223</v>
      </c>
      <c r="G18" s="475">
        <v>249650</v>
      </c>
      <c r="H18" s="25"/>
      <c r="I18" s="25"/>
      <c r="J18" s="25"/>
      <c r="K18" s="10">
        <f t="shared" si="14"/>
        <v>12963</v>
      </c>
      <c r="L18" s="26">
        <f t="shared" si="2"/>
        <v>4.2912331460767145E-2</v>
      </c>
      <c r="M18" s="10">
        <f t="shared" si="15"/>
        <v>13314</v>
      </c>
      <c r="N18" s="26">
        <f t="shared" si="4"/>
        <v>3.9250947812807704E-2</v>
      </c>
      <c r="O18" s="29">
        <f t="shared" si="16"/>
        <v>4.1081639636787425E-2</v>
      </c>
      <c r="P18" s="15">
        <f t="shared" si="17"/>
        <v>12963</v>
      </c>
      <c r="Q18" s="16">
        <f t="shared" si="7"/>
        <v>4.2912331460767145E-2</v>
      </c>
      <c r="R18" s="15">
        <f t="shared" si="18"/>
        <v>13314</v>
      </c>
      <c r="S18" s="16">
        <f t="shared" si="9"/>
        <v>3.9250947812807704E-2</v>
      </c>
      <c r="T18" s="27">
        <f t="shared" si="19"/>
        <v>4.1081639636787425E-2</v>
      </c>
      <c r="U18" s="19"/>
      <c r="V18" s="19"/>
    </row>
    <row r="19" spans="1:33">
      <c r="A19"/>
      <c r="B19" s="10">
        <f t="shared" si="0"/>
        <v>1888.9216665312124</v>
      </c>
      <c r="C19" s="5">
        <f t="shared" si="12"/>
        <v>11</v>
      </c>
      <c r="D19" s="10">
        <v>231312</v>
      </c>
      <c r="E19" s="10">
        <v>238901</v>
      </c>
      <c r="F19" s="10">
        <f t="shared" si="11"/>
        <v>258342.07833346879</v>
      </c>
      <c r="G19" s="475">
        <v>260231</v>
      </c>
      <c r="H19" s="25"/>
      <c r="I19" s="25"/>
      <c r="J19" s="25"/>
      <c r="K19" s="10">
        <f t="shared" si="14"/>
        <v>12216</v>
      </c>
      <c r="L19" s="26">
        <f t="shared" si="2"/>
        <v>4.0439484773951359E-2</v>
      </c>
      <c r="M19" s="10">
        <f t="shared" si="15"/>
        <v>11512</v>
      </c>
      <c r="N19" s="26">
        <f t="shared" si="4"/>
        <v>3.3938479136325847E-2</v>
      </c>
      <c r="O19" s="29">
        <f t="shared" si="16"/>
        <v>3.7188981955138603E-2</v>
      </c>
      <c r="P19" s="15">
        <f t="shared" si="17"/>
        <v>12216</v>
      </c>
      <c r="Q19" s="16">
        <f t="shared" si="7"/>
        <v>4.0439484773951359E-2</v>
      </c>
      <c r="R19" s="15">
        <f t="shared" si="18"/>
        <v>11512</v>
      </c>
      <c r="S19" s="16">
        <f t="shared" si="9"/>
        <v>3.3938479136325847E-2</v>
      </c>
      <c r="T19" s="27">
        <f t="shared" si="19"/>
        <v>3.7188981955138603E-2</v>
      </c>
      <c r="U19" s="19"/>
      <c r="V19" s="19"/>
    </row>
    <row r="20" spans="1:33">
      <c r="A20"/>
      <c r="B20" s="10">
        <f t="shared" si="0"/>
        <v>2285.8531580892159</v>
      </c>
      <c r="C20" s="5">
        <f t="shared" si="12"/>
        <v>12</v>
      </c>
      <c r="D20" s="10">
        <v>242299</v>
      </c>
      <c r="E20" s="10">
        <v>248902</v>
      </c>
      <c r="F20" s="10">
        <f t="shared" si="11"/>
        <v>268599.14684191078</v>
      </c>
      <c r="G20" s="475">
        <v>270885</v>
      </c>
      <c r="H20" s="25"/>
      <c r="I20" s="25"/>
      <c r="J20" s="25"/>
      <c r="K20" s="10">
        <f t="shared" si="14"/>
        <v>10987</v>
      </c>
      <c r="L20" s="26">
        <f t="shared" si="2"/>
        <v>3.6371039555615881E-2</v>
      </c>
      <c r="M20" s="10">
        <f t="shared" si="15"/>
        <v>10001</v>
      </c>
      <c r="N20" s="26">
        <f t="shared" si="4"/>
        <v>2.9483906344891835E-2</v>
      </c>
      <c r="O20" s="29">
        <f t="shared" si="16"/>
        <v>3.2927472950253861E-2</v>
      </c>
      <c r="P20" s="15">
        <f t="shared" si="17"/>
        <v>10987</v>
      </c>
      <c r="Q20" s="16">
        <f t="shared" si="7"/>
        <v>3.6371039555615881E-2</v>
      </c>
      <c r="R20" s="15">
        <f t="shared" si="18"/>
        <v>10001</v>
      </c>
      <c r="S20" s="16">
        <f t="shared" si="9"/>
        <v>2.9483906344891835E-2</v>
      </c>
      <c r="T20" s="27">
        <f t="shared" si="19"/>
        <v>3.2927472950253861E-2</v>
      </c>
      <c r="U20" s="19"/>
      <c r="V20" s="19"/>
    </row>
    <row r="21" spans="1:33">
      <c r="A21"/>
      <c r="B21" s="10">
        <f t="shared" si="0"/>
        <v>2110.6091727510211</v>
      </c>
      <c r="C21" s="5">
        <f t="shared" si="12"/>
        <v>13</v>
      </c>
      <c r="D21" s="10">
        <v>251767</v>
      </c>
      <c r="E21" s="10">
        <v>259690</v>
      </c>
      <c r="F21" s="10">
        <f t="shared" si="11"/>
        <v>278434.39082724898</v>
      </c>
      <c r="G21" s="475">
        <v>280545</v>
      </c>
      <c r="H21" s="25"/>
      <c r="I21" s="25"/>
      <c r="J21" s="25"/>
      <c r="K21" s="10">
        <f t="shared" si="14"/>
        <v>9468</v>
      </c>
      <c r="L21" s="26">
        <f t="shared" si="2"/>
        <v>3.1342586922050705E-2</v>
      </c>
      <c r="M21" s="10">
        <f t="shared" si="15"/>
        <v>10788</v>
      </c>
      <c r="N21" s="26">
        <f t="shared" si="4"/>
        <v>3.1804057759093403E-2</v>
      </c>
      <c r="O21" s="29">
        <f t="shared" si="16"/>
        <v>3.1573322340572058E-2</v>
      </c>
      <c r="P21" s="15">
        <f t="shared" si="17"/>
        <v>9468</v>
      </c>
      <c r="Q21" s="16">
        <f t="shared" si="7"/>
        <v>3.1342586922050705E-2</v>
      </c>
      <c r="R21" s="15">
        <f t="shared" si="18"/>
        <v>10788</v>
      </c>
      <c r="S21" s="16">
        <f t="shared" si="9"/>
        <v>3.1804057759093403E-2</v>
      </c>
      <c r="T21" s="27">
        <f t="shared" si="19"/>
        <v>3.1573322340572058E-2</v>
      </c>
      <c r="U21" s="19"/>
      <c r="V21" s="19"/>
    </row>
    <row r="22" spans="1:33">
      <c r="A22"/>
      <c r="B22" s="10">
        <f t="shared" si="0"/>
        <v>1187.6238245572313</v>
      </c>
      <c r="C22" s="5">
        <f t="shared" si="12"/>
        <v>14</v>
      </c>
      <c r="D22" s="10">
        <v>263187</v>
      </c>
      <c r="E22" s="10">
        <v>269736</v>
      </c>
      <c r="F22" s="10">
        <f t="shared" si="11"/>
        <v>288935.37617544277</v>
      </c>
      <c r="G22" s="475">
        <v>290123</v>
      </c>
      <c r="H22" s="25"/>
      <c r="I22" s="25"/>
      <c r="J22" s="25"/>
      <c r="K22" s="10">
        <f t="shared" si="14"/>
        <v>11420</v>
      </c>
      <c r="L22" s="26">
        <f t="shared" si="2"/>
        <v>3.7804429937665723E-2</v>
      </c>
      <c r="M22" s="10">
        <f t="shared" si="15"/>
        <v>10046</v>
      </c>
      <c r="N22" s="26">
        <f t="shared" si="4"/>
        <v>2.9616570657012637E-2</v>
      </c>
      <c r="O22" s="29">
        <f t="shared" si="16"/>
        <v>3.3710500297339178E-2</v>
      </c>
      <c r="P22" s="15">
        <f t="shared" si="17"/>
        <v>11420</v>
      </c>
      <c r="Q22" s="16">
        <f t="shared" si="7"/>
        <v>3.7804429937665723E-2</v>
      </c>
      <c r="R22" s="15">
        <f t="shared" si="18"/>
        <v>10046</v>
      </c>
      <c r="S22" s="16">
        <f t="shared" si="9"/>
        <v>2.9616570657012637E-2</v>
      </c>
      <c r="T22" s="27">
        <f t="shared" si="19"/>
        <v>3.3710500297339178E-2</v>
      </c>
      <c r="U22" s="19"/>
      <c r="V22" s="19"/>
    </row>
    <row r="23" spans="1:33">
      <c r="A23"/>
      <c r="B23" s="10">
        <f t="shared" si="0"/>
        <v>-1424.8597266317229</v>
      </c>
      <c r="C23" s="5">
        <f t="shared" si="12"/>
        <v>15</v>
      </c>
      <c r="D23" s="10">
        <v>275787</v>
      </c>
      <c r="E23" s="10">
        <v>279743</v>
      </c>
      <c r="F23" s="10">
        <f t="shared" si="11"/>
        <v>300026.85972663172</v>
      </c>
      <c r="G23" s="475">
        <v>298602</v>
      </c>
      <c r="H23" s="25"/>
      <c r="I23" s="25"/>
      <c r="J23" s="25"/>
      <c r="K23" s="10">
        <f t="shared" si="14"/>
        <v>12600</v>
      </c>
      <c r="L23" s="26">
        <f t="shared" si="2"/>
        <v>4.1710667006531359E-2</v>
      </c>
      <c r="M23" s="10">
        <f t="shared" si="15"/>
        <v>10007</v>
      </c>
      <c r="N23" s="26">
        <f t="shared" si="4"/>
        <v>2.9501594919841275E-2</v>
      </c>
      <c r="O23" s="29">
        <f t="shared" si="16"/>
        <v>3.5606130963186315E-2</v>
      </c>
      <c r="P23" s="15">
        <f t="shared" si="17"/>
        <v>12600</v>
      </c>
      <c r="Q23" s="16">
        <f t="shared" si="7"/>
        <v>4.1710667006531359E-2</v>
      </c>
      <c r="R23" s="15">
        <f t="shared" si="18"/>
        <v>10007</v>
      </c>
      <c r="S23" s="16">
        <f t="shared" si="9"/>
        <v>2.9501594919841275E-2</v>
      </c>
      <c r="T23" s="27">
        <f t="shared" si="19"/>
        <v>3.5606130963186315E-2</v>
      </c>
      <c r="U23" s="19"/>
      <c r="V23" s="19"/>
    </row>
    <row r="24" spans="1:33">
      <c r="A24"/>
      <c r="B24" s="10">
        <f t="shared" si="0"/>
        <v>-1202.6170526909409</v>
      </c>
      <c r="C24" s="5">
        <f t="shared" si="12"/>
        <v>16</v>
      </c>
      <c r="D24" s="10">
        <v>285826</v>
      </c>
      <c r="E24" s="10">
        <v>289120</v>
      </c>
      <c r="F24" s="10">
        <f t="shared" si="11"/>
        <v>309508.61705269094</v>
      </c>
      <c r="G24" s="475">
        <v>308306</v>
      </c>
      <c r="H24" s="25"/>
      <c r="I24" s="25"/>
      <c r="J24" s="25"/>
      <c r="K24" s="10">
        <f t="shared" si="14"/>
        <v>10039</v>
      </c>
      <c r="L24" s="26">
        <f t="shared" si="2"/>
        <v>3.3232808418933994E-2</v>
      </c>
      <c r="M24" s="10">
        <f t="shared" si="15"/>
        <v>9377</v>
      </c>
      <c r="N24" s="26">
        <f t="shared" si="4"/>
        <v>2.7644294550150057E-2</v>
      </c>
      <c r="O24" s="29">
        <f t="shared" si="16"/>
        <v>3.0438551484542026E-2</v>
      </c>
      <c r="P24" s="15">
        <f t="shared" si="17"/>
        <v>10039</v>
      </c>
      <c r="Q24" s="16">
        <f t="shared" si="7"/>
        <v>3.3232808418933994E-2</v>
      </c>
      <c r="R24" s="15">
        <f t="shared" si="18"/>
        <v>9377</v>
      </c>
      <c r="S24" s="16">
        <f t="shared" si="9"/>
        <v>2.7644294550150057E-2</v>
      </c>
      <c r="T24" s="27">
        <f t="shared" si="19"/>
        <v>3.0438551484542026E-2</v>
      </c>
      <c r="U24" s="19"/>
      <c r="V24" s="19"/>
    </row>
    <row r="25" spans="1:33">
      <c r="A25"/>
      <c r="B25" s="10">
        <f t="shared" si="0"/>
        <v>-1555.3433841075748</v>
      </c>
      <c r="C25" s="5">
        <f t="shared" si="12"/>
        <v>17</v>
      </c>
      <c r="D25" s="10">
        <v>295950</v>
      </c>
      <c r="E25" s="10">
        <v>298469</v>
      </c>
      <c r="F25" s="10">
        <f t="shared" si="11"/>
        <v>319021.34338410757</v>
      </c>
      <c r="G25" s="475">
        <v>317466</v>
      </c>
      <c r="H25" s="25"/>
      <c r="I25" s="25"/>
      <c r="J25" s="25"/>
      <c r="K25" s="10">
        <f t="shared" si="14"/>
        <v>10124</v>
      </c>
      <c r="L25" s="26">
        <f t="shared" si="2"/>
        <v>3.3514189902708214E-2</v>
      </c>
      <c r="M25" s="10">
        <f t="shared" si="15"/>
        <v>9349</v>
      </c>
      <c r="N25" s="26">
        <f t="shared" si="4"/>
        <v>2.756174786705267E-2</v>
      </c>
      <c r="O25" s="29">
        <f t="shared" si="16"/>
        <v>3.0537968884880442E-2</v>
      </c>
      <c r="P25" s="15">
        <f t="shared" si="17"/>
        <v>10124</v>
      </c>
      <c r="Q25" s="16">
        <f t="shared" si="7"/>
        <v>3.3514189902708214E-2</v>
      </c>
      <c r="R25" s="15">
        <f t="shared" si="18"/>
        <v>9349</v>
      </c>
      <c r="S25" s="16">
        <f t="shared" si="9"/>
        <v>2.756174786705267E-2</v>
      </c>
      <c r="T25" s="27">
        <f t="shared" si="19"/>
        <v>3.0537968884880442E-2</v>
      </c>
      <c r="U25" s="19"/>
      <c r="V25" s="19"/>
    </row>
    <row r="26" spans="1:33">
      <c r="A26" s="23"/>
      <c r="B26" s="10">
        <f t="shared" si="0"/>
        <v>-1954.1258722606581</v>
      </c>
      <c r="C26" s="5">
        <f t="shared" si="12"/>
        <v>18</v>
      </c>
      <c r="D26" s="10">
        <v>304717</v>
      </c>
      <c r="E26" s="10">
        <v>306992</v>
      </c>
      <c r="F26" s="10">
        <f t="shared" si="11"/>
        <v>327455.12587226066</v>
      </c>
      <c r="G26" s="475">
        <v>325501</v>
      </c>
      <c r="H26" s="25"/>
      <c r="I26" s="25"/>
      <c r="J26" s="25"/>
      <c r="K26" s="10">
        <f t="shared" si="14"/>
        <v>8767</v>
      </c>
      <c r="L26" s="26">
        <f t="shared" si="2"/>
        <v>2.9022017273512734E-2</v>
      </c>
      <c r="M26" s="10">
        <f t="shared" si="15"/>
        <v>8523</v>
      </c>
      <c r="N26" s="26">
        <f t="shared" si="4"/>
        <v>2.5126620715679743E-2</v>
      </c>
      <c r="O26" s="29">
        <f t="shared" si="16"/>
        <v>2.7074318994596239E-2</v>
      </c>
      <c r="P26" s="15">
        <f t="shared" si="17"/>
        <v>8767</v>
      </c>
      <c r="Q26" s="16">
        <f t="shared" si="7"/>
        <v>2.9022017273512734E-2</v>
      </c>
      <c r="R26" s="15">
        <f t="shared" si="18"/>
        <v>8523</v>
      </c>
      <c r="S26" s="16">
        <f t="shared" si="9"/>
        <v>2.5126620715679743E-2</v>
      </c>
      <c r="T26" s="27">
        <f t="shared" si="19"/>
        <v>2.7074318994596239E-2</v>
      </c>
      <c r="U26" s="19"/>
      <c r="V26" s="19"/>
    </row>
    <row r="27" spans="1:33">
      <c r="A27" s="23"/>
      <c r="B27" s="10">
        <f t="shared" si="0"/>
        <v>115.76432520447997</v>
      </c>
      <c r="C27" s="5">
        <f t="shared" si="12"/>
        <v>19</v>
      </c>
      <c r="D27" s="10">
        <v>311950</v>
      </c>
      <c r="E27" s="10">
        <v>313586</v>
      </c>
      <c r="F27" s="10">
        <f t="shared" si="11"/>
        <v>334212.23567479552</v>
      </c>
      <c r="G27" s="475">
        <v>334328</v>
      </c>
      <c r="H27" s="25"/>
      <c r="I27" s="25"/>
      <c r="J27" s="25"/>
      <c r="K27" s="10">
        <f t="shared" si="14"/>
        <v>7233</v>
      </c>
      <c r="L27" s="26">
        <f t="shared" si="2"/>
        <v>2.3943909083987407E-2</v>
      </c>
      <c r="M27" s="10">
        <f t="shared" si="15"/>
        <v>6594</v>
      </c>
      <c r="N27" s="26">
        <f t="shared" si="4"/>
        <v>1.9439743869434731E-2</v>
      </c>
      <c r="O27" s="29">
        <f t="shared" si="16"/>
        <v>2.1691826476711071E-2</v>
      </c>
      <c r="P27" s="15">
        <f t="shared" si="17"/>
        <v>7233</v>
      </c>
      <c r="Q27" s="16">
        <f t="shared" si="7"/>
        <v>2.3943909083987407E-2</v>
      </c>
      <c r="R27" s="15">
        <f t="shared" si="18"/>
        <v>6594</v>
      </c>
      <c r="S27" s="16">
        <f t="shared" si="9"/>
        <v>1.9439743869434731E-2</v>
      </c>
      <c r="T27" s="27">
        <f t="shared" si="19"/>
        <v>2.1691826476711071E-2</v>
      </c>
      <c r="U27" s="19"/>
      <c r="V27" s="19"/>
    </row>
    <row r="28" spans="1:33">
      <c r="A28" s="23"/>
      <c r="B28" s="10">
        <f t="shared" si="0"/>
        <v>756.77473583247047</v>
      </c>
      <c r="C28" s="5">
        <f t="shared" si="12"/>
        <v>20</v>
      </c>
      <c r="D28" s="10">
        <v>318353</v>
      </c>
      <c r="E28" s="10">
        <v>321164</v>
      </c>
      <c r="F28" s="10">
        <f t="shared" si="11"/>
        <v>340993.22526416753</v>
      </c>
      <c r="G28" s="475">
        <v>341750</v>
      </c>
      <c r="H28" s="25"/>
      <c r="I28" s="25"/>
      <c r="J28" s="25"/>
      <c r="K28" s="10">
        <f t="shared" si="14"/>
        <v>6403</v>
      </c>
      <c r="L28" s="26">
        <f t="shared" si="2"/>
        <v>2.1196301654192087E-2</v>
      </c>
      <c r="M28" s="10">
        <f t="shared" si="15"/>
        <v>7578</v>
      </c>
      <c r="N28" s="26">
        <f t="shared" si="4"/>
        <v>2.2340670161142918E-2</v>
      </c>
      <c r="O28" s="29">
        <f t="shared" si="16"/>
        <v>2.1768485907667501E-2</v>
      </c>
      <c r="P28" s="15">
        <f t="shared" si="17"/>
        <v>6403</v>
      </c>
      <c r="Q28" s="16">
        <f t="shared" si="7"/>
        <v>2.1196301654192087E-2</v>
      </c>
      <c r="R28" s="15">
        <f t="shared" si="18"/>
        <v>7578</v>
      </c>
      <c r="S28" s="16">
        <f t="shared" si="9"/>
        <v>2.2340670161142918E-2</v>
      </c>
      <c r="T28" s="27">
        <f t="shared" si="19"/>
        <v>2.1768485907667501E-2</v>
      </c>
      <c r="U28" s="19"/>
      <c r="V28" s="19"/>
    </row>
    <row r="29" spans="1:33">
      <c r="A29" s="23"/>
      <c r="B29" s="10">
        <f t="shared" si="0"/>
        <v>329.44189561862731</v>
      </c>
      <c r="C29" s="5">
        <f t="shared" si="12"/>
        <v>21</v>
      </c>
      <c r="D29" s="10">
        <v>326290</v>
      </c>
      <c r="E29" s="10">
        <v>328046</v>
      </c>
      <c r="F29" s="10">
        <f t="shared" si="11"/>
        <v>348245.55810438137</v>
      </c>
      <c r="G29" s="475">
        <v>348575</v>
      </c>
      <c r="H29" s="25"/>
      <c r="I29" s="25"/>
      <c r="J29" s="25"/>
      <c r="K29" s="10">
        <f>+D29-D28</f>
        <v>7937</v>
      </c>
      <c r="L29" s="26">
        <f t="shared" si="2"/>
        <v>2.6274409843717414E-2</v>
      </c>
      <c r="M29" s="10">
        <f>+E29-E28</f>
        <v>6882</v>
      </c>
      <c r="N29" s="26">
        <f t="shared" si="4"/>
        <v>2.0288795467007861E-2</v>
      </c>
      <c r="O29" s="29">
        <f>+AVERAGE(L29,N29)</f>
        <v>2.3281602655362638E-2</v>
      </c>
      <c r="P29" s="15">
        <f t="shared" si="17"/>
        <v>7937</v>
      </c>
      <c r="Q29" s="16">
        <f t="shared" si="7"/>
        <v>2.6274409843717414E-2</v>
      </c>
      <c r="R29" s="15">
        <f t="shared" si="18"/>
        <v>6882</v>
      </c>
      <c r="S29" s="16">
        <f t="shared" si="9"/>
        <v>2.0288795467007861E-2</v>
      </c>
      <c r="T29" s="27">
        <f t="shared" si="19"/>
        <v>2.3281602655362638E-2</v>
      </c>
      <c r="U29" s="19"/>
      <c r="V29" s="19"/>
    </row>
    <row r="30" spans="1:33">
      <c r="A30" s="23"/>
      <c r="B30" s="10">
        <f t="shared" si="0"/>
        <v>-716.94630894920556</v>
      </c>
      <c r="C30" s="5">
        <f t="shared" si="12"/>
        <v>22</v>
      </c>
      <c r="D30" s="10">
        <v>334830</v>
      </c>
      <c r="E30" s="10">
        <v>335255</v>
      </c>
      <c r="F30" s="10">
        <f t="shared" si="11"/>
        <v>355958.94630894921</v>
      </c>
      <c r="G30" s="475">
        <v>355242</v>
      </c>
      <c r="H30" s="25"/>
      <c r="I30" s="25"/>
      <c r="J30" s="25"/>
      <c r="K30" s="10">
        <f t="shared" ref="K30:K32" si="20">+D30-D29</f>
        <v>8540</v>
      </c>
      <c r="L30" s="26">
        <f t="shared" si="2"/>
        <v>2.8270563193315699E-2</v>
      </c>
      <c r="M30" s="10">
        <f t="shared" ref="M30:M32" si="21">+E30-E29</f>
        <v>7209</v>
      </c>
      <c r="N30" s="26">
        <f t="shared" si="4"/>
        <v>2.125282280175235E-2</v>
      </c>
      <c r="O30" s="29">
        <f t="shared" ref="O30:O32" si="22">+AVERAGE(L30,N30)</f>
        <v>2.4761692997534022E-2</v>
      </c>
      <c r="P30" s="15">
        <f t="shared" ref="P30:P32" si="23">+D30-D29</f>
        <v>8540</v>
      </c>
      <c r="Q30" s="16">
        <f t="shared" si="7"/>
        <v>2.8270563193315699E-2</v>
      </c>
      <c r="R30" s="15">
        <f t="shared" ref="R30:R32" si="24">+E30-E29</f>
        <v>7209</v>
      </c>
      <c r="S30" s="16">
        <f t="shared" si="9"/>
        <v>2.125282280175235E-2</v>
      </c>
      <c r="T30" s="27">
        <f t="shared" ref="T30:T32" si="25">+AVERAGE(Q30,S30)</f>
        <v>2.4761692997534022E-2</v>
      </c>
      <c r="U30" s="19"/>
      <c r="V30" s="19"/>
    </row>
    <row r="31" spans="1:33">
      <c r="A31" s="23"/>
      <c r="B31" s="10">
        <f t="shared" si="0"/>
        <v>-1209.166995225416</v>
      </c>
      <c r="C31" s="5">
        <f t="shared" si="12"/>
        <v>23</v>
      </c>
      <c r="D31" s="10">
        <v>341702</v>
      </c>
      <c r="E31" s="10">
        <v>342137</v>
      </c>
      <c r="F31" s="10">
        <f t="shared" si="11"/>
        <v>362662.16699522542</v>
      </c>
      <c r="G31" s="475">
        <v>361453</v>
      </c>
      <c r="H31" s="25"/>
      <c r="I31" s="25"/>
      <c r="J31" s="25"/>
      <c r="K31" s="10">
        <f t="shared" si="20"/>
        <v>6872</v>
      </c>
      <c r="L31" s="26">
        <f t="shared" si="2"/>
        <v>2.2748865370546309E-2</v>
      </c>
      <c r="M31" s="10">
        <f t="shared" si="21"/>
        <v>6882</v>
      </c>
      <c r="N31" s="26">
        <f t="shared" si="4"/>
        <v>2.0288795467007861E-2</v>
      </c>
      <c r="O31" s="29">
        <f t="shared" si="22"/>
        <v>2.1518830418777085E-2</v>
      </c>
      <c r="P31" s="15">
        <f t="shared" si="23"/>
        <v>6872</v>
      </c>
      <c r="Q31" s="16">
        <f t="shared" si="7"/>
        <v>2.2748865370546309E-2</v>
      </c>
      <c r="R31" s="15">
        <f t="shared" si="24"/>
        <v>6882</v>
      </c>
      <c r="S31" s="16">
        <f t="shared" si="9"/>
        <v>2.0288795467007861E-2</v>
      </c>
      <c r="T31" s="27">
        <f t="shared" si="25"/>
        <v>2.1518830418777085E-2</v>
      </c>
      <c r="U31" s="19"/>
      <c r="V31" s="19"/>
    </row>
    <row r="32" spans="1:33">
      <c r="A32" s="23"/>
      <c r="B32" s="10">
        <f t="shared" si="0"/>
        <v>-3331.4513592865551</v>
      </c>
      <c r="C32" s="5">
        <f t="shared" si="12"/>
        <v>24</v>
      </c>
      <c r="D32" s="10">
        <v>348578</v>
      </c>
      <c r="E32" s="10">
        <v>349864</v>
      </c>
      <c r="F32" s="10">
        <f t="shared" si="11"/>
        <v>369755.45135928656</v>
      </c>
      <c r="G32" s="475">
        <v>366424</v>
      </c>
      <c r="H32" s="25">
        <f t="shared" ref="H32:H39" si="26">+E32/D32-1</f>
        <v>3.6892747103947077E-3</v>
      </c>
      <c r="I32" s="25">
        <f t="shared" ref="I32:I39" si="27">+F32/E32-1</f>
        <v>5.6854810324258986E-2</v>
      </c>
      <c r="J32" s="25">
        <f t="shared" ref="J32:J39" si="28">+G32/F32-1</f>
        <v>-9.0098776016406257E-3</v>
      </c>
      <c r="K32" s="10">
        <f t="shared" si="20"/>
        <v>6876</v>
      </c>
      <c r="L32" s="26">
        <f t="shared" si="2"/>
        <v>2.2762106852135686E-2</v>
      </c>
      <c r="M32" s="10">
        <f t="shared" si="21"/>
        <v>7727</v>
      </c>
      <c r="N32" s="26">
        <f t="shared" si="4"/>
        <v>2.2779936439054016E-2</v>
      </c>
      <c r="O32" s="29">
        <f t="shared" si="22"/>
        <v>2.2771021645594851E-2</v>
      </c>
      <c r="P32" s="15">
        <f t="shared" si="23"/>
        <v>6876</v>
      </c>
      <c r="Q32" s="16">
        <f t="shared" si="7"/>
        <v>2.2762106852135686E-2</v>
      </c>
      <c r="R32" s="15">
        <f t="shared" si="24"/>
        <v>7727</v>
      </c>
      <c r="S32" s="16">
        <f t="shared" si="9"/>
        <v>2.2779936439054016E-2</v>
      </c>
      <c r="T32" s="27">
        <f t="shared" si="25"/>
        <v>2.2771021645594851E-2</v>
      </c>
      <c r="U32" s="19"/>
      <c r="V32" s="19"/>
    </row>
    <row r="33" spans="1:22">
      <c r="A33" s="23"/>
      <c r="B33" s="10">
        <f t="shared" si="0"/>
        <v>-2310.6864434942254</v>
      </c>
      <c r="C33" s="5">
        <f t="shared" si="12"/>
        <v>25</v>
      </c>
      <c r="D33" s="10">
        <v>348578</v>
      </c>
      <c r="E33" s="10">
        <v>356594</v>
      </c>
      <c r="F33" s="10">
        <f t="shared" si="11"/>
        <v>372845.68644349423</v>
      </c>
      <c r="G33" s="475">
        <v>370535</v>
      </c>
      <c r="H33" s="25">
        <f t="shared" si="26"/>
        <v>2.2996287774902591E-2</v>
      </c>
      <c r="I33" s="25">
        <f t="shared" si="27"/>
        <v>4.5574761335003489E-2</v>
      </c>
      <c r="J33" s="25">
        <f t="shared" si="28"/>
        <v>-6.1974337574760563E-3</v>
      </c>
      <c r="K33" s="10">
        <f t="shared" ref="K33:K34" si="29">+D33-D32</f>
        <v>0</v>
      </c>
      <c r="L33" s="26">
        <f t="shared" si="2"/>
        <v>0</v>
      </c>
      <c r="M33" s="10">
        <f t="shared" ref="M33:M34" si="30">+E33-E32</f>
        <v>6730</v>
      </c>
      <c r="N33" s="26">
        <f t="shared" si="4"/>
        <v>1.9840684901622042E-2</v>
      </c>
      <c r="O33" s="29">
        <f t="shared" ref="O33:O34" si="31">+AVERAGE(L33,N33)</f>
        <v>9.9203424508110209E-3</v>
      </c>
      <c r="P33" s="15">
        <f t="shared" ref="P33:P37" si="32">+D33-D32</f>
        <v>0</v>
      </c>
      <c r="Q33" s="16">
        <f t="shared" si="7"/>
        <v>0</v>
      </c>
      <c r="R33" s="15">
        <f t="shared" ref="R33:R37" si="33">+E33-E32</f>
        <v>6730</v>
      </c>
      <c r="S33" s="16">
        <f t="shared" si="9"/>
        <v>1.9840684901622042E-2</v>
      </c>
      <c r="T33" s="27">
        <f t="shared" ref="T33:T39" si="34">+AVERAGE(Q33,S33)</f>
        <v>9.9203424508110209E-3</v>
      </c>
      <c r="U33" s="19"/>
      <c r="V33" s="19"/>
    </row>
    <row r="34" spans="1:22">
      <c r="A34" s="23"/>
      <c r="B34" s="10">
        <f t="shared" si="0"/>
        <v>454.05314529075986</v>
      </c>
      <c r="C34" s="5">
        <f t="shared" si="12"/>
        <v>26</v>
      </c>
      <c r="D34" s="10">
        <v>348578</v>
      </c>
      <c r="E34" s="10">
        <v>362858</v>
      </c>
      <c r="F34" s="10">
        <f t="shared" si="11"/>
        <v>375721.94685470924</v>
      </c>
      <c r="G34" s="475">
        <v>376176</v>
      </c>
      <c r="H34" s="25">
        <f t="shared" si="26"/>
        <v>4.0966440796607939E-2</v>
      </c>
      <c r="I34" s="25">
        <f t="shared" si="27"/>
        <v>3.5451738296273572E-2</v>
      </c>
      <c r="J34" s="25">
        <f t="shared" si="28"/>
        <v>1.2084818283621956E-3</v>
      </c>
      <c r="K34" s="10">
        <f t="shared" si="29"/>
        <v>0</v>
      </c>
      <c r="L34" s="26">
        <f t="shared" si="2"/>
        <v>0</v>
      </c>
      <c r="M34" s="10">
        <f t="shared" si="30"/>
        <v>6264</v>
      </c>
      <c r="N34" s="26">
        <f t="shared" si="4"/>
        <v>1.8466872247215525E-2</v>
      </c>
      <c r="O34" s="29">
        <f t="shared" si="31"/>
        <v>9.2334361236077623E-3</v>
      </c>
      <c r="P34" s="15">
        <f t="shared" si="32"/>
        <v>0</v>
      </c>
      <c r="Q34" s="16">
        <f t="shared" si="7"/>
        <v>0</v>
      </c>
      <c r="R34" s="15">
        <f t="shared" si="33"/>
        <v>6264</v>
      </c>
      <c r="S34" s="16">
        <f t="shared" si="9"/>
        <v>1.8466872247215525E-2</v>
      </c>
      <c r="T34" s="27">
        <f t="shared" si="34"/>
        <v>9.2334361236077623E-3</v>
      </c>
      <c r="U34" s="19"/>
      <c r="V34" s="19"/>
    </row>
    <row r="35" spans="1:22">
      <c r="A35" s="23"/>
      <c r="B35" s="10">
        <f t="shared" si="0"/>
        <v>2997.9751620009774</v>
      </c>
      <c r="C35" s="5">
        <f t="shared" si="12"/>
        <v>27</v>
      </c>
      <c r="D35" s="10">
        <v>348578</v>
      </c>
      <c r="E35" s="10">
        <v>369004</v>
      </c>
      <c r="F35" s="10">
        <f t="shared" si="11"/>
        <v>378544.02483799902</v>
      </c>
      <c r="G35" s="475">
        <v>381542</v>
      </c>
      <c r="H35" s="25">
        <f t="shared" si="26"/>
        <v>5.8598075610049927E-2</v>
      </c>
      <c r="I35" s="25">
        <f t="shared" si="27"/>
        <v>2.5853445594083091E-2</v>
      </c>
      <c r="J35" s="25">
        <f t="shared" si="28"/>
        <v>7.9197529621131135E-3</v>
      </c>
      <c r="K35" s="10">
        <f>+D35-D34</f>
        <v>0</v>
      </c>
      <c r="L35" s="26">
        <f t="shared" si="2"/>
        <v>0</v>
      </c>
      <c r="M35" s="10">
        <f>+E35-E34</f>
        <v>6146</v>
      </c>
      <c r="N35" s="26">
        <f t="shared" si="4"/>
        <v>1.8118996939876533E-2</v>
      </c>
      <c r="O35" s="29">
        <f>+AVERAGE(L35,N35)</f>
        <v>9.0594984699382663E-3</v>
      </c>
      <c r="P35" s="15">
        <f t="shared" si="32"/>
        <v>0</v>
      </c>
      <c r="Q35" s="16">
        <f t="shared" si="7"/>
        <v>0</v>
      </c>
      <c r="R35" s="15">
        <f t="shared" si="33"/>
        <v>6146</v>
      </c>
      <c r="S35" s="16">
        <f t="shared" si="9"/>
        <v>1.8118996939876533E-2</v>
      </c>
      <c r="T35" s="27">
        <f t="shared" si="34"/>
        <v>9.0594984699382663E-3</v>
      </c>
      <c r="U35" s="19"/>
      <c r="V35" s="19"/>
    </row>
    <row r="36" spans="1:22">
      <c r="A36" s="23"/>
      <c r="B36" s="10">
        <f t="shared" si="0"/>
        <v>5535.7796033062623</v>
      </c>
      <c r="C36" s="5">
        <f t="shared" si="12"/>
        <v>28</v>
      </c>
      <c r="D36" s="10">
        <v>348578</v>
      </c>
      <c r="E36" s="10">
        <v>374645</v>
      </c>
      <c r="F36" s="10">
        <f t="shared" si="11"/>
        <v>381134.22039669374</v>
      </c>
      <c r="G36" s="379">
        <v>386670</v>
      </c>
      <c r="H36" s="25">
        <f t="shared" si="26"/>
        <v>7.4780967244060248E-2</v>
      </c>
      <c r="I36" s="25">
        <f t="shared" si="27"/>
        <v>1.7320984923577587E-2</v>
      </c>
      <c r="J36" s="25">
        <f t="shared" si="28"/>
        <v>1.4524488505767152E-2</v>
      </c>
      <c r="K36" s="10">
        <f t="shared" ref="K36:K37" si="35">+D36-D35</f>
        <v>0</v>
      </c>
      <c r="L36" s="26">
        <f t="shared" si="2"/>
        <v>0</v>
      </c>
      <c r="M36" s="10">
        <f t="shared" ref="M36:M37" si="36">+E36-E35</f>
        <v>5641</v>
      </c>
      <c r="N36" s="26">
        <f t="shared" si="4"/>
        <v>1.6630208548298653E-2</v>
      </c>
      <c r="O36" s="29">
        <f t="shared" ref="O36:O39" si="37">+AVERAGE(L36,N36)</f>
        <v>8.3151042741493267E-3</v>
      </c>
      <c r="P36" s="15">
        <f t="shared" si="32"/>
        <v>0</v>
      </c>
      <c r="Q36" s="16">
        <f t="shared" si="7"/>
        <v>0</v>
      </c>
      <c r="R36" s="15">
        <f t="shared" si="33"/>
        <v>5641</v>
      </c>
      <c r="S36" s="16">
        <f t="shared" si="9"/>
        <v>1.6630208548298653E-2</v>
      </c>
      <c r="T36" s="27">
        <f t="shared" si="34"/>
        <v>8.3151042741493267E-3</v>
      </c>
      <c r="U36" s="19"/>
      <c r="V36" s="19"/>
    </row>
    <row r="37" spans="1:22">
      <c r="A37" s="23"/>
      <c r="B37" s="10">
        <f t="shared" si="0"/>
        <v>7740.4739605351933</v>
      </c>
      <c r="C37" s="5">
        <f t="shared" si="12"/>
        <v>29</v>
      </c>
      <c r="D37" s="10">
        <v>348578</v>
      </c>
      <c r="E37" s="10">
        <v>379524</v>
      </c>
      <c r="F37" s="10">
        <f t="shared" si="11"/>
        <v>383374.52603946481</v>
      </c>
      <c r="G37" s="379">
        <v>391115</v>
      </c>
      <c r="H37" s="25">
        <f t="shared" si="26"/>
        <v>8.8777834516234444E-2</v>
      </c>
      <c r="I37" s="25">
        <f t="shared" si="27"/>
        <v>1.0145672050950072E-2</v>
      </c>
      <c r="J37" s="25">
        <f t="shared" si="28"/>
        <v>2.0190371124810591E-2</v>
      </c>
      <c r="K37" s="10">
        <f t="shared" si="35"/>
        <v>0</v>
      </c>
      <c r="L37" s="26">
        <f t="shared" si="2"/>
        <v>0</v>
      </c>
      <c r="M37" s="10">
        <f t="shared" si="36"/>
        <v>4879</v>
      </c>
      <c r="N37" s="26">
        <f t="shared" si="4"/>
        <v>1.4383759529719754E-2</v>
      </c>
      <c r="O37" s="29">
        <f t="shared" si="37"/>
        <v>7.1918797648598768E-3</v>
      </c>
      <c r="P37" s="15">
        <f t="shared" si="32"/>
        <v>0</v>
      </c>
      <c r="Q37" s="16">
        <f t="shared" si="7"/>
        <v>0</v>
      </c>
      <c r="R37" s="15">
        <f t="shared" si="33"/>
        <v>4879</v>
      </c>
      <c r="S37" s="16">
        <f t="shared" si="9"/>
        <v>1.4383759529719754E-2</v>
      </c>
      <c r="T37" s="27">
        <f t="shared" si="34"/>
        <v>7.1918797648598768E-3</v>
      </c>
      <c r="U37" s="19"/>
      <c r="V37" s="19"/>
    </row>
    <row r="38" spans="1:22">
      <c r="A38" s="23"/>
      <c r="B38" s="10">
        <f t="shared" ref="B38" si="38">+G38-F38</f>
        <v>10000.908373815008</v>
      </c>
      <c r="C38" s="5">
        <f t="shared" si="12"/>
        <v>30</v>
      </c>
      <c r="D38" s="10">
        <v>348578</v>
      </c>
      <c r="E38" s="10">
        <v>384911</v>
      </c>
      <c r="F38" s="10">
        <f t="shared" si="11"/>
        <v>385848.09162618499</v>
      </c>
      <c r="G38" s="379">
        <v>395849</v>
      </c>
      <c r="H38" s="25">
        <f t="shared" ref="H38" si="39">+E38/D38-1</f>
        <v>0.1042320513629662</v>
      </c>
      <c r="I38" s="25">
        <f t="shared" ref="I38" si="40">+F38/E38-1</f>
        <v>2.434567019869549E-3</v>
      </c>
      <c r="J38" s="25">
        <f t="shared" ref="J38" si="41">+G38/F38-1</f>
        <v>2.5919289458360195E-2</v>
      </c>
      <c r="K38" s="10">
        <f>+D38-D37</f>
        <v>0</v>
      </c>
      <c r="L38" s="26">
        <f t="shared" si="2"/>
        <v>0</v>
      </c>
      <c r="M38" s="10">
        <f>+E38-E37</f>
        <v>5387</v>
      </c>
      <c r="N38" s="26">
        <f t="shared" si="4"/>
        <v>1.5881392208772355E-2</v>
      </c>
      <c r="O38" s="29">
        <f>+AVERAGE(L38,N38)</f>
        <v>7.9406961043861773E-3</v>
      </c>
      <c r="P38" s="15">
        <f t="shared" ref="P38" si="42">+D38-D37</f>
        <v>0</v>
      </c>
      <c r="Q38" s="16">
        <f t="shared" si="7"/>
        <v>0</v>
      </c>
      <c r="R38" s="15">
        <f t="shared" ref="R38" si="43">+E38-E37</f>
        <v>5387</v>
      </c>
      <c r="S38" s="16">
        <f t="shared" si="9"/>
        <v>1.5881392208772355E-2</v>
      </c>
      <c r="T38" s="27">
        <f t="shared" ref="T38" si="44">+AVERAGE(Q38,S38)</f>
        <v>7.9406961043861773E-3</v>
      </c>
      <c r="U38" s="19"/>
      <c r="V38" s="19"/>
    </row>
    <row r="39" spans="1:22" ht="15.75" customHeight="1">
      <c r="A39" s="23"/>
      <c r="B39" s="10">
        <f t="shared" si="0"/>
        <v>11166.120049505145</v>
      </c>
      <c r="C39" s="5">
        <f t="shared" si="12"/>
        <v>31</v>
      </c>
      <c r="D39" s="10">
        <v>348578</v>
      </c>
      <c r="E39" s="10">
        <v>385077</v>
      </c>
      <c r="F39" s="114">
        <f>'Resumen Digital'!E7*1000</f>
        <v>388397.87995049485</v>
      </c>
      <c r="G39" s="112">
        <v>399564</v>
      </c>
      <c r="H39" s="25">
        <f t="shared" si="26"/>
        <v>0.10470827189323484</v>
      </c>
      <c r="I39" s="25">
        <f t="shared" si="27"/>
        <v>8.6239374215932862E-3</v>
      </c>
      <c r="J39" s="25">
        <f t="shared" si="28"/>
        <v>2.8749178679678522E-2</v>
      </c>
      <c r="K39" s="10">
        <f>+D39-D37</f>
        <v>0</v>
      </c>
      <c r="L39" s="26">
        <f t="shared" si="2"/>
        <v>0</v>
      </c>
      <c r="M39" s="10">
        <f>+E39-E37</f>
        <v>5553</v>
      </c>
      <c r="N39" s="26">
        <f t="shared" si="4"/>
        <v>1.6370776115706864E-2</v>
      </c>
      <c r="O39" s="29">
        <f t="shared" si="37"/>
        <v>8.1853880578534322E-3</v>
      </c>
      <c r="P39" s="15">
        <f>+D39-D37</f>
        <v>0</v>
      </c>
      <c r="Q39" s="16">
        <f t="shared" si="7"/>
        <v>0</v>
      </c>
      <c r="R39" s="15">
        <f>+E39-E37</f>
        <v>5553</v>
      </c>
      <c r="S39" s="16">
        <f t="shared" si="9"/>
        <v>1.6370776115706864E-2</v>
      </c>
      <c r="T39" s="27">
        <f t="shared" si="34"/>
        <v>8.1853880578534322E-3</v>
      </c>
      <c r="U39" s="19"/>
      <c r="V39" s="19"/>
    </row>
    <row r="40" spans="1:22">
      <c r="A40" s="23"/>
      <c r="B40" s="10"/>
      <c r="D40" s="10"/>
      <c r="E40" s="10"/>
      <c r="H40" s="25"/>
      <c r="I40" s="25"/>
      <c r="J40" s="25"/>
      <c r="K40" s="10"/>
      <c r="L40" s="26"/>
      <c r="M40" s="10"/>
      <c r="N40" s="26"/>
      <c r="O40" s="29"/>
      <c r="P40" s="15"/>
      <c r="Q40" s="16"/>
      <c r="R40" s="15"/>
      <c r="S40" s="16"/>
      <c r="T40" s="27"/>
      <c r="U40" s="19"/>
      <c r="V40" s="19"/>
    </row>
    <row r="41" spans="1:22">
      <c r="A41" s="23"/>
      <c r="B41" s="10"/>
      <c r="D41" s="10"/>
      <c r="E41" s="10"/>
      <c r="F41" s="10"/>
      <c r="G41" s="26"/>
      <c r="H41" s="26"/>
      <c r="I41" s="26"/>
      <c r="J41" s="26"/>
      <c r="K41" s="26"/>
      <c r="L41" s="26"/>
      <c r="M41" s="10"/>
      <c r="N41" s="26"/>
      <c r="O41" s="29"/>
      <c r="P41" s="15"/>
      <c r="Q41" s="16"/>
      <c r="R41" s="15"/>
      <c r="S41" s="16"/>
      <c r="T41" s="27"/>
      <c r="U41" s="19"/>
    </row>
    <row r="42" spans="1:22">
      <c r="A42" s="23"/>
      <c r="B42" s="10"/>
      <c r="D42" s="10"/>
      <c r="E42" s="10"/>
      <c r="F42" s="10"/>
      <c r="G42" s="26"/>
      <c r="H42" s="26"/>
      <c r="I42" s="26"/>
      <c r="J42" s="26"/>
      <c r="K42" s="26"/>
      <c r="L42" s="26"/>
      <c r="M42" s="10"/>
      <c r="N42" s="26"/>
      <c r="O42" s="29"/>
      <c r="P42" s="15"/>
      <c r="Q42" s="16"/>
      <c r="R42" s="15"/>
      <c r="S42" s="16"/>
      <c r="T42" s="27"/>
      <c r="U42" s="19"/>
    </row>
    <row r="43" spans="1:22">
      <c r="B43" s="10"/>
      <c r="D43" s="10"/>
      <c r="E43" s="10"/>
      <c r="G43" s="26"/>
      <c r="H43" s="26"/>
      <c r="I43" s="26"/>
      <c r="J43" s="26"/>
      <c r="K43" s="26"/>
      <c r="L43" s="26"/>
      <c r="M43" s="10"/>
      <c r="N43" s="26"/>
      <c r="O43" s="29"/>
      <c r="P43" s="15"/>
      <c r="Q43" s="16"/>
      <c r="R43" s="15"/>
      <c r="S43" s="16"/>
      <c r="T43" s="27"/>
    </row>
    <row r="44" spans="1:22">
      <c r="D44" s="10"/>
      <c r="E44" s="10"/>
      <c r="H44" s="12"/>
      <c r="I44" s="12"/>
      <c r="J44" s="12"/>
      <c r="K44" s="12"/>
      <c r="L44" s="12"/>
      <c r="M44" s="12"/>
      <c r="N44" s="10"/>
      <c r="O44" s="11"/>
    </row>
    <row r="45" spans="1:22">
      <c r="D45" s="10"/>
      <c r="E45" s="10"/>
      <c r="F45" s="10"/>
      <c r="G45" s="10"/>
      <c r="H45" s="12"/>
      <c r="I45" s="12"/>
      <c r="J45" s="12"/>
      <c r="K45" s="12"/>
      <c r="L45" s="12"/>
      <c r="M45" s="12"/>
      <c r="N45" s="10"/>
      <c r="O45" s="11"/>
    </row>
    <row r="46" spans="1:22">
      <c r="D46" s="10"/>
      <c r="E46" s="10"/>
      <c r="F46" s="10"/>
      <c r="G46" s="10"/>
      <c r="H46" s="12"/>
      <c r="I46" s="12"/>
      <c r="J46" s="12"/>
      <c r="K46" s="12"/>
      <c r="L46" s="12"/>
      <c r="M46" s="12"/>
      <c r="N46" s="10"/>
      <c r="O46" s="11"/>
    </row>
    <row r="47" spans="1:22">
      <c r="D47" s="10"/>
      <c r="E47" s="116"/>
      <c r="F47" s="116"/>
      <c r="G47" s="116"/>
      <c r="H47" s="12"/>
      <c r="I47" s="12"/>
      <c r="J47" s="12"/>
      <c r="K47" s="12"/>
      <c r="L47" s="12"/>
      <c r="M47" s="12"/>
      <c r="N47" s="10"/>
      <c r="O47" s="11"/>
    </row>
    <row r="48" spans="1:22">
      <c r="D48" s="10"/>
      <c r="E48" s="10"/>
      <c r="F48" s="10"/>
      <c r="G48" s="10"/>
      <c r="H48" s="12"/>
      <c r="I48" s="12"/>
      <c r="J48" s="12"/>
      <c r="K48" s="12"/>
      <c r="L48" s="12"/>
      <c r="M48" s="12"/>
      <c r="N48" s="10"/>
      <c r="O48" s="11"/>
    </row>
    <row r="49" spans="1:23">
      <c r="A49" s="22" t="s">
        <v>183</v>
      </c>
      <c r="D49" s="9">
        <v>2022</v>
      </c>
      <c r="E49" s="9">
        <v>2023</v>
      </c>
      <c r="F49" s="9" t="s">
        <v>235</v>
      </c>
      <c r="G49" s="10" t="s">
        <v>232</v>
      </c>
      <c r="H49" s="12"/>
      <c r="I49" s="12"/>
    </row>
    <row r="50" spans="1:23">
      <c r="A50" s="138"/>
      <c r="B50" s="10">
        <f t="shared" ref="B50:B67" si="45">+G50-F50</f>
        <v>-17857.5</v>
      </c>
      <c r="C50" s="5">
        <v>1</v>
      </c>
      <c r="D50" s="10">
        <v>65802</v>
      </c>
      <c r="E50" s="10">
        <v>72643</v>
      </c>
      <c r="F50" s="30">
        <f>+E50*1.5</f>
        <v>108964.5</v>
      </c>
      <c r="G50" s="483">
        <v>91107</v>
      </c>
      <c r="H50" s="25"/>
      <c r="I50" s="25"/>
      <c r="J50" s="25"/>
      <c r="K50" s="10">
        <f t="shared" ref="K50:K53" si="46">+D50-D49</f>
        <v>63780</v>
      </c>
      <c r="L50" s="26">
        <f t="shared" ref="L50:L80" si="47">+K50/SUM($K$51:$K$83)</f>
        <v>3.2069404802305322E-2</v>
      </c>
      <c r="M50" s="10">
        <f t="shared" ref="M50:M53" si="48">+E50-E49</f>
        <v>70620</v>
      </c>
      <c r="N50" s="26">
        <f t="shared" ref="N50:N80" si="49">+M50/SUM($M$51:$M$83)</f>
        <v>3.2708652517763476E-2</v>
      </c>
      <c r="O50" s="29">
        <f t="shared" ref="O50:O53" si="50">+AVERAGE(L50,N50)</f>
        <v>3.2389028660034402E-2</v>
      </c>
      <c r="P50" s="15">
        <f t="shared" ref="P50:P53" si="51">+D50-D49</f>
        <v>63780</v>
      </c>
      <c r="Q50" s="16">
        <f t="shared" ref="Q50:Q80" si="52">+P50/SUM($P$51:$P$83)</f>
        <v>3.2069404802305322E-2</v>
      </c>
      <c r="R50" s="15">
        <f t="shared" ref="R50:R53" si="53">+E50-E49</f>
        <v>70620</v>
      </c>
      <c r="S50" s="16">
        <f t="shared" ref="S50:S75" si="54">+R50/SUM($R$51:$R$83)</f>
        <v>3.2708652517763476E-2</v>
      </c>
      <c r="T50" s="17">
        <f t="shared" ref="T50:T57" si="55">+Q50</f>
        <v>3.2069404802305322E-2</v>
      </c>
      <c r="V50">
        <v>62823</v>
      </c>
      <c r="W50">
        <f>V50</f>
        <v>62823</v>
      </c>
    </row>
    <row r="51" spans="1:23">
      <c r="A51" s="138"/>
      <c r="B51" s="10">
        <f t="shared" si="45"/>
        <v>1072.8741546584642</v>
      </c>
      <c r="C51" s="5">
        <f>+C50+1</f>
        <v>2</v>
      </c>
      <c r="D51" s="10">
        <v>130818</v>
      </c>
      <c r="E51" s="10">
        <v>146408</v>
      </c>
      <c r="F51" s="10">
        <f t="shared" ref="F51:F79" si="56">+F50+($F$80-$F$50)*T51</f>
        <v>177530.12584534154</v>
      </c>
      <c r="G51" s="475">
        <v>178603</v>
      </c>
      <c r="H51" s="25"/>
      <c r="I51" s="25"/>
      <c r="J51" s="25"/>
      <c r="K51" s="10">
        <f t="shared" si="46"/>
        <v>65016</v>
      </c>
      <c r="L51" s="26">
        <f t="shared" si="47"/>
        <v>3.2690881508728176E-2</v>
      </c>
      <c r="M51" s="10">
        <f t="shared" si="48"/>
        <v>73765</v>
      </c>
      <c r="N51" s="26">
        <f t="shared" si="49"/>
        <v>3.4165303780413804E-2</v>
      </c>
      <c r="O51" s="29">
        <f t="shared" si="50"/>
        <v>3.3428092644570986E-2</v>
      </c>
      <c r="P51" s="15">
        <f t="shared" si="51"/>
        <v>65016</v>
      </c>
      <c r="Q51" s="16">
        <f t="shared" si="52"/>
        <v>3.2690881508728176E-2</v>
      </c>
      <c r="R51" s="15">
        <f t="shared" si="53"/>
        <v>73765</v>
      </c>
      <c r="S51" s="16">
        <f t="shared" si="54"/>
        <v>3.4165303780413804E-2</v>
      </c>
      <c r="T51" s="17">
        <f t="shared" si="55"/>
        <v>3.2690881508728176E-2</v>
      </c>
      <c r="U51" s="18"/>
      <c r="V51">
        <v>42774</v>
      </c>
      <c r="W51">
        <f>W50+V51</f>
        <v>105597</v>
      </c>
    </row>
    <row r="52" spans="1:23">
      <c r="A52" s="138"/>
      <c r="B52" s="10">
        <f t="shared" si="45"/>
        <v>11242.796169239009</v>
      </c>
      <c r="C52" s="5">
        <f t="shared" ref="C52:C80" si="57">+C51+1</f>
        <v>3</v>
      </c>
      <c r="D52" s="10">
        <v>193278</v>
      </c>
      <c r="E52" s="10">
        <v>214290</v>
      </c>
      <c r="F52" s="10">
        <f t="shared" si="56"/>
        <v>243400.20383076099</v>
      </c>
      <c r="G52" s="475">
        <v>254643</v>
      </c>
      <c r="H52" s="25"/>
      <c r="I52" s="25"/>
      <c r="J52" s="25"/>
      <c r="K52" s="10">
        <f t="shared" si="46"/>
        <v>62460</v>
      </c>
      <c r="L52" s="26">
        <f t="shared" si="47"/>
        <v>3.1405691814863447E-2</v>
      </c>
      <c r="M52" s="10">
        <f t="shared" si="48"/>
        <v>67882</v>
      </c>
      <c r="N52" s="26">
        <f t="shared" si="49"/>
        <v>3.1440509065573781E-2</v>
      </c>
      <c r="O52" s="29">
        <f t="shared" si="50"/>
        <v>3.1423100440218614E-2</v>
      </c>
      <c r="P52" s="15">
        <f t="shared" si="51"/>
        <v>62460</v>
      </c>
      <c r="Q52" s="16">
        <f t="shared" si="52"/>
        <v>3.1405691814863447E-2</v>
      </c>
      <c r="R52" s="15">
        <f t="shared" si="53"/>
        <v>67882</v>
      </c>
      <c r="S52" s="16">
        <f t="shared" si="54"/>
        <v>3.1440509065573781E-2</v>
      </c>
      <c r="T52" s="17">
        <f t="shared" si="55"/>
        <v>3.1405691814863447E-2</v>
      </c>
      <c r="U52" s="18"/>
      <c r="V52">
        <v>27650</v>
      </c>
      <c r="W52">
        <f t="shared" ref="W52:W72" si="58">W51+V52</f>
        <v>133247</v>
      </c>
    </row>
    <row r="53" spans="1:23">
      <c r="A53" s="138"/>
      <c r="B53" s="10">
        <f t="shared" si="45"/>
        <v>20724.22613215819</v>
      </c>
      <c r="C53" s="5">
        <f t="shared" si="57"/>
        <v>4</v>
      </c>
      <c r="D53" s="10">
        <v>257194</v>
      </c>
      <c r="E53" s="10">
        <v>284926</v>
      </c>
      <c r="F53" s="10">
        <f t="shared" si="56"/>
        <v>310805.77386784181</v>
      </c>
      <c r="G53" s="475">
        <v>331530</v>
      </c>
      <c r="H53" s="25"/>
      <c r="I53" s="25"/>
      <c r="J53" s="25"/>
      <c r="K53" s="10">
        <f t="shared" si="46"/>
        <v>63916</v>
      </c>
      <c r="L53" s="26">
        <f t="shared" si="47"/>
        <v>3.2137787352526606E-2</v>
      </c>
      <c r="M53" s="10">
        <f t="shared" si="48"/>
        <v>70636</v>
      </c>
      <c r="N53" s="26">
        <f t="shared" si="49"/>
        <v>3.2716063144218932E-2</v>
      </c>
      <c r="O53" s="29">
        <f t="shared" si="50"/>
        <v>3.2426925248372769E-2</v>
      </c>
      <c r="P53" s="15">
        <f t="shared" si="51"/>
        <v>63916</v>
      </c>
      <c r="Q53" s="16">
        <f t="shared" si="52"/>
        <v>3.2137787352526606E-2</v>
      </c>
      <c r="R53" s="15">
        <f t="shared" si="53"/>
        <v>70636</v>
      </c>
      <c r="S53" s="16">
        <f t="shared" si="54"/>
        <v>3.2716063144218932E-2</v>
      </c>
      <c r="T53" s="17">
        <f t="shared" si="55"/>
        <v>3.2137787352526606E-2</v>
      </c>
      <c r="U53" s="18"/>
      <c r="V53">
        <v>23444</v>
      </c>
      <c r="W53">
        <f t="shared" si="58"/>
        <v>156691</v>
      </c>
    </row>
    <row r="54" spans="1:23">
      <c r="A54" s="138"/>
      <c r="B54" s="10">
        <f t="shared" si="45"/>
        <v>31342.353791502246</v>
      </c>
      <c r="C54" s="5">
        <f t="shared" si="57"/>
        <v>5</v>
      </c>
      <c r="D54" s="10">
        <v>318826</v>
      </c>
      <c r="E54" s="10">
        <v>348498</v>
      </c>
      <c r="F54" s="10">
        <f t="shared" si="56"/>
        <v>375802.64620849775</v>
      </c>
      <c r="G54" s="475">
        <v>407145</v>
      </c>
      <c r="H54" s="25"/>
      <c r="I54" s="25"/>
      <c r="J54" s="25"/>
      <c r="K54" s="10">
        <f t="shared" ref="K54:K67" si="59">+D54-D53</f>
        <v>61632</v>
      </c>
      <c r="L54" s="26">
        <f t="shared" si="47"/>
        <v>3.0989362759104445E-2</v>
      </c>
      <c r="M54" s="10">
        <f t="shared" ref="M54:M67" si="60">+E54-E53</f>
        <v>63572</v>
      </c>
      <c r="N54" s="26">
        <f t="shared" si="49"/>
        <v>2.9444271564135649E-2</v>
      </c>
      <c r="O54" s="29">
        <f t="shared" ref="O54:O67" si="61">+AVERAGE(L54,N54)</f>
        <v>3.0216817161620047E-2</v>
      </c>
      <c r="P54" s="15">
        <f t="shared" ref="P54:P67" si="62">+D54-D53</f>
        <v>61632</v>
      </c>
      <c r="Q54" s="16">
        <f t="shared" si="52"/>
        <v>3.0989362759104445E-2</v>
      </c>
      <c r="R54" s="15">
        <f t="shared" ref="R54:R67" si="63">+E54-E53</f>
        <v>63572</v>
      </c>
      <c r="S54" s="16">
        <f t="shared" si="54"/>
        <v>2.9444271564135649E-2</v>
      </c>
      <c r="T54" s="17">
        <f t="shared" si="55"/>
        <v>3.0989362759104445E-2</v>
      </c>
      <c r="U54" s="18"/>
      <c r="V54">
        <v>19688</v>
      </c>
      <c r="W54">
        <f t="shared" si="58"/>
        <v>176379</v>
      </c>
    </row>
    <row r="55" spans="1:23">
      <c r="A55" s="138"/>
      <c r="B55" s="10">
        <f t="shared" si="45"/>
        <v>52045.769389502646</v>
      </c>
      <c r="C55" s="5">
        <f t="shared" si="57"/>
        <v>6</v>
      </c>
      <c r="D55" s="10">
        <v>375141</v>
      </c>
      <c r="E55" s="10">
        <v>415741</v>
      </c>
      <c r="F55" s="10">
        <f t="shared" si="56"/>
        <v>435192.23061049735</v>
      </c>
      <c r="G55" s="475">
        <v>487238</v>
      </c>
      <c r="H55" s="25"/>
      <c r="I55" s="25"/>
      <c r="J55" s="25"/>
      <c r="K55" s="10">
        <f t="shared" si="59"/>
        <v>56315</v>
      </c>
      <c r="L55" s="26">
        <f t="shared" si="47"/>
        <v>2.8315906733173787E-2</v>
      </c>
      <c r="M55" s="10">
        <f t="shared" si="60"/>
        <v>67243</v>
      </c>
      <c r="N55" s="26">
        <f t="shared" si="49"/>
        <v>3.1144547171509052E-2</v>
      </c>
      <c r="O55" s="29">
        <f t="shared" si="61"/>
        <v>2.9730226952341419E-2</v>
      </c>
      <c r="P55" s="15">
        <f t="shared" si="62"/>
        <v>56315</v>
      </c>
      <c r="Q55" s="16">
        <f t="shared" si="52"/>
        <v>2.8315906733173787E-2</v>
      </c>
      <c r="R55" s="15">
        <f t="shared" si="63"/>
        <v>67243</v>
      </c>
      <c r="S55" s="16">
        <f t="shared" si="54"/>
        <v>3.1144547171509052E-2</v>
      </c>
      <c r="T55" s="17">
        <f t="shared" si="55"/>
        <v>2.8315906733173787E-2</v>
      </c>
      <c r="U55" s="18"/>
      <c r="V55">
        <v>18252</v>
      </c>
      <c r="W55">
        <f t="shared" si="58"/>
        <v>194631</v>
      </c>
    </row>
    <row r="56" spans="1:23">
      <c r="A56" s="138"/>
      <c r="B56" s="10">
        <f t="shared" si="45"/>
        <v>67145.381781496748</v>
      </c>
      <c r="C56" s="5">
        <f t="shared" si="57"/>
        <v>7</v>
      </c>
      <c r="D56" s="10">
        <v>436178</v>
      </c>
      <c r="E56" s="10">
        <v>480773</v>
      </c>
      <c r="F56" s="10">
        <f t="shared" si="56"/>
        <v>499561.61821850325</v>
      </c>
      <c r="G56" s="475">
        <v>566707</v>
      </c>
      <c r="H56" s="25"/>
      <c r="I56" s="25"/>
      <c r="J56" s="25"/>
      <c r="K56" s="10">
        <f t="shared" si="59"/>
        <v>61037</v>
      </c>
      <c r="L56" s="26">
        <f t="shared" si="47"/>
        <v>3.0690189101886329E-2</v>
      </c>
      <c r="M56" s="10">
        <f t="shared" si="60"/>
        <v>65032</v>
      </c>
      <c r="N56" s="26">
        <f t="shared" si="49"/>
        <v>3.0120491228195899E-2</v>
      </c>
      <c r="O56" s="29">
        <f t="shared" si="61"/>
        <v>3.0405340165041116E-2</v>
      </c>
      <c r="P56" s="15">
        <f t="shared" si="62"/>
        <v>61037</v>
      </c>
      <c r="Q56" s="16">
        <f t="shared" si="52"/>
        <v>3.0690189101886329E-2</v>
      </c>
      <c r="R56" s="15">
        <f t="shared" si="63"/>
        <v>65032</v>
      </c>
      <c r="S56" s="16">
        <f t="shared" si="54"/>
        <v>3.0120491228195899E-2</v>
      </c>
      <c r="T56" s="17">
        <f t="shared" si="55"/>
        <v>3.0690189101886329E-2</v>
      </c>
      <c r="U56" s="18"/>
      <c r="V56">
        <v>15985</v>
      </c>
      <c r="W56">
        <f t="shared" si="58"/>
        <v>210616</v>
      </c>
    </row>
    <row r="57" spans="1:23">
      <c r="A57" s="138"/>
      <c r="B57" s="10">
        <f t="shared" si="45"/>
        <v>72890.889349866891</v>
      </c>
      <c r="C57" s="5">
        <f t="shared" si="57"/>
        <v>8</v>
      </c>
      <c r="D57" s="10">
        <v>498206</v>
      </c>
      <c r="E57" s="10">
        <v>547257</v>
      </c>
      <c r="F57" s="10">
        <f t="shared" si="56"/>
        <v>564976.11065013311</v>
      </c>
      <c r="G57" s="475">
        <v>637867</v>
      </c>
      <c r="H57" s="25"/>
      <c r="I57" s="25"/>
      <c r="J57" s="25"/>
      <c r="K57" s="10">
        <f t="shared" si="59"/>
        <v>62028</v>
      </c>
      <c r="L57" s="26">
        <f t="shared" si="47"/>
        <v>3.118847665533701E-2</v>
      </c>
      <c r="M57" s="10">
        <f t="shared" si="60"/>
        <v>66484</v>
      </c>
      <c r="N57" s="26">
        <f t="shared" si="49"/>
        <v>3.0793005579028417E-2</v>
      </c>
      <c r="O57" s="29">
        <f t="shared" si="61"/>
        <v>3.0990741117182714E-2</v>
      </c>
      <c r="P57" s="15">
        <f t="shared" si="62"/>
        <v>62028</v>
      </c>
      <c r="Q57" s="16">
        <f t="shared" si="52"/>
        <v>3.118847665533701E-2</v>
      </c>
      <c r="R57" s="15">
        <f t="shared" si="63"/>
        <v>66484</v>
      </c>
      <c r="S57" s="16">
        <f t="shared" si="54"/>
        <v>3.0793005579028417E-2</v>
      </c>
      <c r="T57" s="17">
        <f t="shared" si="55"/>
        <v>3.118847665533701E-2</v>
      </c>
      <c r="U57" s="18"/>
      <c r="V57">
        <v>13265</v>
      </c>
      <c r="W57">
        <f t="shared" si="58"/>
        <v>223881</v>
      </c>
    </row>
    <row r="58" spans="1:23">
      <c r="A58" s="138"/>
      <c r="B58" s="10">
        <f t="shared" si="45"/>
        <v>77891.643207124784</v>
      </c>
      <c r="C58" s="5">
        <f t="shared" si="57"/>
        <v>9</v>
      </c>
      <c r="D58" s="10">
        <v>559680</v>
      </c>
      <c r="E58" s="10">
        <v>612586</v>
      </c>
      <c r="F58" s="10">
        <f t="shared" si="56"/>
        <v>629806.35679287522</v>
      </c>
      <c r="G58" s="475">
        <v>707698</v>
      </c>
      <c r="H58" s="25"/>
      <c r="I58" s="25"/>
      <c r="J58" s="25"/>
      <c r="K58" s="10">
        <f t="shared" si="59"/>
        <v>61474</v>
      </c>
      <c r="L58" s="26">
        <f t="shared" si="47"/>
        <v>3.090991832575913E-2</v>
      </c>
      <c r="M58" s="10">
        <f t="shared" si="60"/>
        <v>65329</v>
      </c>
      <c r="N58" s="26">
        <f t="shared" si="49"/>
        <v>3.0258050981775277E-2</v>
      </c>
      <c r="O58" s="29">
        <f t="shared" si="61"/>
        <v>3.0583984653767202E-2</v>
      </c>
      <c r="P58" s="15">
        <f t="shared" si="62"/>
        <v>61474</v>
      </c>
      <c r="Q58" s="16">
        <f t="shared" si="52"/>
        <v>3.090991832575913E-2</v>
      </c>
      <c r="R58" s="15">
        <f t="shared" si="63"/>
        <v>65329</v>
      </c>
      <c r="S58" s="16">
        <f t="shared" si="54"/>
        <v>3.0258050981775277E-2</v>
      </c>
      <c r="T58" s="17">
        <f t="shared" ref="T58:T68" si="64">+Q58</f>
        <v>3.090991832575913E-2</v>
      </c>
      <c r="U58" s="18"/>
      <c r="V58">
        <v>12601</v>
      </c>
      <c r="W58">
        <f t="shared" si="58"/>
        <v>236482</v>
      </c>
    </row>
    <row r="59" spans="1:23">
      <c r="A59" s="138"/>
      <c r="B59" s="10">
        <f t="shared" si="45"/>
        <v>88932.219690019847</v>
      </c>
      <c r="C59" s="5">
        <f t="shared" si="57"/>
        <v>10</v>
      </c>
      <c r="D59" s="10">
        <v>623575</v>
      </c>
      <c r="E59" s="10">
        <v>685833</v>
      </c>
      <c r="F59" s="10">
        <f t="shared" si="56"/>
        <v>697189.78030998015</v>
      </c>
      <c r="G59" s="475">
        <v>786122</v>
      </c>
      <c r="H59" s="25"/>
      <c r="I59" s="25"/>
      <c r="J59" s="25"/>
      <c r="K59" s="10">
        <f t="shared" si="59"/>
        <v>63895</v>
      </c>
      <c r="L59" s="26">
        <f t="shared" si="47"/>
        <v>3.2127228282271852E-2</v>
      </c>
      <c r="M59" s="10">
        <f t="shared" si="60"/>
        <v>73247</v>
      </c>
      <c r="N59" s="26">
        <f t="shared" si="49"/>
        <v>3.3925384748918451E-2</v>
      </c>
      <c r="O59" s="29">
        <f t="shared" si="61"/>
        <v>3.3026306515595155E-2</v>
      </c>
      <c r="P59" s="15">
        <f t="shared" si="62"/>
        <v>63895</v>
      </c>
      <c r="Q59" s="16">
        <f t="shared" si="52"/>
        <v>3.2127228282271852E-2</v>
      </c>
      <c r="R59" s="15">
        <f t="shared" si="63"/>
        <v>73247</v>
      </c>
      <c r="S59" s="16">
        <f t="shared" si="54"/>
        <v>3.3925384748918451E-2</v>
      </c>
      <c r="T59" s="17">
        <f t="shared" si="64"/>
        <v>3.2127228282271852E-2</v>
      </c>
      <c r="U59" s="18"/>
      <c r="V59">
        <v>13159</v>
      </c>
      <c r="W59">
        <f t="shared" si="58"/>
        <v>249641</v>
      </c>
    </row>
    <row r="60" spans="1:23">
      <c r="A60" s="138"/>
      <c r="B60" s="10">
        <f t="shared" si="45"/>
        <v>92301.328022899455</v>
      </c>
      <c r="C60" s="5">
        <f t="shared" si="57"/>
        <v>11</v>
      </c>
      <c r="D60" s="10">
        <v>689530</v>
      </c>
      <c r="E60" s="10">
        <v>759842</v>
      </c>
      <c r="F60" s="10">
        <f t="shared" si="56"/>
        <v>766745.67197710054</v>
      </c>
      <c r="G60" s="475">
        <v>859047</v>
      </c>
      <c r="H60" s="25"/>
      <c r="I60" s="25"/>
      <c r="J60" s="25"/>
      <c r="K60" s="10">
        <f t="shared" si="59"/>
        <v>65955</v>
      </c>
      <c r="L60" s="26">
        <f t="shared" si="47"/>
        <v>3.3163022792976601E-2</v>
      </c>
      <c r="M60" s="10">
        <f t="shared" si="60"/>
        <v>74009</v>
      </c>
      <c r="N60" s="26">
        <f t="shared" si="49"/>
        <v>3.4278315833859485E-2</v>
      </c>
      <c r="O60" s="29">
        <f t="shared" si="61"/>
        <v>3.3720669313418043E-2</v>
      </c>
      <c r="P60" s="15">
        <f t="shared" si="62"/>
        <v>65955</v>
      </c>
      <c r="Q60" s="16">
        <f t="shared" si="52"/>
        <v>3.3163022792976601E-2</v>
      </c>
      <c r="R60" s="15">
        <f t="shared" si="63"/>
        <v>74009</v>
      </c>
      <c r="S60" s="16">
        <f t="shared" si="54"/>
        <v>3.4278315833859485E-2</v>
      </c>
      <c r="T60" s="17">
        <f t="shared" si="64"/>
        <v>3.3163022792976601E-2</v>
      </c>
      <c r="U60" s="18"/>
      <c r="V60">
        <v>10575</v>
      </c>
      <c r="W60">
        <f t="shared" si="58"/>
        <v>260216</v>
      </c>
    </row>
    <row r="61" spans="1:23">
      <c r="A61" s="138"/>
      <c r="B61" s="10">
        <f t="shared" si="45"/>
        <v>98741.729921844788</v>
      </c>
      <c r="C61" s="5">
        <f t="shared" si="57"/>
        <v>12</v>
      </c>
      <c r="D61" s="10">
        <v>755791</v>
      </c>
      <c r="E61" s="10">
        <v>825789</v>
      </c>
      <c r="F61" s="10">
        <f t="shared" si="56"/>
        <v>836624.27007815521</v>
      </c>
      <c r="G61" s="475">
        <v>935366</v>
      </c>
      <c r="H61" s="25"/>
      <c r="I61" s="25"/>
      <c r="J61" s="25"/>
      <c r="K61" s="10">
        <f t="shared" si="59"/>
        <v>66261</v>
      </c>
      <c r="L61" s="26">
        <f t="shared" si="47"/>
        <v>3.3316883530974492E-2</v>
      </c>
      <c r="M61" s="10">
        <f t="shared" si="60"/>
        <v>65947</v>
      </c>
      <c r="N61" s="26">
        <f t="shared" si="49"/>
        <v>3.0544286428617218E-2</v>
      </c>
      <c r="O61" s="29">
        <f t="shared" si="61"/>
        <v>3.1930584979795854E-2</v>
      </c>
      <c r="P61" s="15">
        <f t="shared" si="62"/>
        <v>66261</v>
      </c>
      <c r="Q61" s="16">
        <f t="shared" si="52"/>
        <v>3.3316883530974492E-2</v>
      </c>
      <c r="R61" s="15">
        <f t="shared" si="63"/>
        <v>65947</v>
      </c>
      <c r="S61" s="16">
        <f t="shared" si="54"/>
        <v>3.0544286428617218E-2</v>
      </c>
      <c r="T61" s="17">
        <f t="shared" si="64"/>
        <v>3.3316883530974492E-2</v>
      </c>
      <c r="U61" s="18"/>
      <c r="V61">
        <v>10652</v>
      </c>
      <c r="W61">
        <f t="shared" si="58"/>
        <v>270868</v>
      </c>
    </row>
    <row r="62" spans="1:23">
      <c r="A62" s="138"/>
      <c r="B62" s="10">
        <f t="shared" si="45"/>
        <v>113826.83436550037</v>
      </c>
      <c r="C62" s="5">
        <f t="shared" si="57"/>
        <v>13</v>
      </c>
      <c r="D62" s="10">
        <v>815372</v>
      </c>
      <c r="E62" s="10">
        <v>895492</v>
      </c>
      <c r="F62" s="10">
        <f t="shared" si="56"/>
        <v>899458.16563449963</v>
      </c>
      <c r="G62" s="475">
        <v>1013285</v>
      </c>
      <c r="H62" s="25"/>
      <c r="I62" s="25"/>
      <c r="J62" s="25"/>
      <c r="K62" s="10">
        <f t="shared" si="59"/>
        <v>59581</v>
      </c>
      <c r="L62" s="26">
        <f t="shared" si="47"/>
        <v>2.9958093564223163E-2</v>
      </c>
      <c r="M62" s="10">
        <f t="shared" si="60"/>
        <v>69703</v>
      </c>
      <c r="N62" s="26">
        <f t="shared" si="49"/>
        <v>3.2283930989035224E-2</v>
      </c>
      <c r="O62" s="29">
        <f t="shared" si="61"/>
        <v>3.1121012276629195E-2</v>
      </c>
      <c r="P62" s="15">
        <f t="shared" si="62"/>
        <v>59581</v>
      </c>
      <c r="Q62" s="16">
        <f t="shared" si="52"/>
        <v>2.9958093564223163E-2</v>
      </c>
      <c r="R62" s="15">
        <f t="shared" si="63"/>
        <v>69703</v>
      </c>
      <c r="S62" s="16">
        <f t="shared" si="54"/>
        <v>3.2283930989035224E-2</v>
      </c>
      <c r="T62" s="17">
        <f t="shared" si="64"/>
        <v>2.9958093564223163E-2</v>
      </c>
      <c r="U62" s="18"/>
      <c r="V62">
        <v>9660</v>
      </c>
      <c r="W62">
        <f t="shared" si="58"/>
        <v>280528</v>
      </c>
    </row>
    <row r="63" spans="1:23">
      <c r="A63" s="138"/>
      <c r="B63" s="10">
        <f t="shared" si="45"/>
        <v>124568.80786617007</v>
      </c>
      <c r="C63" s="5">
        <f t="shared" si="57"/>
        <v>14</v>
      </c>
      <c r="D63" s="10">
        <v>881476</v>
      </c>
      <c r="E63" s="10">
        <v>964404</v>
      </c>
      <c r="F63" s="10">
        <f t="shared" si="56"/>
        <v>969171.19213382993</v>
      </c>
      <c r="G63" s="475">
        <v>1093740</v>
      </c>
      <c r="H63" s="25"/>
      <c r="I63" s="25"/>
      <c r="J63" s="25"/>
      <c r="K63" s="10">
        <f t="shared" si="59"/>
        <v>66104</v>
      </c>
      <c r="L63" s="26">
        <f t="shared" si="47"/>
        <v>3.3237941910498447E-2</v>
      </c>
      <c r="M63" s="10">
        <f t="shared" si="60"/>
        <v>68912</v>
      </c>
      <c r="N63" s="26">
        <f t="shared" si="49"/>
        <v>3.1917568143643681E-2</v>
      </c>
      <c r="O63" s="29">
        <f t="shared" si="61"/>
        <v>3.2577755027071068E-2</v>
      </c>
      <c r="P63" s="15">
        <f t="shared" si="62"/>
        <v>66104</v>
      </c>
      <c r="Q63" s="16">
        <f t="shared" si="52"/>
        <v>3.3237941910498447E-2</v>
      </c>
      <c r="R63" s="15">
        <f t="shared" si="63"/>
        <v>68912</v>
      </c>
      <c r="S63" s="16">
        <f t="shared" si="54"/>
        <v>3.1917568143643681E-2</v>
      </c>
      <c r="T63" s="17">
        <f t="shared" si="64"/>
        <v>3.3237941910498447E-2</v>
      </c>
      <c r="U63" s="18"/>
      <c r="V63">
        <v>9576</v>
      </c>
      <c r="W63">
        <f t="shared" si="58"/>
        <v>290104</v>
      </c>
    </row>
    <row r="64" spans="1:23">
      <c r="A64" s="138"/>
      <c r="B64" s="10">
        <f t="shared" si="45"/>
        <v>123163.72071029374</v>
      </c>
      <c r="C64" s="5">
        <f t="shared" si="57"/>
        <v>15</v>
      </c>
      <c r="D64" s="10">
        <v>953076</v>
      </c>
      <c r="E64" s="10">
        <v>1036311</v>
      </c>
      <c r="F64" s="10">
        <f t="shared" si="56"/>
        <v>1044680.2792897063</v>
      </c>
      <c r="G64" s="475">
        <v>1167844</v>
      </c>
      <c r="H64" s="25"/>
      <c r="I64" s="25"/>
      <c r="J64" s="25"/>
      <c r="K64" s="10">
        <f t="shared" si="59"/>
        <v>71600</v>
      </c>
      <c r="L64" s="26">
        <f t="shared" si="47"/>
        <v>3.6001401440029182E-2</v>
      </c>
      <c r="M64" s="10">
        <f t="shared" si="60"/>
        <v>71907</v>
      </c>
      <c r="N64" s="26">
        <f t="shared" si="49"/>
        <v>3.3304744783274116E-2</v>
      </c>
      <c r="O64" s="29">
        <f t="shared" si="61"/>
        <v>3.4653073111651653E-2</v>
      </c>
      <c r="P64" s="15">
        <f t="shared" si="62"/>
        <v>71600</v>
      </c>
      <c r="Q64" s="16">
        <f t="shared" si="52"/>
        <v>3.6001401440029182E-2</v>
      </c>
      <c r="R64" s="15">
        <f t="shared" si="63"/>
        <v>71907</v>
      </c>
      <c r="S64" s="16">
        <f t="shared" si="54"/>
        <v>3.3304744783274116E-2</v>
      </c>
      <c r="T64" s="17">
        <f t="shared" si="64"/>
        <v>3.6001401440029182E-2</v>
      </c>
      <c r="U64" s="18"/>
      <c r="V64">
        <v>8474</v>
      </c>
      <c r="W64">
        <f t="shared" si="58"/>
        <v>298578</v>
      </c>
    </row>
    <row r="65" spans="1:23">
      <c r="A65" s="138"/>
      <c r="B65" s="10">
        <f t="shared" si="45"/>
        <v>132709.90980530786</v>
      </c>
      <c r="C65" s="5">
        <f t="shared" si="57"/>
        <v>16</v>
      </c>
      <c r="D65" s="10">
        <v>1019231</v>
      </c>
      <c r="E65" s="10">
        <v>1110143</v>
      </c>
      <c r="F65" s="10">
        <f t="shared" si="56"/>
        <v>1114447.0901946921</v>
      </c>
      <c r="G65" s="475">
        <v>1247157</v>
      </c>
      <c r="H65" s="25"/>
      <c r="I65" s="25"/>
      <c r="J65" s="25"/>
      <c r="K65" s="10">
        <f t="shared" si="59"/>
        <v>66155</v>
      </c>
      <c r="L65" s="26">
        <f t="shared" si="47"/>
        <v>3.3263585366831432E-2</v>
      </c>
      <c r="M65" s="10">
        <f t="shared" si="60"/>
        <v>73832</v>
      </c>
      <c r="N65" s="26">
        <f t="shared" si="49"/>
        <v>3.4196335778696019E-2</v>
      </c>
      <c r="O65" s="29">
        <f t="shared" si="61"/>
        <v>3.3729960572763729E-2</v>
      </c>
      <c r="P65" s="15">
        <f t="shared" si="62"/>
        <v>66155</v>
      </c>
      <c r="Q65" s="16">
        <f t="shared" si="52"/>
        <v>3.3263585366831432E-2</v>
      </c>
      <c r="R65" s="15">
        <f t="shared" si="63"/>
        <v>73832</v>
      </c>
      <c r="S65" s="16">
        <f t="shared" si="54"/>
        <v>3.4196335778696019E-2</v>
      </c>
      <c r="T65" s="17">
        <f t="shared" si="64"/>
        <v>3.3263585366831432E-2</v>
      </c>
      <c r="U65" s="18"/>
      <c r="V65">
        <v>9699</v>
      </c>
      <c r="W65">
        <f t="shared" si="58"/>
        <v>308277</v>
      </c>
    </row>
    <row r="66" spans="1:23">
      <c r="A66" s="138"/>
      <c r="B66" s="10">
        <f t="shared" si="45"/>
        <v>139368.94769190415</v>
      </c>
      <c r="C66" s="5">
        <f t="shared" si="57"/>
        <v>17</v>
      </c>
      <c r="D66" s="10">
        <v>1088008</v>
      </c>
      <c r="E66" s="10">
        <v>1188888</v>
      </c>
      <c r="F66" s="10">
        <f t="shared" si="56"/>
        <v>1186979.0523080959</v>
      </c>
      <c r="G66" s="475">
        <v>1326348</v>
      </c>
      <c r="H66" s="25"/>
      <c r="I66" s="25"/>
      <c r="J66" s="25"/>
      <c r="K66" s="10">
        <f t="shared" si="59"/>
        <v>68777</v>
      </c>
      <c r="L66" s="26">
        <f t="shared" si="47"/>
        <v>3.4581960710068256E-2</v>
      </c>
      <c r="M66" s="10">
        <f t="shared" si="60"/>
        <v>78745</v>
      </c>
      <c r="N66" s="26">
        <f t="shared" si="49"/>
        <v>3.6471861264674096E-2</v>
      </c>
      <c r="O66" s="29">
        <f t="shared" si="61"/>
        <v>3.552691098737118E-2</v>
      </c>
      <c r="P66" s="15">
        <f t="shared" si="62"/>
        <v>68777</v>
      </c>
      <c r="Q66" s="16">
        <f t="shared" si="52"/>
        <v>3.4581960710068256E-2</v>
      </c>
      <c r="R66" s="15">
        <f t="shared" si="63"/>
        <v>78745</v>
      </c>
      <c r="S66" s="16">
        <f t="shared" si="54"/>
        <v>3.6471861264674096E-2</v>
      </c>
      <c r="T66" s="17">
        <f t="shared" si="64"/>
        <v>3.4581960710068256E-2</v>
      </c>
      <c r="U66" s="18"/>
      <c r="V66">
        <v>9151</v>
      </c>
      <c r="W66">
        <f t="shared" si="58"/>
        <v>317428</v>
      </c>
    </row>
    <row r="67" spans="1:23">
      <c r="A67" s="23"/>
      <c r="B67" s="10">
        <f t="shared" si="45"/>
        <v>146356.40350108128</v>
      </c>
      <c r="C67" s="5">
        <f t="shared" si="57"/>
        <v>18</v>
      </c>
      <c r="D67" s="10">
        <v>1155715</v>
      </c>
      <c r="E67" s="10">
        <v>1263792</v>
      </c>
      <c r="F67" s="10">
        <f t="shared" si="56"/>
        <v>1258382.5964989187</v>
      </c>
      <c r="G67" s="475">
        <v>1404739</v>
      </c>
      <c r="H67" s="25"/>
      <c r="I67" s="25"/>
      <c r="J67" s="25"/>
      <c r="K67" s="10">
        <f t="shared" si="59"/>
        <v>67707</v>
      </c>
      <c r="L67" s="26">
        <f t="shared" si="47"/>
        <v>3.404395093994491E-2</v>
      </c>
      <c r="M67" s="10">
        <f t="shared" si="60"/>
        <v>74904</v>
      </c>
      <c r="N67" s="26">
        <f t="shared" si="49"/>
        <v>3.4692847751211488E-2</v>
      </c>
      <c r="O67" s="29">
        <f t="shared" si="61"/>
        <v>3.4368399345578199E-2</v>
      </c>
      <c r="P67" s="15">
        <f t="shared" si="62"/>
        <v>67707</v>
      </c>
      <c r="Q67" s="16">
        <f t="shared" si="52"/>
        <v>3.404395093994491E-2</v>
      </c>
      <c r="R67" s="15">
        <f t="shared" si="63"/>
        <v>74904</v>
      </c>
      <c r="S67" s="16">
        <f t="shared" si="54"/>
        <v>3.4692847751211488E-2</v>
      </c>
      <c r="T67" s="17">
        <f t="shared" si="64"/>
        <v>3.404395093994491E-2</v>
      </c>
      <c r="U67" s="18"/>
      <c r="V67">
        <v>8036</v>
      </c>
      <c r="W67">
        <f t="shared" si="58"/>
        <v>325464</v>
      </c>
    </row>
    <row r="68" spans="1:23">
      <c r="A68" s="23"/>
      <c r="B68" s="10">
        <f t="shared" ref="B68:B80" si="65">+G68-F68</f>
        <v>162282.64682601439</v>
      </c>
      <c r="C68" s="5">
        <f t="shared" si="57"/>
        <v>19</v>
      </c>
      <c r="D68" s="10">
        <v>1219726</v>
      </c>
      <c r="E68" s="10">
        <v>1328532</v>
      </c>
      <c r="F68" s="10">
        <f t="shared" si="56"/>
        <v>1325888.3531739856</v>
      </c>
      <c r="G68" s="475">
        <v>1488171</v>
      </c>
      <c r="H68" s="25"/>
      <c r="I68" s="25"/>
      <c r="J68" s="25"/>
      <c r="K68" s="10">
        <f t="shared" ref="K68:K75" si="66">+D68-D67</f>
        <v>64011</v>
      </c>
      <c r="L68" s="26">
        <f t="shared" si="47"/>
        <v>3.2185554575107654E-2</v>
      </c>
      <c r="M68" s="10">
        <f t="shared" ref="M68:M75" si="67">+E68-E67</f>
        <v>64740</v>
      </c>
      <c r="N68" s="26">
        <f t="shared" si="49"/>
        <v>2.9985247295383849E-2</v>
      </c>
      <c r="O68" s="29">
        <f t="shared" ref="O68:O75" si="68">+AVERAGE(L68,N68)</f>
        <v>3.1085400935245752E-2</v>
      </c>
      <c r="P68" s="15">
        <f t="shared" ref="P68:P75" si="69">+D68-D67</f>
        <v>64011</v>
      </c>
      <c r="Q68" s="16">
        <f t="shared" si="52"/>
        <v>3.2185554575107654E-2</v>
      </c>
      <c r="R68" s="15">
        <f t="shared" ref="R68:R75" si="70">+E68-E67</f>
        <v>64740</v>
      </c>
      <c r="S68" s="16">
        <f t="shared" si="54"/>
        <v>2.9985247295383849E-2</v>
      </c>
      <c r="T68" s="17">
        <f t="shared" si="64"/>
        <v>3.2185554575107654E-2</v>
      </c>
      <c r="U68" s="18"/>
      <c r="V68">
        <v>8699</v>
      </c>
      <c r="W68">
        <f t="shared" si="58"/>
        <v>334163</v>
      </c>
    </row>
    <row r="69" spans="1:23">
      <c r="A69" s="23"/>
      <c r="B69" s="10">
        <f t="shared" si="65"/>
        <v>185017.64413516363</v>
      </c>
      <c r="C69" s="5">
        <f t="shared" si="57"/>
        <v>20</v>
      </c>
      <c r="D69" s="10">
        <v>1274968</v>
      </c>
      <c r="E69" s="10">
        <v>1399550</v>
      </c>
      <c r="F69" s="10">
        <f t="shared" si="56"/>
        <v>1384146.3558648364</v>
      </c>
      <c r="G69" s="475">
        <v>1569164</v>
      </c>
      <c r="H69" s="25"/>
      <c r="I69" s="25"/>
      <c r="J69" s="25"/>
      <c r="K69" s="10">
        <f t="shared" si="66"/>
        <v>55242</v>
      </c>
      <c r="L69" s="26">
        <f t="shared" si="47"/>
        <v>2.7776388524442624E-2</v>
      </c>
      <c r="M69" s="10">
        <f t="shared" si="67"/>
        <v>71018</v>
      </c>
      <c r="N69" s="26">
        <f t="shared" si="49"/>
        <v>3.2892991850842913E-2</v>
      </c>
      <c r="O69" s="29">
        <f t="shared" si="68"/>
        <v>3.0334690187642767E-2</v>
      </c>
      <c r="P69" s="15">
        <f t="shared" si="69"/>
        <v>55242</v>
      </c>
      <c r="Q69" s="16">
        <f t="shared" si="52"/>
        <v>2.7776388524442624E-2</v>
      </c>
      <c r="R69" s="15">
        <f t="shared" si="70"/>
        <v>71018</v>
      </c>
      <c r="S69" s="16">
        <f t="shared" si="54"/>
        <v>3.2892991850842913E-2</v>
      </c>
      <c r="T69" s="17">
        <f t="shared" ref="T69:T75" si="71">+Q69</f>
        <v>2.7776388524442624E-2</v>
      </c>
      <c r="U69" s="18"/>
      <c r="V69">
        <v>7306</v>
      </c>
      <c r="W69">
        <f t="shared" si="58"/>
        <v>341469</v>
      </c>
    </row>
    <row r="70" spans="1:23">
      <c r="A70" s="23"/>
      <c r="B70" s="10">
        <f t="shared" si="65"/>
        <v>194233.20318962308</v>
      </c>
      <c r="C70" s="5">
        <f t="shared" si="57"/>
        <v>21</v>
      </c>
      <c r="D70" s="10">
        <v>1340640</v>
      </c>
      <c r="E70" s="10">
        <v>1469140</v>
      </c>
      <c r="F70" s="10">
        <f t="shared" si="56"/>
        <v>1453403.7968103769</v>
      </c>
      <c r="G70" s="475">
        <v>1647637</v>
      </c>
      <c r="H70" s="25"/>
      <c r="I70" s="25"/>
      <c r="J70" s="25"/>
      <c r="K70" s="10">
        <f t="shared" si="66"/>
        <v>65672</v>
      </c>
      <c r="L70" s="26">
        <f t="shared" si="47"/>
        <v>3.3020726750972014E-2</v>
      </c>
      <c r="M70" s="10">
        <f t="shared" si="67"/>
        <v>69590</v>
      </c>
      <c r="N70" s="26">
        <f t="shared" si="49"/>
        <v>3.2231593439693576E-2</v>
      </c>
      <c r="O70" s="29">
        <f t="shared" si="68"/>
        <v>3.2626160095332798E-2</v>
      </c>
      <c r="P70" s="15">
        <f t="shared" si="69"/>
        <v>65672</v>
      </c>
      <c r="Q70" s="16">
        <f t="shared" si="52"/>
        <v>3.3020726750972014E-2</v>
      </c>
      <c r="R70" s="15">
        <f t="shared" si="70"/>
        <v>69590</v>
      </c>
      <c r="S70" s="16">
        <f t="shared" si="54"/>
        <v>3.2231593439693576E-2</v>
      </c>
      <c r="T70" s="17">
        <f t="shared" si="71"/>
        <v>3.3020726750972014E-2</v>
      </c>
      <c r="U70" s="18"/>
      <c r="V70">
        <v>6694</v>
      </c>
      <c r="W70">
        <f t="shared" si="58"/>
        <v>348163</v>
      </c>
    </row>
    <row r="71" spans="1:23">
      <c r="A71" s="23"/>
      <c r="B71" s="10">
        <f t="shared" si="65"/>
        <v>196380.70959250513</v>
      </c>
      <c r="C71" s="5">
        <f t="shared" si="57"/>
        <v>22</v>
      </c>
      <c r="D71" s="10">
        <v>1409500</v>
      </c>
      <c r="E71" s="10">
        <v>1539743</v>
      </c>
      <c r="F71" s="10">
        <f t="shared" si="56"/>
        <v>1526023.2904074949</v>
      </c>
      <c r="G71" s="475">
        <v>1722404</v>
      </c>
      <c r="H71" s="25"/>
      <c r="I71" s="25"/>
      <c r="J71" s="25"/>
      <c r="K71" s="10">
        <f t="shared" si="66"/>
        <v>68860</v>
      </c>
      <c r="L71" s="26">
        <f t="shared" si="47"/>
        <v>3.4623694178218006E-2</v>
      </c>
      <c r="M71" s="10">
        <f t="shared" si="67"/>
        <v>70603</v>
      </c>
      <c r="N71" s="26">
        <f t="shared" si="49"/>
        <v>3.2700778727154552E-2</v>
      </c>
      <c r="O71" s="29">
        <f t="shared" si="68"/>
        <v>3.3662236452686276E-2</v>
      </c>
      <c r="P71" s="15">
        <f t="shared" si="69"/>
        <v>68860</v>
      </c>
      <c r="Q71" s="16">
        <f t="shared" si="52"/>
        <v>3.4623694178218006E-2</v>
      </c>
      <c r="R71" s="15">
        <f t="shared" si="70"/>
        <v>70603</v>
      </c>
      <c r="S71" s="16">
        <f t="shared" si="54"/>
        <v>3.2700778727154552E-2</v>
      </c>
      <c r="T71" s="17">
        <f t="shared" si="71"/>
        <v>3.4623694178218006E-2</v>
      </c>
      <c r="U71" s="18"/>
      <c r="V71">
        <v>6501</v>
      </c>
      <c r="W71">
        <f t="shared" si="58"/>
        <v>354664</v>
      </c>
    </row>
    <row r="72" spans="1:23">
      <c r="A72" s="23"/>
      <c r="B72" s="10">
        <f t="shared" si="65"/>
        <v>202931.7177902027</v>
      </c>
      <c r="C72" s="5">
        <f t="shared" si="57"/>
        <v>23</v>
      </c>
      <c r="D72" s="10">
        <v>1473845</v>
      </c>
      <c r="E72" s="10">
        <v>1614463</v>
      </c>
      <c r="F72" s="10">
        <f t="shared" si="56"/>
        <v>1593881.2822097973</v>
      </c>
      <c r="G72" s="475">
        <v>1796813</v>
      </c>
      <c r="H72" s="25"/>
      <c r="I72" s="25"/>
      <c r="J72" s="25"/>
      <c r="K72" s="10">
        <f t="shared" si="66"/>
        <v>64345</v>
      </c>
      <c r="L72" s="26">
        <f t="shared" si="47"/>
        <v>3.2353494073445219E-2</v>
      </c>
      <c r="M72" s="10">
        <f t="shared" si="67"/>
        <v>74720</v>
      </c>
      <c r="N72" s="26">
        <f t="shared" si="49"/>
        <v>3.4607625546973761E-2</v>
      </c>
      <c r="O72" s="29">
        <f t="shared" si="68"/>
        <v>3.348055981020949E-2</v>
      </c>
      <c r="P72" s="15">
        <f t="shared" si="69"/>
        <v>64345</v>
      </c>
      <c r="Q72" s="16">
        <f t="shared" si="52"/>
        <v>3.2353494073445219E-2</v>
      </c>
      <c r="R72" s="15">
        <f t="shared" si="70"/>
        <v>74720</v>
      </c>
      <c r="S72" s="16">
        <f t="shared" si="54"/>
        <v>3.4607625546973761E-2</v>
      </c>
      <c r="T72" s="17">
        <f t="shared" si="71"/>
        <v>3.2353494073445219E-2</v>
      </c>
      <c r="U72" s="18"/>
      <c r="V72">
        <v>5377</v>
      </c>
      <c r="W72">
        <f t="shared" si="58"/>
        <v>360041</v>
      </c>
    </row>
    <row r="73" spans="1:23">
      <c r="A73" s="23"/>
      <c r="B73" s="10">
        <f t="shared" si="65"/>
        <v>191664.49001486367</v>
      </c>
      <c r="C73" s="5">
        <f t="shared" si="57"/>
        <v>24</v>
      </c>
      <c r="D73" s="10">
        <v>1541766</v>
      </c>
      <c r="E73" s="10">
        <v>1700935</v>
      </c>
      <c r="F73" s="10">
        <f t="shared" si="56"/>
        <v>1665510.5099851363</v>
      </c>
      <c r="G73" s="475">
        <v>1857175</v>
      </c>
      <c r="H73" s="25"/>
      <c r="I73" s="25"/>
      <c r="J73" s="25"/>
      <c r="K73" s="10">
        <f t="shared" si="66"/>
        <v>67921</v>
      </c>
      <c r="L73" s="26">
        <f t="shared" si="47"/>
        <v>3.4151552893969581E-2</v>
      </c>
      <c r="M73" s="10">
        <f t="shared" si="67"/>
        <v>86472</v>
      </c>
      <c r="N73" s="26">
        <f t="shared" si="49"/>
        <v>4.0050730678505286E-2</v>
      </c>
      <c r="O73" s="29">
        <f t="shared" si="68"/>
        <v>3.7101141786237433E-2</v>
      </c>
      <c r="P73" s="15">
        <f t="shared" si="69"/>
        <v>67921</v>
      </c>
      <c r="Q73" s="16">
        <f t="shared" si="52"/>
        <v>3.4151552893969581E-2</v>
      </c>
      <c r="R73" s="15">
        <f t="shared" si="70"/>
        <v>86472</v>
      </c>
      <c r="S73" s="16">
        <f t="shared" si="54"/>
        <v>4.0050730678505286E-2</v>
      </c>
      <c r="T73" s="17">
        <f t="shared" si="71"/>
        <v>3.4151552893969581E-2</v>
      </c>
      <c r="U73" s="18"/>
    </row>
    <row r="74" spans="1:23">
      <c r="A74" s="23"/>
      <c r="B74" s="10">
        <f t="shared" si="65"/>
        <v>155676.41532587726</v>
      </c>
      <c r="C74" s="5">
        <f t="shared" si="57"/>
        <v>25</v>
      </c>
      <c r="D74" s="10">
        <v>1623513</v>
      </c>
      <c r="E74" s="10">
        <v>1782397</v>
      </c>
      <c r="F74" s="10">
        <f t="shared" si="56"/>
        <v>1751720.5846741227</v>
      </c>
      <c r="G74" s="475">
        <v>1907397</v>
      </c>
      <c r="H74" s="25"/>
      <c r="I74" s="25"/>
      <c r="J74" s="25"/>
      <c r="K74" s="10">
        <f t="shared" si="66"/>
        <v>81747</v>
      </c>
      <c r="L74" s="26">
        <f t="shared" si="47"/>
        <v>4.1103443624553988E-2</v>
      </c>
      <c r="M74" s="10">
        <f t="shared" si="67"/>
        <v>81462</v>
      </c>
      <c r="N74" s="26">
        <f t="shared" si="49"/>
        <v>3.773027826964101E-2</v>
      </c>
      <c r="O74" s="29">
        <f t="shared" si="68"/>
        <v>3.9416860947097496E-2</v>
      </c>
      <c r="P74" s="15">
        <f t="shared" si="69"/>
        <v>81747</v>
      </c>
      <c r="Q74" s="16">
        <f t="shared" si="52"/>
        <v>4.1103443624553988E-2</v>
      </c>
      <c r="R74" s="15">
        <f t="shared" si="70"/>
        <v>81462</v>
      </c>
      <c r="S74" s="16">
        <f t="shared" si="54"/>
        <v>3.773027826964101E-2</v>
      </c>
      <c r="T74" s="17">
        <f t="shared" si="71"/>
        <v>4.1103443624553988E-2</v>
      </c>
      <c r="U74" s="18"/>
    </row>
    <row r="75" spans="1:23">
      <c r="A75" s="23"/>
      <c r="B75" s="10">
        <f t="shared" si="65"/>
        <v>149279.65506117954</v>
      </c>
      <c r="C75" s="5">
        <f t="shared" si="57"/>
        <v>26</v>
      </c>
      <c r="D75" s="10">
        <v>1696554</v>
      </c>
      <c r="E75" s="10">
        <v>1857782</v>
      </c>
      <c r="F75" s="10">
        <f t="shared" si="56"/>
        <v>1828749.3449388205</v>
      </c>
      <c r="G75" s="475">
        <v>1978029</v>
      </c>
      <c r="H75" s="25"/>
      <c r="I75" s="25"/>
      <c r="J75" s="25"/>
      <c r="K75" s="10">
        <f t="shared" si="66"/>
        <v>73041</v>
      </c>
      <c r="L75" s="26">
        <f t="shared" si="47"/>
        <v>3.6725954784653229E-2</v>
      </c>
      <c r="M75" s="10">
        <f t="shared" si="67"/>
        <v>75385</v>
      </c>
      <c r="N75" s="26">
        <f t="shared" si="49"/>
        <v>3.4915629709028596E-2</v>
      </c>
      <c r="O75" s="29">
        <f t="shared" si="68"/>
        <v>3.5820792246840913E-2</v>
      </c>
      <c r="P75" s="15">
        <f t="shared" si="69"/>
        <v>73041</v>
      </c>
      <c r="Q75" s="16">
        <f t="shared" si="52"/>
        <v>3.6725954784653229E-2</v>
      </c>
      <c r="R75" s="15">
        <f t="shared" si="70"/>
        <v>75385</v>
      </c>
      <c r="S75" s="16">
        <f t="shared" si="54"/>
        <v>3.4915629709028596E-2</v>
      </c>
      <c r="T75" s="17">
        <f t="shared" si="71"/>
        <v>3.6725954784653229E-2</v>
      </c>
      <c r="U75" s="18"/>
    </row>
    <row r="76" spans="1:23">
      <c r="A76" s="23"/>
      <c r="B76" s="10">
        <f t="shared" si="65"/>
        <v>149830.78034296422</v>
      </c>
      <c r="C76" s="5">
        <f t="shared" si="57"/>
        <v>27</v>
      </c>
      <c r="D76" s="10">
        <v>1766117</v>
      </c>
      <c r="E76" s="10">
        <v>1932206</v>
      </c>
      <c r="F76" s="10">
        <f t="shared" si="56"/>
        <v>1902110.2196570358</v>
      </c>
      <c r="G76" s="475">
        <v>2051941</v>
      </c>
      <c r="H76" s="25"/>
      <c r="I76" s="25"/>
      <c r="J76" s="25"/>
      <c r="K76" s="10">
        <f t="shared" ref="K76:K79" si="72">+D76-D75</f>
        <v>69563</v>
      </c>
      <c r="L76" s="26">
        <f t="shared" si="47"/>
        <v>3.4977171625317736E-2</v>
      </c>
      <c r="M76" s="10">
        <f t="shared" ref="M76:M79" si="73">+E76-E75</f>
        <v>74424</v>
      </c>
      <c r="N76" s="26">
        <f t="shared" si="49"/>
        <v>3.4470528957547847E-2</v>
      </c>
      <c r="O76" s="29">
        <f t="shared" ref="O76:O80" si="74">+AVERAGE(L76,N76)</f>
        <v>3.4723850291432795E-2</v>
      </c>
      <c r="P76" s="15">
        <f t="shared" ref="P76:P79" si="75">+D76-D75</f>
        <v>69563</v>
      </c>
      <c r="Q76" s="16">
        <f t="shared" si="52"/>
        <v>3.4977171625317736E-2</v>
      </c>
      <c r="R76" s="15">
        <f t="shared" ref="R76:R79" si="76">+E76-E75</f>
        <v>74424</v>
      </c>
      <c r="S76" s="16">
        <f t="shared" ref="S76:S80" si="77">+R76/SUM($R$51:$R$83)</f>
        <v>3.4470528957547847E-2</v>
      </c>
      <c r="T76" s="17">
        <f t="shared" ref="T76:T80" si="78">+Q76</f>
        <v>3.4977171625317736E-2</v>
      </c>
      <c r="U76" s="18"/>
    </row>
    <row r="77" spans="1:23">
      <c r="A77" s="23"/>
      <c r="B77" s="10">
        <f t="shared" si="65"/>
        <v>147779.36840036511</v>
      </c>
      <c r="C77" s="5">
        <f t="shared" si="57"/>
        <v>28</v>
      </c>
      <c r="D77" s="10">
        <v>1837668</v>
      </c>
      <c r="E77" s="10">
        <v>2005722</v>
      </c>
      <c r="F77" s="10">
        <f t="shared" si="56"/>
        <v>1977567.6315996349</v>
      </c>
      <c r="G77" s="379">
        <v>2125347</v>
      </c>
      <c r="H77" s="25">
        <f t="shared" ref="H77:H80" si="79">+E77/D77-1</f>
        <v>9.1449598077563587E-2</v>
      </c>
      <c r="I77" s="25">
        <f t="shared" ref="I77:I80" si="80">+F77/E77-1</f>
        <v>-1.4037024273735432E-2</v>
      </c>
      <c r="J77" s="25">
        <f t="shared" ref="J77:J80" si="81">+G77/E77-1</f>
        <v>5.9641864625306962E-2</v>
      </c>
      <c r="K77" s="10">
        <f t="shared" si="72"/>
        <v>71551</v>
      </c>
      <c r="L77" s="26">
        <f t="shared" si="47"/>
        <v>3.5976763609434748E-2</v>
      </c>
      <c r="M77" s="10">
        <f t="shared" si="73"/>
        <v>73516</v>
      </c>
      <c r="N77" s="26">
        <f t="shared" si="49"/>
        <v>3.4049975906200784E-2</v>
      </c>
      <c r="O77" s="29">
        <f t="shared" si="74"/>
        <v>3.5013369757817769E-2</v>
      </c>
      <c r="P77" s="15">
        <f t="shared" si="75"/>
        <v>71551</v>
      </c>
      <c r="Q77" s="16">
        <f t="shared" si="52"/>
        <v>3.5976763609434748E-2</v>
      </c>
      <c r="R77" s="15">
        <f t="shared" si="76"/>
        <v>73516</v>
      </c>
      <c r="S77" s="16">
        <f t="shared" si="77"/>
        <v>3.4049975906200784E-2</v>
      </c>
      <c r="T77" s="17">
        <f t="shared" si="78"/>
        <v>3.5976763609434748E-2</v>
      </c>
      <c r="U77" s="18"/>
    </row>
    <row r="78" spans="1:23">
      <c r="A78" s="23"/>
      <c r="B78" s="10">
        <f t="shared" si="65"/>
        <v>141442.73907865304</v>
      </c>
      <c r="C78" s="5">
        <f t="shared" si="57"/>
        <v>29</v>
      </c>
      <c r="D78" s="10">
        <v>1904186</v>
      </c>
      <c r="E78" s="10">
        <v>2077199</v>
      </c>
      <c r="F78" s="10">
        <f t="shared" si="56"/>
        <v>2047717.260921347</v>
      </c>
      <c r="G78" s="379">
        <v>2189160</v>
      </c>
      <c r="H78" s="25">
        <f t="shared" si="79"/>
        <v>9.0859296308238857E-2</v>
      </c>
      <c r="I78" s="25">
        <f t="shared" si="80"/>
        <v>-1.4193025838474371E-2</v>
      </c>
      <c r="J78" s="25">
        <f t="shared" si="81"/>
        <v>5.3899987435002572E-2</v>
      </c>
      <c r="K78" s="10">
        <f t="shared" si="72"/>
        <v>66518</v>
      </c>
      <c r="L78" s="26">
        <f t="shared" si="47"/>
        <v>3.3446106438377948E-2</v>
      </c>
      <c r="M78" s="10">
        <f t="shared" si="73"/>
        <v>71477</v>
      </c>
      <c r="N78" s="26">
        <f t="shared" si="49"/>
        <v>3.3105584197283773E-2</v>
      </c>
      <c r="O78" s="29">
        <f t="shared" si="74"/>
        <v>3.3275845317830857E-2</v>
      </c>
      <c r="P78" s="15">
        <f t="shared" si="75"/>
        <v>66518</v>
      </c>
      <c r="Q78" s="16">
        <f t="shared" si="52"/>
        <v>3.3446106438377948E-2</v>
      </c>
      <c r="R78" s="15">
        <f t="shared" si="76"/>
        <v>71477</v>
      </c>
      <c r="S78" s="16">
        <f t="shared" si="77"/>
        <v>3.3105584197283773E-2</v>
      </c>
      <c r="T78" s="17">
        <f t="shared" si="78"/>
        <v>3.3446106438377948E-2</v>
      </c>
      <c r="U78" s="18"/>
    </row>
    <row r="79" spans="1:23">
      <c r="A79" s="23"/>
      <c r="B79" s="10">
        <f t="shared" ref="B79" si="82">+G79-F79</f>
        <v>131421.16435306659</v>
      </c>
      <c r="C79" s="5">
        <f t="shared" si="57"/>
        <v>30</v>
      </c>
      <c r="D79" s="10">
        <v>1980713.4666666701</v>
      </c>
      <c r="E79" s="10">
        <v>2155278.7333333301</v>
      </c>
      <c r="F79" s="10">
        <f t="shared" si="56"/>
        <v>2128422.8356469334</v>
      </c>
      <c r="G79" s="379">
        <v>2259844</v>
      </c>
      <c r="H79" s="25">
        <f t="shared" ref="H79" si="83">+E79/D79-1</f>
        <v>8.8132518713287089E-2</v>
      </c>
      <c r="I79" s="25">
        <f t="shared" ref="I79" si="84">+F79/E79-1</f>
        <v>-1.2460521820702786E-2</v>
      </c>
      <c r="J79" s="25">
        <f t="shared" ref="J79" si="85">+G79/E79-1</f>
        <v>4.8515890334495326E-2</v>
      </c>
      <c r="K79" s="10">
        <f t="shared" si="72"/>
        <v>76527.46666667005</v>
      </c>
      <c r="L79" s="26">
        <f t="shared" si="47"/>
        <v>3.8478995092950281E-2</v>
      </c>
      <c r="M79" s="10">
        <f t="shared" si="73"/>
        <v>78079.733333330136</v>
      </c>
      <c r="N79" s="26">
        <f t="shared" si="49"/>
        <v>3.6163733592176853E-2</v>
      </c>
      <c r="O79" s="29">
        <f t="shared" si="74"/>
        <v>3.732136434256357E-2</v>
      </c>
      <c r="P79" s="15">
        <f t="shared" si="75"/>
        <v>76527.46666667005</v>
      </c>
      <c r="Q79" s="16">
        <f t="shared" si="52"/>
        <v>3.8478995092950281E-2</v>
      </c>
      <c r="R79" s="15">
        <f t="shared" si="76"/>
        <v>78079.733333330136</v>
      </c>
      <c r="S79" s="16">
        <f>+R79/SUM($R$51:$R$83)</f>
        <v>3.6163733592176853E-2</v>
      </c>
      <c r="T79" s="17">
        <f t="shared" si="78"/>
        <v>3.8478995092950281E-2</v>
      </c>
      <c r="U79" s="18"/>
    </row>
    <row r="80" spans="1:23">
      <c r="A80" s="23"/>
      <c r="B80" s="10">
        <f t="shared" si="65"/>
        <v>112260.50596173573</v>
      </c>
      <c r="C80" s="5">
        <f t="shared" si="57"/>
        <v>31</v>
      </c>
      <c r="D80" s="10">
        <v>1978086</v>
      </c>
      <c r="E80" s="10">
        <v>2153625</v>
      </c>
      <c r="F80" s="30">
        <f>'Resumen Digital'!E7*'Resumen Digital'!E11*1000</f>
        <v>2206357.4940382643</v>
      </c>
      <c r="G80" s="30">
        <v>2318618</v>
      </c>
      <c r="H80" s="25">
        <f t="shared" si="79"/>
        <v>8.8741844388970037E-2</v>
      </c>
      <c r="I80" s="25">
        <f t="shared" si="80"/>
        <v>2.4485457792449594E-2</v>
      </c>
      <c r="J80" s="25">
        <f t="shared" si="81"/>
        <v>7.6611759243136568E-2</v>
      </c>
      <c r="K80" s="10">
        <f>+D80-D78</f>
        <v>73900</v>
      </c>
      <c r="L80" s="26">
        <f t="shared" si="47"/>
        <v>3.7157871039359726E-2</v>
      </c>
      <c r="M80" s="10">
        <f>+E80-E78</f>
        <v>76426</v>
      </c>
      <c r="N80" s="26">
        <f t="shared" si="49"/>
        <v>3.5397783592786621E-2</v>
      </c>
      <c r="O80" s="29">
        <f t="shared" si="74"/>
        <v>3.6277827316073173E-2</v>
      </c>
      <c r="P80" s="15">
        <f>+D80-D78</f>
        <v>73900</v>
      </c>
      <c r="Q80" s="16">
        <f t="shared" si="52"/>
        <v>3.7157871039359726E-2</v>
      </c>
      <c r="R80" s="15">
        <f>+E80-E78</f>
        <v>76426</v>
      </c>
      <c r="S80" s="16">
        <f t="shared" si="77"/>
        <v>3.5397783592786621E-2</v>
      </c>
      <c r="T80" s="17">
        <f t="shared" si="78"/>
        <v>3.7157871039359726E-2</v>
      </c>
      <c r="U80" s="18"/>
    </row>
    <row r="81" spans="1:21">
      <c r="A81" s="23"/>
      <c r="B81" s="10"/>
      <c r="D81" s="10"/>
      <c r="E81" s="10"/>
      <c r="H81" s="25"/>
      <c r="I81" s="25"/>
      <c r="J81" s="25"/>
      <c r="K81" s="10"/>
      <c r="L81" s="26"/>
      <c r="M81" s="10"/>
      <c r="N81" s="26"/>
      <c r="O81" s="29"/>
      <c r="P81" s="15"/>
      <c r="Q81" s="16"/>
      <c r="R81" s="15"/>
      <c r="S81" s="16"/>
      <c r="T81" s="17"/>
      <c r="U81" s="18"/>
    </row>
    <row r="82" spans="1:21">
      <c r="A82" s="23"/>
      <c r="B82" s="10"/>
      <c r="D82" s="10"/>
      <c r="E82" s="10"/>
      <c r="F82" s="10"/>
      <c r="G82" s="379"/>
      <c r="H82" s="25"/>
      <c r="I82" s="25"/>
      <c r="J82" s="25"/>
      <c r="K82" s="10"/>
      <c r="L82" s="26"/>
      <c r="M82" s="10"/>
      <c r="N82" s="26"/>
      <c r="O82" s="29"/>
      <c r="P82" s="15"/>
      <c r="Q82" s="16"/>
      <c r="R82" s="15"/>
      <c r="S82" s="16"/>
      <c r="T82" s="17"/>
      <c r="U82" s="18"/>
    </row>
    <row r="83" spans="1:21">
      <c r="A83" s="23"/>
      <c r="B83" s="10"/>
      <c r="D83" s="10"/>
      <c r="E83" s="10"/>
      <c r="F83" s="10"/>
      <c r="G83" s="379"/>
      <c r="H83" s="25"/>
      <c r="I83" s="25"/>
      <c r="J83" s="25"/>
      <c r="K83" s="10"/>
      <c r="L83" s="26"/>
      <c r="M83" s="10"/>
      <c r="N83" s="26"/>
      <c r="O83" s="29"/>
      <c r="P83" s="15"/>
      <c r="Q83" s="16"/>
      <c r="R83" s="15"/>
      <c r="S83" s="16"/>
      <c r="T83" s="17"/>
      <c r="U83" s="18"/>
    </row>
    <row r="84" spans="1:21">
      <c r="A84" s="23"/>
      <c r="B84" s="10"/>
      <c r="D84" s="10"/>
      <c r="E84" s="10"/>
      <c r="F84"/>
      <c r="G84"/>
      <c r="H84" s="25"/>
      <c r="I84" s="25"/>
      <c r="J84" s="25"/>
      <c r="K84" s="10"/>
      <c r="L84" s="26"/>
      <c r="M84" s="10"/>
      <c r="N84" s="26"/>
      <c r="O84" s="29"/>
      <c r="P84" s="15"/>
      <c r="Q84" s="16"/>
      <c r="R84" s="15"/>
      <c r="S84" s="16"/>
      <c r="T84" s="17"/>
      <c r="U84" s="18"/>
    </row>
    <row r="85" spans="1:21">
      <c r="D85" s="10"/>
      <c r="E85" s="116"/>
      <c r="I85" s="12"/>
      <c r="K85" s="10"/>
      <c r="L85" s="26"/>
      <c r="M85" s="10"/>
      <c r="N85" s="26"/>
    </row>
    <row r="86" spans="1:21">
      <c r="D86" s="10"/>
      <c r="E86" s="10"/>
      <c r="F86" s="10"/>
      <c r="G86" s="10"/>
      <c r="I86" s="12"/>
    </row>
    <row r="87" spans="1:21">
      <c r="D87" s="10"/>
      <c r="E87" s="10"/>
      <c r="F87" s="10"/>
      <c r="G87" s="10"/>
      <c r="H87" s="10"/>
      <c r="I87" s="12"/>
      <c r="J87" s="115"/>
    </row>
    <row r="88" spans="1:21">
      <c r="D88" s="10"/>
      <c r="E88" s="118"/>
      <c r="F88" s="118"/>
      <c r="G88" s="10"/>
      <c r="H88" s="10"/>
      <c r="I88" s="12"/>
    </row>
    <row r="89" spans="1:21">
      <c r="E89" s="116"/>
      <c r="F89" s="116"/>
      <c r="G89" s="116"/>
    </row>
  </sheetData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S188"/>
  <sheetViews>
    <sheetView showGridLines="0" topLeftCell="A34" zoomScale="80" zoomScaleNormal="80" workbookViewId="0">
      <pane xSplit="1" topLeftCell="AE1" activePane="topRight" state="frozen"/>
      <selection pane="topRight" activeCell="AI55" sqref="AI55"/>
    </sheetView>
  </sheetViews>
  <sheetFormatPr baseColWidth="10" defaultColWidth="11.453125" defaultRowHeight="14.5" outlineLevelRow="1"/>
  <cols>
    <col min="1" max="1" width="19.453125" customWidth="1"/>
    <col min="2" max="3" width="14.81640625" hidden="1" customWidth="1"/>
    <col min="4" max="5" width="15" hidden="1" customWidth="1"/>
    <col min="6" max="10" width="13.26953125" hidden="1" customWidth="1"/>
    <col min="11" max="16" width="13.7265625" hidden="1" customWidth="1"/>
    <col min="17" max="17" width="15.1796875" hidden="1" customWidth="1"/>
    <col min="18" max="20" width="13.7265625" hidden="1" customWidth="1"/>
    <col min="21" max="22" width="13.7265625" customWidth="1"/>
    <col min="23" max="26" width="12.26953125" customWidth="1"/>
    <col min="27" max="27" width="13.26953125" customWidth="1"/>
    <col min="28" max="28" width="12.7265625" customWidth="1"/>
    <col min="29" max="29" width="18.81640625" customWidth="1"/>
    <col min="30" max="30" width="15" customWidth="1"/>
    <col min="31" max="31" width="30.453125" bestFit="1" customWidth="1"/>
    <col min="32" max="32" width="22.26953125" hidden="1" customWidth="1"/>
    <col min="33" max="33" width="19.81640625" hidden="1" customWidth="1"/>
    <col min="34" max="34" width="19.81640625" bestFit="1" customWidth="1"/>
    <col min="35" max="35" width="19.453125" bestFit="1" customWidth="1"/>
    <col min="36" max="36" width="19" bestFit="1" customWidth="1"/>
    <col min="37" max="37" width="19.81640625" bestFit="1" customWidth="1"/>
    <col min="38" max="38" width="18.453125" bestFit="1" customWidth="1"/>
    <col min="39" max="40" width="18.7265625" bestFit="1" customWidth="1"/>
    <col min="41" max="41" width="18.26953125" bestFit="1" customWidth="1"/>
    <col min="42" max="42" width="19.1796875" bestFit="1" customWidth="1"/>
    <col min="43" max="43" width="18.7265625" bestFit="1" customWidth="1"/>
    <col min="44" max="44" width="18.453125" bestFit="1" customWidth="1"/>
    <col min="45" max="45" width="18.26953125" bestFit="1" customWidth="1"/>
  </cols>
  <sheetData>
    <row r="1" spans="1:45">
      <c r="A1" s="149" t="s">
        <v>0</v>
      </c>
      <c r="AE1" s="399" t="s">
        <v>1</v>
      </c>
      <c r="AF1" s="400">
        <v>12.70438944054775</v>
      </c>
      <c r="AG1" s="400">
        <v>12.641760520902681</v>
      </c>
      <c r="AH1" s="400">
        <v>12.529263915348388</v>
      </c>
      <c r="AI1" s="400">
        <v>12.452428771528325</v>
      </c>
      <c r="AJ1" s="400">
        <v>12.386583103302197</v>
      </c>
      <c r="AK1" s="400">
        <v>12.291931032220759</v>
      </c>
      <c r="AL1" s="400">
        <v>12.225291394047741</v>
      </c>
      <c r="AM1" s="400">
        <v>12.187898165798019</v>
      </c>
      <c r="AN1" s="400">
        <v>12.095705817883031</v>
      </c>
      <c r="AO1" s="400">
        <v>12.104613928909982</v>
      </c>
      <c r="AP1" s="400">
        <v>12.116840179379205</v>
      </c>
      <c r="AQ1" s="400">
        <v>12.113451890515876</v>
      </c>
      <c r="AR1" s="400">
        <v>12.119328535053349</v>
      </c>
      <c r="AS1" s="401">
        <v>12.128399155983745</v>
      </c>
    </row>
    <row r="2" spans="1:45">
      <c r="A2" s="149"/>
      <c r="AF2" s="163">
        <v>0.4334712748585352</v>
      </c>
      <c r="AG2" s="163">
        <v>0.42569774238481251</v>
      </c>
      <c r="AH2" s="163">
        <v>0.42743296400104025</v>
      </c>
      <c r="AI2" s="163">
        <v>0.42776849535231737</v>
      </c>
      <c r="AJ2" s="163">
        <v>0.43118991013999119</v>
      </c>
      <c r="AK2" s="163">
        <v>0.43786192179815464</v>
      </c>
      <c r="AL2" s="163">
        <v>0.44086770545109655</v>
      </c>
      <c r="AM2" s="163">
        <v>0.44326810998928884</v>
      </c>
      <c r="AN2" s="163">
        <v>0.4441513452166781</v>
      </c>
      <c r="AO2" s="163">
        <v>0.4427949543647795</v>
      </c>
      <c r="AP2" s="163">
        <v>0.44055662875024393</v>
      </c>
      <c r="AQ2" s="163">
        <v>0.44072212548329281</v>
      </c>
      <c r="AR2" s="163">
        <v>0.4381774822781031</v>
      </c>
      <c r="AS2" s="163">
        <v>0.433863852274537</v>
      </c>
    </row>
    <row r="3" spans="1:45" hidden="1" outlineLevel="1">
      <c r="A3" s="402" t="s">
        <v>2</v>
      </c>
      <c r="AE3" t="s">
        <v>3</v>
      </c>
      <c r="AG3">
        <v>4.1959100536870929E-2</v>
      </c>
      <c r="AH3">
        <v>3.8380481225043332E-2</v>
      </c>
      <c r="AI3">
        <v>3.7440381173554804E-2</v>
      </c>
      <c r="AJ3">
        <v>3.7099110699181148E-2</v>
      </c>
      <c r="AK3">
        <v>3.9131966402087333E-2</v>
      </c>
      <c r="AL3">
        <v>3.9801472805121273E-2</v>
      </c>
      <c r="AM3">
        <v>3.9978124272995179E-2</v>
      </c>
      <c r="AN3">
        <v>3.8100902983988084E-2</v>
      </c>
      <c r="AO3">
        <v>3.8573972200214912E-2</v>
      </c>
      <c r="AP3">
        <v>3.8596266715597766E-2</v>
      </c>
      <c r="AQ3">
        <v>3.8911516005467807E-2</v>
      </c>
      <c r="AR3">
        <v>3.8713608997337605E-2</v>
      </c>
      <c r="AS3">
        <v>3.8606915736774855E-2</v>
      </c>
    </row>
    <row r="4" spans="1:45" hidden="1" outlineLevel="1">
      <c r="AE4" t="s">
        <v>4</v>
      </c>
      <c r="AG4">
        <v>9.8134279565252128E-3</v>
      </c>
      <c r="AH4">
        <v>9.4731905855130107E-3</v>
      </c>
      <c r="AI4">
        <v>8.5771271859780649E-3</v>
      </c>
      <c r="AJ4">
        <v>8.0991817671442392E-3</v>
      </c>
      <c r="AK4">
        <v>7.2980042713543802E-3</v>
      </c>
      <c r="AL4">
        <v>6.5455917087640795E-3</v>
      </c>
      <c r="AM4">
        <v>6.3050190987436958E-3</v>
      </c>
      <c r="AN4">
        <v>5.5417590416680478E-3</v>
      </c>
      <c r="AO4">
        <v>5.460062094174975E-3</v>
      </c>
      <c r="AP4">
        <v>5.3969281108061607E-3</v>
      </c>
      <c r="AQ4">
        <v>5.3617355681201094E-3</v>
      </c>
      <c r="AR4">
        <v>5.298830078741947E-3</v>
      </c>
      <c r="AS4">
        <v>5.1806663202375097E-3</v>
      </c>
    </row>
    <row r="5" spans="1:45" ht="15" hidden="1" customHeight="1" outlineLevel="1">
      <c r="B5" s="703"/>
      <c r="C5" s="703"/>
      <c r="D5" s="703"/>
      <c r="E5" s="703"/>
      <c r="F5" s="403"/>
      <c r="G5" s="403"/>
      <c r="H5" s="403"/>
      <c r="I5" s="403"/>
      <c r="J5" s="403"/>
      <c r="K5" s="403"/>
      <c r="L5" s="403"/>
      <c r="M5" s="403"/>
      <c r="N5" s="403"/>
      <c r="O5" s="403"/>
      <c r="P5" s="403"/>
      <c r="Q5" s="403"/>
      <c r="R5" s="403"/>
      <c r="S5" s="403"/>
      <c r="T5" s="403"/>
      <c r="U5" s="403"/>
      <c r="V5" s="403"/>
      <c r="W5" s="403"/>
      <c r="X5" s="403"/>
      <c r="Y5" s="403"/>
      <c r="Z5" s="403"/>
      <c r="AA5" s="403"/>
      <c r="AK5" s="704" t="s">
        <v>5</v>
      </c>
      <c r="AL5" s="704"/>
      <c r="AM5" s="704"/>
    </row>
    <row r="6" spans="1:45" s="397" customFormat="1" hidden="1" outlineLevel="1">
      <c r="A6" s="397" t="s">
        <v>6</v>
      </c>
      <c r="B6" s="403">
        <v>202101</v>
      </c>
      <c r="C6" s="403">
        <v>202102</v>
      </c>
      <c r="D6" s="403">
        <v>202103</v>
      </c>
      <c r="E6" s="403">
        <v>202104</v>
      </c>
      <c r="F6" s="403">
        <v>202105</v>
      </c>
      <c r="G6" s="403">
        <v>202106</v>
      </c>
      <c r="H6" s="404" t="s">
        <v>7</v>
      </c>
      <c r="I6" s="404" t="s">
        <v>8</v>
      </c>
      <c r="J6" s="404"/>
      <c r="K6" s="404"/>
      <c r="L6" s="404"/>
      <c r="M6" s="404"/>
      <c r="N6" s="404"/>
      <c r="O6" s="404"/>
      <c r="P6" s="404"/>
      <c r="Q6" s="404"/>
      <c r="R6" s="404"/>
      <c r="S6" s="404"/>
      <c r="T6" s="404"/>
      <c r="U6" s="404"/>
      <c r="V6" s="404"/>
      <c r="W6" s="404"/>
      <c r="X6" s="404"/>
      <c r="Y6" s="404"/>
      <c r="Z6" s="404"/>
      <c r="AA6" s="404"/>
      <c r="AK6" s="398">
        <v>202101</v>
      </c>
      <c r="AL6" s="398">
        <v>202102</v>
      </c>
      <c r="AM6" s="398">
        <v>202103</v>
      </c>
    </row>
    <row r="7" spans="1:45" hidden="1" outlineLevel="1">
      <c r="A7" t="s">
        <v>9</v>
      </c>
      <c r="B7" s="405">
        <v>256.59137791000001</v>
      </c>
      <c r="C7" s="405">
        <v>217.46770222543</v>
      </c>
      <c r="D7" s="405">
        <v>317.36217519651001</v>
      </c>
      <c r="E7" s="405">
        <v>294.60180477527507</v>
      </c>
      <c r="F7" s="405">
        <v>346.10210104187001</v>
      </c>
      <c r="G7" s="405">
        <v>314.83821003262</v>
      </c>
      <c r="H7" s="405" t="e">
        <f>+H$13*(#REF!/#REF!)</f>
        <v>#REF!</v>
      </c>
      <c r="I7" s="405">
        <f t="shared" ref="I7:I13" si="0">G7-F7</f>
        <v>-31.263891009250017</v>
      </c>
      <c r="J7" s="405"/>
      <c r="K7" s="405"/>
      <c r="L7" s="405"/>
      <c r="M7" s="405"/>
      <c r="N7" s="405"/>
      <c r="O7" s="405"/>
      <c r="P7" s="405"/>
      <c r="Q7" s="405"/>
      <c r="R7" s="405"/>
      <c r="S7" s="405"/>
      <c r="T7" s="405"/>
      <c r="U7" s="405"/>
      <c r="V7" s="405"/>
      <c r="W7" s="405"/>
      <c r="X7" s="405"/>
      <c r="Y7" s="405"/>
      <c r="Z7" s="405"/>
      <c r="AA7" s="405"/>
      <c r="AB7" s="406"/>
      <c r="AC7" s="406"/>
      <c r="AD7" s="406"/>
      <c r="AE7" s="406"/>
      <c r="AF7" s="406"/>
      <c r="AG7" s="406"/>
      <c r="AH7" s="406"/>
      <c r="AI7" s="406"/>
      <c r="AJ7" s="406"/>
      <c r="AK7" s="405">
        <v>256.59137791000001</v>
      </c>
      <c r="AL7" s="405">
        <v>217.46770222999999</v>
      </c>
      <c r="AM7" s="405">
        <v>295.04112876324302</v>
      </c>
    </row>
    <row r="8" spans="1:45" hidden="1" outlineLevel="1">
      <c r="A8" t="s">
        <v>10</v>
      </c>
      <c r="B8" s="405">
        <v>128.30226028999999</v>
      </c>
      <c r="C8" s="405">
        <v>119.71831534208</v>
      </c>
      <c r="D8" s="405">
        <v>177.2539249477</v>
      </c>
      <c r="E8" s="405">
        <v>165.10621820539177</v>
      </c>
      <c r="F8" s="405">
        <v>174.62131869480999</v>
      </c>
      <c r="G8" s="405">
        <v>158.85011092830001</v>
      </c>
      <c r="H8" s="405" t="e">
        <f>+H$13*(#REF!/#REF!)</f>
        <v>#REF!</v>
      </c>
      <c r="I8" s="405">
        <f t="shared" si="0"/>
        <v>-15.771207766509974</v>
      </c>
      <c r="J8" s="405"/>
      <c r="K8" s="405"/>
      <c r="L8" s="405"/>
      <c r="M8" s="405"/>
      <c r="N8" s="405"/>
      <c r="O8" s="405"/>
      <c r="P8" s="405"/>
      <c r="Q8" s="405"/>
      <c r="R8" s="405"/>
      <c r="S8" s="405"/>
      <c r="T8" s="405"/>
      <c r="U8" s="405"/>
      <c r="V8" s="405"/>
      <c r="W8" s="405"/>
      <c r="X8" s="405"/>
      <c r="Y8" s="405"/>
      <c r="Z8" s="405"/>
      <c r="AA8" s="405"/>
      <c r="AB8" s="406"/>
      <c r="AC8" s="406"/>
      <c r="AD8" s="406"/>
      <c r="AE8" s="406"/>
      <c r="AF8" s="406"/>
      <c r="AG8" s="406"/>
      <c r="AH8" s="406"/>
      <c r="AI8" s="406"/>
      <c r="AJ8" s="406"/>
      <c r="AK8" s="405">
        <v>128.30226028999999</v>
      </c>
      <c r="AL8" s="405">
        <v>119.71831534</v>
      </c>
      <c r="AM8" s="405">
        <v>146.97314964057298</v>
      </c>
    </row>
    <row r="9" spans="1:45" hidden="1" outlineLevel="1">
      <c r="A9" t="s">
        <v>11</v>
      </c>
      <c r="B9" s="405">
        <v>64.892363680000003</v>
      </c>
      <c r="C9" s="405">
        <v>59.756772572549998</v>
      </c>
      <c r="D9" s="405">
        <v>86.71330180663</v>
      </c>
      <c r="E9" s="405">
        <v>81.929459561306757</v>
      </c>
      <c r="F9" s="405">
        <v>85.355395869000006</v>
      </c>
      <c r="G9" s="405">
        <v>83.628557891420002</v>
      </c>
      <c r="H9" s="405" t="e">
        <f>+H$13*(#REF!/#REF!)</f>
        <v>#REF!</v>
      </c>
      <c r="I9" s="405">
        <f t="shared" si="0"/>
        <v>-1.7268379775800042</v>
      </c>
      <c r="J9" s="405"/>
      <c r="K9" s="405"/>
      <c r="L9" s="405"/>
      <c r="M9" s="405"/>
      <c r="N9" s="405"/>
      <c r="O9" s="405"/>
      <c r="P9" s="405"/>
      <c r="Q9" s="405"/>
      <c r="R9" s="405"/>
      <c r="S9" s="405"/>
      <c r="T9" s="405"/>
      <c r="U9" s="405"/>
      <c r="V9" s="405"/>
      <c r="W9" s="405"/>
      <c r="X9" s="405"/>
      <c r="Y9" s="405"/>
      <c r="Z9" s="405"/>
      <c r="AA9" s="405"/>
      <c r="AB9" s="406"/>
      <c r="AC9" s="406"/>
      <c r="AD9" s="406"/>
      <c r="AE9" s="406"/>
      <c r="AF9" s="406"/>
      <c r="AG9" s="406"/>
      <c r="AH9" s="406"/>
      <c r="AI9" s="406"/>
      <c r="AJ9" s="406"/>
      <c r="AK9" s="405">
        <v>64.892363680000003</v>
      </c>
      <c r="AL9" s="405">
        <v>59.756772579999996</v>
      </c>
      <c r="AM9" s="405">
        <v>75.779706053794058</v>
      </c>
    </row>
    <row r="10" spans="1:45" hidden="1" outlineLevel="1">
      <c r="A10" t="s">
        <v>12</v>
      </c>
      <c r="B10" s="405">
        <v>97.96983723999999</v>
      </c>
      <c r="C10" s="405">
        <v>92.706152199399995</v>
      </c>
      <c r="D10" s="405">
        <v>128.28816691841999</v>
      </c>
      <c r="E10" s="405">
        <v>121.28794057182887</v>
      </c>
      <c r="F10" s="405">
        <v>135.66866325463999</v>
      </c>
      <c r="G10" s="405">
        <v>138.66339185782999</v>
      </c>
      <c r="H10" s="405" t="e">
        <f>+H$13*(#REF!/#REF!)</f>
        <v>#REF!</v>
      </c>
      <c r="I10" s="405">
        <f t="shared" si="0"/>
        <v>2.9947286031899978</v>
      </c>
      <c r="J10" s="405"/>
      <c r="K10" s="405"/>
      <c r="L10" s="405"/>
      <c r="M10" s="405"/>
      <c r="N10" s="405"/>
      <c r="O10" s="405"/>
      <c r="P10" s="405"/>
      <c r="Q10" s="405"/>
      <c r="R10" s="405"/>
      <c r="S10" s="405"/>
      <c r="T10" s="405"/>
      <c r="U10" s="405"/>
      <c r="V10" s="405"/>
      <c r="W10" s="405"/>
      <c r="X10" s="405"/>
      <c r="Y10" s="405"/>
      <c r="Z10" s="405"/>
      <c r="AA10" s="405"/>
      <c r="AB10" s="406"/>
      <c r="AC10" s="406"/>
      <c r="AD10" s="406"/>
      <c r="AE10" s="406"/>
      <c r="AF10" s="406"/>
      <c r="AG10" s="406"/>
      <c r="AH10" s="406"/>
      <c r="AI10" s="406"/>
      <c r="AJ10" s="406"/>
      <c r="AK10" s="405">
        <v>97.96983723999999</v>
      </c>
      <c r="AL10" s="405">
        <v>92.706152199999991</v>
      </c>
      <c r="AM10" s="405">
        <v>115.03885938173755</v>
      </c>
    </row>
    <row r="11" spans="1:45" hidden="1" outlineLevel="1">
      <c r="A11" t="s">
        <v>13</v>
      </c>
      <c r="B11" s="405">
        <v>36.105296659999993</v>
      </c>
      <c r="C11" s="405">
        <v>36.376224984579999</v>
      </c>
      <c r="D11" s="405">
        <v>48.339104987660001</v>
      </c>
      <c r="E11" s="405">
        <v>43.697523335294612</v>
      </c>
      <c r="F11" s="405">
        <v>50.39220951595</v>
      </c>
      <c r="G11" s="405">
        <v>56.175928828110003</v>
      </c>
      <c r="H11" s="405" t="e">
        <f>+H$13*(#REF!/#REF!)</f>
        <v>#REF!</v>
      </c>
      <c r="I11" s="405">
        <f t="shared" si="0"/>
        <v>5.7837193121600023</v>
      </c>
      <c r="J11" s="405"/>
      <c r="K11" s="405"/>
      <c r="L11" s="405"/>
      <c r="M11" s="405"/>
      <c r="N11" s="405"/>
      <c r="O11" s="405"/>
      <c r="P11" s="405"/>
      <c r="Q11" s="405"/>
      <c r="R11" s="405"/>
      <c r="S11" s="405"/>
      <c r="T11" s="405"/>
      <c r="U11" s="405"/>
      <c r="V11" s="405"/>
      <c r="W11" s="405"/>
      <c r="X11" s="405"/>
      <c r="Y11" s="405"/>
      <c r="Z11" s="405"/>
      <c r="AA11" s="405"/>
      <c r="AB11" s="406"/>
      <c r="AC11" s="406"/>
      <c r="AD11" s="406"/>
      <c r="AE11" s="406"/>
      <c r="AF11" s="406"/>
      <c r="AG11" s="406"/>
      <c r="AH11" s="406"/>
      <c r="AI11" s="406"/>
      <c r="AJ11" s="406"/>
      <c r="AK11" s="405">
        <v>36.105296659999993</v>
      </c>
      <c r="AL11" s="405">
        <v>36.376224980000003</v>
      </c>
      <c r="AM11" s="405">
        <v>43.332879234763638</v>
      </c>
    </row>
    <row r="12" spans="1:45" hidden="1" outlineLevel="1">
      <c r="A12" t="s">
        <v>14</v>
      </c>
      <c r="B12" s="405">
        <v>9.8998812900000015</v>
      </c>
      <c r="C12" s="405">
        <v>10.06174712118</v>
      </c>
      <c r="D12" s="405">
        <v>12.51652761783</v>
      </c>
      <c r="E12" s="405">
        <v>9.7740535509028934</v>
      </c>
      <c r="F12" s="405">
        <v>11.12040832201</v>
      </c>
      <c r="G12" s="405">
        <v>11.09155609642</v>
      </c>
      <c r="H12" s="405" t="e">
        <f>+H$13*(#REF!/#REF!)</f>
        <v>#REF!</v>
      </c>
      <c r="I12" s="405">
        <f t="shared" si="0"/>
        <v>-2.8852225590000558E-2</v>
      </c>
      <c r="J12" s="405"/>
      <c r="K12" s="405"/>
      <c r="L12" s="405"/>
      <c r="M12" s="405"/>
      <c r="N12" s="405"/>
      <c r="O12" s="405"/>
      <c r="P12" s="405"/>
      <c r="Q12" s="405"/>
      <c r="R12" s="405"/>
      <c r="S12" s="405"/>
      <c r="T12" s="405"/>
      <c r="U12" s="405"/>
      <c r="V12" s="405"/>
      <c r="W12" s="405"/>
      <c r="X12" s="405"/>
      <c r="Y12" s="405"/>
      <c r="Z12" s="405"/>
      <c r="AA12" s="405"/>
      <c r="AB12" s="406"/>
      <c r="AC12" s="406"/>
      <c r="AD12" s="406"/>
      <c r="AE12" s="406"/>
      <c r="AF12" s="406"/>
      <c r="AG12" s="406"/>
      <c r="AH12" s="406"/>
      <c r="AI12" s="406"/>
      <c r="AJ12" s="406"/>
      <c r="AK12" s="405">
        <v>9.8998812900000015</v>
      </c>
      <c r="AL12" s="405">
        <v>10.067112819999998</v>
      </c>
      <c r="AM12" s="405">
        <v>13.834276925888725</v>
      </c>
    </row>
    <row r="13" spans="1:45" s="149" customFormat="1" hidden="1" outlineLevel="1">
      <c r="A13" s="149" t="s">
        <v>15</v>
      </c>
      <c r="B13" s="407">
        <f>+SUM(B7:B12)</f>
        <v>593.76101707000009</v>
      </c>
      <c r="C13" s="407">
        <f>+SUM(C7:C12)</f>
        <v>536.08691444522003</v>
      </c>
      <c r="D13" s="407">
        <f>+SUM(D7:D12)</f>
        <v>770.47320147475</v>
      </c>
      <c r="E13" s="407">
        <v>716.39700000000005</v>
      </c>
      <c r="F13" s="407">
        <v>815.08710199999996</v>
      </c>
      <c r="G13" s="407">
        <v>776.05889300000001</v>
      </c>
      <c r="H13" s="408">
        <v>845.97688401591688</v>
      </c>
      <c r="I13" s="405">
        <f t="shared" si="0"/>
        <v>-39.028208999999947</v>
      </c>
      <c r="J13" s="405"/>
      <c r="K13" s="405"/>
      <c r="L13" s="405"/>
      <c r="M13" s="405"/>
      <c r="N13" s="405"/>
      <c r="O13" s="405"/>
      <c r="P13" s="405"/>
      <c r="Q13" s="405"/>
      <c r="R13" s="405"/>
      <c r="S13" s="405"/>
      <c r="T13" s="405"/>
      <c r="U13" s="405"/>
      <c r="V13" s="405"/>
      <c r="W13" s="405"/>
      <c r="X13" s="405"/>
      <c r="Y13" s="405"/>
      <c r="Z13" s="405"/>
      <c r="AA13" s="405"/>
      <c r="AB13" s="406"/>
      <c r="AC13" s="406"/>
      <c r="AD13" s="406"/>
      <c r="AE13" s="406"/>
      <c r="AF13" s="406"/>
      <c r="AG13" s="406"/>
      <c r="AH13" s="406"/>
      <c r="AI13" s="406"/>
      <c r="AJ13" s="406"/>
      <c r="AK13" s="407">
        <f>+SUM(AK7:AK12)</f>
        <v>593.76101707000009</v>
      </c>
      <c r="AL13" s="407">
        <f>+SUM(AL7:AL12)</f>
        <v>536.09228014999997</v>
      </c>
      <c r="AM13" s="407">
        <f>+SUM(AM7:AM12)</f>
        <v>689.99999999999989</v>
      </c>
    </row>
    <row r="14" spans="1:45" hidden="1" outlineLevel="1"/>
    <row r="15" spans="1:45" hidden="1" outlineLevel="1"/>
    <row r="16" spans="1:45" s="397" customFormat="1" hidden="1" outlineLevel="1">
      <c r="A16" s="397" t="s">
        <v>16</v>
      </c>
      <c r="B16" s="409">
        <v>202101</v>
      </c>
      <c r="C16" s="403">
        <v>202102</v>
      </c>
      <c r="D16" s="403">
        <v>202103</v>
      </c>
      <c r="E16" s="403">
        <v>202104</v>
      </c>
      <c r="F16" s="403">
        <v>202105</v>
      </c>
      <c r="G16" s="403">
        <v>202106</v>
      </c>
      <c r="H16" s="404" t="s">
        <v>7</v>
      </c>
      <c r="I16" s="404"/>
      <c r="J16" s="404"/>
      <c r="K16" s="404"/>
      <c r="L16" s="404"/>
      <c r="M16" s="404"/>
      <c r="N16" s="404"/>
      <c r="O16" s="404"/>
      <c r="P16" s="404"/>
      <c r="Q16" s="404"/>
      <c r="R16" s="404"/>
      <c r="S16" s="404"/>
      <c r="T16" s="404"/>
      <c r="U16" s="404"/>
      <c r="V16" s="404"/>
      <c r="W16" s="404"/>
      <c r="X16" s="404"/>
      <c r="Y16" s="404"/>
      <c r="Z16" s="404"/>
      <c r="AA16" s="404"/>
      <c r="AK16" s="398">
        <v>202101</v>
      </c>
      <c r="AL16" s="398">
        <v>202102</v>
      </c>
      <c r="AM16" s="398">
        <v>202103</v>
      </c>
    </row>
    <row r="17" spans="1:45" s="397" customFormat="1" hidden="1" outlineLevel="1">
      <c r="A17" t="s">
        <v>9</v>
      </c>
      <c r="B17" s="163">
        <f t="shared" ref="B17:D22" si="1">+B7/B$13</f>
        <v>0.43214588114286689</v>
      </c>
      <c r="C17" s="163">
        <f t="shared" si="1"/>
        <v>0.40565754612846816</v>
      </c>
      <c r="D17" s="163">
        <f t="shared" si="1"/>
        <v>0.41190553362407978</v>
      </c>
      <c r="E17" s="163">
        <v>0.41122702185418847</v>
      </c>
      <c r="F17" s="163">
        <f t="shared" ref="F17:H22" si="2">+F7/F$13</f>
        <v>0.42461977400038659</v>
      </c>
      <c r="G17" s="163">
        <f t="shared" si="2"/>
        <v>0.40568855388739161</v>
      </c>
      <c r="H17" s="163" t="e">
        <f t="shared" si="2"/>
        <v>#REF!</v>
      </c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3"/>
      <c r="AB17" s="344"/>
      <c r="AC17" s="163"/>
      <c r="AD17" s="344"/>
      <c r="AE17" s="163"/>
      <c r="AF17" s="163"/>
      <c r="AG17" s="163"/>
      <c r="AH17" s="163"/>
      <c r="AI17" s="163"/>
      <c r="AJ17" s="163"/>
      <c r="AK17" s="163">
        <f t="shared" ref="AK17:AM22" si="3">+AK7/AK$13</f>
        <v>0.43214588114286689</v>
      </c>
      <c r="AL17" s="163">
        <f t="shared" si="3"/>
        <v>0.40565348594303946</v>
      </c>
      <c r="AM17" s="163">
        <f t="shared" si="3"/>
        <v>0.42759583878730878</v>
      </c>
    </row>
    <row r="18" spans="1:45" hidden="1" outlineLevel="1">
      <c r="A18" t="s">
        <v>10</v>
      </c>
      <c r="B18" s="163">
        <f t="shared" si="1"/>
        <v>0.21608400787765777</v>
      </c>
      <c r="C18" s="163">
        <f t="shared" si="1"/>
        <v>0.2233188539324315</v>
      </c>
      <c r="D18" s="163">
        <f t="shared" si="1"/>
        <v>0.23005852067070107</v>
      </c>
      <c r="E18" s="163">
        <v>0.23046748968154773</v>
      </c>
      <c r="F18" s="163">
        <f t="shared" si="2"/>
        <v>0.21423639052358603</v>
      </c>
      <c r="G18" s="163">
        <f t="shared" si="2"/>
        <v>0.20468821678498569</v>
      </c>
      <c r="H18" s="163" t="e">
        <f t="shared" si="2"/>
        <v>#REF!</v>
      </c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344"/>
      <c r="AC18" s="163"/>
      <c r="AD18" s="344"/>
      <c r="AE18" s="163"/>
      <c r="AF18" s="163"/>
      <c r="AG18" s="163"/>
      <c r="AH18" s="163"/>
      <c r="AI18" s="163"/>
      <c r="AJ18" s="163"/>
      <c r="AK18" s="163">
        <f t="shared" si="3"/>
        <v>0.21608400787765777</v>
      </c>
      <c r="AL18" s="163">
        <f t="shared" si="3"/>
        <v>0.22331661874799338</v>
      </c>
      <c r="AM18" s="163">
        <f t="shared" si="3"/>
        <v>0.21300456469648263</v>
      </c>
    </row>
    <row r="19" spans="1:45" hidden="1" outlineLevel="1">
      <c r="A19" t="s">
        <v>11</v>
      </c>
      <c r="B19" s="163">
        <f t="shared" si="1"/>
        <v>0.10929037409734439</v>
      </c>
      <c r="C19" s="163">
        <f t="shared" si="1"/>
        <v>0.11146844096053055</v>
      </c>
      <c r="D19" s="163">
        <f t="shared" si="1"/>
        <v>0.11254551312187562</v>
      </c>
      <c r="E19" s="163">
        <v>0.11436320861380876</v>
      </c>
      <c r="F19" s="163">
        <f t="shared" si="2"/>
        <v>0.1047193553419767</v>
      </c>
      <c r="G19" s="163">
        <f t="shared" si="2"/>
        <v>0.10776058189107048</v>
      </c>
      <c r="H19" s="163" t="e">
        <f t="shared" si="2"/>
        <v>#REF!</v>
      </c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344"/>
      <c r="AC19" s="163"/>
      <c r="AD19" s="344"/>
      <c r="AE19" s="163"/>
      <c r="AF19" s="163"/>
      <c r="AG19" s="163"/>
      <c r="AH19" s="163"/>
      <c r="AI19" s="163"/>
      <c r="AJ19" s="163"/>
      <c r="AK19" s="163">
        <f t="shared" si="3"/>
        <v>0.10929037409734439</v>
      </c>
      <c r="AL19" s="163">
        <f t="shared" si="3"/>
        <v>0.11146732529571196</v>
      </c>
      <c r="AM19" s="163">
        <f t="shared" si="3"/>
        <v>0.10982566094752765</v>
      </c>
    </row>
    <row r="20" spans="1:45" hidden="1" outlineLevel="1">
      <c r="A20" t="s">
        <v>12</v>
      </c>
      <c r="B20" s="163">
        <f t="shared" si="1"/>
        <v>0.16499876957811471</v>
      </c>
      <c r="C20" s="163">
        <f t="shared" si="1"/>
        <v>0.17293119772441892</v>
      </c>
      <c r="D20" s="163">
        <f t="shared" si="1"/>
        <v>0.16650568335519747</v>
      </c>
      <c r="E20" s="163">
        <v>0.16930269190383107</v>
      </c>
      <c r="F20" s="163">
        <f t="shared" si="2"/>
        <v>0.16644682871529479</v>
      </c>
      <c r="G20" s="163">
        <f t="shared" si="2"/>
        <v>0.1786763776674227</v>
      </c>
      <c r="H20" s="163" t="e">
        <f t="shared" si="2"/>
        <v>#REF!</v>
      </c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163"/>
      <c r="AB20" s="344"/>
      <c r="AC20" s="163"/>
      <c r="AD20" s="344"/>
      <c r="AE20" s="163"/>
      <c r="AF20" s="163"/>
      <c r="AG20" s="163"/>
      <c r="AH20" s="163"/>
      <c r="AI20" s="163"/>
      <c r="AJ20" s="163"/>
      <c r="AK20" s="163">
        <f t="shared" si="3"/>
        <v>0.16499876957811471</v>
      </c>
      <c r="AL20" s="163">
        <f t="shared" si="3"/>
        <v>0.17292946687100322</v>
      </c>
      <c r="AM20" s="163">
        <f t="shared" si="3"/>
        <v>0.16672298461121388</v>
      </c>
    </row>
    <row r="21" spans="1:45" hidden="1" outlineLevel="1">
      <c r="A21" t="s">
        <v>13</v>
      </c>
      <c r="B21" s="163">
        <f t="shared" si="1"/>
        <v>6.0807792397969844E-2</v>
      </c>
      <c r="C21" s="163">
        <f t="shared" si="1"/>
        <v>6.7855088427637975E-2</v>
      </c>
      <c r="D21" s="163">
        <f t="shared" si="1"/>
        <v>6.2739502029577301E-2</v>
      </c>
      <c r="E21" s="163">
        <v>6.0996239983269904E-2</v>
      </c>
      <c r="F21" s="163">
        <f t="shared" si="2"/>
        <v>6.1824324532067008E-2</v>
      </c>
      <c r="G21" s="163">
        <f t="shared" si="2"/>
        <v>7.2386167254590045E-2</v>
      </c>
      <c r="H21" s="163" t="e">
        <f t="shared" si="2"/>
        <v>#REF!</v>
      </c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344"/>
      <c r="AC21" s="163"/>
      <c r="AD21" s="344"/>
      <c r="AE21" s="163"/>
      <c r="AF21" s="163"/>
      <c r="AG21" s="163"/>
      <c r="AH21" s="163"/>
      <c r="AI21" s="163"/>
      <c r="AJ21" s="163"/>
      <c r="AK21" s="163">
        <f t="shared" si="3"/>
        <v>6.0807792397969844E-2</v>
      </c>
      <c r="AL21" s="163">
        <f t="shared" si="3"/>
        <v>6.785440926293855E-2</v>
      </c>
      <c r="AM21" s="163">
        <f t="shared" si="3"/>
        <v>6.2801274253280651E-2</v>
      </c>
    </row>
    <row r="22" spans="1:45" hidden="1" outlineLevel="1">
      <c r="A22" t="s">
        <v>14</v>
      </c>
      <c r="B22" s="163">
        <f t="shared" si="1"/>
        <v>1.6673174906046213E-2</v>
      </c>
      <c r="C22" s="163">
        <f t="shared" si="1"/>
        <v>1.8768872826512833E-2</v>
      </c>
      <c r="D22" s="163">
        <f t="shared" si="1"/>
        <v>1.6245247198568777E-2</v>
      </c>
      <c r="E22" s="163">
        <v>1.3643347963353968E-2</v>
      </c>
      <c r="F22" s="163">
        <f t="shared" si="2"/>
        <v>1.3643214688005211E-2</v>
      </c>
      <c r="G22" s="163">
        <f t="shared" si="2"/>
        <v>1.4292157716978832E-2</v>
      </c>
      <c r="H22" s="163" t="e">
        <f t="shared" si="2"/>
        <v>#REF!</v>
      </c>
      <c r="I22" s="163"/>
      <c r="J22" s="163"/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63"/>
      <c r="Y22" s="163"/>
      <c r="Z22" s="163"/>
      <c r="AA22" s="163"/>
      <c r="AB22" s="344"/>
      <c r="AC22" s="163"/>
      <c r="AD22" s="344"/>
      <c r="AE22" s="163"/>
      <c r="AF22" s="163"/>
      <c r="AG22" s="163"/>
      <c r="AH22" s="163"/>
      <c r="AI22" s="163"/>
      <c r="AJ22" s="163"/>
      <c r="AK22" s="163">
        <f t="shared" si="3"/>
        <v>1.6673174906046213E-2</v>
      </c>
      <c r="AL22" s="163">
        <f t="shared" si="3"/>
        <v>1.8778693879313454E-2</v>
      </c>
      <c r="AM22" s="163">
        <f t="shared" si="3"/>
        <v>2.0049676704186562E-2</v>
      </c>
    </row>
    <row r="23" spans="1:45" hidden="1" outlineLevel="1"/>
    <row r="24" spans="1:45" hidden="1" outlineLevel="1">
      <c r="A24" t="s">
        <v>17</v>
      </c>
      <c r="B24" s="215">
        <f t="shared" ref="B24:H24" si="4">+B17+B18</f>
        <v>0.6482298890205247</v>
      </c>
      <c r="C24" s="215">
        <f t="shared" si="4"/>
        <v>0.62897640006089972</v>
      </c>
      <c r="D24" s="215">
        <f t="shared" si="4"/>
        <v>0.64196405429478087</v>
      </c>
      <c r="E24" s="215">
        <f t="shared" si="4"/>
        <v>0.6416945115357362</v>
      </c>
      <c r="F24" s="215">
        <f t="shared" si="4"/>
        <v>0.63885616452397265</v>
      </c>
      <c r="G24" s="215">
        <f t="shared" si="4"/>
        <v>0.61037677067237728</v>
      </c>
      <c r="H24" s="215" t="e">
        <f t="shared" si="4"/>
        <v>#REF!</v>
      </c>
      <c r="I24" s="215"/>
      <c r="J24" s="215"/>
      <c r="K24" s="215"/>
      <c r="L24" s="215"/>
      <c r="M24" s="215"/>
      <c r="N24" s="215"/>
      <c r="O24" s="215"/>
      <c r="P24" s="215"/>
      <c r="Q24" s="215"/>
      <c r="R24" s="215"/>
      <c r="S24" s="215"/>
      <c r="T24" s="215"/>
      <c r="U24" s="215"/>
      <c r="V24" s="215"/>
      <c r="W24" s="215"/>
      <c r="X24" s="215"/>
      <c r="Y24" s="215"/>
      <c r="Z24" s="215"/>
      <c r="AA24" s="215"/>
      <c r="AB24" s="215"/>
      <c r="AC24" s="215"/>
      <c r="AD24" s="215"/>
      <c r="AE24" s="215"/>
      <c r="AF24" s="215"/>
      <c r="AG24" s="215"/>
      <c r="AH24" s="215"/>
      <c r="AI24" s="215"/>
      <c r="AJ24" s="215"/>
      <c r="AK24" s="215">
        <f>+AK17+AK18</f>
        <v>0.6482298890205247</v>
      </c>
      <c r="AL24" s="215">
        <f>+AL17+AL18</f>
        <v>0.62897010469103287</v>
      </c>
      <c r="AM24" s="215">
        <f>+AM17+AM18</f>
        <v>0.64060040348379144</v>
      </c>
    </row>
    <row r="25" spans="1:45" ht="18.5" collapsed="1">
      <c r="B25" s="215"/>
      <c r="C25" s="215"/>
      <c r="D25" s="215"/>
      <c r="E25" s="215"/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Y25" s="215"/>
      <c r="Z25" s="215"/>
      <c r="AA25" s="215"/>
      <c r="AB25" s="215"/>
      <c r="AC25" s="215"/>
      <c r="AD25" s="215"/>
      <c r="AE25" s="410" t="s">
        <v>3</v>
      </c>
      <c r="AF25" s="208">
        <v>4.584363253322904E-2</v>
      </c>
      <c r="AG25" s="208">
        <v>4.1959100536870929E-2</v>
      </c>
      <c r="AH25" s="208">
        <v>3.8380481225043332E-2</v>
      </c>
      <c r="AI25" s="208">
        <v>3.7440381173554804E-2</v>
      </c>
      <c r="AJ25" s="208">
        <v>3.7099110699181148E-2</v>
      </c>
      <c r="AK25" s="208">
        <v>3.9131966402087333E-2</v>
      </c>
      <c r="AL25" s="208">
        <v>3.9801472805121273E-2</v>
      </c>
      <c r="AM25" s="208">
        <v>3.9978124272995179E-2</v>
      </c>
      <c r="AN25" s="208">
        <v>3.8100902983988084E-2</v>
      </c>
      <c r="AO25" s="208">
        <v>3.8573972200214912E-2</v>
      </c>
      <c r="AP25" s="208">
        <v>3.8596266715597766E-2</v>
      </c>
      <c r="AQ25" s="208">
        <v>3.8911516005467807E-2</v>
      </c>
      <c r="AR25" s="208">
        <v>3.8713608997337605E-2</v>
      </c>
      <c r="AS25" s="208">
        <v>3.8606915736774855E-2</v>
      </c>
    </row>
    <row r="26" spans="1:45">
      <c r="A26" s="402" t="s">
        <v>18</v>
      </c>
      <c r="B26" s="215"/>
      <c r="C26" s="215"/>
      <c r="D26" s="215"/>
      <c r="E26" s="215"/>
      <c r="F26" s="215"/>
      <c r="G26" s="215"/>
      <c r="H26" s="215"/>
      <c r="I26" s="215"/>
      <c r="J26" s="215"/>
      <c r="K26" s="215"/>
      <c r="L26" s="215"/>
      <c r="M26" s="215"/>
      <c r="N26" s="215"/>
      <c r="O26" s="215"/>
      <c r="P26" s="215"/>
      <c r="Q26" s="215"/>
      <c r="R26" s="215"/>
      <c r="S26" s="215"/>
      <c r="T26" s="215"/>
      <c r="U26" s="215"/>
      <c r="V26" s="215"/>
      <c r="W26" s="215"/>
      <c r="X26" s="215"/>
      <c r="Y26" s="215"/>
      <c r="Z26" s="215"/>
      <c r="AA26" s="215"/>
      <c r="AB26" s="215"/>
      <c r="AC26" s="215"/>
      <c r="AD26" s="215"/>
      <c r="AE26" s="411" t="s">
        <v>4</v>
      </c>
      <c r="AF26" s="208">
        <v>9.5787130550488951E-3</v>
      </c>
      <c r="AG26" s="208">
        <v>9.8134279565252128E-3</v>
      </c>
      <c r="AH26" s="208">
        <v>9.4731905855130107E-3</v>
      </c>
      <c r="AI26" s="208">
        <v>8.5771271859780649E-3</v>
      </c>
      <c r="AJ26" s="208">
        <v>8.0991817671442392E-3</v>
      </c>
      <c r="AK26" s="208">
        <v>7.2980042713543802E-3</v>
      </c>
      <c r="AL26" s="208">
        <v>6.5455917087640795E-3</v>
      </c>
      <c r="AM26" s="208">
        <v>6.3050190987436958E-3</v>
      </c>
      <c r="AN26" s="208">
        <v>5.5417590416680478E-3</v>
      </c>
      <c r="AO26" s="208">
        <v>5.460062094174975E-3</v>
      </c>
      <c r="AP26" s="208">
        <v>5.3969281108061607E-3</v>
      </c>
      <c r="AQ26" s="208">
        <v>5.3617355681201094E-3</v>
      </c>
      <c r="AR26" s="208">
        <v>5.298830078741947E-3</v>
      </c>
      <c r="AS26" s="208">
        <v>5.1806663202375097E-3</v>
      </c>
    </row>
    <row r="27" spans="1:45">
      <c r="B27" s="215"/>
      <c r="C27" s="215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5"/>
      <c r="U27" s="215"/>
      <c r="V27" s="215"/>
      <c r="W27" s="215"/>
      <c r="X27" s="215"/>
      <c r="Y27" s="215"/>
      <c r="Z27" s="215"/>
      <c r="AA27" s="215"/>
      <c r="AB27" s="215"/>
      <c r="AC27" s="215"/>
      <c r="AD27" s="215"/>
      <c r="AE27" s="215"/>
      <c r="AF27" s="215"/>
      <c r="AG27" s="215"/>
      <c r="AH27" s="215"/>
      <c r="AI27" s="215"/>
      <c r="AJ27" s="215"/>
      <c r="AK27" s="215"/>
      <c r="AL27" s="215"/>
      <c r="AM27" s="215"/>
      <c r="AN27" s="215"/>
      <c r="AO27" s="215"/>
    </row>
    <row r="28" spans="1:45">
      <c r="B28" s="403">
        <v>202101</v>
      </c>
      <c r="C28" s="403">
        <v>202102</v>
      </c>
      <c r="D28" s="403">
        <v>202103</v>
      </c>
      <c r="E28" s="403">
        <v>202104</v>
      </c>
      <c r="F28" s="403">
        <v>202105</v>
      </c>
      <c r="G28" s="403">
        <v>202106</v>
      </c>
      <c r="H28" s="403">
        <v>202107</v>
      </c>
      <c r="I28" s="403">
        <v>202108</v>
      </c>
      <c r="J28" s="403">
        <v>202109</v>
      </c>
      <c r="K28" s="403">
        <v>202110</v>
      </c>
      <c r="L28" s="403">
        <v>202111</v>
      </c>
      <c r="M28" s="403">
        <v>202112</v>
      </c>
      <c r="N28" s="403">
        <v>202201</v>
      </c>
      <c r="O28" s="403">
        <v>202202</v>
      </c>
      <c r="P28" s="403">
        <v>202203</v>
      </c>
      <c r="Q28" s="403">
        <v>202004</v>
      </c>
      <c r="R28" s="403">
        <v>202005</v>
      </c>
      <c r="S28" s="403">
        <v>202206</v>
      </c>
      <c r="T28" s="403">
        <v>202207</v>
      </c>
      <c r="U28" s="403">
        <v>202208</v>
      </c>
      <c r="V28" s="403">
        <v>202209</v>
      </c>
      <c r="W28" s="403">
        <v>202210</v>
      </c>
      <c r="X28" s="403">
        <v>202211</v>
      </c>
      <c r="Y28" s="403">
        <v>202212</v>
      </c>
      <c r="Z28" s="403" t="s">
        <v>236</v>
      </c>
      <c r="AA28" s="403">
        <v>202301</v>
      </c>
      <c r="AE28" s="403" t="s">
        <v>21</v>
      </c>
      <c r="AF28" s="403">
        <v>202211</v>
      </c>
      <c r="AG28" s="403">
        <v>202212</v>
      </c>
      <c r="AH28" s="403">
        <v>202301</v>
      </c>
      <c r="AI28" s="403">
        <v>202302</v>
      </c>
      <c r="AJ28" s="403">
        <v>202303</v>
      </c>
      <c r="AK28" s="403">
        <v>202304</v>
      </c>
      <c r="AL28" s="403">
        <v>202305</v>
      </c>
      <c r="AM28" s="403">
        <v>202306</v>
      </c>
      <c r="AN28" s="403">
        <v>202307</v>
      </c>
      <c r="AO28" s="403">
        <v>202308</v>
      </c>
      <c r="AP28" s="403">
        <v>202309</v>
      </c>
      <c r="AQ28" s="403">
        <v>202310</v>
      </c>
      <c r="AR28" s="403">
        <v>202311</v>
      </c>
      <c r="AS28" s="403">
        <v>202312</v>
      </c>
    </row>
    <row r="29" spans="1:45">
      <c r="A29" t="s">
        <v>9</v>
      </c>
      <c r="B29" s="405">
        <v>257.11812472809999</v>
      </c>
      <c r="C29" s="405">
        <v>218.3123609159</v>
      </c>
      <c r="D29" s="405">
        <v>306.58949817501002</v>
      </c>
      <c r="E29" s="405">
        <v>304.75927587604002</v>
      </c>
      <c r="F29" s="405">
        <v>355.64639462972002</v>
      </c>
      <c r="G29" s="405">
        <v>352.99305160313003</v>
      </c>
      <c r="H29" s="405">
        <v>420.0965325441</v>
      </c>
      <c r="I29" s="405">
        <v>414.51929054908999</v>
      </c>
      <c r="J29" s="405">
        <v>437.55441868010973</v>
      </c>
      <c r="K29" s="405">
        <v>450.58581736297998</v>
      </c>
      <c r="L29" s="405">
        <v>542.37330722119998</v>
      </c>
      <c r="M29" s="405">
        <v>551.76711686264002</v>
      </c>
      <c r="N29" s="405">
        <v>495.22569633331165</v>
      </c>
      <c r="O29" s="405">
        <v>504.59367888917001</v>
      </c>
      <c r="P29" s="405">
        <v>585.45418211964</v>
      </c>
      <c r="Q29" s="405">
        <v>541.69100546236996</v>
      </c>
      <c r="R29" s="405">
        <v>607.55044121125002</v>
      </c>
      <c r="S29" s="405">
        <v>561.50284094563006</v>
      </c>
      <c r="T29" s="412">
        <v>541.56300731491001</v>
      </c>
      <c r="U29" s="412">
        <v>676.88538734251995</v>
      </c>
      <c r="V29" s="19">
        <v>570.70913425234005</v>
      </c>
      <c r="W29" s="19">
        <v>621.03498516727996</v>
      </c>
      <c r="X29" s="412">
        <v>617.33303094681003</v>
      </c>
      <c r="Y29" s="412">
        <v>644.06054054510821</v>
      </c>
      <c r="Z29" s="413">
        <f>+Z60</f>
        <v>397.2626173134401</v>
      </c>
      <c r="AA29" s="405">
        <f t="shared" ref="AA29:AA34" si="5">+$AA$35*(Z29/$Y$35)</f>
        <v>376.30966977437691</v>
      </c>
      <c r="AE29" s="414" t="s">
        <v>9</v>
      </c>
      <c r="AF29" s="415">
        <v>627553590.75452197</v>
      </c>
      <c r="AG29" s="415">
        <v>650810659.80868065</v>
      </c>
      <c r="AH29" s="415">
        <v>595985165.79237986</v>
      </c>
      <c r="AI29" s="415">
        <v>607985851.46648633</v>
      </c>
      <c r="AJ29" s="415">
        <v>669695546.96941376</v>
      </c>
      <c r="AK29" s="415">
        <v>633142366.54418623</v>
      </c>
      <c r="AL29" s="415">
        <v>681720590.24421549</v>
      </c>
      <c r="AM29" s="415">
        <v>644133766.55818534</v>
      </c>
      <c r="AN29" s="415">
        <v>688812663.93935108</v>
      </c>
      <c r="AO29" s="415">
        <v>692271003.09719253</v>
      </c>
      <c r="AP29" s="415">
        <v>656471746.61359739</v>
      </c>
      <c r="AQ29" s="415">
        <v>697094056.36666977</v>
      </c>
      <c r="AR29" s="415">
        <v>723078373.55293798</v>
      </c>
      <c r="AS29" s="415">
        <v>760456683.64280283</v>
      </c>
    </row>
    <row r="30" spans="1:45">
      <c r="A30" t="s">
        <v>10</v>
      </c>
      <c r="B30" s="405">
        <v>128.76692055237001</v>
      </c>
      <c r="C30" s="405">
        <v>119.77027414707</v>
      </c>
      <c r="D30" s="405">
        <v>179.51380651923</v>
      </c>
      <c r="E30" s="405">
        <v>161.99113197949001</v>
      </c>
      <c r="F30" s="405">
        <v>179.5374261728</v>
      </c>
      <c r="G30" s="405">
        <v>170.43719006823</v>
      </c>
      <c r="H30" s="405">
        <v>209.70943599557</v>
      </c>
      <c r="I30" s="405">
        <v>215.13463618246999</v>
      </c>
      <c r="J30" s="405">
        <v>214.49419689756917</v>
      </c>
      <c r="K30" s="405">
        <v>221.13980571126999</v>
      </c>
      <c r="L30" s="405">
        <v>272.90377656782999</v>
      </c>
      <c r="M30" s="405">
        <v>281.17182581191997</v>
      </c>
      <c r="N30" s="405">
        <v>255.13880381792836</v>
      </c>
      <c r="O30" s="405">
        <v>252.55130245015999</v>
      </c>
      <c r="P30" s="405">
        <v>296.53018677457999</v>
      </c>
      <c r="Q30" s="405">
        <v>263.53670825374002</v>
      </c>
      <c r="R30" s="405">
        <v>296.27303506896999</v>
      </c>
      <c r="S30" s="405">
        <v>281.93082695506001</v>
      </c>
      <c r="T30" s="412">
        <v>271.05906063257999</v>
      </c>
      <c r="U30" s="412">
        <v>351.70206897354001</v>
      </c>
      <c r="V30" s="19">
        <v>303.44103607365003</v>
      </c>
      <c r="W30" s="19">
        <v>331.22319871073</v>
      </c>
      <c r="X30" s="412">
        <v>336.42679612990003</v>
      </c>
      <c r="Y30" s="412">
        <v>350.99243569870089</v>
      </c>
      <c r="Z30" s="413">
        <f>+Z57</f>
        <v>262.23897986334919</v>
      </c>
      <c r="AA30" s="405">
        <f t="shared" si="5"/>
        <v>248.40762662670949</v>
      </c>
      <c r="AE30" s="414" t="s">
        <v>10</v>
      </c>
      <c r="AF30" s="415">
        <v>358648358.38908529</v>
      </c>
      <c r="AG30" s="415">
        <v>389542104.71170098</v>
      </c>
      <c r="AH30" s="415">
        <v>357763373.6140123</v>
      </c>
      <c r="AI30" s="415">
        <v>362823996.26647675</v>
      </c>
      <c r="AJ30" s="415">
        <v>395192035.60029203</v>
      </c>
      <c r="AK30" s="415">
        <v>368077049.84353554</v>
      </c>
      <c r="AL30" s="415">
        <v>394581924.6975708</v>
      </c>
      <c r="AM30" s="415">
        <v>369383943.34825945</v>
      </c>
      <c r="AN30" s="415">
        <v>392552379.51802802</v>
      </c>
      <c r="AO30" s="415">
        <v>395819900.18154949</v>
      </c>
      <c r="AP30" s="415">
        <v>376657892.09812713</v>
      </c>
      <c r="AQ30" s="415">
        <v>399903391.79280567</v>
      </c>
      <c r="AR30" s="415">
        <v>419775407.91075885</v>
      </c>
      <c r="AS30" s="415">
        <v>450028623.51839924</v>
      </c>
    </row>
    <row r="31" spans="1:45">
      <c r="A31" t="s">
        <v>11</v>
      </c>
      <c r="B31" s="405">
        <v>65.110978021630004</v>
      </c>
      <c r="C31" s="405">
        <v>59.483425820459999</v>
      </c>
      <c r="D31" s="405">
        <v>89.717292160430006</v>
      </c>
      <c r="E31" s="405">
        <v>76.486415444990001</v>
      </c>
      <c r="F31" s="405">
        <v>87.381582252079994</v>
      </c>
      <c r="G31" s="405">
        <v>82.270583155720004</v>
      </c>
      <c r="H31" s="405">
        <v>96.660887851550001</v>
      </c>
      <c r="I31" s="405">
        <v>103.52093239487</v>
      </c>
      <c r="J31" s="405">
        <v>99.196515946218895</v>
      </c>
      <c r="K31" s="405">
        <v>104.46972837958999</v>
      </c>
      <c r="L31" s="405">
        <v>126.71351494942</v>
      </c>
      <c r="M31" s="405">
        <v>130.59912277851001</v>
      </c>
      <c r="N31" s="405">
        <v>126.35602664970838</v>
      </c>
      <c r="O31" s="405">
        <v>129.42604783845999</v>
      </c>
      <c r="P31" s="405">
        <v>149.35837047877999</v>
      </c>
      <c r="Q31" s="405">
        <v>129.07109832808001</v>
      </c>
      <c r="R31" s="405">
        <v>150.65257715357001</v>
      </c>
      <c r="S31" s="405">
        <v>141.22134882709</v>
      </c>
      <c r="T31" s="412">
        <v>135.66445106533999</v>
      </c>
      <c r="U31" s="412">
        <v>171.79711312424999</v>
      </c>
      <c r="V31" s="19">
        <v>150.48327152792999</v>
      </c>
      <c r="W31" s="19">
        <v>164.64180157049</v>
      </c>
      <c r="X31" s="412">
        <v>166.96185480643001</v>
      </c>
      <c r="Y31" s="412">
        <v>174.19048887132752</v>
      </c>
      <c r="Z31" s="413">
        <f>+Z59</f>
        <v>140.7757717803876</v>
      </c>
      <c r="AA31" s="405">
        <f t="shared" si="5"/>
        <v>133.35079084250512</v>
      </c>
      <c r="AE31" s="414" t="s">
        <v>11</v>
      </c>
      <c r="AF31" s="415">
        <v>164687081.82726747</v>
      </c>
      <c r="AG31" s="415">
        <v>186143389.49937063</v>
      </c>
      <c r="AH31" s="415">
        <v>169551783.08562034</v>
      </c>
      <c r="AI31" s="415">
        <v>176775364.94292694</v>
      </c>
      <c r="AJ31" s="415">
        <v>194995815.71468058</v>
      </c>
      <c r="AK31" s="415">
        <v>178212903.54271024</v>
      </c>
      <c r="AL31" s="415">
        <v>189868009.70546255</v>
      </c>
      <c r="AM31" s="415">
        <v>181708569.92943019</v>
      </c>
      <c r="AN31" s="415">
        <v>197131080.50959522</v>
      </c>
      <c r="AO31" s="415">
        <v>201816515.01506829</v>
      </c>
      <c r="AP31" s="415">
        <v>197228071.00732839</v>
      </c>
      <c r="AQ31" s="415">
        <v>210512995.95141357</v>
      </c>
      <c r="AR31" s="415">
        <v>221094945.85592896</v>
      </c>
      <c r="AS31" s="415">
        <v>239741944.83464766</v>
      </c>
    </row>
    <row r="32" spans="1:45">
      <c r="A32" t="s">
        <v>12</v>
      </c>
      <c r="B32" s="405">
        <v>98.598310571590005</v>
      </c>
      <c r="C32" s="405">
        <v>91.399719326189995</v>
      </c>
      <c r="D32" s="405">
        <v>131.65943083144001</v>
      </c>
      <c r="E32" s="405">
        <v>116.97523337908</v>
      </c>
      <c r="F32" s="405">
        <v>127.61456650117999</v>
      </c>
      <c r="G32" s="405">
        <v>117.20631180862</v>
      </c>
      <c r="H32" s="405">
        <v>132.91553368359999</v>
      </c>
      <c r="I32" s="405">
        <v>147.08074541546</v>
      </c>
      <c r="J32" s="405">
        <v>133.26238844246899</v>
      </c>
      <c r="K32" s="405">
        <v>142.09797281367</v>
      </c>
      <c r="L32" s="405">
        <v>174.6955240469</v>
      </c>
      <c r="M32" s="405">
        <v>179.17834040144999</v>
      </c>
      <c r="N32" s="405">
        <v>168.78927640203295</v>
      </c>
      <c r="O32" s="405">
        <v>171.62192923738999</v>
      </c>
      <c r="P32" s="405">
        <v>201.95276256560001</v>
      </c>
      <c r="Q32" s="405">
        <v>173.21280177886001</v>
      </c>
      <c r="R32" s="405">
        <v>201.31581547005999</v>
      </c>
      <c r="S32" s="405">
        <v>194.18984173619</v>
      </c>
      <c r="T32" s="412">
        <v>186.17407380794</v>
      </c>
      <c r="U32" s="412">
        <v>238.65555159979999</v>
      </c>
      <c r="V32" s="19">
        <v>208.62821067611</v>
      </c>
      <c r="W32" s="19">
        <v>222.09162761092</v>
      </c>
      <c r="X32" s="412">
        <v>229.75868272142</v>
      </c>
      <c r="Y32" s="412">
        <v>239.70611318421379</v>
      </c>
      <c r="Z32" s="413">
        <f>+Z58</f>
        <v>103.69090543742743</v>
      </c>
      <c r="AA32" s="405">
        <f t="shared" si="5"/>
        <v>98.221903303269457</v>
      </c>
      <c r="AE32" s="414" t="s">
        <v>12</v>
      </c>
      <c r="AF32" s="415">
        <v>216613576.82248729</v>
      </c>
      <c r="AG32" s="415">
        <v>223162805.69839194</v>
      </c>
      <c r="AH32" s="415">
        <v>204311572.37159991</v>
      </c>
      <c r="AI32" s="415">
        <v>208306733.00478786</v>
      </c>
      <c r="AJ32" s="415">
        <v>223051236.17052633</v>
      </c>
      <c r="AK32" s="415">
        <v>199416935.91269329</v>
      </c>
      <c r="AL32" s="415">
        <v>208477842.71845329</v>
      </c>
      <c r="AM32" s="415">
        <v>190664600.3017444</v>
      </c>
      <c r="AN32" s="415">
        <v>204671838.35605824</v>
      </c>
      <c r="AO32" s="415">
        <v>204661369.09262201</v>
      </c>
      <c r="AP32" s="415">
        <v>194184372.29915637</v>
      </c>
      <c r="AQ32" s="415">
        <v>204170947.21501881</v>
      </c>
      <c r="AR32" s="415">
        <v>213617347.26697868</v>
      </c>
      <c r="AS32" s="415">
        <v>225778067.17248857</v>
      </c>
    </row>
    <row r="33" spans="1:45">
      <c r="A33" t="s">
        <v>13</v>
      </c>
      <c r="B33" s="405">
        <v>36.261999960499999</v>
      </c>
      <c r="C33" s="405">
        <v>36.137150191650001</v>
      </c>
      <c r="D33" s="405">
        <v>50.419139231519999</v>
      </c>
      <c r="E33" s="405">
        <v>44.437661406979998</v>
      </c>
      <c r="F33" s="405">
        <v>49.529512849520003</v>
      </c>
      <c r="G33" s="405">
        <v>41.368256579700002</v>
      </c>
      <c r="H33" s="405">
        <v>45.159664703300002</v>
      </c>
      <c r="I33" s="405">
        <v>52.956579786399999</v>
      </c>
      <c r="J33" s="405">
        <v>42.645178564129715</v>
      </c>
      <c r="K33" s="405">
        <v>44.639405750709997</v>
      </c>
      <c r="L33" s="405">
        <v>56.299005205699999</v>
      </c>
      <c r="M33" s="405">
        <v>52.065923097320002</v>
      </c>
      <c r="N33" s="405">
        <v>50.03682880329476</v>
      </c>
      <c r="O33" s="405">
        <v>53.269350816120003</v>
      </c>
      <c r="P33" s="405">
        <v>63.242931736780001</v>
      </c>
      <c r="Q33" s="405">
        <v>53.616450344100002</v>
      </c>
      <c r="R33" s="405">
        <v>64.397724902069996</v>
      </c>
      <c r="S33" s="405">
        <v>61.298050885549998</v>
      </c>
      <c r="T33" s="412">
        <v>58.749585091759997</v>
      </c>
      <c r="U33" s="412">
        <v>75.195287445580007</v>
      </c>
      <c r="V33" s="19">
        <v>65.006427870600007</v>
      </c>
      <c r="W33" s="19">
        <v>68.425065201300001</v>
      </c>
      <c r="X33" s="412">
        <v>70.917681046569996</v>
      </c>
      <c r="Y33" s="412">
        <v>73.988070780866536</v>
      </c>
      <c r="Z33" s="413">
        <f>+Z61</f>
        <v>61.335084091698768</v>
      </c>
      <c r="AA33" s="405">
        <f t="shared" si="5"/>
        <v>58.100068403667365</v>
      </c>
      <c r="AE33" s="414" t="s">
        <v>13</v>
      </c>
      <c r="AF33" s="415">
        <v>66369648.64361006</v>
      </c>
      <c r="AG33" s="415">
        <v>64147462.357681453</v>
      </c>
      <c r="AH33" s="415">
        <v>53515286.35503906</v>
      </c>
      <c r="AI33" s="415">
        <v>53213881.513843954</v>
      </c>
      <c r="AJ33" s="415">
        <v>57619876.178690434</v>
      </c>
      <c r="AK33" s="415">
        <v>56584289.662818491</v>
      </c>
      <c r="AL33" s="415">
        <v>61545636.475081205</v>
      </c>
      <c r="AM33" s="415">
        <v>58094095.170793712</v>
      </c>
      <c r="AN33" s="415">
        <v>59088832.591720164</v>
      </c>
      <c r="AO33" s="415">
        <v>60307016.069761336</v>
      </c>
      <c r="AP33" s="415">
        <v>57512149.335782051</v>
      </c>
      <c r="AQ33" s="415">
        <v>61546686.592789233</v>
      </c>
      <c r="AR33" s="415">
        <v>63885011.348877668</v>
      </c>
      <c r="AS33" s="415">
        <v>67668433.203067243</v>
      </c>
    </row>
    <row r="34" spans="1:45">
      <c r="A34" t="s">
        <v>14</v>
      </c>
      <c r="B34" s="405">
        <v>9.9305896702500007</v>
      </c>
      <c r="C34" s="405">
        <v>10.01709682563</v>
      </c>
      <c r="D34" s="405">
        <v>12.897198661499999</v>
      </c>
      <c r="E34" s="405">
        <v>10.917682354269999</v>
      </c>
      <c r="F34" s="405">
        <v>11.77224877469</v>
      </c>
      <c r="G34" s="405">
        <v>9.0450333356900003</v>
      </c>
      <c r="H34" s="405">
        <v>10.35866286684</v>
      </c>
      <c r="I34" s="405">
        <v>12.469980848720001</v>
      </c>
      <c r="J34" s="405">
        <v>8.7733014695035703</v>
      </c>
      <c r="K34" s="405">
        <v>9.4036092375100004</v>
      </c>
      <c r="L34" s="405">
        <v>11.899275308209999</v>
      </c>
      <c r="M34" s="405">
        <v>10.38704103135</v>
      </c>
      <c r="N34" s="405">
        <v>9.7993679937239637</v>
      </c>
      <c r="O34" s="405">
        <v>11.493933642729999</v>
      </c>
      <c r="P34" s="405">
        <v>13.770644918409999</v>
      </c>
      <c r="Q34" s="405">
        <v>11.85193467194</v>
      </c>
      <c r="R34" s="405">
        <v>14.01743940593</v>
      </c>
      <c r="S34" s="405">
        <v>13.7010727037</v>
      </c>
      <c r="T34" s="412">
        <v>12.65930455757</v>
      </c>
      <c r="U34" s="412">
        <v>16.352860842969999</v>
      </c>
      <c r="V34" s="19">
        <v>10.12650101094</v>
      </c>
      <c r="W34" s="19">
        <v>9.1623331039299991</v>
      </c>
      <c r="X34" s="412">
        <v>10.29627253252</v>
      </c>
      <c r="Y34" s="412">
        <v>10.742050919782958</v>
      </c>
      <c r="Z34" s="413">
        <f>+Z62</f>
        <v>34.638224484076851</v>
      </c>
      <c r="AA34" s="405">
        <f t="shared" si="5"/>
        <v>32.81128968369385</v>
      </c>
      <c r="AE34" s="414" t="s">
        <v>14</v>
      </c>
      <c r="AF34" s="415">
        <v>13867483.547704313</v>
      </c>
      <c r="AG34" s="415">
        <v>15002859.746429753</v>
      </c>
      <c r="AH34" s="415">
        <v>13208810.590649821</v>
      </c>
      <c r="AI34" s="415">
        <v>12190640.57302361</v>
      </c>
      <c r="AJ34" s="415">
        <v>12579111.514440121</v>
      </c>
      <c r="AK34" s="415">
        <v>10552814.632611347</v>
      </c>
      <c r="AL34" s="415">
        <v>10121550.270121271</v>
      </c>
      <c r="AM34" s="415">
        <v>9162120.1904039718</v>
      </c>
      <c r="AN34" s="415">
        <v>8594443.8748443406</v>
      </c>
      <c r="AO34" s="415">
        <v>8536327.3127850294</v>
      </c>
      <c r="AP34" s="415">
        <v>8041941.9253761061</v>
      </c>
      <c r="AQ34" s="415">
        <v>8480704.2356850915</v>
      </c>
      <c r="AR34" s="415">
        <v>8744103.9077365249</v>
      </c>
      <c r="AS34" s="415">
        <v>9080434.5840152279</v>
      </c>
    </row>
    <row r="35" spans="1:45">
      <c r="A35" s="149" t="s">
        <v>15</v>
      </c>
      <c r="B35" s="407">
        <v>595.78692350443998</v>
      </c>
      <c r="C35" s="407">
        <v>535.12002722689999</v>
      </c>
      <c r="D35" s="407">
        <v>770.79636557913</v>
      </c>
      <c r="E35" s="407">
        <v>715.56740044085018</v>
      </c>
      <c r="F35" s="407">
        <v>811.48173117998988</v>
      </c>
      <c r="G35" s="407">
        <v>774.53675274863008</v>
      </c>
      <c r="H35" s="407">
        <v>914.91202180496009</v>
      </c>
      <c r="I35" s="407">
        <v>945.68216517700989</v>
      </c>
      <c r="J35" s="407">
        <v>935.92600000000004</v>
      </c>
      <c r="K35" s="407">
        <f>+SUM(K29:K34)</f>
        <v>972.33633925572997</v>
      </c>
      <c r="L35" s="407">
        <f>+SUM(L29:L34)</f>
        <v>1184.8844032992602</v>
      </c>
      <c r="M35" s="407">
        <f t="shared" ref="M35:Z35" si="6">SUM(M29:M34)</f>
        <v>1205.1693699831899</v>
      </c>
      <c r="N35" s="407">
        <f t="shared" si="6"/>
        <v>1105.3460000000002</v>
      </c>
      <c r="O35" s="407">
        <f t="shared" si="6"/>
        <v>1122.9562428740303</v>
      </c>
      <c r="P35" s="407">
        <f t="shared" si="6"/>
        <v>1310.30907859379</v>
      </c>
      <c r="Q35" s="407">
        <f t="shared" si="6"/>
        <v>1172.9799988390901</v>
      </c>
      <c r="R35" s="407">
        <f t="shared" si="6"/>
        <v>1334.2070332118499</v>
      </c>
      <c r="S35" s="407">
        <f t="shared" si="6"/>
        <v>1253.8439820532201</v>
      </c>
      <c r="T35" s="407">
        <f t="shared" si="6"/>
        <v>1205.8694824701001</v>
      </c>
      <c r="U35" s="407">
        <f t="shared" si="6"/>
        <v>1530.5882693286601</v>
      </c>
      <c r="V35" s="407">
        <f t="shared" si="6"/>
        <v>1308.39458141157</v>
      </c>
      <c r="W35" s="407">
        <f t="shared" si="6"/>
        <v>1416.5790113646501</v>
      </c>
      <c r="X35" s="407">
        <f t="shared" si="6"/>
        <v>1431.69431818365</v>
      </c>
      <c r="Y35" s="407">
        <v>1493.6796999999999</v>
      </c>
      <c r="Z35" s="407">
        <f t="shared" si="6"/>
        <v>999.94158297037995</v>
      </c>
      <c r="AA35" s="416">
        <v>1414.8980804106329</v>
      </c>
      <c r="AE35" s="417" t="s">
        <v>15</v>
      </c>
      <c r="AF35" s="417">
        <v>1447739739.9846764</v>
      </c>
      <c r="AG35" s="417">
        <v>1528809281.8222554</v>
      </c>
      <c r="AH35" s="417">
        <v>1394335991.8093014</v>
      </c>
      <c r="AI35" s="417">
        <v>1421296467.7675455</v>
      </c>
      <c r="AJ35" s="417">
        <v>1553133622.1480432</v>
      </c>
      <c r="AK35" s="417">
        <v>1445986360.138555</v>
      </c>
      <c r="AL35" s="417">
        <v>1546315554.1109047</v>
      </c>
      <c r="AM35" s="417">
        <v>1453147095.4988172</v>
      </c>
      <c r="AN35" s="417">
        <v>1550851238.7895968</v>
      </c>
      <c r="AO35" s="417">
        <v>1563412130.7689786</v>
      </c>
      <c r="AP35" s="417">
        <v>1490096173.2793674</v>
      </c>
      <c r="AQ35" s="417">
        <v>1581708782.154382</v>
      </c>
      <c r="AR35" s="417">
        <v>1650195189.8432188</v>
      </c>
      <c r="AS35" s="417">
        <v>1752754186.9554207</v>
      </c>
    </row>
    <row r="36" spans="1:45">
      <c r="B36" s="405"/>
      <c r="C36" s="405"/>
      <c r="D36" s="405"/>
      <c r="E36" s="405"/>
      <c r="F36" s="405"/>
      <c r="G36" s="405"/>
      <c r="H36" s="405"/>
      <c r="I36" s="405"/>
      <c r="J36" s="405"/>
      <c r="K36" s="405"/>
      <c r="L36" s="405"/>
      <c r="M36" s="405"/>
      <c r="N36" s="405"/>
      <c r="O36" s="405"/>
      <c r="P36" s="405"/>
      <c r="Q36" s="405"/>
      <c r="R36" s="405"/>
      <c r="S36" s="405"/>
      <c r="T36" s="405"/>
      <c r="U36" s="405"/>
      <c r="V36" s="405"/>
      <c r="W36" s="405"/>
      <c r="X36" s="405"/>
      <c r="Y36" s="405"/>
      <c r="Z36" s="405"/>
      <c r="AA36" s="405"/>
      <c r="AC36" t="s">
        <v>22</v>
      </c>
    </row>
    <row r="37" spans="1:45">
      <c r="B37" s="403">
        <v>202101</v>
      </c>
      <c r="C37" s="403">
        <v>202102</v>
      </c>
      <c r="D37" s="403">
        <v>202103</v>
      </c>
      <c r="E37" s="403">
        <v>202104</v>
      </c>
      <c r="F37" s="403">
        <v>202105</v>
      </c>
      <c r="G37" s="403">
        <v>202106</v>
      </c>
      <c r="H37" s="403">
        <v>202107</v>
      </c>
      <c r="I37" s="403">
        <v>202108</v>
      </c>
      <c r="J37" s="403">
        <v>202109</v>
      </c>
      <c r="K37" s="403">
        <v>202110</v>
      </c>
      <c r="L37" s="403">
        <v>202111</v>
      </c>
      <c r="M37" s="403">
        <v>202112</v>
      </c>
      <c r="N37" s="403">
        <v>202201</v>
      </c>
      <c r="O37" s="403">
        <v>202202</v>
      </c>
      <c r="P37" s="403">
        <v>202203</v>
      </c>
      <c r="Q37" s="403">
        <v>202004</v>
      </c>
      <c r="R37" s="403">
        <v>202005</v>
      </c>
      <c r="S37" s="403">
        <v>202206</v>
      </c>
      <c r="T37" s="403">
        <v>202207</v>
      </c>
      <c r="U37" s="403">
        <v>202208</v>
      </c>
      <c r="V37" s="403">
        <v>202209</v>
      </c>
      <c r="W37" s="403">
        <v>202210</v>
      </c>
      <c r="X37" s="403">
        <f>+X28</f>
        <v>202211</v>
      </c>
      <c r="Y37" s="403">
        <f>+Y28</f>
        <v>202212</v>
      </c>
      <c r="Z37" s="403" t="str">
        <f>+Z28</f>
        <v>202301 Av</v>
      </c>
      <c r="AA37" s="403">
        <f>+AA28</f>
        <v>202301</v>
      </c>
      <c r="AB37" s="397"/>
      <c r="AC37" s="403" t="s">
        <v>23</v>
      </c>
      <c r="AD37" s="397"/>
      <c r="AE37" s="414" t="s">
        <v>24</v>
      </c>
      <c r="AF37" s="403">
        <v>202211</v>
      </c>
      <c r="AG37" s="403">
        <v>202212</v>
      </c>
      <c r="AH37" s="403">
        <v>202301</v>
      </c>
      <c r="AI37" s="403">
        <v>202302</v>
      </c>
      <c r="AJ37" s="403">
        <v>202303</v>
      </c>
      <c r="AK37" s="403">
        <v>202303</v>
      </c>
    </row>
    <row r="38" spans="1:45">
      <c r="A38" t="s">
        <v>9</v>
      </c>
      <c r="B38" s="163">
        <f t="shared" ref="B38:G43" si="7">B29/B$35</f>
        <v>0.43156053713922082</v>
      </c>
      <c r="C38" s="163">
        <f t="shared" si="7"/>
        <v>0.40796895987473825</v>
      </c>
      <c r="D38" s="163">
        <f t="shared" si="7"/>
        <v>0.39775680304960587</v>
      </c>
      <c r="E38" s="163">
        <f t="shared" si="7"/>
        <v>0.42589877024621647</v>
      </c>
      <c r="F38" s="163">
        <f t="shared" si="7"/>
        <v>0.43826790051399966</v>
      </c>
      <c r="G38" s="163">
        <f t="shared" si="7"/>
        <v>0.45574732296491965</v>
      </c>
      <c r="H38" s="344">
        <f t="shared" ref="H38:K43" si="8">+H29/H$35</f>
        <v>0.45916604278007367</v>
      </c>
      <c r="I38" s="344">
        <f t="shared" si="8"/>
        <v>0.43832833674250538</v>
      </c>
      <c r="J38" s="163">
        <f t="shared" si="8"/>
        <v>0.46750963076152358</v>
      </c>
      <c r="K38" s="344">
        <f t="shared" si="8"/>
        <v>0.46340530449358569</v>
      </c>
      <c r="L38" s="163">
        <f t="shared" ref="L38:L43" si="9">L29/$L$35</f>
        <v>0.45774364630928099</v>
      </c>
      <c r="M38" s="339">
        <f t="shared" ref="M38:M43" si="10">M29/$M$35</f>
        <v>0.4578336710219712</v>
      </c>
      <c r="N38" s="339">
        <f t="shared" ref="N38:N43" si="11">N29/$N$35</f>
        <v>0.44802776355395646</v>
      </c>
      <c r="O38" s="163">
        <f t="shared" ref="O38:O43" si="12">O29/$O$35</f>
        <v>0.44934402572778942</v>
      </c>
      <c r="P38" s="163">
        <f t="shared" ref="P38:W43" si="13">P29/P$35</f>
        <v>0.44680617091346364</v>
      </c>
      <c r="Q38" s="163">
        <f t="shared" si="13"/>
        <v>0.4618075380641502</v>
      </c>
      <c r="R38" s="163">
        <f t="shared" si="13"/>
        <v>0.45536444201518544</v>
      </c>
      <c r="S38" s="163">
        <f t="shared" si="13"/>
        <v>0.44782512735447877</v>
      </c>
      <c r="T38" s="163">
        <f t="shared" si="13"/>
        <v>0.44910582379576741</v>
      </c>
      <c r="U38" s="163">
        <f t="shared" si="13"/>
        <v>0.44223871364139777</v>
      </c>
      <c r="V38" s="163">
        <f t="shared" si="13"/>
        <v>0.43619038351307354</v>
      </c>
      <c r="W38" s="163">
        <f t="shared" si="13"/>
        <v>0.43840476258998845</v>
      </c>
      <c r="X38" s="381">
        <f t="shared" ref="X38:X43" si="14">X29/$X$35</f>
        <v>0.43119052936523694</v>
      </c>
      <c r="Y38" s="381">
        <f t="shared" ref="Y38:Y43" si="15">Y29/$Y$35</f>
        <v>0.43119052936523689</v>
      </c>
      <c r="Z38" s="418">
        <f t="shared" ref="Z38:Z43" si="16">Z29/$Z$35</f>
        <v>0.39728582557128012</v>
      </c>
      <c r="AA38" s="376">
        <f t="shared" ref="AA38:AA43" si="17">+Z38</f>
        <v>0.39728582557128012</v>
      </c>
      <c r="AB38" s="344"/>
      <c r="AC38" s="339">
        <v>0.42899999999999999</v>
      </c>
      <c r="AD38" s="344"/>
      <c r="AE38" s="414" t="s">
        <v>9</v>
      </c>
      <c r="AF38" s="208">
        <v>0.4334712748585352</v>
      </c>
      <c r="AG38" s="208">
        <v>0.42569774238481251</v>
      </c>
      <c r="AH38" s="344">
        <v>0.42743296400104025</v>
      </c>
      <c r="AI38" s="163">
        <v>0.42776849535231737</v>
      </c>
      <c r="AJ38" s="163">
        <v>0.43118991013999119</v>
      </c>
      <c r="AK38" s="208">
        <v>0.43786192179815464</v>
      </c>
      <c r="AL38" s="208">
        <v>0.44086770545109655</v>
      </c>
      <c r="AM38" s="208">
        <v>0.44326810998928884</v>
      </c>
      <c r="AN38" s="208">
        <v>0.4441513452166781</v>
      </c>
      <c r="AO38" s="208">
        <v>0.4427949543647795</v>
      </c>
      <c r="AP38" s="208">
        <v>0.44055662875024393</v>
      </c>
      <c r="AQ38" s="208">
        <v>0.44072212548329281</v>
      </c>
      <c r="AR38" s="208">
        <v>0.4381774822781031</v>
      </c>
      <c r="AS38" s="208">
        <v>0.433863852274537</v>
      </c>
    </row>
    <row r="39" spans="1:45">
      <c r="A39" t="s">
        <v>10</v>
      </c>
      <c r="B39" s="163">
        <f t="shared" si="7"/>
        <v>0.21612914864757082</v>
      </c>
      <c r="C39" s="163">
        <f t="shared" si="7"/>
        <v>0.22381945741732698</v>
      </c>
      <c r="D39" s="163">
        <f t="shared" si="7"/>
        <v>0.23289394519180709</v>
      </c>
      <c r="E39" s="163">
        <f t="shared" si="7"/>
        <v>0.22638137494761462</v>
      </c>
      <c r="F39" s="163">
        <f t="shared" si="7"/>
        <v>0.22124641784816457</v>
      </c>
      <c r="G39" s="163">
        <f t="shared" si="7"/>
        <v>0.22005048755064574</v>
      </c>
      <c r="H39" s="344">
        <f t="shared" si="8"/>
        <v>0.22921267946818566</v>
      </c>
      <c r="I39" s="344">
        <f t="shared" si="8"/>
        <v>0.22749148086365967</v>
      </c>
      <c r="J39" s="163">
        <f t="shared" si="8"/>
        <v>0.22917858559070819</v>
      </c>
      <c r="K39" s="344">
        <f t="shared" si="8"/>
        <v>0.22743139054181638</v>
      </c>
      <c r="L39" s="163">
        <f t="shared" si="9"/>
        <v>0.23032101343214667</v>
      </c>
      <c r="M39" s="339">
        <f t="shared" si="10"/>
        <v>0.23330482238844308</v>
      </c>
      <c r="N39" s="339">
        <f t="shared" si="11"/>
        <v>0.23082256941982721</v>
      </c>
      <c r="O39" s="163">
        <f t="shared" si="12"/>
        <v>0.224898613862099</v>
      </c>
      <c r="P39" s="163">
        <f>P30/$P$35</f>
        <v>0.22630552716067043</v>
      </c>
      <c r="Q39" s="163">
        <f t="shared" si="13"/>
        <v>0.22467280645412957</v>
      </c>
      <c r="R39" s="163">
        <f t="shared" si="13"/>
        <v>0.22205926643614593</v>
      </c>
      <c r="S39" s="163">
        <f t="shared" si="13"/>
        <v>0.22485319624327335</v>
      </c>
      <c r="T39" s="163">
        <f t="shared" si="13"/>
        <v>0.22478308355340684</v>
      </c>
      <c r="U39" s="163">
        <f t="shared" si="13"/>
        <v>0.22978228438128695</v>
      </c>
      <c r="V39" s="163">
        <f t="shared" si="13"/>
        <v>0.23191859732885831</v>
      </c>
      <c r="W39" s="163">
        <f t="shared" si="13"/>
        <v>0.2338190782536364</v>
      </c>
      <c r="X39" s="381">
        <f t="shared" si="14"/>
        <v>0.23498507457703344</v>
      </c>
      <c r="Y39" s="381">
        <f t="shared" si="15"/>
        <v>0.23498507457703341</v>
      </c>
      <c r="Z39" s="418">
        <f t="shared" si="16"/>
        <v>0.26225429998055916</v>
      </c>
      <c r="AA39" s="376">
        <f t="shared" si="17"/>
        <v>0.26225429998055916</v>
      </c>
      <c r="AB39" s="344"/>
      <c r="AC39" s="339">
        <v>0.23599999999999999</v>
      </c>
      <c r="AD39" s="344"/>
      <c r="AE39" s="414" t="s">
        <v>10</v>
      </c>
      <c r="AF39" s="208">
        <v>0.24772985674405915</v>
      </c>
      <c r="AG39" s="208">
        <v>0.25480098096172499</v>
      </c>
      <c r="AH39" s="344">
        <v>0.25658333121687243</v>
      </c>
      <c r="AI39" s="163">
        <v>0.25527678742238102</v>
      </c>
      <c r="AJ39" s="163">
        <v>0.2544481878215516</v>
      </c>
      <c r="AK39" s="208">
        <v>0.254550845008155</v>
      </c>
      <c r="AL39" s="208">
        <v>0.25517555174852147</v>
      </c>
      <c r="AM39" s="208">
        <v>0.25419583777336885</v>
      </c>
      <c r="AN39" s="208">
        <v>0.25312058932512832</v>
      </c>
      <c r="AO39" s="208">
        <v>0.25317694061057455</v>
      </c>
      <c r="AP39" s="208">
        <v>0.25277421608914519</v>
      </c>
      <c r="AQ39" s="208">
        <v>0.25282997496423665</v>
      </c>
      <c r="AR39" s="208">
        <v>0.25437924585796468</v>
      </c>
      <c r="AS39" s="208">
        <v>0.25675512679853335</v>
      </c>
    </row>
    <row r="40" spans="1:45">
      <c r="A40" t="s">
        <v>11</v>
      </c>
      <c r="B40" s="163">
        <f t="shared" si="7"/>
        <v>0.10928567823987291</v>
      </c>
      <c r="C40" s="163">
        <f t="shared" si="7"/>
        <v>0.11115903497149064</v>
      </c>
      <c r="D40" s="163">
        <f t="shared" si="7"/>
        <v>0.11639558275942548</v>
      </c>
      <c r="E40" s="163">
        <f t="shared" si="7"/>
        <v>0.10688918388102628</v>
      </c>
      <c r="F40" s="163">
        <f t="shared" si="7"/>
        <v>0.10768151505397035</v>
      </c>
      <c r="G40" s="163">
        <f t="shared" si="7"/>
        <v>0.10621908239184653</v>
      </c>
      <c r="H40" s="344">
        <f t="shared" si="8"/>
        <v>0.10565047299395533</v>
      </c>
      <c r="I40" s="344">
        <f t="shared" si="8"/>
        <v>0.10946693953511671</v>
      </c>
      <c r="J40" s="163">
        <f t="shared" si="8"/>
        <v>0.10598756306184345</v>
      </c>
      <c r="K40" s="344">
        <f t="shared" si="8"/>
        <v>0.10744196649027417</v>
      </c>
      <c r="L40" s="163">
        <f t="shared" si="9"/>
        <v>0.10694166839954312</v>
      </c>
      <c r="M40" s="339">
        <f t="shared" si="10"/>
        <v>0.10836578329262687</v>
      </c>
      <c r="N40" s="339">
        <f t="shared" si="11"/>
        <v>0.11431355127689281</v>
      </c>
      <c r="O40" s="163">
        <f t="shared" si="12"/>
        <v>0.11525475605996395</v>
      </c>
      <c r="P40" s="163">
        <f>P31/$P$35</f>
        <v>0.11398712938711364</v>
      </c>
      <c r="Q40" s="163">
        <f t="shared" si="13"/>
        <v>0.11003691320894043</v>
      </c>
      <c r="R40" s="163">
        <f t="shared" si="13"/>
        <v>0.11291544220907197</v>
      </c>
      <c r="S40" s="163">
        <f t="shared" si="13"/>
        <v>0.11263071869263538</v>
      </c>
      <c r="T40" s="163">
        <f t="shared" si="13"/>
        <v>0.11250342847009052</v>
      </c>
      <c r="U40" s="163">
        <f t="shared" si="13"/>
        <v>0.11224253874597045</v>
      </c>
      <c r="V40" s="163">
        <f t="shared" si="13"/>
        <v>0.11501367681114984</v>
      </c>
      <c r="W40" s="163">
        <f t="shared" si="13"/>
        <v>0.11622493362504618</v>
      </c>
      <c r="X40" s="381">
        <f t="shared" si="14"/>
        <v>0.11661836796157002</v>
      </c>
      <c r="Y40" s="381">
        <f t="shared" si="15"/>
        <v>0.11661836796157003</v>
      </c>
      <c r="Z40" s="418">
        <f t="shared" si="16"/>
        <v>0.14078399596324981</v>
      </c>
      <c r="AA40" s="376">
        <f t="shared" si="17"/>
        <v>0.14078399596324981</v>
      </c>
      <c r="AB40" s="344"/>
      <c r="AC40" s="339">
        <v>0.122</v>
      </c>
      <c r="AD40" s="344"/>
      <c r="AE40" s="414" t="s">
        <v>11</v>
      </c>
      <c r="AF40" s="208">
        <v>0.11375461851244796</v>
      </c>
      <c r="AG40" s="208">
        <v>0.12175710319962088</v>
      </c>
      <c r="AH40" s="344">
        <v>0.12160037758589923</v>
      </c>
      <c r="AI40" s="163">
        <v>0.12437613752786639</v>
      </c>
      <c r="AJ40" s="163">
        <v>0.12554992882389213</v>
      </c>
      <c r="AK40" s="208">
        <v>0.12324660069797187</v>
      </c>
      <c r="AL40" s="208">
        <v>0.12278736329120883</v>
      </c>
      <c r="AM40" s="208">
        <v>0.12504485643076324</v>
      </c>
      <c r="AN40" s="208">
        <v>0.12711153434900141</v>
      </c>
      <c r="AO40" s="208">
        <v>0.12908721318146801</v>
      </c>
      <c r="AP40" s="208">
        <v>0.13235928965126703</v>
      </c>
      <c r="AQ40" s="208">
        <v>0.13309213322106125</v>
      </c>
      <c r="AR40" s="208">
        <v>0.13398108733848307</v>
      </c>
      <c r="AS40" s="208">
        <v>0.1367801295919798</v>
      </c>
    </row>
    <row r="41" spans="1:45">
      <c r="A41" t="s">
        <v>12</v>
      </c>
      <c r="B41" s="163">
        <f t="shared" si="7"/>
        <v>0.16549257239758003</v>
      </c>
      <c r="C41" s="163">
        <f t="shared" si="7"/>
        <v>0.17080227738782605</v>
      </c>
      <c r="D41" s="163">
        <f t="shared" si="7"/>
        <v>0.17080961549749787</v>
      </c>
      <c r="E41" s="163">
        <f t="shared" si="7"/>
        <v>0.16347199901366849</v>
      </c>
      <c r="F41" s="163">
        <f t="shared" si="7"/>
        <v>0.15726117002734419</v>
      </c>
      <c r="G41" s="163">
        <f t="shared" si="7"/>
        <v>0.15132440312572024</v>
      </c>
      <c r="H41" s="344">
        <f t="shared" si="8"/>
        <v>0.14527684686160433</v>
      </c>
      <c r="I41" s="344">
        <f t="shared" si="8"/>
        <v>0.15552872924057934</v>
      </c>
      <c r="J41" s="163">
        <f t="shared" si="8"/>
        <v>0.14238560360805125</v>
      </c>
      <c r="K41" s="344">
        <f t="shared" si="8"/>
        <v>0.14614076125390746</v>
      </c>
      <c r="L41" s="163">
        <f t="shared" si="9"/>
        <v>0.14743676561229752</v>
      </c>
      <c r="M41" s="339">
        <f t="shared" si="10"/>
        <v>0.14867482103693794</v>
      </c>
      <c r="N41" s="339">
        <f t="shared" si="11"/>
        <v>0.15270266179280778</v>
      </c>
      <c r="O41" s="163">
        <f t="shared" si="12"/>
        <v>0.15283046897548794</v>
      </c>
      <c r="P41" s="163">
        <f>P32/$P$35</f>
        <v>0.15412605000213661</v>
      </c>
      <c r="Q41" s="163">
        <f t="shared" si="13"/>
        <v>0.14766901562711252</v>
      </c>
      <c r="R41" s="163">
        <f t="shared" si="13"/>
        <v>0.15088798848963525</v>
      </c>
      <c r="S41" s="163">
        <f t="shared" si="13"/>
        <v>0.15487560216080179</v>
      </c>
      <c r="T41" s="163">
        <f t="shared" si="13"/>
        <v>0.15438990414334186</v>
      </c>
      <c r="U41" s="163">
        <f t="shared" si="13"/>
        <v>0.1559240694458465</v>
      </c>
      <c r="V41" s="163">
        <f t="shared" si="13"/>
        <v>0.15945358811485608</v>
      </c>
      <c r="W41" s="163">
        <f t="shared" si="13"/>
        <v>0.15678026134029036</v>
      </c>
      <c r="X41" s="381">
        <f t="shared" si="14"/>
        <v>0.16048026439953211</v>
      </c>
      <c r="Y41" s="381">
        <f t="shared" si="15"/>
        <v>0.16048026439953211</v>
      </c>
      <c r="Z41" s="418">
        <f t="shared" si="16"/>
        <v>0.1036969631059927</v>
      </c>
      <c r="AA41" s="376">
        <f t="shared" si="17"/>
        <v>0.1036969631059927</v>
      </c>
      <c r="AB41" s="344"/>
      <c r="AC41" s="339">
        <v>0.157</v>
      </c>
      <c r="AD41" s="344"/>
      <c r="AE41" s="414" t="s">
        <v>12</v>
      </c>
      <c r="AF41" s="208">
        <v>0.14962190429667976</v>
      </c>
      <c r="AG41" s="208">
        <v>0.14597164496044551</v>
      </c>
      <c r="AH41" s="344">
        <v>0.1465296553856317</v>
      </c>
      <c r="AI41" s="163">
        <v>0.14656107133790236</v>
      </c>
      <c r="AJ41" s="163">
        <v>0.14361368074823977</v>
      </c>
      <c r="AK41" s="208">
        <v>0.13791066182227685</v>
      </c>
      <c r="AL41" s="208">
        <v>0.13482231499528774</v>
      </c>
      <c r="AM41" s="208">
        <v>0.1312080524348401</v>
      </c>
      <c r="AN41" s="208">
        <v>0.13197386908353623</v>
      </c>
      <c r="AO41" s="208">
        <v>0.13090685754878814</v>
      </c>
      <c r="AP41" s="208">
        <v>0.13031667068293995</v>
      </c>
      <c r="AQ41" s="208">
        <v>0.12908251475782145</v>
      </c>
      <c r="AR41" s="208">
        <v>0.12944974544936952</v>
      </c>
      <c r="AS41" s="208">
        <v>0.12881330927793755</v>
      </c>
    </row>
    <row r="42" spans="1:45">
      <c r="A42" t="s">
        <v>13</v>
      </c>
      <c r="B42" s="163">
        <f t="shared" si="7"/>
        <v>6.0864041371041878E-2</v>
      </c>
      <c r="C42" s="163">
        <f t="shared" si="7"/>
        <v>6.7530924564569203E-2</v>
      </c>
      <c r="D42" s="163">
        <f t="shared" si="7"/>
        <v>6.5411750084781589E-2</v>
      </c>
      <c r="E42" s="163">
        <f t="shared" si="7"/>
        <v>6.2101293853804175E-2</v>
      </c>
      <c r="F42" s="163">
        <f t="shared" si="7"/>
        <v>6.1035893904226611E-2</v>
      </c>
      <c r="G42" s="163">
        <f t="shared" si="7"/>
        <v>5.3410320985924541E-2</v>
      </c>
      <c r="H42" s="344">
        <f t="shared" si="8"/>
        <v>4.9359570786060881E-2</v>
      </c>
      <c r="I42" s="344">
        <f t="shared" si="8"/>
        <v>5.5998285403307514E-2</v>
      </c>
      <c r="J42" s="163">
        <f t="shared" si="8"/>
        <v>4.5564690546186039E-2</v>
      </c>
      <c r="K42" s="344">
        <f t="shared" si="8"/>
        <v>4.5909428608704485E-2</v>
      </c>
      <c r="L42" s="163">
        <f t="shared" si="9"/>
        <v>4.7514344056633552E-2</v>
      </c>
      <c r="M42" s="339">
        <f t="shared" si="10"/>
        <v>4.3202162612252779E-2</v>
      </c>
      <c r="N42" s="339">
        <f t="shared" si="11"/>
        <v>4.5268023590165206E-2</v>
      </c>
      <c r="O42" s="163">
        <f t="shared" si="12"/>
        <v>4.7436711050989358E-2</v>
      </c>
      <c r="P42" s="163">
        <f>P33/$P$35</f>
        <v>4.8265659431018869E-2</v>
      </c>
      <c r="Q42" s="163">
        <f t="shared" si="13"/>
        <v>4.5709603230374547E-2</v>
      </c>
      <c r="R42" s="163">
        <f t="shared" si="13"/>
        <v>4.82666657415564E-2</v>
      </c>
      <c r="S42" s="163">
        <f t="shared" si="13"/>
        <v>4.8888100723003806E-2</v>
      </c>
      <c r="T42" s="163">
        <f t="shared" si="13"/>
        <v>4.8719688113689957E-2</v>
      </c>
      <c r="U42" s="163">
        <f t="shared" si="13"/>
        <v>4.9128357346265195E-2</v>
      </c>
      <c r="V42" s="163">
        <f t="shared" si="13"/>
        <v>4.9684115781393257E-2</v>
      </c>
      <c r="W42" s="163">
        <f t="shared" si="13"/>
        <v>4.8303034742399054E-2</v>
      </c>
      <c r="X42" s="381">
        <f t="shared" si="14"/>
        <v>4.9534094077108057E-2</v>
      </c>
      <c r="Y42" s="381">
        <f t="shared" si="15"/>
        <v>4.9534094077108057E-2</v>
      </c>
      <c r="Z42" s="418">
        <f t="shared" si="16"/>
        <v>6.133866731444413E-2</v>
      </c>
      <c r="AA42" s="376">
        <f t="shared" si="17"/>
        <v>6.133866731444413E-2</v>
      </c>
      <c r="AB42" s="344"/>
      <c r="AC42" s="339">
        <v>4.7E-2</v>
      </c>
      <c r="AD42" s="344"/>
      <c r="AE42" s="414" t="s">
        <v>13</v>
      </c>
      <c r="AF42" s="208">
        <v>4.584363253322904E-2</v>
      </c>
      <c r="AG42" s="208">
        <v>4.1959100536870929E-2</v>
      </c>
      <c r="AH42" s="344">
        <v>3.8380481225043332E-2</v>
      </c>
      <c r="AI42" s="163">
        <v>3.7440381173554804E-2</v>
      </c>
      <c r="AJ42" s="163">
        <v>3.7099110699181148E-2</v>
      </c>
      <c r="AK42" s="208">
        <v>3.9131966402087333E-2</v>
      </c>
      <c r="AL42" s="208">
        <v>3.9801472805121273E-2</v>
      </c>
      <c r="AM42" s="208">
        <v>3.9978124272995179E-2</v>
      </c>
      <c r="AN42" s="208">
        <v>3.8100902983988084E-2</v>
      </c>
      <c r="AO42" s="208">
        <v>3.8573972200214912E-2</v>
      </c>
      <c r="AP42" s="208">
        <v>3.8596266715597766E-2</v>
      </c>
      <c r="AQ42" s="208">
        <v>3.8911516005467807E-2</v>
      </c>
      <c r="AR42" s="208">
        <v>3.8713608997337605E-2</v>
      </c>
      <c r="AS42" s="208">
        <v>3.8606915736774855E-2</v>
      </c>
    </row>
    <row r="43" spans="1:45">
      <c r="A43" t="s">
        <v>14</v>
      </c>
      <c r="B43" s="163">
        <f t="shared" si="7"/>
        <v>1.6668022204713587E-2</v>
      </c>
      <c r="C43" s="163">
        <f t="shared" si="7"/>
        <v>1.8719345784048894E-2</v>
      </c>
      <c r="D43" s="163">
        <f t="shared" si="7"/>
        <v>1.6732303416882123E-2</v>
      </c>
      <c r="E43" s="163">
        <f t="shared" si="7"/>
        <v>1.5257378057669734E-2</v>
      </c>
      <c r="F43" s="163">
        <f t="shared" si="7"/>
        <v>1.4507102652294792E-2</v>
      </c>
      <c r="G43" s="163">
        <f t="shared" si="7"/>
        <v>1.1677991139337833E-2</v>
      </c>
      <c r="H43" s="344">
        <f t="shared" si="8"/>
        <v>1.1322031648905634E-2</v>
      </c>
      <c r="I43" s="344">
        <f t="shared" si="8"/>
        <v>1.3186228214831468E-2</v>
      </c>
      <c r="J43" s="163">
        <f t="shared" si="8"/>
        <v>9.373926431687515E-3</v>
      </c>
      <c r="K43" s="344">
        <f t="shared" si="8"/>
        <v>9.6711486117118141E-3</v>
      </c>
      <c r="L43" s="163">
        <f t="shared" si="9"/>
        <v>1.0042562190098017E-2</v>
      </c>
      <c r="M43" s="339">
        <f t="shared" si="10"/>
        <v>8.618739647768249E-3</v>
      </c>
      <c r="N43" s="339">
        <f t="shared" si="11"/>
        <v>8.8654303663504106E-3</v>
      </c>
      <c r="O43" s="163">
        <f t="shared" si="12"/>
        <v>1.0235424323670065E-2</v>
      </c>
      <c r="P43" s="163">
        <f>P34/$P$35</f>
        <v>1.050946310559682E-2</v>
      </c>
      <c r="Q43" s="163">
        <f t="shared" si="13"/>
        <v>1.0104123415292654E-2</v>
      </c>
      <c r="R43" s="163">
        <f t="shared" si="13"/>
        <v>1.0506195108405086E-2</v>
      </c>
      <c r="S43" s="163">
        <f t="shared" si="13"/>
        <v>1.0927254825806908E-2</v>
      </c>
      <c r="T43" s="163">
        <f t="shared" si="13"/>
        <v>1.0498071923703311E-2</v>
      </c>
      <c r="U43" s="163">
        <f t="shared" si="13"/>
        <v>1.0684036439233014E-2</v>
      </c>
      <c r="V43" s="163">
        <f t="shared" si="13"/>
        <v>7.7396384506690317E-3</v>
      </c>
      <c r="W43" s="163">
        <f t="shared" si="13"/>
        <v>6.4679294486394649E-3</v>
      </c>
      <c r="X43" s="381">
        <f t="shared" si="14"/>
        <v>7.1916696195194717E-3</v>
      </c>
      <c r="Y43" s="381">
        <f t="shared" si="15"/>
        <v>7.1916696195194717E-3</v>
      </c>
      <c r="Z43" s="418">
        <f t="shared" si="16"/>
        <v>3.4640248064474077E-2</v>
      </c>
      <c r="AA43" s="376">
        <f t="shared" si="17"/>
        <v>3.4640248064474077E-2</v>
      </c>
      <c r="AB43" s="344"/>
      <c r="AC43" s="339">
        <f>100%-SUM(AC38:AC42)</f>
        <v>8.999999999999897E-3</v>
      </c>
      <c r="AD43" s="344"/>
      <c r="AE43" s="414" t="s">
        <v>14</v>
      </c>
      <c r="AF43" s="208">
        <v>9.5787130550488951E-3</v>
      </c>
      <c r="AG43" s="208">
        <v>9.8134279565252128E-3</v>
      </c>
      <c r="AH43" s="344">
        <v>9.4731905855130107E-3</v>
      </c>
      <c r="AI43" s="163">
        <v>8.5771271859780649E-3</v>
      </c>
      <c r="AJ43" s="163">
        <v>8.0991817671442392E-3</v>
      </c>
      <c r="AK43" s="208">
        <v>7.2980042713543802E-3</v>
      </c>
      <c r="AL43" s="208">
        <v>6.5455917087640795E-3</v>
      </c>
      <c r="AM43" s="208">
        <v>6.3050190987436958E-3</v>
      </c>
      <c r="AN43" s="208">
        <v>5.5417590416680478E-3</v>
      </c>
      <c r="AO43" s="208">
        <v>5.460062094174975E-3</v>
      </c>
      <c r="AP43" s="208">
        <v>5.3969281108061607E-3</v>
      </c>
      <c r="AQ43" s="208">
        <v>5.3617355681201094E-3</v>
      </c>
      <c r="AR43" s="208">
        <v>5.298830078741947E-3</v>
      </c>
      <c r="AS43" s="208">
        <v>5.1806663202375097E-3</v>
      </c>
    </row>
    <row r="44" spans="1:45">
      <c r="A44" s="149"/>
      <c r="B44" s="419"/>
      <c r="C44" s="419"/>
      <c r="D44" s="419"/>
      <c r="E44" s="419"/>
      <c r="F44" s="419"/>
      <c r="G44" s="419"/>
      <c r="W44" s="215"/>
      <c r="X44" s="215"/>
      <c r="Y44" s="215"/>
      <c r="Z44" s="215"/>
      <c r="AA44" s="215"/>
      <c r="AB44" s="215"/>
      <c r="AC44" s="215">
        <f>SUM(AC38:AC43)</f>
        <v>1</v>
      </c>
      <c r="AD44" s="215"/>
      <c r="AE44" s="215"/>
      <c r="AF44" s="215"/>
      <c r="AG44" s="215"/>
      <c r="AH44" s="215"/>
      <c r="AI44" s="215"/>
      <c r="AJ44" s="215"/>
      <c r="AK44" s="215"/>
      <c r="AL44" s="215"/>
    </row>
    <row r="45" spans="1:45" hidden="1">
      <c r="A45" t="s">
        <v>17</v>
      </c>
      <c r="B45" s="420">
        <f t="shared" ref="B45:G45" si="18">B38+B39</f>
        <v>0.64768968578679165</v>
      </c>
      <c r="C45" s="420">
        <f t="shared" si="18"/>
        <v>0.63178841729206525</v>
      </c>
      <c r="D45" s="420">
        <f t="shared" si="18"/>
        <v>0.63065074824141298</v>
      </c>
      <c r="E45" s="420">
        <f t="shared" si="18"/>
        <v>0.65228014519383115</v>
      </c>
      <c r="F45" s="420">
        <f t="shared" si="18"/>
        <v>0.65951431836216423</v>
      </c>
      <c r="G45" s="420">
        <f t="shared" si="18"/>
        <v>0.67579781051556542</v>
      </c>
      <c r="H45" s="215">
        <f>+H38+H39</f>
        <v>0.68837872224825936</v>
      </c>
      <c r="I45" s="215">
        <f>+I38+I39</f>
        <v>0.66581981760616504</v>
      </c>
      <c r="J45" s="215">
        <f>+J38+J39</f>
        <v>0.69668821635223177</v>
      </c>
      <c r="K45" s="215">
        <f>+K38+K39</f>
        <v>0.69083669503540213</v>
      </c>
      <c r="L45" s="215">
        <f>+L38+L39</f>
        <v>0.68806465974142772</v>
      </c>
      <c r="M45" s="215">
        <f t="shared" ref="M45:AA45" si="19">M38+M39</f>
        <v>0.69113849341041433</v>
      </c>
      <c r="N45" s="215">
        <f t="shared" si="19"/>
        <v>0.67885033297378361</v>
      </c>
      <c r="O45" s="215">
        <f t="shared" si="19"/>
        <v>0.67424263958988839</v>
      </c>
      <c r="P45" s="215">
        <f t="shared" si="19"/>
        <v>0.67311169807413407</v>
      </c>
      <c r="Q45" s="215">
        <f t="shared" si="19"/>
        <v>0.68648034451827977</v>
      </c>
      <c r="R45" s="215">
        <f t="shared" si="19"/>
        <v>0.67742370845133137</v>
      </c>
      <c r="S45" s="215">
        <f t="shared" si="19"/>
        <v>0.67267832359775215</v>
      </c>
      <c r="T45" s="215">
        <f t="shared" si="19"/>
        <v>0.67388890734917428</v>
      </c>
      <c r="U45" s="215">
        <f t="shared" si="19"/>
        <v>0.67202099802268478</v>
      </c>
      <c r="V45" s="215">
        <f t="shared" si="19"/>
        <v>0.66810898084193182</v>
      </c>
      <c r="W45" s="215">
        <f t="shared" si="19"/>
        <v>0.67222384084362485</v>
      </c>
      <c r="X45" s="215">
        <f t="shared" si="19"/>
        <v>0.66617560394227038</v>
      </c>
      <c r="Y45" s="215">
        <f t="shared" si="19"/>
        <v>0.66617560394227027</v>
      </c>
      <c r="Z45" s="215">
        <f t="shared" si="19"/>
        <v>0.65954012555183927</v>
      </c>
      <c r="AA45" s="215">
        <f t="shared" si="19"/>
        <v>0.65954012555183927</v>
      </c>
      <c r="AE45" s="215"/>
      <c r="AF45" s="431" t="s">
        <v>25</v>
      </c>
      <c r="AG45" s="431" t="s">
        <v>25</v>
      </c>
      <c r="AH45" s="431" t="s">
        <v>25</v>
      </c>
      <c r="AI45" s="431" t="s">
        <v>25</v>
      </c>
      <c r="AJ45" s="215"/>
      <c r="AK45" s="215"/>
      <c r="AL45" s="215"/>
    </row>
    <row r="46" spans="1:45" hidden="1">
      <c r="A46" t="s">
        <v>26</v>
      </c>
      <c r="B46" s="420">
        <f t="shared" ref="B46:AA46" si="20">B40+B41</f>
        <v>0.27477825063745293</v>
      </c>
      <c r="C46" s="420">
        <f t="shared" si="20"/>
        <v>0.28196131235931671</v>
      </c>
      <c r="D46" s="420">
        <f t="shared" si="20"/>
        <v>0.28720519825692337</v>
      </c>
      <c r="E46" s="420">
        <f t="shared" si="20"/>
        <v>0.2703611828946948</v>
      </c>
      <c r="F46" s="420">
        <f t="shared" si="20"/>
        <v>0.26494268508131452</v>
      </c>
      <c r="G46" s="420">
        <f t="shared" si="20"/>
        <v>0.25754348551756678</v>
      </c>
      <c r="H46" s="420">
        <f t="shared" si="20"/>
        <v>0.25092731985555966</v>
      </c>
      <c r="I46" s="420">
        <f t="shared" si="20"/>
        <v>0.26499566877569602</v>
      </c>
      <c r="J46" s="420">
        <f t="shared" si="20"/>
        <v>0.2483731666698947</v>
      </c>
      <c r="K46" s="420">
        <f t="shared" si="20"/>
        <v>0.25358272774418161</v>
      </c>
      <c r="L46" s="420">
        <f t="shared" si="20"/>
        <v>0.25437843401184063</v>
      </c>
      <c r="M46" s="420">
        <f t="shared" si="20"/>
        <v>0.25704060432956483</v>
      </c>
      <c r="N46" s="420">
        <f t="shared" si="20"/>
        <v>0.26701621306970058</v>
      </c>
      <c r="O46" s="420">
        <f t="shared" si="20"/>
        <v>0.2680852250354519</v>
      </c>
      <c r="P46" s="420">
        <f t="shared" si="20"/>
        <v>0.26811317938925028</v>
      </c>
      <c r="Q46" s="420">
        <f t="shared" si="20"/>
        <v>0.25770592883605292</v>
      </c>
      <c r="R46" s="420">
        <f t="shared" si="20"/>
        <v>0.26380343069870721</v>
      </c>
      <c r="S46" s="420">
        <f t="shared" si="20"/>
        <v>0.26750632085343717</v>
      </c>
      <c r="T46" s="420">
        <f t="shared" si="20"/>
        <v>0.2668933326134324</v>
      </c>
      <c r="U46" s="420">
        <f t="shared" si="20"/>
        <v>0.26816660819181692</v>
      </c>
      <c r="V46" s="420">
        <f t="shared" si="20"/>
        <v>0.27446726492600593</v>
      </c>
      <c r="W46" s="420">
        <f t="shared" si="20"/>
        <v>0.27300519496533654</v>
      </c>
      <c r="X46" s="420">
        <f t="shared" si="20"/>
        <v>0.2770986323611021</v>
      </c>
      <c r="Y46" s="420">
        <f t="shared" si="20"/>
        <v>0.27709863236110216</v>
      </c>
      <c r="Z46" s="420">
        <f t="shared" si="20"/>
        <v>0.2444809590692425</v>
      </c>
      <c r="AA46" s="420">
        <f t="shared" si="20"/>
        <v>0.2444809590692425</v>
      </c>
      <c r="AE46" s="414" t="s">
        <v>9</v>
      </c>
      <c r="AF46" s="215">
        <f>AF38-X38</f>
        <v>2.280745493298264E-3</v>
      </c>
      <c r="AG46" s="215">
        <f>AG38-Y38</f>
        <v>-5.4927869804243801E-3</v>
      </c>
      <c r="AH46" s="215">
        <f>AH38-AH54</f>
        <v>-1.5670359989597427E-3</v>
      </c>
      <c r="AI46" s="215">
        <f>AI38-AI54</f>
        <v>-1.2315046476826241E-3</v>
      </c>
      <c r="AJ46" s="215"/>
      <c r="AK46" s="215"/>
      <c r="AL46" s="215"/>
    </row>
    <row r="47" spans="1:45" hidden="1">
      <c r="A47" t="s">
        <v>27</v>
      </c>
      <c r="B47" s="420">
        <f t="shared" ref="B47:AA47" si="21">B42+B43</f>
        <v>7.7532063575755469E-2</v>
      </c>
      <c r="C47" s="420">
        <f t="shared" si="21"/>
        <v>8.6250270348618097E-2</v>
      </c>
      <c r="D47" s="420">
        <f t="shared" si="21"/>
        <v>8.2144053501663705E-2</v>
      </c>
      <c r="E47" s="420">
        <f t="shared" si="21"/>
        <v>7.7358671911473914E-2</v>
      </c>
      <c r="F47" s="420">
        <f t="shared" si="21"/>
        <v>7.55429965565214E-2</v>
      </c>
      <c r="G47" s="420">
        <f t="shared" si="21"/>
        <v>6.5088312125262379E-2</v>
      </c>
      <c r="H47" s="420">
        <f t="shared" si="21"/>
        <v>6.0681602434966515E-2</v>
      </c>
      <c r="I47" s="420">
        <f t="shared" si="21"/>
        <v>6.9184513618138987E-2</v>
      </c>
      <c r="J47" s="420">
        <f t="shared" si="21"/>
        <v>5.4938616977873556E-2</v>
      </c>
      <c r="K47" s="420">
        <f t="shared" si="21"/>
        <v>5.5580577220416302E-2</v>
      </c>
      <c r="L47" s="420">
        <f t="shared" si="21"/>
        <v>5.7556906246731571E-2</v>
      </c>
      <c r="M47" s="420">
        <f t="shared" si="21"/>
        <v>5.1820902260021028E-2</v>
      </c>
      <c r="N47" s="420">
        <f t="shared" si="21"/>
        <v>5.4133453956515615E-2</v>
      </c>
      <c r="O47" s="420">
        <f t="shared" si="21"/>
        <v>5.7672135374659421E-2</v>
      </c>
      <c r="P47" s="420">
        <f t="shared" si="21"/>
        <v>5.8775122536615688E-2</v>
      </c>
      <c r="Q47" s="420">
        <f t="shared" si="21"/>
        <v>5.5813726645667201E-2</v>
      </c>
      <c r="R47" s="420">
        <f t="shared" si="21"/>
        <v>5.8772860849961486E-2</v>
      </c>
      <c r="S47" s="420">
        <f t="shared" si="21"/>
        <v>5.9815355548810713E-2</v>
      </c>
      <c r="T47" s="420">
        <f t="shared" ref="T47:Z47" si="22">T42+T43</f>
        <v>5.921776003739327E-2</v>
      </c>
      <c r="U47" s="420">
        <f t="shared" si="22"/>
        <v>5.9812393785498207E-2</v>
      </c>
      <c r="V47" s="420">
        <f t="shared" si="22"/>
        <v>5.7423754232062287E-2</v>
      </c>
      <c r="W47" s="420">
        <f t="shared" si="22"/>
        <v>5.4770964191038517E-2</v>
      </c>
      <c r="X47" s="420">
        <f t="shared" si="22"/>
        <v>5.6725763696627532E-2</v>
      </c>
      <c r="Y47" s="420">
        <f t="shared" si="22"/>
        <v>5.6725763696627532E-2</v>
      </c>
      <c r="Z47" s="420">
        <f t="shared" si="22"/>
        <v>9.59789153789182E-2</v>
      </c>
      <c r="AA47" s="420">
        <f t="shared" si="21"/>
        <v>9.59789153789182E-2</v>
      </c>
      <c r="AE47" s="414" t="s">
        <v>10</v>
      </c>
      <c r="AF47" s="215">
        <f t="shared" ref="AF47:AG51" si="23">AF39-X39</f>
        <v>1.2744782167025709E-2</v>
      </c>
      <c r="AG47" s="215">
        <f t="shared" si="23"/>
        <v>1.9815906384691578E-2</v>
      </c>
      <c r="AH47" s="215">
        <f t="shared" ref="AH47:AI51" si="24">AH39-AH55</f>
        <v>2.0583331216872447E-2</v>
      </c>
      <c r="AI47" s="215">
        <f t="shared" si="24"/>
        <v>1.7276787422381035E-2</v>
      </c>
      <c r="AJ47" s="215"/>
      <c r="AK47" s="215"/>
      <c r="AL47" s="215"/>
    </row>
    <row r="48" spans="1:45" hidden="1">
      <c r="AE48" s="414" t="s">
        <v>11</v>
      </c>
      <c r="AF48" s="215">
        <f t="shared" si="23"/>
        <v>-2.8637494491220578E-3</v>
      </c>
      <c r="AG48" s="215">
        <f t="shared" si="23"/>
        <v>5.1387352380508483E-3</v>
      </c>
      <c r="AH48" s="215">
        <f t="shared" si="24"/>
        <v>-3.9962241410076982E-4</v>
      </c>
      <c r="AI48" s="215">
        <f t="shared" si="24"/>
        <v>2.3761375278663899E-3</v>
      </c>
      <c r="AL48" s="149"/>
    </row>
    <row r="49" spans="1:38" hidden="1">
      <c r="AE49" s="414" t="s">
        <v>12</v>
      </c>
      <c r="AF49" s="215">
        <f t="shared" si="23"/>
        <v>-1.0858360102852349E-2</v>
      </c>
      <c r="AG49" s="215">
        <f t="shared" si="23"/>
        <v>-1.4508619439086601E-2</v>
      </c>
      <c r="AH49" s="215">
        <f t="shared" si="24"/>
        <v>-1.0470344614368299E-2</v>
      </c>
      <c r="AI49" s="215">
        <f t="shared" si="24"/>
        <v>-1.0438928662097641E-2</v>
      </c>
      <c r="AL49" s="149"/>
    </row>
    <row r="50" spans="1:38" hidden="1">
      <c r="A50" t="s">
        <v>28</v>
      </c>
      <c r="L50" s="215" t="e">
        <f>L45-#REF!</f>
        <v>#REF!</v>
      </c>
      <c r="M50" s="215">
        <f t="shared" ref="M50:R52" si="25">M45-L45</f>
        <v>3.0738336689866141E-3</v>
      </c>
      <c r="N50" s="215">
        <f t="shared" si="25"/>
        <v>-1.2288160436630724E-2</v>
      </c>
      <c r="O50" s="215">
        <f t="shared" si="25"/>
        <v>-4.6076933838952172E-3</v>
      </c>
      <c r="P50" s="215">
        <f>P45-O45</f>
        <v>-1.1309415157543246E-3</v>
      </c>
      <c r="Q50" s="215">
        <f>Q45-P45</f>
        <v>1.3368646444145704E-2</v>
      </c>
      <c r="R50" s="215">
        <f>R45-Q45</f>
        <v>-9.0566360669483981E-3</v>
      </c>
      <c r="S50" s="215">
        <f t="shared" ref="S50:Y52" si="26">S45-R45</f>
        <v>-4.7453848535792265E-3</v>
      </c>
      <c r="T50" s="215">
        <f t="shared" si="26"/>
        <v>1.210583751422134E-3</v>
      </c>
      <c r="U50" s="215">
        <f t="shared" si="26"/>
        <v>-1.867909326489503E-3</v>
      </c>
      <c r="V50" s="215">
        <f t="shared" si="26"/>
        <v>-3.912017180752958E-3</v>
      </c>
      <c r="W50" s="215">
        <f t="shared" si="26"/>
        <v>4.1148600016930326E-3</v>
      </c>
      <c r="X50" s="215">
        <f t="shared" si="26"/>
        <v>-6.0482369013544757E-3</v>
      </c>
      <c r="Y50" s="215">
        <f t="shared" si="26"/>
        <v>0</v>
      </c>
      <c r="Z50" s="215">
        <f>Z45-X45</f>
        <v>-6.6354783904311043E-3</v>
      </c>
      <c r="AA50" s="215">
        <f>AA45-V45</f>
        <v>-8.5688552900925474E-3</v>
      </c>
      <c r="AE50" s="414" t="s">
        <v>13</v>
      </c>
      <c r="AF50" s="215">
        <f t="shared" si="23"/>
        <v>-3.6904615438790173E-3</v>
      </c>
      <c r="AG50" s="215">
        <f t="shared" si="23"/>
        <v>-7.574993540237128E-3</v>
      </c>
      <c r="AH50" s="215">
        <f t="shared" si="24"/>
        <v>-8.6195187749566679E-3</v>
      </c>
      <c r="AI50" s="215">
        <f t="shared" si="24"/>
        <v>-7.5596188264451941E-3</v>
      </c>
      <c r="AL50" s="149"/>
    </row>
    <row r="51" spans="1:38" hidden="1">
      <c r="A51" t="s">
        <v>29</v>
      </c>
      <c r="L51" s="215" t="e">
        <f>L46-#REF!</f>
        <v>#REF!</v>
      </c>
      <c r="M51" s="215">
        <f t="shared" si="25"/>
        <v>2.6621703177241995E-3</v>
      </c>
      <c r="N51" s="215">
        <f t="shared" si="25"/>
        <v>9.9756087401357552E-3</v>
      </c>
      <c r="O51" s="215">
        <f t="shared" si="25"/>
        <v>1.0690119657513208E-3</v>
      </c>
      <c r="P51" s="215">
        <f t="shared" si="25"/>
        <v>2.7954353798376186E-5</v>
      </c>
      <c r="Q51" s="215">
        <f t="shared" si="25"/>
        <v>-1.0407250553197356E-2</v>
      </c>
      <c r="R51" s="215">
        <f t="shared" si="25"/>
        <v>6.0975018626542865E-3</v>
      </c>
      <c r="S51" s="215">
        <f t="shared" si="26"/>
        <v>3.7028901547299653E-3</v>
      </c>
      <c r="T51" s="215">
        <f t="shared" si="26"/>
        <v>-6.1298824000477481E-4</v>
      </c>
      <c r="U51" s="215">
        <f t="shared" si="26"/>
        <v>1.2732755783845251E-3</v>
      </c>
      <c r="V51" s="215">
        <f t="shared" si="26"/>
        <v>6.300656734189003E-3</v>
      </c>
      <c r="W51" s="215">
        <f t="shared" si="26"/>
        <v>-1.4620699606693877E-3</v>
      </c>
      <c r="X51" s="215">
        <f t="shared" si="26"/>
        <v>4.0934373957655645E-3</v>
      </c>
      <c r="Y51" s="215">
        <f t="shared" si="26"/>
        <v>0</v>
      </c>
      <c r="Z51" s="215">
        <f>Z46-X46</f>
        <v>-3.2617673291859606E-2</v>
      </c>
      <c r="AA51" s="215">
        <f>AA46-V46</f>
        <v>-2.9986305856763429E-2</v>
      </c>
      <c r="AE51" s="414" t="s">
        <v>14</v>
      </c>
      <c r="AF51" s="215">
        <f t="shared" si="23"/>
        <v>2.3870434355294234E-3</v>
      </c>
      <c r="AG51" s="215">
        <f t="shared" si="23"/>
        <v>2.6217583370057411E-3</v>
      </c>
      <c r="AH51" s="215">
        <f t="shared" si="24"/>
        <v>4.7319058551311376E-4</v>
      </c>
      <c r="AI51" s="215">
        <f t="shared" si="24"/>
        <v>-4.2287281402193441E-4</v>
      </c>
      <c r="AL51" s="149"/>
    </row>
    <row r="52" spans="1:38">
      <c r="L52" s="215" t="e">
        <f>L47-#REF!</f>
        <v>#REF!</v>
      </c>
      <c r="M52" s="215">
        <f t="shared" si="25"/>
        <v>-5.7360039867105431E-3</v>
      </c>
      <c r="N52" s="215">
        <f t="shared" si="25"/>
        <v>2.3125516964945872E-3</v>
      </c>
      <c r="O52" s="215">
        <f t="shared" si="25"/>
        <v>3.5386814181438062E-3</v>
      </c>
      <c r="P52" s="215">
        <f t="shared" si="25"/>
        <v>1.1029871619562676E-3</v>
      </c>
      <c r="Q52" s="215">
        <f t="shared" si="25"/>
        <v>-2.9613958909484872E-3</v>
      </c>
      <c r="R52" s="215">
        <f t="shared" si="25"/>
        <v>2.959134204294285E-3</v>
      </c>
      <c r="S52" s="215">
        <f t="shared" si="26"/>
        <v>1.0424946988492265E-3</v>
      </c>
      <c r="T52" s="215">
        <f t="shared" si="26"/>
        <v>-5.9759551141744249E-4</v>
      </c>
      <c r="U52" s="215">
        <f t="shared" si="26"/>
        <v>5.946337481049363E-4</v>
      </c>
      <c r="V52" s="215">
        <f t="shared" si="26"/>
        <v>-2.38863955343592E-3</v>
      </c>
      <c r="W52" s="215">
        <f t="shared" si="26"/>
        <v>-2.6527900410237698E-3</v>
      </c>
      <c r="X52" s="215">
        <f t="shared" si="26"/>
        <v>1.9547995055890152E-3</v>
      </c>
      <c r="Y52" s="215">
        <f t="shared" si="26"/>
        <v>0</v>
      </c>
      <c r="Z52" s="215">
        <f>Z47-X47</f>
        <v>3.9253151682290668E-2</v>
      </c>
      <c r="AA52" s="215">
        <f>AA47-V47</f>
        <v>3.8555161146855914E-2</v>
      </c>
      <c r="AL52" s="149"/>
    </row>
    <row r="53" spans="1:38">
      <c r="AH53" s="403" t="s">
        <v>23</v>
      </c>
      <c r="AI53" s="403" t="s">
        <v>30</v>
      </c>
      <c r="AJ53" s="403" t="s">
        <v>237</v>
      </c>
      <c r="AK53" s="403" t="s">
        <v>237</v>
      </c>
      <c r="AL53" s="149"/>
    </row>
    <row r="54" spans="1:38">
      <c r="Q54" s="421"/>
      <c r="R54" s="421"/>
      <c r="S54" s="421"/>
      <c r="T54" s="421"/>
      <c r="U54" s="421"/>
      <c r="V54" s="421"/>
      <c r="W54" s="421"/>
      <c r="X54" s="422"/>
      <c r="Y54" s="422"/>
      <c r="Z54" s="422"/>
      <c r="AE54" s="414" t="s">
        <v>9</v>
      </c>
      <c r="AH54" s="344">
        <v>0.42899999999999999</v>
      </c>
      <c r="AI54" s="339">
        <v>0.42899999999999999</v>
      </c>
      <c r="AJ54" s="339">
        <v>0.43242141478767382</v>
      </c>
      <c r="AK54" s="339">
        <f>+AJ54+AK62</f>
        <v>0.43909342644583726</v>
      </c>
      <c r="AL54" s="149"/>
    </row>
    <row r="55" spans="1:38">
      <c r="P55" s="149"/>
      <c r="R55" s="163"/>
      <c r="S55" s="163"/>
      <c r="T55" s="163"/>
      <c r="U55" s="163"/>
      <c r="V55" s="163"/>
      <c r="W55" s="163"/>
      <c r="X55" s="149"/>
      <c r="Y55" s="149"/>
      <c r="Z55" s="208"/>
      <c r="AA55" s="163"/>
      <c r="AE55" s="414" t="s">
        <v>10</v>
      </c>
      <c r="AH55" s="344">
        <v>0.23599999999999999</v>
      </c>
      <c r="AI55" s="339">
        <v>0.23799999999999999</v>
      </c>
      <c r="AJ55" s="339">
        <v>0.23717140039917056</v>
      </c>
      <c r="AK55" s="339">
        <f t="shared" ref="AK55:AK59" si="27">+AJ55+AK63</f>
        <v>0.23727405758577397</v>
      </c>
    </row>
    <row r="56" spans="1:38">
      <c r="R56" s="163"/>
      <c r="S56" s="163"/>
      <c r="T56" s="163"/>
      <c r="U56" s="423" t="s">
        <v>31</v>
      </c>
      <c r="V56" s="423" t="s">
        <v>32</v>
      </c>
      <c r="W56" s="423" t="s">
        <v>33</v>
      </c>
      <c r="Z56" s="423" t="s">
        <v>34</v>
      </c>
      <c r="AA56" s="163"/>
      <c r="AE56" s="414" t="s">
        <v>11</v>
      </c>
      <c r="AH56" s="344">
        <v>0.122</v>
      </c>
      <c r="AI56" s="339">
        <v>0.122</v>
      </c>
      <c r="AJ56" s="339">
        <v>0.12317379129602574</v>
      </c>
      <c r="AK56" s="339">
        <f t="shared" si="27"/>
        <v>0.12087046317010548</v>
      </c>
    </row>
    <row r="57" spans="1:38">
      <c r="R57" s="163"/>
      <c r="S57" s="163"/>
      <c r="T57" s="163"/>
      <c r="U57" s="423">
        <v>1</v>
      </c>
      <c r="V57" s="423" t="s">
        <v>10</v>
      </c>
      <c r="W57" s="423">
        <v>259.81463184085999</v>
      </c>
      <c r="X57" s="16">
        <f t="shared" ref="X57:X62" si="28">W57/$W$67</f>
        <v>0.2622542999805591</v>
      </c>
      <c r="Y57" s="424">
        <f t="shared" ref="Y57:Y62" si="29">$W$63*X57</f>
        <v>2.4243480224891942</v>
      </c>
      <c r="Z57" s="423">
        <f t="shared" ref="Z57:Z62" si="30">W57+Y57</f>
        <v>262.23897986334919</v>
      </c>
      <c r="AB57" s="215"/>
      <c r="AC57" s="215"/>
      <c r="AD57" s="215"/>
      <c r="AE57" s="414" t="s">
        <v>12</v>
      </c>
      <c r="AH57" s="344">
        <v>0.157</v>
      </c>
      <c r="AI57" s="339">
        <v>0.157</v>
      </c>
      <c r="AJ57" s="339">
        <v>0.15405260941033741</v>
      </c>
      <c r="AK57" s="339">
        <f t="shared" si="27"/>
        <v>0.14834959048437449</v>
      </c>
    </row>
    <row r="58" spans="1:38">
      <c r="R58" s="163"/>
      <c r="S58" s="163"/>
      <c r="T58" s="163"/>
      <c r="U58" s="423">
        <v>2</v>
      </c>
      <c r="V58" s="423" t="s">
        <v>12</v>
      </c>
      <c r="W58" s="423">
        <v>102.73230331932</v>
      </c>
      <c r="X58" s="16">
        <f t="shared" si="28"/>
        <v>0.1036969631059927</v>
      </c>
      <c r="Y58" s="424">
        <f t="shared" si="29"/>
        <v>0.95860211810744167</v>
      </c>
      <c r="Z58" s="423">
        <f t="shared" si="30"/>
        <v>103.69090543742743</v>
      </c>
      <c r="AB58" s="215"/>
      <c r="AC58" s="215"/>
      <c r="AD58" s="215"/>
      <c r="AE58" s="414" t="s">
        <v>13</v>
      </c>
      <c r="AH58" s="344">
        <v>4.7E-2</v>
      </c>
      <c r="AI58" s="339">
        <v>4.4999999999999998E-2</v>
      </c>
      <c r="AJ58" s="339">
        <v>4.4658729525626342E-2</v>
      </c>
      <c r="AK58" s="339">
        <f t="shared" si="27"/>
        <v>4.6691585228532527E-2</v>
      </c>
    </row>
    <row r="59" spans="1:38">
      <c r="R59" s="163"/>
      <c r="S59" s="163"/>
      <c r="T59" s="163"/>
      <c r="U59" s="423">
        <v>3</v>
      </c>
      <c r="V59" s="423" t="s">
        <v>11</v>
      </c>
      <c r="W59" s="423">
        <v>139.47432733414999</v>
      </c>
      <c r="X59" s="16">
        <f t="shared" si="28"/>
        <v>0.14078399596324981</v>
      </c>
      <c r="Y59" s="424">
        <f t="shared" si="29"/>
        <v>1.3014444462376122</v>
      </c>
      <c r="Z59" s="423">
        <f t="shared" si="30"/>
        <v>140.7757717803876</v>
      </c>
      <c r="AB59" s="215"/>
      <c r="AC59" s="215"/>
      <c r="AD59" s="215"/>
      <c r="AE59" s="414" t="s">
        <v>14</v>
      </c>
      <c r="AH59" s="344">
        <f>100%-SUM(AH54:AH58)</f>
        <v>8.999999999999897E-3</v>
      </c>
      <c r="AI59" s="339">
        <v>8.9999999999999993E-3</v>
      </c>
      <c r="AJ59" s="339">
        <v>8.5220545811661736E-3</v>
      </c>
      <c r="AK59" s="339">
        <f t="shared" si="27"/>
        <v>7.7208770853763146E-3</v>
      </c>
    </row>
    <row r="60" spans="1:38">
      <c r="R60" s="163"/>
      <c r="S60" s="163"/>
      <c r="T60" s="163"/>
      <c r="U60" s="423">
        <v>4</v>
      </c>
      <c r="V60" s="423" t="s">
        <v>9</v>
      </c>
      <c r="W60" s="423">
        <v>393.59000220032999</v>
      </c>
      <c r="X60" s="16">
        <f t="shared" si="28"/>
        <v>0.39728582557128012</v>
      </c>
      <c r="Y60" s="424">
        <f t="shared" si="29"/>
        <v>3.6726151131101332</v>
      </c>
      <c r="Z60" s="423">
        <f t="shared" si="30"/>
        <v>397.2626173134401</v>
      </c>
      <c r="AB60" s="215"/>
      <c r="AC60" s="215"/>
      <c r="AD60" s="215"/>
      <c r="AE60" s="371"/>
      <c r="AF60" s="371"/>
      <c r="AH60" s="215">
        <f>SUM(AH54:AH59)</f>
        <v>1</v>
      </c>
      <c r="AI60" s="215">
        <f>SUM(AI54:AI59)</f>
        <v>1</v>
      </c>
      <c r="AJ60" s="215">
        <f>SUM(AJ54:AJ59)</f>
        <v>1.0000000000000002</v>
      </c>
      <c r="AK60" s="215">
        <f>SUM(AK54:AK59)</f>
        <v>1</v>
      </c>
    </row>
    <row r="61" spans="1:38">
      <c r="Q61" s="149"/>
      <c r="R61" s="163"/>
      <c r="S61" s="163"/>
      <c r="T61" s="163"/>
      <c r="U61" s="423">
        <v>5</v>
      </c>
      <c r="V61" s="423" t="s">
        <v>13</v>
      </c>
      <c r="W61" s="423">
        <v>60.76805324867</v>
      </c>
      <c r="X61" s="16">
        <f t="shared" si="28"/>
        <v>6.1338667314444123E-2</v>
      </c>
      <c r="Y61" s="424">
        <f t="shared" si="29"/>
        <v>0.5670308430287655</v>
      </c>
      <c r="Z61" s="423">
        <f t="shared" si="30"/>
        <v>61.335084091698768</v>
      </c>
      <c r="AB61" s="215"/>
      <c r="AC61" s="215"/>
      <c r="AD61" s="215"/>
      <c r="AE61" s="371"/>
      <c r="AF61" s="371"/>
      <c r="AI61" s="215"/>
    </row>
    <row r="62" spans="1:38">
      <c r="R62" s="163"/>
      <c r="S62" s="163"/>
      <c r="T62" s="163"/>
      <c r="U62" s="423">
        <v>6</v>
      </c>
      <c r="V62" s="423" t="s">
        <v>14</v>
      </c>
      <c r="W62" s="423">
        <v>34.31800088088</v>
      </c>
      <c r="X62" s="16">
        <f t="shared" si="28"/>
        <v>3.4640248064474077E-2</v>
      </c>
      <c r="Y62" s="424">
        <f t="shared" si="29"/>
        <v>0.32022360319685245</v>
      </c>
      <c r="Z62" s="423">
        <f t="shared" si="30"/>
        <v>34.638224484076851</v>
      </c>
      <c r="AB62" s="215"/>
      <c r="AC62" s="215"/>
      <c r="AD62" s="215"/>
      <c r="AE62" s="371"/>
      <c r="AF62" s="371"/>
      <c r="AI62" s="215"/>
      <c r="AK62" s="215">
        <f t="shared" ref="AK62:AK67" si="31">AK38-AJ38</f>
        <v>6.6720116581634459E-3</v>
      </c>
    </row>
    <row r="63" spans="1:38">
      <c r="R63" s="163"/>
      <c r="S63" s="163"/>
      <c r="T63" s="163"/>
      <c r="U63" s="425">
        <v>7</v>
      </c>
      <c r="V63" s="425"/>
      <c r="W63" s="425">
        <v>9.2442641461699999</v>
      </c>
      <c r="X63" s="372"/>
      <c r="Y63" s="424"/>
      <c r="AI63" s="215"/>
      <c r="AK63" s="215">
        <f t="shared" si="31"/>
        <v>1.0265718660340539E-4</v>
      </c>
    </row>
    <row r="64" spans="1:38">
      <c r="R64" s="163"/>
      <c r="S64" s="163"/>
      <c r="T64" s="163"/>
      <c r="W64" s="424">
        <f>SUM(W57:W63)</f>
        <v>999.94158297038007</v>
      </c>
      <c r="Z64" s="426">
        <f>SUM(Z57:Z62)</f>
        <v>999.94158297037995</v>
      </c>
      <c r="AI64" s="215"/>
      <c r="AK64" s="215">
        <f t="shared" si="31"/>
        <v>-2.3033281259202537E-3</v>
      </c>
    </row>
    <row r="65" spans="1:37">
      <c r="R65" s="163"/>
      <c r="S65" s="163"/>
      <c r="T65" s="163"/>
      <c r="U65" s="371"/>
      <c r="AK65" s="215">
        <f t="shared" si="31"/>
        <v>-5.7030189259629216E-3</v>
      </c>
    </row>
    <row r="66" spans="1:37">
      <c r="R66" s="163"/>
      <c r="S66" s="163"/>
      <c r="T66" s="163"/>
      <c r="U66" s="371"/>
      <c r="X66" s="215"/>
      <c r="AK66" s="215">
        <f t="shared" si="31"/>
        <v>2.0328557029061847E-3</v>
      </c>
    </row>
    <row r="67" spans="1:37">
      <c r="Q67" t="s">
        <v>28</v>
      </c>
      <c r="R67" s="163">
        <v>-1.4981520733429732E-2</v>
      </c>
      <c r="S67" s="163"/>
      <c r="T67" s="163"/>
      <c r="U67" s="371"/>
      <c r="W67">
        <f>SUM(W57:W62)</f>
        <v>990.69731882421002</v>
      </c>
      <c r="X67" s="215"/>
      <c r="AK67" s="215">
        <f t="shared" si="31"/>
        <v>-8.0117749578985896E-4</v>
      </c>
    </row>
    <row r="68" spans="1:37">
      <c r="Q68" t="s">
        <v>29</v>
      </c>
      <c r="R68" s="163">
        <v>7.4835229065173814E-3</v>
      </c>
      <c r="S68" s="163"/>
      <c r="T68" s="163"/>
      <c r="U68" s="163"/>
    </row>
    <row r="69" spans="1:37">
      <c r="Q69" s="163"/>
      <c r="R69" s="163">
        <v>7.4979978269126904E-3</v>
      </c>
      <c r="S69" s="163"/>
      <c r="T69" s="163"/>
      <c r="U69" s="163"/>
      <c r="V69" s="163"/>
      <c r="W69" s="163"/>
      <c r="X69" s="163"/>
      <c r="Y69" s="163"/>
      <c r="Z69" s="163"/>
      <c r="AA69" s="163"/>
    </row>
    <row r="71" spans="1:37">
      <c r="A71" s="402" t="s">
        <v>38</v>
      </c>
    </row>
    <row r="72" spans="1:37">
      <c r="B72" s="403">
        <v>202101</v>
      </c>
      <c r="C72" s="403">
        <v>202102</v>
      </c>
      <c r="D72" s="403">
        <v>202103</v>
      </c>
      <c r="E72" s="403">
        <v>202104</v>
      </c>
      <c r="F72" s="403">
        <v>202105</v>
      </c>
      <c r="G72" s="403">
        <v>202106</v>
      </c>
      <c r="H72" s="403">
        <v>202107</v>
      </c>
      <c r="I72" s="403">
        <v>202108</v>
      </c>
      <c r="J72" s="403">
        <v>202109</v>
      </c>
      <c r="K72" s="403">
        <v>202110</v>
      </c>
      <c r="L72" s="403">
        <v>202111</v>
      </c>
      <c r="M72" s="403">
        <v>202112</v>
      </c>
      <c r="N72" s="403">
        <v>202201</v>
      </c>
      <c r="O72" s="403">
        <v>202202</v>
      </c>
      <c r="P72" s="403">
        <v>202203</v>
      </c>
      <c r="Q72" s="403">
        <v>202004</v>
      </c>
      <c r="R72" s="403">
        <v>202005</v>
      </c>
      <c r="S72" s="403">
        <v>202206</v>
      </c>
      <c r="T72" s="403">
        <v>202207</v>
      </c>
      <c r="U72" s="403">
        <v>202208</v>
      </c>
      <c r="V72" s="403">
        <v>202209</v>
      </c>
      <c r="W72" s="403">
        <v>202210</v>
      </c>
      <c r="X72" s="403"/>
      <c r="Y72" s="403"/>
      <c r="Z72" s="403"/>
      <c r="AA72" s="403" t="s">
        <v>43</v>
      </c>
    </row>
    <row r="73" spans="1:37">
      <c r="A73" t="s">
        <v>9</v>
      </c>
      <c r="B73" s="427">
        <v>255334</v>
      </c>
      <c r="C73" s="427">
        <v>272491</v>
      </c>
      <c r="D73" s="427">
        <v>258162</v>
      </c>
      <c r="E73" s="427">
        <v>247309</v>
      </c>
      <c r="F73" s="427">
        <v>259643</v>
      </c>
      <c r="G73" s="427">
        <v>260437</v>
      </c>
      <c r="H73" s="427">
        <v>293847</v>
      </c>
      <c r="I73" s="427">
        <v>295725</v>
      </c>
      <c r="J73" s="427">
        <v>291079</v>
      </c>
      <c r="K73" s="427">
        <v>319476</v>
      </c>
      <c r="L73" s="427">
        <v>321366</v>
      </c>
      <c r="M73" s="427">
        <v>325230</v>
      </c>
      <c r="N73" s="427">
        <v>329341</v>
      </c>
      <c r="O73" s="427">
        <v>331408</v>
      </c>
      <c r="P73" s="427">
        <v>335574</v>
      </c>
      <c r="Q73" s="427">
        <v>341995</v>
      </c>
      <c r="R73" s="427">
        <v>341933</v>
      </c>
      <c r="S73" s="427">
        <v>340015</v>
      </c>
      <c r="T73" s="427">
        <v>340142</v>
      </c>
      <c r="U73" s="427">
        <v>349441</v>
      </c>
      <c r="V73" s="427">
        <v>338897</v>
      </c>
      <c r="AE73" s="163">
        <f t="shared" ref="AE73:AE78" si="32">+V73/$V$79</f>
        <v>0.33106240811202886</v>
      </c>
      <c r="AF73" s="163"/>
      <c r="AG73">
        <v>338651</v>
      </c>
      <c r="AH73" s="163">
        <f t="shared" ref="AH73:AH78" si="33">+AG73/$AG$79</f>
        <v>0.33094527032573556</v>
      </c>
    </row>
    <row r="74" spans="1:37">
      <c r="A74" t="s">
        <v>10</v>
      </c>
      <c r="B74" s="427">
        <v>192011</v>
      </c>
      <c r="C74" s="427">
        <v>194119</v>
      </c>
      <c r="D74" s="427">
        <v>201766</v>
      </c>
      <c r="E74" s="427">
        <v>189342</v>
      </c>
      <c r="F74" s="427">
        <v>183286</v>
      </c>
      <c r="G74" s="427">
        <v>180017</v>
      </c>
      <c r="H74" s="427">
        <v>191338</v>
      </c>
      <c r="I74" s="427">
        <v>197100</v>
      </c>
      <c r="J74" s="427">
        <v>197611</v>
      </c>
      <c r="K74" s="427">
        <v>202847</v>
      </c>
      <c r="L74" s="427">
        <v>204587</v>
      </c>
      <c r="M74" s="427">
        <v>207237</v>
      </c>
      <c r="N74" s="427">
        <v>207014</v>
      </c>
      <c r="O74" s="427">
        <v>205704</v>
      </c>
      <c r="P74" s="427">
        <v>208004</v>
      </c>
      <c r="Q74" s="427">
        <v>212750</v>
      </c>
      <c r="R74" s="427">
        <v>213452</v>
      </c>
      <c r="S74" s="427">
        <v>212529</v>
      </c>
      <c r="T74" s="427">
        <v>213878</v>
      </c>
      <c r="U74" s="427">
        <v>216561</v>
      </c>
      <c r="V74" s="427">
        <v>218411</v>
      </c>
      <c r="AE74" s="163">
        <f t="shared" si="32"/>
        <v>0.21336179316475604</v>
      </c>
      <c r="AF74" s="163"/>
      <c r="AG74">
        <v>214089</v>
      </c>
      <c r="AH74" s="163">
        <f t="shared" si="33"/>
        <v>0.20921757791580831</v>
      </c>
    </row>
    <row r="75" spans="1:37">
      <c r="A75" t="s">
        <v>11</v>
      </c>
      <c r="B75" s="427">
        <v>90893</v>
      </c>
      <c r="C75" s="427">
        <v>92032</v>
      </c>
      <c r="D75" s="427">
        <v>94245</v>
      </c>
      <c r="E75" s="427">
        <v>95443</v>
      </c>
      <c r="F75" s="427">
        <v>92087</v>
      </c>
      <c r="G75" s="427">
        <v>92018</v>
      </c>
      <c r="H75" s="427">
        <v>92761</v>
      </c>
      <c r="I75" s="427">
        <v>94971</v>
      </c>
      <c r="J75" s="427">
        <v>97226</v>
      </c>
      <c r="K75" s="427">
        <v>99460</v>
      </c>
      <c r="L75" s="427">
        <v>101485</v>
      </c>
      <c r="M75" s="427">
        <v>103030</v>
      </c>
      <c r="N75" s="427">
        <v>106932</v>
      </c>
      <c r="O75" s="427">
        <v>107519</v>
      </c>
      <c r="P75" s="427">
        <v>108919</v>
      </c>
      <c r="Q75" s="427">
        <v>111128</v>
      </c>
      <c r="R75" s="427">
        <v>111817</v>
      </c>
      <c r="S75" s="427">
        <v>112752</v>
      </c>
      <c r="T75" s="427">
        <v>113596</v>
      </c>
      <c r="U75" s="427">
        <v>113188</v>
      </c>
      <c r="V75" s="427">
        <v>117120</v>
      </c>
      <c r="AE75" s="163">
        <f t="shared" si="32"/>
        <v>0.11441242984765523</v>
      </c>
      <c r="AF75" s="163"/>
      <c r="AG75">
        <v>114368</v>
      </c>
      <c r="AH75" s="163">
        <f t="shared" si="33"/>
        <v>0.11176564863713299</v>
      </c>
    </row>
    <row r="76" spans="1:37">
      <c r="A76" t="s">
        <v>12</v>
      </c>
      <c r="B76" s="427">
        <v>156382</v>
      </c>
      <c r="C76" s="427">
        <v>152603</v>
      </c>
      <c r="D76" s="427">
        <v>155496</v>
      </c>
      <c r="E76" s="427">
        <v>159166</v>
      </c>
      <c r="F76" s="427">
        <v>159728</v>
      </c>
      <c r="G76" s="427">
        <v>164155</v>
      </c>
      <c r="H76" s="427">
        <v>147914</v>
      </c>
      <c r="I76" s="427">
        <v>150716</v>
      </c>
      <c r="J76" s="427">
        <v>160835</v>
      </c>
      <c r="K76" s="427">
        <v>156091</v>
      </c>
      <c r="L76" s="427">
        <v>160090</v>
      </c>
      <c r="M76" s="427">
        <v>163875</v>
      </c>
      <c r="N76" s="427">
        <v>170853</v>
      </c>
      <c r="O76" s="427">
        <v>171905</v>
      </c>
      <c r="P76" s="427">
        <v>173944</v>
      </c>
      <c r="Q76" s="427">
        <v>178618</v>
      </c>
      <c r="R76" s="427">
        <v>179820</v>
      </c>
      <c r="S76" s="427">
        <v>184213</v>
      </c>
      <c r="T76" s="427">
        <v>187598</v>
      </c>
      <c r="U76" s="427">
        <v>180067</v>
      </c>
      <c r="V76" s="427">
        <v>194481</v>
      </c>
      <c r="AE76" s="163">
        <f t="shared" si="32"/>
        <v>0.18998500485998837</v>
      </c>
      <c r="AF76" s="163"/>
      <c r="AG76">
        <v>190272</v>
      </c>
      <c r="AH76" s="163">
        <f t="shared" si="33"/>
        <v>0.18594251449255533</v>
      </c>
    </row>
    <row r="77" spans="1:37">
      <c r="A77" t="s">
        <v>13</v>
      </c>
      <c r="B77" s="427">
        <v>83181</v>
      </c>
      <c r="C77" s="427">
        <v>76036</v>
      </c>
      <c r="D77" s="427">
        <v>81142</v>
      </c>
      <c r="E77" s="427">
        <v>77677</v>
      </c>
      <c r="F77" s="427">
        <v>78946</v>
      </c>
      <c r="G77" s="427">
        <v>81910</v>
      </c>
      <c r="H77" s="427">
        <v>66986</v>
      </c>
      <c r="I77" s="427">
        <v>65034</v>
      </c>
      <c r="J77" s="427">
        <v>71388</v>
      </c>
      <c r="K77" s="427">
        <v>62531</v>
      </c>
      <c r="L77" s="427">
        <v>63947</v>
      </c>
      <c r="M77" s="427">
        <v>64724</v>
      </c>
      <c r="N77" s="427">
        <v>69622</v>
      </c>
      <c r="O77" s="427">
        <v>72358</v>
      </c>
      <c r="P77" s="427">
        <v>72826</v>
      </c>
      <c r="Q77" s="427">
        <v>74477</v>
      </c>
      <c r="R77" s="427">
        <v>78988</v>
      </c>
      <c r="S77" s="427">
        <v>81249</v>
      </c>
      <c r="T77" s="427">
        <v>84081</v>
      </c>
      <c r="U77" s="427">
        <v>79806</v>
      </c>
      <c r="V77" s="427">
        <v>85767</v>
      </c>
      <c r="AE77" s="163">
        <f t="shared" si="32"/>
        <v>8.3784245822607989E-2</v>
      </c>
      <c r="AF77" s="163"/>
      <c r="AG77">
        <v>92360</v>
      </c>
      <c r="AH77" s="163">
        <f t="shared" si="33"/>
        <v>9.0258422881624265E-2</v>
      </c>
    </row>
    <row r="78" spans="1:37">
      <c r="A78" t="s">
        <v>14</v>
      </c>
      <c r="B78" s="427">
        <v>75013</v>
      </c>
      <c r="C78" s="427">
        <v>63774</v>
      </c>
      <c r="D78" s="427">
        <v>57286</v>
      </c>
      <c r="E78" s="427">
        <v>49653</v>
      </c>
      <c r="F78" s="427">
        <v>48088</v>
      </c>
      <c r="G78" s="427">
        <v>44392</v>
      </c>
      <c r="H78" s="427">
        <v>33454</v>
      </c>
      <c r="I78" s="427">
        <v>32616</v>
      </c>
      <c r="J78" s="427">
        <v>31917</v>
      </c>
      <c r="K78" s="427">
        <v>30382</v>
      </c>
      <c r="L78" s="427">
        <v>32381</v>
      </c>
      <c r="M78" s="427">
        <v>33156</v>
      </c>
      <c r="N78" s="427">
        <v>36829</v>
      </c>
      <c r="O78" s="427">
        <v>40362</v>
      </c>
      <c r="P78" s="427">
        <v>44807</v>
      </c>
      <c r="Q78" s="427">
        <v>48476</v>
      </c>
      <c r="R78" s="427">
        <v>53556</v>
      </c>
      <c r="S78" s="427">
        <v>57314</v>
      </c>
      <c r="T78" s="427">
        <v>58502</v>
      </c>
      <c r="U78" s="427">
        <v>58912</v>
      </c>
      <c r="V78" s="427">
        <v>46521</v>
      </c>
      <c r="AE78" s="163">
        <f t="shared" si="32"/>
        <v>4.5445531497120641E-2</v>
      </c>
      <c r="AF78" s="163"/>
      <c r="AG78">
        <v>73544</v>
      </c>
      <c r="AH78" s="163">
        <f t="shared" si="33"/>
        <v>7.1870565747143511E-2</v>
      </c>
    </row>
    <row r="79" spans="1:37">
      <c r="A79" s="149" t="s">
        <v>15</v>
      </c>
      <c r="B79" s="428">
        <v>865356</v>
      </c>
      <c r="C79" s="429">
        <v>862859</v>
      </c>
      <c r="D79" s="429">
        <v>865547</v>
      </c>
      <c r="E79" s="429">
        <v>834530</v>
      </c>
      <c r="F79" s="429">
        <v>841966</v>
      </c>
      <c r="G79" s="429">
        <v>841796</v>
      </c>
      <c r="H79" s="429">
        <v>843933</v>
      </c>
      <c r="I79" s="429">
        <v>860260</v>
      </c>
      <c r="J79" s="429">
        <v>878064</v>
      </c>
      <c r="K79" s="429">
        <v>896706</v>
      </c>
      <c r="L79" s="429">
        <v>910455</v>
      </c>
      <c r="M79" s="429">
        <v>930949</v>
      </c>
      <c r="N79" s="429">
        <v>947275</v>
      </c>
      <c r="O79" s="429">
        <v>956915</v>
      </c>
      <c r="P79" s="429">
        <v>976518</v>
      </c>
      <c r="Q79" s="429">
        <v>991410</v>
      </c>
      <c r="R79" s="429">
        <v>1008724</v>
      </c>
      <c r="S79" s="429">
        <v>1014208</v>
      </c>
      <c r="T79" s="429">
        <v>1021999</v>
      </c>
      <c r="U79" s="429">
        <v>1021408</v>
      </c>
      <c r="V79" s="429">
        <v>1023665</v>
      </c>
      <c r="AG79">
        <f>+SUM(AG73:AG78)</f>
        <v>1023284</v>
      </c>
    </row>
    <row r="82" spans="1:27">
      <c r="A82" s="402" t="s">
        <v>42</v>
      </c>
    </row>
    <row r="83" spans="1:27">
      <c r="B83" s="403">
        <v>202101</v>
      </c>
      <c r="C83" s="403">
        <v>202102</v>
      </c>
      <c r="D83" s="403">
        <v>202103</v>
      </c>
      <c r="E83" s="403">
        <v>202104</v>
      </c>
      <c r="F83" s="403">
        <v>202105</v>
      </c>
      <c r="G83" s="403">
        <v>202106</v>
      </c>
      <c r="H83" s="403">
        <v>202107</v>
      </c>
      <c r="I83" s="403">
        <v>202108</v>
      </c>
      <c r="J83" s="403">
        <v>202109</v>
      </c>
      <c r="K83" s="403">
        <v>202110</v>
      </c>
      <c r="L83" s="403">
        <v>202111</v>
      </c>
      <c r="M83" s="403">
        <v>202112</v>
      </c>
      <c r="N83" s="403">
        <v>202201</v>
      </c>
      <c r="O83" s="403">
        <v>202202</v>
      </c>
      <c r="P83" s="403">
        <v>202203</v>
      </c>
      <c r="Q83" s="403">
        <v>202004</v>
      </c>
      <c r="R83" s="403">
        <v>202005</v>
      </c>
      <c r="S83" s="403">
        <v>202206</v>
      </c>
      <c r="T83" s="403">
        <v>202207</v>
      </c>
      <c r="U83" s="403">
        <v>202208</v>
      </c>
      <c r="V83" s="403">
        <v>202209</v>
      </c>
      <c r="W83" s="403">
        <v>202210</v>
      </c>
      <c r="X83" s="403"/>
      <c r="Y83" s="403"/>
      <c r="Z83" s="403"/>
      <c r="AA83" s="403" t="s">
        <v>43</v>
      </c>
    </row>
    <row r="84" spans="1:27">
      <c r="A84" t="s">
        <v>9</v>
      </c>
      <c r="B84" s="427">
        <v>261201268.75854</v>
      </c>
      <c r="C84" s="427">
        <v>231996202.54848</v>
      </c>
      <c r="D84" s="427">
        <v>303136919.12278998</v>
      </c>
      <c r="E84" s="427">
        <v>288804078.59118998</v>
      </c>
      <c r="F84" s="427">
        <v>344346246.37813002</v>
      </c>
      <c r="G84" s="427">
        <v>327513671.18643999</v>
      </c>
      <c r="H84" s="427">
        <v>427254674.97031999</v>
      </c>
      <c r="I84" s="427">
        <v>421073091.89477003</v>
      </c>
      <c r="J84" s="427">
        <v>408310774.19031</v>
      </c>
      <c r="K84" s="427">
        <v>483743860.99852002</v>
      </c>
      <c r="L84" s="427">
        <v>507430055.66882002</v>
      </c>
      <c r="M84" s="427">
        <v>549087224.83139002</v>
      </c>
      <c r="N84" s="427">
        <v>479440165.14857</v>
      </c>
      <c r="O84" s="427">
        <v>500183646.65903997</v>
      </c>
      <c r="P84" s="427">
        <v>577142259.78225994</v>
      </c>
      <c r="Q84" s="427">
        <v>553904287.30209994</v>
      </c>
      <c r="R84" s="427">
        <v>586597489.92857003</v>
      </c>
      <c r="S84" s="427">
        <v>562157333.04659998</v>
      </c>
      <c r="T84" s="427">
        <v>610526786.84838998</v>
      </c>
      <c r="U84" s="427">
        <v>604996504.09809995</v>
      </c>
      <c r="V84" s="427">
        <v>571335351.50079</v>
      </c>
      <c r="W84" s="427">
        <v>58314043.693290003</v>
      </c>
      <c r="X84" s="427"/>
      <c r="Y84" s="427"/>
      <c r="Z84" s="427"/>
    </row>
    <row r="85" spans="1:27">
      <c r="A85" t="s">
        <v>10</v>
      </c>
      <c r="B85" s="427">
        <v>134326662.38565999</v>
      </c>
      <c r="C85" s="427">
        <v>114619610.81569</v>
      </c>
      <c r="D85" s="427">
        <v>170530270.24123001</v>
      </c>
      <c r="E85" s="427">
        <v>161081479.86938</v>
      </c>
      <c r="F85" s="427">
        <v>174155651.96125001</v>
      </c>
      <c r="G85" s="427">
        <v>164670950.71397999</v>
      </c>
      <c r="H85" s="427">
        <v>203939502.85765001</v>
      </c>
      <c r="I85" s="427">
        <v>213580811.31812</v>
      </c>
      <c r="J85" s="427">
        <v>214742934.94584</v>
      </c>
      <c r="K85" s="427">
        <v>233609629.00033</v>
      </c>
      <c r="L85" s="427">
        <v>246297526.20326999</v>
      </c>
      <c r="M85" s="427">
        <v>274647091.34151</v>
      </c>
      <c r="N85" s="427">
        <v>241643946.92313001</v>
      </c>
      <c r="O85" s="427">
        <v>244666986.50556999</v>
      </c>
      <c r="P85" s="427">
        <v>286025249.94551003</v>
      </c>
      <c r="Q85" s="427">
        <v>267742330.36118999</v>
      </c>
      <c r="R85" s="427">
        <v>286882795.25049001</v>
      </c>
      <c r="S85" s="427">
        <v>281764096.91698998</v>
      </c>
      <c r="T85" s="427">
        <v>303838934.79686999</v>
      </c>
      <c r="U85" s="427">
        <v>316880295.69541001</v>
      </c>
      <c r="V85" s="427">
        <v>303897538.39837003</v>
      </c>
      <c r="W85" s="427">
        <v>28669019.64449</v>
      </c>
      <c r="X85" s="427"/>
      <c r="Y85" s="427"/>
      <c r="Z85" s="427"/>
    </row>
    <row r="86" spans="1:27">
      <c r="A86" t="s">
        <v>11</v>
      </c>
      <c r="B86" s="427">
        <v>69527524.398139998</v>
      </c>
      <c r="C86" s="427">
        <v>58537078.786009997</v>
      </c>
      <c r="D86" s="427">
        <v>82994220.398969993</v>
      </c>
      <c r="E86" s="427">
        <v>79825712.856920004</v>
      </c>
      <c r="F86" s="427">
        <v>85367712.148000002</v>
      </c>
      <c r="G86" s="427">
        <v>86331932.120069996</v>
      </c>
      <c r="H86" s="427">
        <v>95722258.550929993</v>
      </c>
      <c r="I86" s="427">
        <v>98557926.306639999</v>
      </c>
      <c r="J86" s="427">
        <v>101465434.03394</v>
      </c>
      <c r="K86" s="427">
        <v>110084667.48145001</v>
      </c>
      <c r="L86" s="427">
        <v>114320834.87151</v>
      </c>
      <c r="M86" s="427">
        <v>126393333.35716</v>
      </c>
      <c r="N86" s="427">
        <v>117990852.73362</v>
      </c>
      <c r="O86" s="427">
        <v>123566690.13502</v>
      </c>
      <c r="P86" s="427">
        <v>142636164.10253999</v>
      </c>
      <c r="Q86" s="427">
        <v>131514692.40441</v>
      </c>
      <c r="R86" s="427">
        <v>146333775.89381999</v>
      </c>
      <c r="S86" s="427">
        <v>141092389.70449001</v>
      </c>
      <c r="T86" s="427">
        <v>151098566.00464001</v>
      </c>
      <c r="U86" s="427">
        <v>154228712.60675001</v>
      </c>
      <c r="V86" s="427">
        <v>150594881.15884</v>
      </c>
      <c r="W86" s="427">
        <v>15182305.45936</v>
      </c>
      <c r="X86" s="427"/>
      <c r="Y86" s="427"/>
      <c r="Z86" s="427"/>
    </row>
    <row r="87" spans="1:27">
      <c r="A87" t="s">
        <v>12</v>
      </c>
      <c r="B87" s="427">
        <v>107309234.02874</v>
      </c>
      <c r="C87" s="427">
        <v>86637458.071799994</v>
      </c>
      <c r="D87" s="427">
        <v>123622105.77785</v>
      </c>
      <c r="E87" s="427">
        <v>118381392.89642</v>
      </c>
      <c r="F87" s="427">
        <v>135378367.52039999</v>
      </c>
      <c r="G87" s="427">
        <v>143604884.25336</v>
      </c>
      <c r="H87" s="427">
        <v>129932720.85293999</v>
      </c>
      <c r="I87" s="427">
        <v>132665011.08879</v>
      </c>
      <c r="J87" s="427">
        <v>142213059.27619001</v>
      </c>
      <c r="K87" s="427">
        <v>143472966.74225</v>
      </c>
      <c r="L87" s="427">
        <v>149388252.51313001</v>
      </c>
      <c r="M87" s="427">
        <v>172005182.86138001</v>
      </c>
      <c r="N87" s="427">
        <v>155431419.57183</v>
      </c>
      <c r="O87" s="427">
        <v>161967227.32657999</v>
      </c>
      <c r="P87" s="427">
        <v>189908592.51069999</v>
      </c>
      <c r="Q87" s="427">
        <v>176209402.88284001</v>
      </c>
      <c r="R87" s="427">
        <v>194717549.99721</v>
      </c>
      <c r="S87" s="427">
        <v>193671929.71700001</v>
      </c>
      <c r="T87" s="427">
        <v>207238137.45500001</v>
      </c>
      <c r="U87" s="427">
        <v>212701331.41615</v>
      </c>
      <c r="V87" s="427">
        <v>208173930.79031</v>
      </c>
      <c r="W87" s="427">
        <v>21808355.615600001</v>
      </c>
      <c r="X87" s="427"/>
      <c r="Y87" s="427"/>
      <c r="Z87" s="427"/>
    </row>
    <row r="88" spans="1:27">
      <c r="A88" t="s">
        <v>13</v>
      </c>
      <c r="B88" s="427">
        <v>40231759.251999997</v>
      </c>
      <c r="C88" s="427">
        <v>31503401.254889999</v>
      </c>
      <c r="D88" s="427">
        <v>46610985.36665</v>
      </c>
      <c r="E88" s="427">
        <v>42507262.785980001</v>
      </c>
      <c r="F88" s="427">
        <v>50243533.729520001</v>
      </c>
      <c r="G88" s="427">
        <v>57731325.472779997</v>
      </c>
      <c r="H88" s="427">
        <v>43097588.02781</v>
      </c>
      <c r="I88" s="427">
        <v>43133055.670699999</v>
      </c>
      <c r="J88" s="427">
        <v>46100887.696570002</v>
      </c>
      <c r="K88" s="427">
        <v>42603072.952090003</v>
      </c>
      <c r="L88" s="427">
        <v>42978373.214709997</v>
      </c>
      <c r="M88" s="427">
        <v>48840509.949469998</v>
      </c>
      <c r="N88" s="427">
        <v>44658225.602420002</v>
      </c>
      <c r="O88" s="427">
        <v>49023131.286899999</v>
      </c>
      <c r="P88" s="427">
        <v>57903784.593979999</v>
      </c>
      <c r="Q88" s="427">
        <v>54559782.205899999</v>
      </c>
      <c r="R88" s="427">
        <v>62212720.216509998</v>
      </c>
      <c r="S88" s="427">
        <v>61108086.221649997</v>
      </c>
      <c r="T88" s="427">
        <v>65789447.277139999</v>
      </c>
      <c r="U88" s="427">
        <v>65602400.925520003</v>
      </c>
      <c r="V88" s="427">
        <v>64856438.94365</v>
      </c>
      <c r="W88" s="427">
        <v>7488896.33409</v>
      </c>
      <c r="X88" s="427"/>
      <c r="Y88" s="427"/>
      <c r="Z88" s="427"/>
    </row>
    <row r="89" spans="1:27">
      <c r="A89" t="s">
        <v>14</v>
      </c>
      <c r="B89" s="427">
        <v>11147138.387560001</v>
      </c>
      <c r="C89" s="427">
        <v>8305740.5867900001</v>
      </c>
      <c r="D89" s="427">
        <v>12094177.641690001</v>
      </c>
      <c r="E89" s="427">
        <v>9460446.6139700003</v>
      </c>
      <c r="F89" s="427">
        <v>11064344.492219999</v>
      </c>
      <c r="G89" s="427">
        <v>11453658.11383</v>
      </c>
      <c r="H89" s="427">
        <v>8738336.0054400004</v>
      </c>
      <c r="I89" s="427">
        <v>9009016.8243300002</v>
      </c>
      <c r="J89" s="427">
        <v>9309278.0566099994</v>
      </c>
      <c r="K89" s="427">
        <v>7957734.2806500001</v>
      </c>
      <c r="L89" s="427">
        <v>8190034.5805099998</v>
      </c>
      <c r="M89" s="427">
        <v>9780549.4917399995</v>
      </c>
      <c r="N89" s="427">
        <v>8755935.4512699991</v>
      </c>
      <c r="O89" s="427">
        <v>10669139.963509999</v>
      </c>
      <c r="P89" s="427">
        <v>12468962.59283</v>
      </c>
      <c r="Q89" s="427">
        <v>12084142.96855</v>
      </c>
      <c r="R89" s="427">
        <v>13457926.04494</v>
      </c>
      <c r="S89" s="427">
        <v>13644303.47144</v>
      </c>
      <c r="T89" s="427">
        <v>14216476.75719</v>
      </c>
      <c r="U89" s="427">
        <v>13470727.8706</v>
      </c>
      <c r="V89" s="427">
        <v>10005299.446380001</v>
      </c>
      <c r="W89" s="427">
        <v>1677574.6038899999</v>
      </c>
      <c r="X89" s="427"/>
      <c r="Y89" s="427"/>
      <c r="Z89" s="427"/>
    </row>
    <row r="90" spans="1:27">
      <c r="A90" s="149" t="s">
        <v>15</v>
      </c>
      <c r="B90" s="427">
        <v>631032088.01444995</v>
      </c>
      <c r="C90" s="427">
        <v>536889088.00209999</v>
      </c>
      <c r="D90" s="427">
        <v>748861908.43698001</v>
      </c>
      <c r="E90" s="427">
        <v>708151106.99786997</v>
      </c>
      <c r="F90" s="427">
        <v>813084695.58036005</v>
      </c>
      <c r="G90" s="427">
        <v>803920913.97206998</v>
      </c>
      <c r="H90" s="427">
        <v>920752753.86257994</v>
      </c>
      <c r="I90" s="427">
        <v>934678725.84265995</v>
      </c>
      <c r="J90" s="427">
        <v>938674292.27929008</v>
      </c>
      <c r="K90" s="427">
        <v>1037878973.9251</v>
      </c>
      <c r="L90" s="427">
        <v>1086031653.6420801</v>
      </c>
      <c r="M90" s="427">
        <v>1205619291.43926</v>
      </c>
      <c r="N90" s="427">
        <v>1064261411.2740101</v>
      </c>
      <c r="O90" s="427">
        <v>1107971456.58584</v>
      </c>
      <c r="P90" s="427">
        <v>1288228784.4244201</v>
      </c>
      <c r="Q90" s="427">
        <v>1211886056.7888298</v>
      </c>
      <c r="R90" s="427">
        <v>1309360553.5283601</v>
      </c>
      <c r="S90" s="427">
        <v>1270270687.8372397</v>
      </c>
      <c r="T90" s="427">
        <v>1370646828.3744197</v>
      </c>
      <c r="U90" s="427">
        <v>1385042865.0244999</v>
      </c>
      <c r="V90" s="427">
        <v>1324720666.8197598</v>
      </c>
      <c r="W90" s="427">
        <v>133379921.13410001</v>
      </c>
      <c r="X90" s="427"/>
      <c r="Y90" s="427"/>
      <c r="Z90" s="427"/>
    </row>
    <row r="92" spans="1:27">
      <c r="A92" s="402" t="s">
        <v>44</v>
      </c>
    </row>
    <row r="93" spans="1:27">
      <c r="B93" s="403">
        <v>202101</v>
      </c>
      <c r="C93" s="403">
        <v>202102</v>
      </c>
      <c r="D93" s="403">
        <v>202103</v>
      </c>
      <c r="E93" s="403">
        <v>202104</v>
      </c>
      <c r="F93" s="403">
        <v>202105</v>
      </c>
      <c r="G93" s="403">
        <v>202106</v>
      </c>
      <c r="H93" s="403">
        <v>202107</v>
      </c>
      <c r="I93" s="403">
        <v>202108</v>
      </c>
      <c r="J93" s="403">
        <v>202109</v>
      </c>
      <c r="K93" s="403">
        <v>202110</v>
      </c>
      <c r="L93" s="403">
        <v>202111</v>
      </c>
      <c r="M93" s="403">
        <v>202112</v>
      </c>
      <c r="N93" s="403">
        <v>202201</v>
      </c>
      <c r="O93" s="403">
        <v>202202</v>
      </c>
      <c r="P93" s="403">
        <v>202203</v>
      </c>
      <c r="Q93" s="403">
        <v>202004</v>
      </c>
      <c r="R93" s="403">
        <v>202005</v>
      </c>
      <c r="S93" s="403">
        <v>202206</v>
      </c>
      <c r="T93" s="403">
        <v>202207</v>
      </c>
      <c r="U93" s="403">
        <v>202208</v>
      </c>
      <c r="V93" s="403">
        <v>202209</v>
      </c>
      <c r="W93" s="403">
        <v>202210</v>
      </c>
      <c r="X93" s="403"/>
      <c r="Y93" s="403"/>
      <c r="Z93" s="403"/>
      <c r="AA93" s="403" t="s">
        <v>43</v>
      </c>
    </row>
    <row r="94" spans="1:27">
      <c r="A94" t="s">
        <v>9</v>
      </c>
      <c r="B94" s="427">
        <v>170746</v>
      </c>
      <c r="C94" s="427">
        <v>181130</v>
      </c>
      <c r="D94" s="427">
        <v>175519</v>
      </c>
      <c r="E94" s="427">
        <v>173536</v>
      </c>
      <c r="F94" s="427">
        <v>183862</v>
      </c>
      <c r="G94" s="427">
        <v>185874</v>
      </c>
      <c r="H94" s="427">
        <v>215637</v>
      </c>
      <c r="I94" s="427">
        <v>216413</v>
      </c>
      <c r="J94" s="427">
        <v>211356</v>
      </c>
      <c r="K94" s="427">
        <v>237534</v>
      </c>
      <c r="L94" s="427">
        <v>241464</v>
      </c>
      <c r="M94" s="427">
        <v>247271</v>
      </c>
      <c r="N94" s="427">
        <v>249099</v>
      </c>
      <c r="O94" s="427">
        <v>253983</v>
      </c>
      <c r="P94" s="427">
        <v>261303</v>
      </c>
      <c r="Q94" s="427">
        <v>266147</v>
      </c>
      <c r="R94" s="427">
        <v>268195</v>
      </c>
      <c r="S94" s="427">
        <v>267629</v>
      </c>
      <c r="T94" s="427">
        <v>270104</v>
      </c>
      <c r="U94" s="427">
        <v>278118</v>
      </c>
      <c r="V94" s="427">
        <v>269184</v>
      </c>
      <c r="W94" s="427">
        <v>135177</v>
      </c>
      <c r="X94" s="427"/>
      <c r="Y94" s="427"/>
      <c r="Z94" s="427"/>
    </row>
    <row r="95" spans="1:27">
      <c r="A95" t="s">
        <v>10</v>
      </c>
      <c r="B95" s="427">
        <v>107961</v>
      </c>
      <c r="C95" s="427">
        <v>106629</v>
      </c>
      <c r="D95" s="427">
        <v>116948</v>
      </c>
      <c r="E95" s="427">
        <v>118273</v>
      </c>
      <c r="F95" s="427">
        <v>115338</v>
      </c>
      <c r="G95" s="427">
        <v>113905</v>
      </c>
      <c r="H95" s="427">
        <v>123578</v>
      </c>
      <c r="I95" s="427">
        <v>127641</v>
      </c>
      <c r="J95" s="427">
        <v>129248</v>
      </c>
      <c r="K95" s="427">
        <v>134546</v>
      </c>
      <c r="L95" s="427">
        <v>136841</v>
      </c>
      <c r="M95" s="427">
        <v>141535</v>
      </c>
      <c r="N95" s="427">
        <v>139512</v>
      </c>
      <c r="O95" s="427">
        <v>141845</v>
      </c>
      <c r="P95" s="427">
        <v>146976</v>
      </c>
      <c r="Q95" s="427">
        <v>149456</v>
      </c>
      <c r="R95" s="427">
        <v>151241</v>
      </c>
      <c r="S95" s="427">
        <v>152991</v>
      </c>
      <c r="T95" s="427">
        <v>154291</v>
      </c>
      <c r="U95" s="427">
        <v>157176</v>
      </c>
      <c r="V95" s="427">
        <v>158165</v>
      </c>
      <c r="W95" s="427">
        <v>68473</v>
      </c>
      <c r="X95" s="427"/>
      <c r="Y95" s="427"/>
      <c r="Z95" s="427"/>
    </row>
    <row r="96" spans="1:27">
      <c r="A96" t="s">
        <v>11</v>
      </c>
      <c r="B96" s="427">
        <v>58906</v>
      </c>
      <c r="C96" s="427">
        <v>58370</v>
      </c>
      <c r="D96" s="427">
        <v>62867</v>
      </c>
      <c r="E96" s="427">
        <v>64395</v>
      </c>
      <c r="F96" s="427">
        <v>63248</v>
      </c>
      <c r="G96" s="427">
        <v>64430</v>
      </c>
      <c r="H96" s="427">
        <v>65399</v>
      </c>
      <c r="I96" s="427">
        <v>67042</v>
      </c>
      <c r="J96" s="427">
        <v>69299</v>
      </c>
      <c r="K96" s="427">
        <v>71716</v>
      </c>
      <c r="L96" s="427">
        <v>73643</v>
      </c>
      <c r="M96" s="427">
        <v>76367</v>
      </c>
      <c r="N96" s="427">
        <v>77990</v>
      </c>
      <c r="O96" s="427">
        <v>79256</v>
      </c>
      <c r="P96" s="427">
        <v>82461</v>
      </c>
      <c r="Q96" s="427">
        <v>83219</v>
      </c>
      <c r="R96" s="427">
        <v>84583</v>
      </c>
      <c r="S96" s="427">
        <v>86840</v>
      </c>
      <c r="T96" s="427">
        <v>87043</v>
      </c>
      <c r="U96" s="427">
        <v>86979</v>
      </c>
      <c r="V96" s="427">
        <v>89494</v>
      </c>
      <c r="W96" s="427">
        <v>36818</v>
      </c>
      <c r="X96" s="427"/>
      <c r="Y96" s="427"/>
      <c r="Z96" s="427"/>
    </row>
    <row r="97" spans="1:27">
      <c r="A97" t="s">
        <v>12</v>
      </c>
      <c r="B97" s="427">
        <v>109053</v>
      </c>
      <c r="C97" s="427">
        <v>103163</v>
      </c>
      <c r="D97" s="427">
        <v>110757</v>
      </c>
      <c r="E97" s="427">
        <v>113528</v>
      </c>
      <c r="F97" s="427">
        <v>117257</v>
      </c>
      <c r="G97" s="427">
        <v>123618</v>
      </c>
      <c r="H97" s="427">
        <v>110732</v>
      </c>
      <c r="I97" s="427">
        <v>112845</v>
      </c>
      <c r="J97" s="427">
        <v>121920</v>
      </c>
      <c r="K97" s="427">
        <v>119458</v>
      </c>
      <c r="L97" s="427">
        <v>122331</v>
      </c>
      <c r="M97" s="427">
        <v>128229</v>
      </c>
      <c r="N97" s="427">
        <v>131221</v>
      </c>
      <c r="O97" s="427">
        <v>132712</v>
      </c>
      <c r="P97" s="427">
        <v>138035</v>
      </c>
      <c r="Q97" s="427">
        <v>139817</v>
      </c>
      <c r="R97" s="427">
        <v>142594</v>
      </c>
      <c r="S97" s="427">
        <v>148507</v>
      </c>
      <c r="T97" s="427">
        <v>149533</v>
      </c>
      <c r="U97" s="427">
        <v>144736</v>
      </c>
      <c r="V97" s="427">
        <v>154298</v>
      </c>
      <c r="W97" s="427">
        <v>60332</v>
      </c>
      <c r="X97" s="427"/>
      <c r="Y97" s="427"/>
      <c r="Z97" s="427"/>
    </row>
    <row r="98" spans="1:27">
      <c r="A98" t="s">
        <v>13</v>
      </c>
      <c r="B98" s="427">
        <v>57895</v>
      </c>
      <c r="C98" s="427">
        <v>51408</v>
      </c>
      <c r="D98" s="427">
        <v>57858</v>
      </c>
      <c r="E98" s="427">
        <v>56146</v>
      </c>
      <c r="F98" s="427">
        <v>59235</v>
      </c>
      <c r="G98" s="427">
        <v>63249</v>
      </c>
      <c r="H98" s="427">
        <v>51508</v>
      </c>
      <c r="I98" s="427">
        <v>49794</v>
      </c>
      <c r="J98" s="427">
        <v>55317</v>
      </c>
      <c r="K98" s="427">
        <v>48816</v>
      </c>
      <c r="L98" s="427">
        <v>49850</v>
      </c>
      <c r="M98" s="427">
        <v>51458</v>
      </c>
      <c r="N98" s="427">
        <v>53863</v>
      </c>
      <c r="O98" s="427">
        <v>56027</v>
      </c>
      <c r="P98" s="427">
        <v>58201</v>
      </c>
      <c r="Q98" s="427">
        <v>58222</v>
      </c>
      <c r="R98" s="427">
        <v>62605</v>
      </c>
      <c r="S98" s="427">
        <v>65204</v>
      </c>
      <c r="T98" s="427">
        <v>66886</v>
      </c>
      <c r="U98" s="427">
        <v>66125</v>
      </c>
      <c r="V98" s="427">
        <v>66889</v>
      </c>
      <c r="W98" s="427">
        <v>26518</v>
      </c>
      <c r="X98" s="427"/>
      <c r="Y98" s="427"/>
      <c r="Z98" s="427"/>
    </row>
    <row r="99" spans="1:27">
      <c r="A99" t="s">
        <v>14</v>
      </c>
      <c r="B99" s="427">
        <v>26308</v>
      </c>
      <c r="C99" s="427">
        <v>21359</v>
      </c>
      <c r="D99" s="427">
        <v>22831</v>
      </c>
      <c r="E99" s="427">
        <v>19273</v>
      </c>
      <c r="F99" s="427">
        <v>20603</v>
      </c>
      <c r="G99" s="427">
        <v>19873</v>
      </c>
      <c r="H99" s="427">
        <v>16238</v>
      </c>
      <c r="I99" s="427">
        <v>15189</v>
      </c>
      <c r="J99" s="427">
        <v>15677</v>
      </c>
      <c r="K99" s="427">
        <v>13435</v>
      </c>
      <c r="L99" s="427">
        <v>13794</v>
      </c>
      <c r="M99" s="427">
        <v>14013</v>
      </c>
      <c r="N99" s="427">
        <v>14693</v>
      </c>
      <c r="O99" s="427">
        <v>15681</v>
      </c>
      <c r="P99" s="427">
        <v>17399</v>
      </c>
      <c r="Q99" s="427">
        <v>17766</v>
      </c>
      <c r="R99" s="427">
        <v>19694</v>
      </c>
      <c r="S99" s="427">
        <v>21277</v>
      </c>
      <c r="T99" s="427">
        <v>22148</v>
      </c>
      <c r="U99" s="427">
        <v>23263</v>
      </c>
      <c r="V99" s="427">
        <v>15444</v>
      </c>
      <c r="W99" s="427">
        <v>6826</v>
      </c>
      <c r="X99" s="427"/>
      <c r="Y99" s="427"/>
      <c r="Z99" s="427"/>
    </row>
    <row r="100" spans="1:27">
      <c r="A100" s="149" t="s">
        <v>15</v>
      </c>
      <c r="B100" s="427">
        <v>541008</v>
      </c>
      <c r="C100" s="427">
        <v>531125</v>
      </c>
      <c r="D100" s="427">
        <v>560475</v>
      </c>
      <c r="E100" s="427">
        <v>557218</v>
      </c>
      <c r="F100" s="427">
        <v>575580</v>
      </c>
      <c r="G100" s="427">
        <v>586215</v>
      </c>
      <c r="H100" s="427">
        <v>597333</v>
      </c>
      <c r="I100" s="427">
        <v>608059</v>
      </c>
      <c r="J100" s="427">
        <v>624836</v>
      </c>
      <c r="K100" s="427">
        <v>647133</v>
      </c>
      <c r="L100" s="427">
        <v>659530</v>
      </c>
      <c r="M100" s="427">
        <v>687435</v>
      </c>
      <c r="N100" s="427">
        <v>687992</v>
      </c>
      <c r="O100" s="427">
        <v>702116</v>
      </c>
      <c r="P100" s="427">
        <v>730988</v>
      </c>
      <c r="Q100" s="427">
        <v>734774</v>
      </c>
      <c r="R100" s="427">
        <v>752919</v>
      </c>
      <c r="S100" s="427">
        <v>763832</v>
      </c>
      <c r="T100" s="427">
        <v>770936</v>
      </c>
      <c r="U100" s="427">
        <v>775699</v>
      </c>
      <c r="V100" s="427">
        <v>772224</v>
      </c>
      <c r="W100" s="427">
        <v>335000</v>
      </c>
      <c r="X100" s="427"/>
      <c r="Y100" s="427"/>
      <c r="Z100" s="427"/>
    </row>
    <row r="102" spans="1:27">
      <c r="A102" s="402" t="s">
        <v>45</v>
      </c>
    </row>
    <row r="103" spans="1:27">
      <c r="B103" s="403">
        <v>202101</v>
      </c>
      <c r="C103" s="403">
        <v>202102</v>
      </c>
      <c r="D103" s="403">
        <v>202103</v>
      </c>
      <c r="E103" s="403">
        <v>202104</v>
      </c>
      <c r="F103" s="403">
        <v>202105</v>
      </c>
      <c r="G103" s="403">
        <v>202106</v>
      </c>
      <c r="H103" s="403">
        <v>202107</v>
      </c>
      <c r="I103" s="403">
        <v>202108</v>
      </c>
      <c r="J103" s="403">
        <v>202109</v>
      </c>
      <c r="K103" s="403">
        <v>202110</v>
      </c>
      <c r="L103" s="403">
        <v>202111</v>
      </c>
      <c r="M103" s="403">
        <v>202112</v>
      </c>
      <c r="N103" s="403">
        <v>202201</v>
      </c>
      <c r="O103" s="403">
        <v>202202</v>
      </c>
      <c r="P103" s="403">
        <v>202203</v>
      </c>
      <c r="Q103" s="403">
        <v>202004</v>
      </c>
      <c r="R103" s="403">
        <v>202005</v>
      </c>
      <c r="S103" s="403">
        <v>202206</v>
      </c>
      <c r="T103" s="403">
        <v>202207</v>
      </c>
      <c r="U103" s="403">
        <v>202208</v>
      </c>
      <c r="V103" s="403">
        <v>202209</v>
      </c>
      <c r="W103" s="403">
        <v>202210</v>
      </c>
      <c r="X103" s="403"/>
      <c r="Y103" s="403"/>
      <c r="Z103" s="403"/>
      <c r="AA103" s="403" t="s">
        <v>43</v>
      </c>
    </row>
    <row r="104" spans="1:27">
      <c r="A104" t="s">
        <v>9</v>
      </c>
      <c r="B104" s="163">
        <f t="shared" ref="B104:V110" si="34">+B94/B73</f>
        <v>0.66871626967031417</v>
      </c>
      <c r="C104" s="163">
        <f t="shared" si="34"/>
        <v>0.66471920173510313</v>
      </c>
      <c r="D104" s="163">
        <f t="shared" si="34"/>
        <v>0.67987930059420054</v>
      </c>
      <c r="E104" s="163">
        <f t="shared" si="34"/>
        <v>0.70169706723168179</v>
      </c>
      <c r="F104" s="163">
        <f t="shared" si="34"/>
        <v>0.70813386072414819</v>
      </c>
      <c r="G104" s="163">
        <f t="shared" si="34"/>
        <v>0.71370043427009222</v>
      </c>
      <c r="H104" s="163">
        <f t="shared" si="34"/>
        <v>0.73384108056233344</v>
      </c>
      <c r="I104" s="163">
        <f t="shared" si="34"/>
        <v>0.73180488629639018</v>
      </c>
      <c r="J104" s="163">
        <f t="shared" si="34"/>
        <v>0.72611215511940053</v>
      </c>
      <c r="K104" s="163">
        <f t="shared" si="34"/>
        <v>0.74351124967133686</v>
      </c>
      <c r="L104" s="163">
        <f t="shared" si="34"/>
        <v>0.75136759955938093</v>
      </c>
      <c r="M104" s="163">
        <f t="shared" si="34"/>
        <v>0.76029579067121733</v>
      </c>
      <c r="N104" s="163">
        <f t="shared" si="34"/>
        <v>0.75635587430656981</v>
      </c>
      <c r="O104" s="163">
        <f t="shared" si="34"/>
        <v>0.76637558538116157</v>
      </c>
      <c r="P104" s="163">
        <f t="shared" si="34"/>
        <v>0.7786747483416474</v>
      </c>
      <c r="Q104" s="163">
        <f t="shared" si="34"/>
        <v>0.77821897980964638</v>
      </c>
      <c r="R104" s="163">
        <f t="shared" si="34"/>
        <v>0.78434956555816493</v>
      </c>
      <c r="S104" s="163">
        <f t="shared" si="34"/>
        <v>0.7871093922326956</v>
      </c>
      <c r="T104" s="163">
        <f t="shared" si="34"/>
        <v>0.79409187927395031</v>
      </c>
      <c r="U104" s="163">
        <f t="shared" si="34"/>
        <v>0.79589401358169187</v>
      </c>
      <c r="V104" s="163">
        <f t="shared" si="34"/>
        <v>0.79429443164147218</v>
      </c>
      <c r="W104" s="163"/>
      <c r="X104" s="163"/>
      <c r="Y104" s="163"/>
      <c r="Z104" s="163"/>
    </row>
    <row r="105" spans="1:27">
      <c r="A105" t="s">
        <v>10</v>
      </c>
      <c r="B105" s="163">
        <f t="shared" si="34"/>
        <v>0.5622646619204108</v>
      </c>
      <c r="C105" s="163">
        <f t="shared" si="34"/>
        <v>0.54929708065671057</v>
      </c>
      <c r="D105" s="163">
        <f t="shared" si="34"/>
        <v>0.57962193828494391</v>
      </c>
      <c r="E105" s="163">
        <f t="shared" si="34"/>
        <v>0.62465274476872534</v>
      </c>
      <c r="F105" s="163">
        <f t="shared" si="34"/>
        <v>0.62927883198934997</v>
      </c>
      <c r="G105" s="163">
        <f t="shared" si="34"/>
        <v>0.63274579623035598</v>
      </c>
      <c r="H105" s="163">
        <f t="shared" si="34"/>
        <v>0.64586229604155998</v>
      </c>
      <c r="I105" s="163">
        <f t="shared" si="34"/>
        <v>0.64759512937595132</v>
      </c>
      <c r="J105" s="163">
        <f t="shared" si="34"/>
        <v>0.65405265901189713</v>
      </c>
      <c r="K105" s="163">
        <f t="shared" si="34"/>
        <v>0.66328809398216393</v>
      </c>
      <c r="L105" s="163">
        <f t="shared" si="34"/>
        <v>0.66886459061426196</v>
      </c>
      <c r="M105" s="163">
        <f t="shared" si="34"/>
        <v>0.68296201933052492</v>
      </c>
      <c r="N105" s="163">
        <f t="shared" si="34"/>
        <v>0.67392543499473467</v>
      </c>
      <c r="O105" s="163">
        <f t="shared" si="34"/>
        <v>0.68955878349473032</v>
      </c>
      <c r="P105" s="163">
        <f t="shared" si="34"/>
        <v>0.7066017961193054</v>
      </c>
      <c r="Q105" s="163">
        <f t="shared" si="34"/>
        <v>0.70249588719153933</v>
      </c>
      <c r="R105" s="163">
        <f t="shared" si="34"/>
        <v>0.70854805764293616</v>
      </c>
      <c r="S105" s="163">
        <f t="shared" si="34"/>
        <v>0.7198594074220459</v>
      </c>
      <c r="T105" s="163">
        <f t="shared" si="34"/>
        <v>0.72139724515845483</v>
      </c>
      <c r="U105" s="163">
        <f t="shared" si="34"/>
        <v>0.725781650435674</v>
      </c>
      <c r="V105" s="163">
        <f t="shared" si="34"/>
        <v>0.72416224457559375</v>
      </c>
      <c r="W105" s="163"/>
      <c r="X105" s="163"/>
      <c r="Y105" s="163"/>
      <c r="Z105" s="163"/>
    </row>
    <row r="106" spans="1:27">
      <c r="A106" t="s">
        <v>11</v>
      </c>
      <c r="B106" s="163">
        <f t="shared" si="34"/>
        <v>0.64808071028572056</v>
      </c>
      <c r="C106" s="163">
        <f t="shared" si="34"/>
        <v>0.63423591794158551</v>
      </c>
      <c r="D106" s="163">
        <f t="shared" si="34"/>
        <v>0.6670592604382195</v>
      </c>
      <c r="E106" s="163">
        <f t="shared" si="34"/>
        <v>0.67469589178881639</v>
      </c>
      <c r="F106" s="163">
        <f t="shared" si="34"/>
        <v>0.68682875975979241</v>
      </c>
      <c r="G106" s="163">
        <f t="shared" si="34"/>
        <v>0.70018909343824032</v>
      </c>
      <c r="H106" s="163">
        <f t="shared" si="34"/>
        <v>0.70502689707959165</v>
      </c>
      <c r="I106" s="163">
        <f t="shared" si="34"/>
        <v>0.70592075475671523</v>
      </c>
      <c r="J106" s="163">
        <f t="shared" si="34"/>
        <v>0.71276201839014253</v>
      </c>
      <c r="K106" s="163">
        <f t="shared" si="34"/>
        <v>0.72105368992559826</v>
      </c>
      <c r="L106" s="163">
        <f t="shared" si="34"/>
        <v>0.72565403754249391</v>
      </c>
      <c r="M106" s="163">
        <f t="shared" si="34"/>
        <v>0.74121129768028726</v>
      </c>
      <c r="N106" s="163">
        <f t="shared" si="34"/>
        <v>0.72934201174578239</v>
      </c>
      <c r="O106" s="163">
        <f t="shared" si="34"/>
        <v>0.73713483198318441</v>
      </c>
      <c r="P106" s="163">
        <f t="shared" si="34"/>
        <v>0.75708554063111122</v>
      </c>
      <c r="Q106" s="163">
        <f t="shared" si="34"/>
        <v>0.74885717370959615</v>
      </c>
      <c r="R106" s="163">
        <f t="shared" si="34"/>
        <v>0.75644132824168064</v>
      </c>
      <c r="S106" s="163">
        <f t="shared" si="34"/>
        <v>0.77018589470696752</v>
      </c>
      <c r="T106" s="163">
        <f t="shared" si="34"/>
        <v>0.76625057220324655</v>
      </c>
      <c r="U106" s="163">
        <f t="shared" si="34"/>
        <v>0.76844718521398026</v>
      </c>
      <c r="V106" s="163">
        <f t="shared" si="34"/>
        <v>0.76412226775956282</v>
      </c>
      <c r="W106" s="163"/>
      <c r="X106" s="163"/>
      <c r="Y106" s="163"/>
      <c r="Z106" s="163"/>
    </row>
    <row r="107" spans="1:27">
      <c r="A107" t="s">
        <v>12</v>
      </c>
      <c r="B107" s="163">
        <f t="shared" si="34"/>
        <v>0.69735007865355347</v>
      </c>
      <c r="C107" s="163">
        <f t="shared" si="34"/>
        <v>0.67602209655118184</v>
      </c>
      <c r="D107" s="163">
        <f t="shared" si="34"/>
        <v>0.71228198796110509</v>
      </c>
      <c r="E107" s="163">
        <f t="shared" si="34"/>
        <v>0.71326790897553494</v>
      </c>
      <c r="F107" s="163">
        <f t="shared" si="34"/>
        <v>0.7341042271862166</v>
      </c>
      <c r="G107" s="163">
        <f t="shared" si="34"/>
        <v>0.75305656239529717</v>
      </c>
      <c r="H107" s="163">
        <f t="shared" si="34"/>
        <v>0.74862420054896761</v>
      </c>
      <c r="I107" s="163">
        <f t="shared" si="34"/>
        <v>0.74872608084078662</v>
      </c>
      <c r="J107" s="163">
        <f t="shared" si="34"/>
        <v>0.75804395809369851</v>
      </c>
      <c r="K107" s="163">
        <f t="shared" si="34"/>
        <v>0.76530997943507317</v>
      </c>
      <c r="L107" s="163">
        <f t="shared" si="34"/>
        <v>0.76413892185645571</v>
      </c>
      <c r="M107" s="163">
        <f t="shared" si="34"/>
        <v>0.78248054919908472</v>
      </c>
      <c r="N107" s="163">
        <f t="shared" si="34"/>
        <v>0.76803450919796545</v>
      </c>
      <c r="O107" s="163">
        <f t="shared" si="34"/>
        <v>0.77200779500305405</v>
      </c>
      <c r="P107" s="163">
        <f t="shared" si="34"/>
        <v>0.79355999632065488</v>
      </c>
      <c r="Q107" s="163">
        <f t="shared" si="34"/>
        <v>0.78277105330929697</v>
      </c>
      <c r="R107" s="163">
        <f t="shared" si="34"/>
        <v>0.79298187075964854</v>
      </c>
      <c r="S107" s="163">
        <f t="shared" si="34"/>
        <v>0.80617003143100652</v>
      </c>
      <c r="T107" s="163">
        <f t="shared" si="34"/>
        <v>0.79709271953858785</v>
      </c>
      <c r="U107" s="163">
        <f t="shared" si="34"/>
        <v>0.80378970050036935</v>
      </c>
      <c r="V107" s="163">
        <f t="shared" si="34"/>
        <v>0.79338341534648626</v>
      </c>
      <c r="W107" s="163"/>
      <c r="X107" s="163"/>
      <c r="Y107" s="163"/>
      <c r="Z107" s="163"/>
    </row>
    <row r="108" spans="1:27">
      <c r="A108" t="s">
        <v>13</v>
      </c>
      <c r="B108" s="163">
        <f t="shared" si="34"/>
        <v>0.69601231050360057</v>
      </c>
      <c r="C108" s="163">
        <f t="shared" si="34"/>
        <v>0.67610079436056603</v>
      </c>
      <c r="D108" s="163">
        <f t="shared" si="34"/>
        <v>0.71304626457321729</v>
      </c>
      <c r="E108" s="163">
        <f t="shared" si="34"/>
        <v>0.7228137028978977</v>
      </c>
      <c r="F108" s="163">
        <f t="shared" si="34"/>
        <v>0.75032300559876375</v>
      </c>
      <c r="G108" s="163">
        <f t="shared" si="34"/>
        <v>0.77217677939201568</v>
      </c>
      <c r="H108" s="163">
        <f t="shared" si="34"/>
        <v>0.7689367927626668</v>
      </c>
      <c r="I108" s="163">
        <f t="shared" si="34"/>
        <v>0.7656610388412215</v>
      </c>
      <c r="J108" s="163">
        <f t="shared" si="34"/>
        <v>0.77487813077828205</v>
      </c>
      <c r="K108" s="163">
        <f t="shared" si="34"/>
        <v>0.7806687882810126</v>
      </c>
      <c r="L108" s="163">
        <f t="shared" si="34"/>
        <v>0.77955181634791315</v>
      </c>
      <c r="M108" s="163">
        <f t="shared" si="34"/>
        <v>0.79503738953093139</v>
      </c>
      <c r="N108" s="163">
        <f t="shared" si="34"/>
        <v>0.77364913389445866</v>
      </c>
      <c r="O108" s="163">
        <f t="shared" si="34"/>
        <v>0.7743027723264877</v>
      </c>
      <c r="P108" s="163">
        <f t="shared" si="34"/>
        <v>0.79917886469118171</v>
      </c>
      <c r="Q108" s="163">
        <f t="shared" si="34"/>
        <v>0.78174469970594951</v>
      </c>
      <c r="R108" s="163">
        <f t="shared" si="34"/>
        <v>0.79258874765787213</v>
      </c>
      <c r="S108" s="163">
        <f t="shared" si="34"/>
        <v>0.80252064640795584</v>
      </c>
      <c r="T108" s="163">
        <f t="shared" si="34"/>
        <v>0.7954948204707365</v>
      </c>
      <c r="U108" s="163">
        <f t="shared" si="34"/>
        <v>0.82857178658246244</v>
      </c>
      <c r="V108" s="163">
        <f t="shared" si="34"/>
        <v>0.77989203306633093</v>
      </c>
      <c r="W108" s="163"/>
      <c r="X108" s="163"/>
      <c r="Y108" s="163"/>
      <c r="Z108" s="163"/>
    </row>
    <row r="109" spans="1:27">
      <c r="A109" t="s">
        <v>14</v>
      </c>
      <c r="B109" s="163">
        <f t="shared" si="34"/>
        <v>0.35071254315918576</v>
      </c>
      <c r="C109" s="163">
        <f t="shared" si="34"/>
        <v>0.33491705083576379</v>
      </c>
      <c r="D109" s="163">
        <f t="shared" si="34"/>
        <v>0.39854414691198548</v>
      </c>
      <c r="E109" s="163">
        <f t="shared" si="34"/>
        <v>0.38815378728374922</v>
      </c>
      <c r="F109" s="163">
        <f t="shared" si="34"/>
        <v>0.42844368657461324</v>
      </c>
      <c r="G109" s="163">
        <f t="shared" si="34"/>
        <v>0.44767075148675439</v>
      </c>
      <c r="H109" s="163">
        <f t="shared" si="34"/>
        <v>0.48538291385185628</v>
      </c>
      <c r="I109" s="163">
        <f t="shared" si="34"/>
        <v>0.46569168506254599</v>
      </c>
      <c r="J109" s="163">
        <f t="shared" si="34"/>
        <v>0.49118024877024785</v>
      </c>
      <c r="K109" s="163">
        <f t="shared" si="34"/>
        <v>0.44220261997235205</v>
      </c>
      <c r="L109" s="163">
        <f t="shared" si="34"/>
        <v>0.42599055001389702</v>
      </c>
      <c r="M109" s="163">
        <f t="shared" si="34"/>
        <v>0.42263843648208471</v>
      </c>
      <c r="N109" s="163">
        <f t="shared" si="34"/>
        <v>0.3989519128947297</v>
      </c>
      <c r="O109" s="163">
        <f t="shared" si="34"/>
        <v>0.38850899360784896</v>
      </c>
      <c r="P109" s="163">
        <f t="shared" si="34"/>
        <v>0.38830986229830161</v>
      </c>
      <c r="Q109" s="163">
        <f t="shared" si="34"/>
        <v>0.36649063454080372</v>
      </c>
      <c r="R109" s="163">
        <f t="shared" si="34"/>
        <v>0.36772723877810143</v>
      </c>
      <c r="S109" s="163">
        <f t="shared" si="34"/>
        <v>0.37123564923055447</v>
      </c>
      <c r="T109" s="163">
        <f t="shared" si="34"/>
        <v>0.37858534750948686</v>
      </c>
      <c r="U109" s="163">
        <f t="shared" si="34"/>
        <v>0.3948771048343292</v>
      </c>
      <c r="V109" s="163">
        <f t="shared" si="34"/>
        <v>0.33197910621009868</v>
      </c>
      <c r="W109" s="163"/>
      <c r="X109" s="163"/>
      <c r="Y109" s="163"/>
      <c r="Z109" s="163"/>
    </row>
    <row r="110" spans="1:27">
      <c r="A110" s="149" t="s">
        <v>15</v>
      </c>
      <c r="B110" s="163">
        <f t="shared" si="34"/>
        <v>0.62518547279963388</v>
      </c>
      <c r="C110" s="163">
        <f t="shared" si="34"/>
        <v>0.6155408937033745</v>
      </c>
      <c r="D110" s="163">
        <f t="shared" si="34"/>
        <v>0.64753849299922472</v>
      </c>
      <c r="E110" s="163">
        <f t="shared" si="34"/>
        <v>0.66770277880962936</v>
      </c>
      <c r="F110" s="163">
        <f t="shared" si="34"/>
        <v>0.68361430271531154</v>
      </c>
      <c r="G110" s="163">
        <f t="shared" si="34"/>
        <v>0.6963860602806381</v>
      </c>
      <c r="H110" s="163">
        <f t="shared" si="34"/>
        <v>0.70779670898045222</v>
      </c>
      <c r="I110" s="163">
        <f t="shared" si="34"/>
        <v>0.70683165554599769</v>
      </c>
      <c r="J110" s="163">
        <f t="shared" si="34"/>
        <v>0.71160644326609446</v>
      </c>
      <c r="K110" s="163">
        <f t="shared" si="34"/>
        <v>0.721678008176593</v>
      </c>
      <c r="L110" s="163">
        <f t="shared" si="34"/>
        <v>0.72439604373637356</v>
      </c>
      <c r="M110" s="163">
        <f t="shared" si="34"/>
        <v>0.73842390936560431</v>
      </c>
      <c r="N110" s="163">
        <f t="shared" si="34"/>
        <v>0.72628539758781774</v>
      </c>
      <c r="O110" s="163">
        <f t="shared" si="34"/>
        <v>0.73372870108630339</v>
      </c>
      <c r="P110" s="163">
        <f t="shared" si="34"/>
        <v>0.74856582264740634</v>
      </c>
      <c r="Q110" s="163">
        <f t="shared" si="34"/>
        <v>0.74114039600165416</v>
      </c>
      <c r="R110" s="163">
        <f t="shared" si="34"/>
        <v>0.74640734234537887</v>
      </c>
      <c r="S110" s="163">
        <f t="shared" si="34"/>
        <v>0.75313150754085945</v>
      </c>
      <c r="T110" s="163">
        <f t="shared" si="34"/>
        <v>0.75434124690924353</v>
      </c>
      <c r="U110" s="163">
        <f t="shared" si="34"/>
        <v>0.75944088943889221</v>
      </c>
      <c r="V110" s="163">
        <f t="shared" si="34"/>
        <v>0.75437179155290057</v>
      </c>
      <c r="W110" s="163"/>
      <c r="X110" s="163"/>
      <c r="Y110" s="163"/>
      <c r="Z110" s="163"/>
    </row>
    <row r="112" spans="1:27">
      <c r="A112" s="402" t="s">
        <v>46</v>
      </c>
    </row>
    <row r="113" spans="1:27">
      <c r="B113" s="403">
        <v>202101</v>
      </c>
      <c r="C113" s="403">
        <v>202102</v>
      </c>
      <c r="D113" s="403">
        <v>202103</v>
      </c>
      <c r="E113" s="403">
        <v>202104</v>
      </c>
      <c r="F113" s="403">
        <v>202105</v>
      </c>
      <c r="G113" s="403">
        <v>202106</v>
      </c>
      <c r="H113" s="403">
        <v>202107</v>
      </c>
      <c r="I113" s="403">
        <v>202108</v>
      </c>
      <c r="J113" s="403">
        <v>202109</v>
      </c>
      <c r="K113" s="403">
        <v>202110</v>
      </c>
      <c r="L113" s="403">
        <v>202111</v>
      </c>
      <c r="M113" s="403">
        <v>202112</v>
      </c>
      <c r="N113" s="403">
        <v>202201</v>
      </c>
      <c r="O113" s="403">
        <v>202202</v>
      </c>
      <c r="P113" s="403">
        <v>202203</v>
      </c>
      <c r="Q113" s="403">
        <v>202004</v>
      </c>
      <c r="R113" s="403">
        <v>202005</v>
      </c>
      <c r="S113" s="403">
        <v>202206</v>
      </c>
      <c r="T113" s="403">
        <v>202207</v>
      </c>
      <c r="U113" s="403">
        <v>202208</v>
      </c>
      <c r="V113" s="403">
        <v>202209</v>
      </c>
      <c r="W113" s="403">
        <v>202210</v>
      </c>
      <c r="X113" s="403"/>
      <c r="Y113" s="403"/>
      <c r="Z113" s="403"/>
      <c r="AA113" s="403" t="s">
        <v>43</v>
      </c>
    </row>
    <row r="114" spans="1:27">
      <c r="A114" t="s">
        <v>9</v>
      </c>
      <c r="B114" s="204">
        <f t="shared" ref="B114:B120" si="35">+B84/B94</f>
        <v>1529.765082394551</v>
      </c>
      <c r="C114" s="204">
        <f t="shared" ref="C114:W120" si="36">+C84/C94</f>
        <v>1280.8270443796168</v>
      </c>
      <c r="D114" s="204">
        <f t="shared" si="36"/>
        <v>1727.0889141505477</v>
      </c>
      <c r="E114" s="204">
        <f t="shared" si="36"/>
        <v>1664.2315058039253</v>
      </c>
      <c r="F114" s="204">
        <f t="shared" si="36"/>
        <v>1872.8516299079201</v>
      </c>
      <c r="G114" s="204">
        <f t="shared" si="36"/>
        <v>1762.0198155010382</v>
      </c>
      <c r="H114" s="204">
        <f t="shared" si="36"/>
        <v>1981.3606893544243</v>
      </c>
      <c r="I114" s="204">
        <f t="shared" si="36"/>
        <v>1945.6922268753265</v>
      </c>
      <c r="J114" s="204">
        <f t="shared" si="36"/>
        <v>1931.8627064777438</v>
      </c>
      <c r="K114" s="204">
        <f t="shared" si="36"/>
        <v>2036.5247122454891</v>
      </c>
      <c r="L114" s="204">
        <f t="shared" si="36"/>
        <v>2101.472913845625</v>
      </c>
      <c r="M114" s="204">
        <f t="shared" si="36"/>
        <v>2220.5888471813923</v>
      </c>
      <c r="N114" s="204">
        <f t="shared" si="36"/>
        <v>1924.6972695537518</v>
      </c>
      <c r="O114" s="204">
        <f t="shared" si="36"/>
        <v>1969.3587628268033</v>
      </c>
      <c r="P114" s="204">
        <f t="shared" si="36"/>
        <v>2208.7088926734859</v>
      </c>
      <c r="Q114" s="204">
        <f t="shared" si="36"/>
        <v>2081.196809665711</v>
      </c>
      <c r="R114" s="204">
        <f t="shared" si="36"/>
        <v>2187.2051676152428</v>
      </c>
      <c r="S114" s="204">
        <f t="shared" si="36"/>
        <v>2100.5097842408709</v>
      </c>
      <c r="T114" s="204">
        <f t="shared" si="36"/>
        <v>2260.3396723054452</v>
      </c>
      <c r="U114" s="204">
        <f t="shared" si="36"/>
        <v>2175.3230790459443</v>
      </c>
      <c r="V114" s="204">
        <f t="shared" si="36"/>
        <v>2122.4714377555501</v>
      </c>
      <c r="W114" s="204">
        <f t="shared" si="36"/>
        <v>431.39027862202892</v>
      </c>
      <c r="X114" s="204"/>
      <c r="Y114" s="204"/>
      <c r="Z114" s="204"/>
    </row>
    <row r="115" spans="1:27">
      <c r="A115" t="s">
        <v>10</v>
      </c>
      <c r="B115" s="204">
        <f t="shared" si="35"/>
        <v>1244.2146922097793</v>
      </c>
      <c r="C115" s="204">
        <f t="shared" ref="C115:Q115" si="37">+C85/C95</f>
        <v>1074.9384390333773</v>
      </c>
      <c r="D115" s="204">
        <f t="shared" si="37"/>
        <v>1458.1717536104081</v>
      </c>
      <c r="E115" s="204">
        <f t="shared" si="37"/>
        <v>1361.9463433698309</v>
      </c>
      <c r="F115" s="204">
        <f t="shared" si="37"/>
        <v>1509.9590071030364</v>
      </c>
      <c r="G115" s="204">
        <f t="shared" si="37"/>
        <v>1445.6867627758218</v>
      </c>
      <c r="H115" s="204">
        <f t="shared" si="37"/>
        <v>1650.2897187011442</v>
      </c>
      <c r="I115" s="204">
        <f t="shared" si="37"/>
        <v>1673.2931528123408</v>
      </c>
      <c r="J115" s="204">
        <f t="shared" si="37"/>
        <v>1661.4797516854419</v>
      </c>
      <c r="K115" s="204">
        <f t="shared" si="37"/>
        <v>1736.280744134571</v>
      </c>
      <c r="L115" s="204">
        <f t="shared" si="37"/>
        <v>1799.8810751402723</v>
      </c>
      <c r="M115" s="204">
        <f t="shared" si="37"/>
        <v>1940.4888638252728</v>
      </c>
      <c r="N115" s="204">
        <f t="shared" si="37"/>
        <v>1732.0656783870204</v>
      </c>
      <c r="O115" s="204">
        <f t="shared" si="37"/>
        <v>1724.8897494135852</v>
      </c>
      <c r="P115" s="204">
        <f t="shared" si="37"/>
        <v>1946.0677249721725</v>
      </c>
      <c r="Q115" s="204">
        <f t="shared" si="37"/>
        <v>1791.4458460094609</v>
      </c>
      <c r="R115" s="204">
        <f t="shared" si="36"/>
        <v>1896.8586246486734</v>
      </c>
      <c r="S115" s="204">
        <f t="shared" si="36"/>
        <v>1841.7037402003384</v>
      </c>
      <c r="T115" s="204">
        <f t="shared" si="36"/>
        <v>1969.2589638855798</v>
      </c>
      <c r="U115" s="204">
        <f t="shared" si="36"/>
        <v>2016.0857617919403</v>
      </c>
      <c r="V115" s="204">
        <f t="shared" si="36"/>
        <v>1921.3956210183671</v>
      </c>
      <c r="W115" s="204">
        <f t="shared" si="36"/>
        <v>418.69086566223183</v>
      </c>
      <c r="X115" s="204"/>
      <c r="Y115" s="204"/>
      <c r="Z115" s="204"/>
    </row>
    <row r="116" spans="1:27">
      <c r="A116" t="s">
        <v>11</v>
      </c>
      <c r="B116" s="204">
        <f t="shared" si="35"/>
        <v>1180.3131157800563</v>
      </c>
      <c r="C116" s="204">
        <f t="shared" si="36"/>
        <v>1002.8624085319512</v>
      </c>
      <c r="D116" s="204">
        <f t="shared" si="36"/>
        <v>1320.1555728596877</v>
      </c>
      <c r="E116" s="204">
        <f t="shared" si="36"/>
        <v>1239.6259469977483</v>
      </c>
      <c r="F116" s="204">
        <f t="shared" si="36"/>
        <v>1349.7298277890211</v>
      </c>
      <c r="G116" s="204">
        <f t="shared" si="36"/>
        <v>1339.9337594299238</v>
      </c>
      <c r="H116" s="204">
        <f t="shared" si="36"/>
        <v>1463.6654773150965</v>
      </c>
      <c r="I116" s="204">
        <f t="shared" si="36"/>
        <v>1470.0922750908385</v>
      </c>
      <c r="J116" s="204">
        <f t="shared" si="36"/>
        <v>1464.1688052344191</v>
      </c>
      <c r="K116" s="204">
        <f t="shared" si="36"/>
        <v>1535.0084706543869</v>
      </c>
      <c r="L116" s="204">
        <f t="shared" si="36"/>
        <v>1552.3652603982728</v>
      </c>
      <c r="M116" s="204">
        <f t="shared" si="36"/>
        <v>1655.0778917223408</v>
      </c>
      <c r="N116" s="204">
        <f t="shared" si="36"/>
        <v>1512.8972013542761</v>
      </c>
      <c r="O116" s="204">
        <f t="shared" si="36"/>
        <v>1559.083099513223</v>
      </c>
      <c r="P116" s="204">
        <f t="shared" si="36"/>
        <v>1729.740896939644</v>
      </c>
      <c r="Q116" s="204">
        <f t="shared" si="36"/>
        <v>1580.3445415639458</v>
      </c>
      <c r="R116" s="204">
        <f t="shared" si="36"/>
        <v>1730.0613113015615</v>
      </c>
      <c r="S116" s="204">
        <f t="shared" si="36"/>
        <v>1624.7396327094657</v>
      </c>
      <c r="T116" s="204">
        <f t="shared" si="36"/>
        <v>1735.9071493932886</v>
      </c>
      <c r="U116" s="204">
        <f t="shared" si="36"/>
        <v>1773.1718300595548</v>
      </c>
      <c r="V116" s="204">
        <f t="shared" si="36"/>
        <v>1682.737179686236</v>
      </c>
      <c r="W116" s="204">
        <f t="shared" si="36"/>
        <v>412.36095006138299</v>
      </c>
      <c r="X116" s="204"/>
      <c r="Y116" s="204"/>
      <c r="Z116" s="204"/>
    </row>
    <row r="117" spans="1:27">
      <c r="A117" t="s">
        <v>12</v>
      </c>
      <c r="B117" s="204">
        <f t="shared" si="35"/>
        <v>984.00992204469389</v>
      </c>
      <c r="C117" s="204">
        <f t="shared" si="36"/>
        <v>839.81134778748185</v>
      </c>
      <c r="D117" s="204">
        <f t="shared" si="36"/>
        <v>1116.1561416240056</v>
      </c>
      <c r="E117" s="204">
        <f t="shared" si="36"/>
        <v>1042.750624484004</v>
      </c>
      <c r="F117" s="204">
        <f t="shared" si="36"/>
        <v>1154.5440146038188</v>
      </c>
      <c r="G117" s="204">
        <f t="shared" si="36"/>
        <v>1161.6826372644762</v>
      </c>
      <c r="H117" s="204">
        <f t="shared" si="36"/>
        <v>1173.3981220689593</v>
      </c>
      <c r="I117" s="204">
        <f t="shared" si="36"/>
        <v>1175.6392493135718</v>
      </c>
      <c r="J117" s="204">
        <f t="shared" si="36"/>
        <v>1166.4456961629758</v>
      </c>
      <c r="K117" s="204">
        <f t="shared" si="36"/>
        <v>1201.0327206403088</v>
      </c>
      <c r="L117" s="204">
        <f t="shared" si="36"/>
        <v>1221.1806697658812</v>
      </c>
      <c r="M117" s="204">
        <f t="shared" si="36"/>
        <v>1341.390659377988</v>
      </c>
      <c r="N117" s="204">
        <f t="shared" si="36"/>
        <v>1184.5011055534555</v>
      </c>
      <c r="O117" s="204">
        <f t="shared" si="36"/>
        <v>1220.4414621630297</v>
      </c>
      <c r="P117" s="204">
        <f t="shared" si="36"/>
        <v>1375.8002862368239</v>
      </c>
      <c r="Q117" s="204">
        <f t="shared" si="36"/>
        <v>1260.2859658184627</v>
      </c>
      <c r="R117" s="204">
        <f t="shared" si="36"/>
        <v>1365.5381712919898</v>
      </c>
      <c r="S117" s="204">
        <f t="shared" si="36"/>
        <v>1304.1266049209803</v>
      </c>
      <c r="T117" s="204">
        <f t="shared" si="36"/>
        <v>1385.902359044492</v>
      </c>
      <c r="U117" s="204">
        <f t="shared" si="36"/>
        <v>1469.5813855305521</v>
      </c>
      <c r="V117" s="204">
        <f t="shared" si="36"/>
        <v>1349.1680435929825</v>
      </c>
      <c r="W117" s="204">
        <f t="shared" si="36"/>
        <v>361.47244605847646</v>
      </c>
      <c r="X117" s="204"/>
      <c r="Y117" s="204"/>
      <c r="Z117" s="204"/>
    </row>
    <row r="118" spans="1:27">
      <c r="A118" t="s">
        <v>13</v>
      </c>
      <c r="B118" s="204">
        <f t="shared" si="35"/>
        <v>694.90904658433362</v>
      </c>
      <c r="C118" s="204">
        <f t="shared" si="36"/>
        <v>612.81126001575626</v>
      </c>
      <c r="D118" s="204">
        <f t="shared" si="36"/>
        <v>805.61003433665178</v>
      </c>
      <c r="E118" s="204">
        <f t="shared" si="36"/>
        <v>757.08443675382046</v>
      </c>
      <c r="F118" s="204">
        <f t="shared" si="36"/>
        <v>848.20686637157087</v>
      </c>
      <c r="G118" s="204">
        <f t="shared" si="36"/>
        <v>912.76265984885129</v>
      </c>
      <c r="H118" s="204">
        <f t="shared" si="36"/>
        <v>836.71639410984699</v>
      </c>
      <c r="I118" s="204">
        <f t="shared" si="36"/>
        <v>866.22998093545402</v>
      </c>
      <c r="J118" s="204">
        <f t="shared" si="36"/>
        <v>833.39457484263426</v>
      </c>
      <c r="K118" s="204">
        <f t="shared" si="36"/>
        <v>872.72764978879877</v>
      </c>
      <c r="L118" s="204">
        <f t="shared" si="36"/>
        <v>862.15392607241722</v>
      </c>
      <c r="M118" s="204">
        <f t="shared" si="36"/>
        <v>949.13346708908227</v>
      </c>
      <c r="N118" s="204">
        <f t="shared" si="36"/>
        <v>829.10765465013094</v>
      </c>
      <c r="O118" s="204">
        <f t="shared" si="36"/>
        <v>874.99118794331298</v>
      </c>
      <c r="P118" s="204">
        <f t="shared" si="36"/>
        <v>994.89329382622293</v>
      </c>
      <c r="Q118" s="204">
        <f t="shared" si="36"/>
        <v>937.09907261688022</v>
      </c>
      <c r="R118" s="204">
        <f t="shared" si="36"/>
        <v>993.73405025972363</v>
      </c>
      <c r="S118" s="204">
        <f t="shared" si="36"/>
        <v>937.18309032651371</v>
      </c>
      <c r="T118" s="204">
        <f t="shared" si="36"/>
        <v>983.6056465798523</v>
      </c>
      <c r="U118" s="204">
        <f t="shared" si="36"/>
        <v>992.09680038593581</v>
      </c>
      <c r="V118" s="204">
        <f t="shared" si="36"/>
        <v>969.61292504970925</v>
      </c>
      <c r="W118" s="204">
        <f t="shared" si="36"/>
        <v>282.40803733652615</v>
      </c>
      <c r="X118" s="204"/>
      <c r="Y118" s="204"/>
      <c r="Z118" s="204"/>
    </row>
    <row r="119" spans="1:27">
      <c r="A119" t="s">
        <v>14</v>
      </c>
      <c r="B119" s="204">
        <f t="shared" si="35"/>
        <v>423.71667886422381</v>
      </c>
      <c r="C119" s="204">
        <f t="shared" si="36"/>
        <v>388.86373832061429</v>
      </c>
      <c r="D119" s="204">
        <f t="shared" si="36"/>
        <v>529.72614610354344</v>
      </c>
      <c r="E119" s="204">
        <f t="shared" si="36"/>
        <v>490.86528376329579</v>
      </c>
      <c r="F119" s="204">
        <f t="shared" si="36"/>
        <v>537.02589390962476</v>
      </c>
      <c r="G119" s="204">
        <f t="shared" si="36"/>
        <v>576.34268172042471</v>
      </c>
      <c r="H119" s="204">
        <f t="shared" si="36"/>
        <v>538.14115072299546</v>
      </c>
      <c r="I119" s="204">
        <f t="shared" si="36"/>
        <v>593.12771244519058</v>
      </c>
      <c r="J119" s="204">
        <f t="shared" si="36"/>
        <v>593.81757074759196</v>
      </c>
      <c r="K119" s="204">
        <f t="shared" si="36"/>
        <v>592.31367924451058</v>
      </c>
      <c r="L119" s="204">
        <f t="shared" si="36"/>
        <v>593.73891405756126</v>
      </c>
      <c r="M119" s="204">
        <f t="shared" si="36"/>
        <v>697.96256988082496</v>
      </c>
      <c r="N119" s="204">
        <f t="shared" si="36"/>
        <v>595.92564154835634</v>
      </c>
      <c r="O119" s="204">
        <f t="shared" si="36"/>
        <v>680.38645261845545</v>
      </c>
      <c r="P119" s="204">
        <f t="shared" si="36"/>
        <v>716.6482322449566</v>
      </c>
      <c r="Q119" s="204">
        <f t="shared" si="36"/>
        <v>680.18366365811107</v>
      </c>
      <c r="R119" s="204">
        <f t="shared" si="36"/>
        <v>683.35158144307911</v>
      </c>
      <c r="S119" s="204">
        <f t="shared" si="36"/>
        <v>641.27007902617856</v>
      </c>
      <c r="T119" s="204">
        <f t="shared" si="36"/>
        <v>641.88535114637887</v>
      </c>
      <c r="U119" s="204">
        <f t="shared" si="36"/>
        <v>579.06236816403737</v>
      </c>
      <c r="V119" s="204">
        <f t="shared" si="36"/>
        <v>647.84378699689205</v>
      </c>
      <c r="W119" s="204">
        <f t="shared" si="36"/>
        <v>245.76246760767651</v>
      </c>
      <c r="X119" s="204"/>
      <c r="Y119" s="204"/>
      <c r="Z119" s="204"/>
    </row>
    <row r="120" spans="1:27">
      <c r="A120" s="149" t="s">
        <v>15</v>
      </c>
      <c r="B120" s="204">
        <f t="shared" si="35"/>
        <v>1166.4006595363653</v>
      </c>
      <c r="C120" s="204">
        <f t="shared" si="36"/>
        <v>1010.8526015572605</v>
      </c>
      <c r="D120" s="204">
        <f t="shared" si="36"/>
        <v>1336.1200917739061</v>
      </c>
      <c r="E120" s="204">
        <f t="shared" si="36"/>
        <v>1270.8690440686948</v>
      </c>
      <c r="F120" s="204">
        <f t="shared" si="36"/>
        <v>1412.635420932555</v>
      </c>
      <c r="G120" s="204">
        <f t="shared" si="36"/>
        <v>1371.3755430551419</v>
      </c>
      <c r="H120" s="204">
        <f t="shared" si="36"/>
        <v>1541.4396222250905</v>
      </c>
      <c r="I120" s="204">
        <f t="shared" si="36"/>
        <v>1537.151371565358</v>
      </c>
      <c r="J120" s="204">
        <f t="shared" si="36"/>
        <v>1502.2730640988837</v>
      </c>
      <c r="K120" s="204">
        <f t="shared" si="36"/>
        <v>1603.8109228320916</v>
      </c>
      <c r="L120" s="204">
        <f t="shared" si="36"/>
        <v>1646.6751378134127</v>
      </c>
      <c r="M120" s="204">
        <f t="shared" si="36"/>
        <v>1753.7938735142377</v>
      </c>
      <c r="N120" s="204">
        <f t="shared" si="36"/>
        <v>1546.9095734747061</v>
      </c>
      <c r="O120" s="204">
        <f t="shared" si="36"/>
        <v>1578.046158449373</v>
      </c>
      <c r="P120" s="204">
        <f t="shared" si="36"/>
        <v>1762.3118087087887</v>
      </c>
      <c r="Q120" s="204">
        <f t="shared" si="36"/>
        <v>1649.3317085101403</v>
      </c>
      <c r="R120" s="204">
        <f t="shared" si="36"/>
        <v>1739.0457054853978</v>
      </c>
      <c r="S120" s="204">
        <f t="shared" si="36"/>
        <v>1663.0236594398241</v>
      </c>
      <c r="T120" s="204">
        <f t="shared" si="36"/>
        <v>1777.8996289892023</v>
      </c>
      <c r="U120" s="204">
        <f t="shared" si="36"/>
        <v>1785.5416405390492</v>
      </c>
      <c r="V120" s="204">
        <f t="shared" si="36"/>
        <v>1715.4616624447826</v>
      </c>
      <c r="W120" s="204">
        <f t="shared" si="36"/>
        <v>398.14901831074627</v>
      </c>
      <c r="X120" s="204"/>
      <c r="Y120" s="204"/>
      <c r="Z120" s="204"/>
    </row>
    <row r="123" spans="1:27">
      <c r="A123" s="402" t="s">
        <v>38</v>
      </c>
      <c r="B123" s="403">
        <v>202101</v>
      </c>
      <c r="C123" s="403">
        <v>202102</v>
      </c>
      <c r="D123" s="403">
        <v>202103</v>
      </c>
      <c r="E123" s="403">
        <v>202104</v>
      </c>
      <c r="F123" s="403">
        <v>202105</v>
      </c>
      <c r="G123" s="403">
        <v>202106</v>
      </c>
      <c r="H123" s="403">
        <v>202107</v>
      </c>
      <c r="I123" s="403">
        <v>202108</v>
      </c>
      <c r="J123" s="403">
        <v>202109</v>
      </c>
      <c r="K123" s="403">
        <v>202110</v>
      </c>
      <c r="L123" s="403">
        <v>202111</v>
      </c>
      <c r="M123" s="403">
        <v>202112</v>
      </c>
      <c r="N123" s="403">
        <v>202201</v>
      </c>
      <c r="O123" s="403">
        <v>202202</v>
      </c>
      <c r="P123" s="403">
        <v>202203</v>
      </c>
      <c r="Q123" s="403">
        <v>202004</v>
      </c>
      <c r="R123" s="403">
        <v>202005</v>
      </c>
      <c r="S123" s="403">
        <v>202206</v>
      </c>
      <c r="T123" s="403">
        <v>202207</v>
      </c>
      <c r="U123" s="403">
        <v>202208</v>
      </c>
      <c r="V123" s="403">
        <v>202209</v>
      </c>
      <c r="W123" s="403">
        <v>202210</v>
      </c>
      <c r="X123" s="403"/>
      <c r="Y123" s="403"/>
      <c r="Z123" s="403"/>
      <c r="AA123" s="403" t="s">
        <v>43</v>
      </c>
    </row>
    <row r="124" spans="1:27">
      <c r="A124" t="s">
        <v>47</v>
      </c>
      <c r="B124" s="430">
        <f>+(B73+B74)/1000</f>
        <v>447.34500000000003</v>
      </c>
      <c r="C124" s="430">
        <f t="shared" ref="C124:V124" si="38">+(C73+C74)/1000</f>
        <v>466.61</v>
      </c>
      <c r="D124" s="430">
        <f t="shared" si="38"/>
        <v>459.928</v>
      </c>
      <c r="E124" s="430">
        <f t="shared" si="38"/>
        <v>436.65100000000001</v>
      </c>
      <c r="F124" s="430">
        <f t="shared" si="38"/>
        <v>442.92899999999997</v>
      </c>
      <c r="G124" s="430">
        <f t="shared" si="38"/>
        <v>440.45400000000001</v>
      </c>
      <c r="H124" s="430">
        <f t="shared" si="38"/>
        <v>485.185</v>
      </c>
      <c r="I124" s="430">
        <f t="shared" si="38"/>
        <v>492.82499999999999</v>
      </c>
      <c r="J124" s="430">
        <f t="shared" si="38"/>
        <v>488.69</v>
      </c>
      <c r="K124" s="430">
        <f t="shared" si="38"/>
        <v>522.32299999999998</v>
      </c>
      <c r="L124" s="430">
        <f t="shared" si="38"/>
        <v>525.95299999999997</v>
      </c>
      <c r="M124" s="430">
        <f t="shared" si="38"/>
        <v>532.46699999999998</v>
      </c>
      <c r="N124" s="430">
        <f t="shared" si="38"/>
        <v>536.35500000000002</v>
      </c>
      <c r="O124" s="430">
        <f t="shared" si="38"/>
        <v>537.11199999999997</v>
      </c>
      <c r="P124" s="430">
        <f t="shared" si="38"/>
        <v>543.57799999999997</v>
      </c>
      <c r="Q124" s="430">
        <f t="shared" si="38"/>
        <v>554.745</v>
      </c>
      <c r="R124" s="430">
        <f t="shared" si="38"/>
        <v>555.38499999999999</v>
      </c>
      <c r="S124" s="430">
        <f t="shared" si="38"/>
        <v>552.54399999999998</v>
      </c>
      <c r="T124" s="430">
        <f t="shared" si="38"/>
        <v>554.02</v>
      </c>
      <c r="U124" s="430">
        <f t="shared" si="38"/>
        <v>566.00199999999995</v>
      </c>
      <c r="V124" s="430">
        <f t="shared" si="38"/>
        <v>557.30799999999999</v>
      </c>
    </row>
    <row r="125" spans="1:27">
      <c r="A125" t="s">
        <v>48</v>
      </c>
      <c r="B125" s="430">
        <f>+(B75+B76)/1000</f>
        <v>247.27500000000001</v>
      </c>
      <c r="C125" s="430">
        <f t="shared" ref="C125:V125" si="39">+(C75+C76)/1000</f>
        <v>244.63499999999999</v>
      </c>
      <c r="D125" s="430">
        <f t="shared" si="39"/>
        <v>249.74100000000001</v>
      </c>
      <c r="E125" s="430">
        <f t="shared" si="39"/>
        <v>254.60900000000001</v>
      </c>
      <c r="F125" s="430">
        <f t="shared" si="39"/>
        <v>251.815</v>
      </c>
      <c r="G125" s="430">
        <f t="shared" si="39"/>
        <v>256.173</v>
      </c>
      <c r="H125" s="430">
        <f t="shared" si="39"/>
        <v>240.67500000000001</v>
      </c>
      <c r="I125" s="430">
        <f t="shared" si="39"/>
        <v>245.68700000000001</v>
      </c>
      <c r="J125" s="430">
        <f t="shared" si="39"/>
        <v>258.06099999999998</v>
      </c>
      <c r="K125" s="430">
        <f t="shared" si="39"/>
        <v>255.55099999999999</v>
      </c>
      <c r="L125" s="430">
        <f t="shared" si="39"/>
        <v>261.57499999999999</v>
      </c>
      <c r="M125" s="430">
        <f t="shared" si="39"/>
        <v>266.90499999999997</v>
      </c>
      <c r="N125" s="430">
        <f t="shared" si="39"/>
        <v>277.78500000000003</v>
      </c>
      <c r="O125" s="430">
        <f t="shared" si="39"/>
        <v>279.42399999999998</v>
      </c>
      <c r="P125" s="430">
        <f t="shared" si="39"/>
        <v>282.863</v>
      </c>
      <c r="Q125" s="430">
        <f t="shared" si="39"/>
        <v>289.74599999999998</v>
      </c>
      <c r="R125" s="430">
        <f t="shared" si="39"/>
        <v>291.637</v>
      </c>
      <c r="S125" s="430">
        <f t="shared" si="39"/>
        <v>296.96499999999997</v>
      </c>
      <c r="T125" s="430">
        <f t="shared" si="39"/>
        <v>301.19400000000002</v>
      </c>
      <c r="U125" s="430">
        <f t="shared" si="39"/>
        <v>293.255</v>
      </c>
      <c r="V125" s="430">
        <f t="shared" si="39"/>
        <v>311.601</v>
      </c>
    </row>
    <row r="126" spans="1:27">
      <c r="A126" t="s">
        <v>49</v>
      </c>
      <c r="B126" s="430">
        <f>+(B77+B78)/1000</f>
        <v>158.19399999999999</v>
      </c>
      <c r="C126" s="430">
        <f t="shared" ref="C126:V126" si="40">+(C77+C78)/1000</f>
        <v>139.81</v>
      </c>
      <c r="D126" s="430">
        <f t="shared" si="40"/>
        <v>138.428</v>
      </c>
      <c r="E126" s="430">
        <f t="shared" si="40"/>
        <v>127.33</v>
      </c>
      <c r="F126" s="430">
        <f t="shared" si="40"/>
        <v>127.03400000000001</v>
      </c>
      <c r="G126" s="430">
        <f t="shared" si="40"/>
        <v>126.30200000000001</v>
      </c>
      <c r="H126" s="430">
        <f t="shared" si="40"/>
        <v>100.44</v>
      </c>
      <c r="I126" s="430">
        <f t="shared" si="40"/>
        <v>97.65</v>
      </c>
      <c r="J126" s="430">
        <f t="shared" si="40"/>
        <v>103.30500000000001</v>
      </c>
      <c r="K126" s="430">
        <f t="shared" si="40"/>
        <v>92.912999999999997</v>
      </c>
      <c r="L126" s="430">
        <f t="shared" si="40"/>
        <v>96.328000000000003</v>
      </c>
      <c r="M126" s="430">
        <f t="shared" si="40"/>
        <v>97.88</v>
      </c>
      <c r="N126" s="430">
        <f t="shared" si="40"/>
        <v>106.45099999999999</v>
      </c>
      <c r="O126" s="430">
        <f t="shared" si="40"/>
        <v>112.72</v>
      </c>
      <c r="P126" s="430">
        <f t="shared" si="40"/>
        <v>117.633</v>
      </c>
      <c r="Q126" s="430">
        <f t="shared" si="40"/>
        <v>122.953</v>
      </c>
      <c r="R126" s="430">
        <f t="shared" si="40"/>
        <v>132.54400000000001</v>
      </c>
      <c r="S126" s="430">
        <f t="shared" si="40"/>
        <v>138.56299999999999</v>
      </c>
      <c r="T126" s="430">
        <f t="shared" si="40"/>
        <v>142.583</v>
      </c>
      <c r="U126" s="430">
        <f t="shared" si="40"/>
        <v>138.71799999999999</v>
      </c>
      <c r="V126" s="430">
        <f t="shared" si="40"/>
        <v>132.28800000000001</v>
      </c>
    </row>
    <row r="142" spans="1:27">
      <c r="A142" s="402" t="s">
        <v>50</v>
      </c>
      <c r="B142" s="403">
        <v>202101</v>
      </c>
      <c r="C142" s="403">
        <v>202102</v>
      </c>
      <c r="D142" s="403">
        <v>202103</v>
      </c>
      <c r="E142" s="403">
        <v>202104</v>
      </c>
      <c r="F142" s="403">
        <v>202105</v>
      </c>
      <c r="G142" s="403">
        <v>202106</v>
      </c>
      <c r="H142" s="403">
        <v>202107</v>
      </c>
      <c r="I142" s="403">
        <v>202108</v>
      </c>
      <c r="J142" s="403">
        <v>202109</v>
      </c>
      <c r="K142" s="403">
        <v>202110</v>
      </c>
      <c r="L142" s="403">
        <v>202111</v>
      </c>
      <c r="M142" s="403">
        <v>202112</v>
      </c>
      <c r="N142" s="403">
        <v>202201</v>
      </c>
      <c r="O142" s="403">
        <v>202202</v>
      </c>
      <c r="P142" s="403">
        <v>202203</v>
      </c>
      <c r="Q142" s="403">
        <v>202004</v>
      </c>
      <c r="R142" s="403">
        <v>202005</v>
      </c>
      <c r="S142" s="403">
        <v>202206</v>
      </c>
      <c r="T142" s="403">
        <v>202207</v>
      </c>
      <c r="U142" s="403">
        <v>202208</v>
      </c>
      <c r="V142" s="403">
        <v>202209</v>
      </c>
      <c r="W142" s="403">
        <v>202210</v>
      </c>
      <c r="X142" s="403"/>
      <c r="Y142" s="403"/>
      <c r="Z142" s="403"/>
      <c r="AA142" s="403" t="s">
        <v>43</v>
      </c>
    </row>
    <row r="143" spans="1:27">
      <c r="A143" t="s">
        <v>47</v>
      </c>
      <c r="B143" s="427">
        <f>+(B84+B85)/1000000</f>
        <v>395.52793114419995</v>
      </c>
      <c r="C143" s="427">
        <f t="shared" ref="C143:V143" si="41">+(C84+C85)/1000000</f>
        <v>346.61581336417004</v>
      </c>
      <c r="D143" s="427">
        <f t="shared" si="41"/>
        <v>473.66718936401998</v>
      </c>
      <c r="E143" s="427">
        <f t="shared" si="41"/>
        <v>449.88555846057</v>
      </c>
      <c r="F143" s="427">
        <f t="shared" si="41"/>
        <v>518.50189833937998</v>
      </c>
      <c r="G143" s="427">
        <f t="shared" si="41"/>
        <v>492.18462190041993</v>
      </c>
      <c r="H143" s="427">
        <f t="shared" si="41"/>
        <v>631.19417782797007</v>
      </c>
      <c r="I143" s="427">
        <f t="shared" si="41"/>
        <v>634.65390321288999</v>
      </c>
      <c r="J143" s="427">
        <f t="shared" si="41"/>
        <v>623.05370913615002</v>
      </c>
      <c r="K143" s="427">
        <f t="shared" si="41"/>
        <v>717.35348999885002</v>
      </c>
      <c r="L143" s="427">
        <f t="shared" si="41"/>
        <v>753.72758187209001</v>
      </c>
      <c r="M143" s="427">
        <f t="shared" si="41"/>
        <v>823.73431617289998</v>
      </c>
      <c r="N143" s="427">
        <f t="shared" si="41"/>
        <v>721.08411207170002</v>
      </c>
      <c r="O143" s="427">
        <f t="shared" si="41"/>
        <v>744.85063316460992</v>
      </c>
      <c r="P143" s="427">
        <f t="shared" si="41"/>
        <v>863.16750972776993</v>
      </c>
      <c r="Q143" s="427">
        <f t="shared" si="41"/>
        <v>821.64661766328993</v>
      </c>
      <c r="R143" s="427">
        <f t="shared" si="41"/>
        <v>873.48028517905993</v>
      </c>
      <c r="S143" s="427">
        <f t="shared" si="41"/>
        <v>843.92142996358996</v>
      </c>
      <c r="T143" s="427">
        <f t="shared" si="41"/>
        <v>914.36572164526001</v>
      </c>
      <c r="U143" s="427">
        <f t="shared" si="41"/>
        <v>921.87679979350992</v>
      </c>
      <c r="V143" s="427">
        <f t="shared" si="41"/>
        <v>875.23288989916</v>
      </c>
    </row>
    <row r="144" spans="1:27">
      <c r="A144" t="s">
        <v>48</v>
      </c>
      <c r="B144" s="427">
        <f>+(B86+B87)/1000000</f>
        <v>176.83675842688001</v>
      </c>
      <c r="C144" s="427">
        <f t="shared" ref="C144:V144" si="42">+(C86+C87)/1000000</f>
        <v>145.17453685780998</v>
      </c>
      <c r="D144" s="427">
        <f t="shared" si="42"/>
        <v>206.61632617681997</v>
      </c>
      <c r="E144" s="427">
        <f t="shared" si="42"/>
        <v>198.20710575334002</v>
      </c>
      <c r="F144" s="427">
        <f t="shared" si="42"/>
        <v>220.7460796684</v>
      </c>
      <c r="G144" s="427">
        <f t="shared" si="42"/>
        <v>229.93681637343002</v>
      </c>
      <c r="H144" s="427">
        <f t="shared" si="42"/>
        <v>225.65497940386999</v>
      </c>
      <c r="I144" s="427">
        <f t="shared" si="42"/>
        <v>231.22293739542999</v>
      </c>
      <c r="J144" s="427">
        <f t="shared" si="42"/>
        <v>243.67849331012999</v>
      </c>
      <c r="K144" s="427">
        <f t="shared" si="42"/>
        <v>253.55763422369998</v>
      </c>
      <c r="L144" s="427">
        <f t="shared" si="42"/>
        <v>263.70908738463999</v>
      </c>
      <c r="M144" s="427">
        <f t="shared" si="42"/>
        <v>298.39851621854001</v>
      </c>
      <c r="N144" s="427">
        <f t="shared" si="42"/>
        <v>273.42227230545001</v>
      </c>
      <c r="O144" s="427">
        <f t="shared" si="42"/>
        <v>285.53391746160003</v>
      </c>
      <c r="P144" s="427">
        <f t="shared" si="42"/>
        <v>332.54475661324</v>
      </c>
      <c r="Q144" s="427">
        <f t="shared" si="42"/>
        <v>307.72409528725007</v>
      </c>
      <c r="R144" s="427">
        <f t="shared" si="42"/>
        <v>341.05132589102993</v>
      </c>
      <c r="S144" s="427">
        <f t="shared" si="42"/>
        <v>334.76431942149003</v>
      </c>
      <c r="T144" s="427">
        <f t="shared" si="42"/>
        <v>358.33670345964003</v>
      </c>
      <c r="U144" s="427">
        <f t="shared" si="42"/>
        <v>366.93004402290001</v>
      </c>
      <c r="V144" s="427">
        <f t="shared" si="42"/>
        <v>358.76881194914995</v>
      </c>
    </row>
    <row r="145" spans="1:22">
      <c r="A145" t="s">
        <v>49</v>
      </c>
      <c r="B145" s="427">
        <f>+(B88+B89)/1000000</f>
        <v>51.378897639560002</v>
      </c>
      <c r="C145" s="427">
        <f t="shared" ref="C145:V145" si="43">+(C88+C89)/1000000</f>
        <v>39.809141841679995</v>
      </c>
      <c r="D145" s="427">
        <f t="shared" si="43"/>
        <v>58.705163008340001</v>
      </c>
      <c r="E145" s="427">
        <f t="shared" si="43"/>
        <v>51.967709399949996</v>
      </c>
      <c r="F145" s="427">
        <f t="shared" si="43"/>
        <v>61.307878221739998</v>
      </c>
      <c r="G145" s="427">
        <f t="shared" si="43"/>
        <v>69.184983586609988</v>
      </c>
      <c r="H145" s="427">
        <f t="shared" si="43"/>
        <v>51.835924033250002</v>
      </c>
      <c r="I145" s="427">
        <f t="shared" si="43"/>
        <v>52.14207249503</v>
      </c>
      <c r="J145" s="427">
        <f t="shared" si="43"/>
        <v>55.410165753179996</v>
      </c>
      <c r="K145" s="427">
        <f t="shared" si="43"/>
        <v>50.560807232739997</v>
      </c>
      <c r="L145" s="427">
        <f t="shared" si="43"/>
        <v>51.168407795219998</v>
      </c>
      <c r="M145" s="427">
        <f t="shared" si="43"/>
        <v>58.621059441210001</v>
      </c>
      <c r="N145" s="427">
        <f t="shared" si="43"/>
        <v>53.414161053690002</v>
      </c>
      <c r="O145" s="427">
        <f t="shared" si="43"/>
        <v>59.692271250409995</v>
      </c>
      <c r="P145" s="427">
        <f t="shared" si="43"/>
        <v>70.372747186810003</v>
      </c>
      <c r="Q145" s="427">
        <f t="shared" si="43"/>
        <v>66.64392517444999</v>
      </c>
      <c r="R145" s="427">
        <f t="shared" si="43"/>
        <v>75.670646261449988</v>
      </c>
      <c r="S145" s="427">
        <f t="shared" si="43"/>
        <v>74.752389693089995</v>
      </c>
      <c r="T145" s="427">
        <f t="shared" si="43"/>
        <v>80.005924034329993</v>
      </c>
      <c r="U145" s="427">
        <f t="shared" si="43"/>
        <v>79.073128796120002</v>
      </c>
      <c r="V145" s="427">
        <f t="shared" si="43"/>
        <v>74.861738390029998</v>
      </c>
    </row>
    <row r="161" spans="1:27">
      <c r="A161" s="402" t="s">
        <v>51</v>
      </c>
      <c r="B161" s="403">
        <v>202101</v>
      </c>
      <c r="C161" s="403">
        <v>202102</v>
      </c>
      <c r="D161" s="403">
        <v>202103</v>
      </c>
      <c r="E161" s="403">
        <v>202104</v>
      </c>
      <c r="F161" s="403">
        <v>202105</v>
      </c>
      <c r="G161" s="403">
        <v>202106</v>
      </c>
      <c r="H161" s="403">
        <v>202107</v>
      </c>
      <c r="I161" s="403">
        <v>202108</v>
      </c>
      <c r="J161" s="403">
        <v>202109</v>
      </c>
      <c r="K161" s="403">
        <v>202110</v>
      </c>
      <c r="L161" s="403">
        <v>202111</v>
      </c>
      <c r="M161" s="403">
        <v>202112</v>
      </c>
      <c r="N161" s="403">
        <v>202201</v>
      </c>
      <c r="O161" s="403">
        <v>202202</v>
      </c>
      <c r="P161" s="403">
        <v>202203</v>
      </c>
      <c r="Q161" s="403">
        <v>202004</v>
      </c>
      <c r="R161" s="403">
        <v>202005</v>
      </c>
      <c r="S161" s="403">
        <v>202206</v>
      </c>
      <c r="T161" s="403">
        <v>202207</v>
      </c>
      <c r="U161" s="403">
        <v>202208</v>
      </c>
      <c r="V161" s="403">
        <v>202209</v>
      </c>
      <c r="W161" s="403">
        <v>202210</v>
      </c>
      <c r="X161" s="403"/>
      <c r="Y161" s="403"/>
      <c r="Z161" s="403"/>
      <c r="AA161" s="403" t="s">
        <v>43</v>
      </c>
    </row>
    <row r="162" spans="1:27">
      <c r="A162" t="s">
        <v>47</v>
      </c>
      <c r="B162" s="427">
        <f>+(B94+B95)/1000</f>
        <v>278.70699999999999</v>
      </c>
      <c r="C162" s="427">
        <f t="shared" ref="C162:V162" si="44">+(C94+C95)/1000</f>
        <v>287.75900000000001</v>
      </c>
      <c r="D162" s="427">
        <f t="shared" si="44"/>
        <v>292.46699999999998</v>
      </c>
      <c r="E162" s="427">
        <f t="shared" si="44"/>
        <v>291.80900000000003</v>
      </c>
      <c r="F162" s="427">
        <f t="shared" si="44"/>
        <v>299.2</v>
      </c>
      <c r="G162" s="427">
        <f t="shared" si="44"/>
        <v>299.779</v>
      </c>
      <c r="H162" s="427">
        <f t="shared" si="44"/>
        <v>339.21499999999997</v>
      </c>
      <c r="I162" s="427">
        <f t="shared" si="44"/>
        <v>344.05399999999997</v>
      </c>
      <c r="J162" s="427">
        <f t="shared" si="44"/>
        <v>340.60399999999998</v>
      </c>
      <c r="K162" s="427">
        <f t="shared" si="44"/>
        <v>372.08</v>
      </c>
      <c r="L162" s="427">
        <f t="shared" si="44"/>
        <v>378.30500000000001</v>
      </c>
      <c r="M162" s="427">
        <f t="shared" si="44"/>
        <v>388.80599999999998</v>
      </c>
      <c r="N162" s="427">
        <f t="shared" si="44"/>
        <v>388.61099999999999</v>
      </c>
      <c r="O162" s="427">
        <f t="shared" si="44"/>
        <v>395.82799999999997</v>
      </c>
      <c r="P162" s="427">
        <f t="shared" si="44"/>
        <v>408.279</v>
      </c>
      <c r="Q162" s="427">
        <f t="shared" si="44"/>
        <v>415.60300000000001</v>
      </c>
      <c r="R162" s="427">
        <f t="shared" si="44"/>
        <v>419.43599999999998</v>
      </c>
      <c r="S162" s="427">
        <f t="shared" si="44"/>
        <v>420.62</v>
      </c>
      <c r="T162" s="427">
        <f t="shared" si="44"/>
        <v>424.39499999999998</v>
      </c>
      <c r="U162" s="427">
        <f t="shared" si="44"/>
        <v>435.29399999999998</v>
      </c>
      <c r="V162" s="427">
        <f t="shared" si="44"/>
        <v>427.34899999999999</v>
      </c>
    </row>
    <row r="163" spans="1:27">
      <c r="A163" t="s">
        <v>48</v>
      </c>
      <c r="B163" s="427">
        <f>+(B96+B97)/1000</f>
        <v>167.959</v>
      </c>
      <c r="C163" s="427">
        <f t="shared" ref="C163:V163" si="45">+(C96+C97)/1000</f>
        <v>161.53299999999999</v>
      </c>
      <c r="D163" s="427">
        <f t="shared" si="45"/>
        <v>173.624</v>
      </c>
      <c r="E163" s="427">
        <f t="shared" si="45"/>
        <v>177.923</v>
      </c>
      <c r="F163" s="427">
        <f t="shared" si="45"/>
        <v>180.505</v>
      </c>
      <c r="G163" s="427">
        <f t="shared" si="45"/>
        <v>188.048</v>
      </c>
      <c r="H163" s="427">
        <f t="shared" si="45"/>
        <v>176.131</v>
      </c>
      <c r="I163" s="427">
        <f t="shared" si="45"/>
        <v>179.887</v>
      </c>
      <c r="J163" s="427">
        <f t="shared" si="45"/>
        <v>191.21899999999999</v>
      </c>
      <c r="K163" s="427">
        <f t="shared" si="45"/>
        <v>191.17400000000001</v>
      </c>
      <c r="L163" s="427">
        <f t="shared" si="45"/>
        <v>195.97399999999999</v>
      </c>
      <c r="M163" s="427">
        <f t="shared" si="45"/>
        <v>204.596</v>
      </c>
      <c r="N163" s="427">
        <f t="shared" si="45"/>
        <v>209.21100000000001</v>
      </c>
      <c r="O163" s="427">
        <f t="shared" si="45"/>
        <v>211.96799999999999</v>
      </c>
      <c r="P163" s="427">
        <f t="shared" si="45"/>
        <v>220.49600000000001</v>
      </c>
      <c r="Q163" s="427">
        <f t="shared" si="45"/>
        <v>223.036</v>
      </c>
      <c r="R163" s="427">
        <f t="shared" si="45"/>
        <v>227.17699999999999</v>
      </c>
      <c r="S163" s="427">
        <f t="shared" si="45"/>
        <v>235.34700000000001</v>
      </c>
      <c r="T163" s="427">
        <f t="shared" si="45"/>
        <v>236.57599999999999</v>
      </c>
      <c r="U163" s="427">
        <f t="shared" si="45"/>
        <v>231.715</v>
      </c>
      <c r="V163" s="427">
        <f t="shared" si="45"/>
        <v>243.792</v>
      </c>
    </row>
    <row r="164" spans="1:27">
      <c r="A164" t="s">
        <v>49</v>
      </c>
      <c r="B164" s="427">
        <f>+(B98+B99)/1000</f>
        <v>84.203000000000003</v>
      </c>
      <c r="C164" s="427">
        <f t="shared" ref="C164:V164" si="46">+(C98+C99)/1000</f>
        <v>72.766999999999996</v>
      </c>
      <c r="D164" s="427">
        <f t="shared" si="46"/>
        <v>80.688999999999993</v>
      </c>
      <c r="E164" s="427">
        <f t="shared" si="46"/>
        <v>75.418999999999997</v>
      </c>
      <c r="F164" s="427">
        <f t="shared" si="46"/>
        <v>79.837999999999994</v>
      </c>
      <c r="G164" s="427">
        <f t="shared" si="46"/>
        <v>83.122</v>
      </c>
      <c r="H164" s="427">
        <f t="shared" si="46"/>
        <v>67.745999999999995</v>
      </c>
      <c r="I164" s="427">
        <f t="shared" si="46"/>
        <v>64.983000000000004</v>
      </c>
      <c r="J164" s="427">
        <f t="shared" si="46"/>
        <v>70.994</v>
      </c>
      <c r="K164" s="427">
        <f t="shared" si="46"/>
        <v>62.250999999999998</v>
      </c>
      <c r="L164" s="427">
        <f t="shared" si="46"/>
        <v>63.643999999999998</v>
      </c>
      <c r="M164" s="427">
        <f t="shared" si="46"/>
        <v>65.471000000000004</v>
      </c>
      <c r="N164" s="427">
        <f t="shared" si="46"/>
        <v>68.555999999999997</v>
      </c>
      <c r="O164" s="427">
        <f t="shared" si="46"/>
        <v>71.707999999999998</v>
      </c>
      <c r="P164" s="427">
        <f t="shared" si="46"/>
        <v>75.599999999999994</v>
      </c>
      <c r="Q164" s="427">
        <f t="shared" si="46"/>
        <v>75.988</v>
      </c>
      <c r="R164" s="427">
        <f t="shared" si="46"/>
        <v>82.299000000000007</v>
      </c>
      <c r="S164" s="427">
        <f t="shared" si="46"/>
        <v>86.480999999999995</v>
      </c>
      <c r="T164" s="427">
        <f t="shared" si="46"/>
        <v>89.034000000000006</v>
      </c>
      <c r="U164" s="427">
        <f t="shared" si="46"/>
        <v>89.388000000000005</v>
      </c>
      <c r="V164" s="427">
        <f t="shared" si="46"/>
        <v>82.332999999999998</v>
      </c>
    </row>
    <row r="166" spans="1:27">
      <c r="A166" s="402" t="s">
        <v>45</v>
      </c>
      <c r="B166" s="403">
        <v>202101</v>
      </c>
      <c r="C166" s="403">
        <v>202102</v>
      </c>
      <c r="D166" s="403">
        <v>202103</v>
      </c>
      <c r="E166" s="403">
        <v>202104</v>
      </c>
      <c r="F166" s="403">
        <v>202105</v>
      </c>
      <c r="G166" s="403">
        <v>202106</v>
      </c>
      <c r="H166" s="403">
        <v>202107</v>
      </c>
      <c r="I166" s="403">
        <v>202108</v>
      </c>
      <c r="J166" s="403">
        <v>202109</v>
      </c>
      <c r="K166" s="403">
        <v>202110</v>
      </c>
      <c r="L166" s="403">
        <v>202111</v>
      </c>
      <c r="M166" s="403">
        <v>202112</v>
      </c>
      <c r="N166" s="403">
        <v>202201</v>
      </c>
      <c r="O166" s="403">
        <v>202202</v>
      </c>
      <c r="P166" s="403">
        <v>202203</v>
      </c>
      <c r="Q166" s="403">
        <v>202004</v>
      </c>
      <c r="R166" s="403">
        <v>202005</v>
      </c>
      <c r="S166" s="403">
        <v>202206</v>
      </c>
      <c r="T166" s="403">
        <v>202207</v>
      </c>
      <c r="U166" s="403">
        <v>202208</v>
      </c>
      <c r="V166" s="403">
        <v>202209</v>
      </c>
      <c r="W166" s="403">
        <v>202210</v>
      </c>
      <c r="X166" s="403"/>
      <c r="Y166" s="403"/>
      <c r="Z166" s="403"/>
      <c r="AA166" s="403" t="s">
        <v>43</v>
      </c>
    </row>
    <row r="167" spans="1:27">
      <c r="A167" t="s">
        <v>47</v>
      </c>
      <c r="B167" s="16">
        <f>+B162/B124</f>
        <v>0.6230247348243525</v>
      </c>
      <c r="C167" s="16">
        <f t="shared" ref="C167:V169" si="47">+C162/C124</f>
        <v>0.61670131373095305</v>
      </c>
      <c r="D167" s="16">
        <f t="shared" si="47"/>
        <v>0.63589735784731516</v>
      </c>
      <c r="E167" s="16">
        <f t="shared" si="47"/>
        <v>0.66828886227215789</v>
      </c>
      <c r="F167" s="16">
        <f t="shared" si="47"/>
        <v>0.67550329736820125</v>
      </c>
      <c r="G167" s="16">
        <f t="shared" si="47"/>
        <v>0.68061363956281473</v>
      </c>
      <c r="H167" s="16">
        <f t="shared" si="47"/>
        <v>0.69914568669682697</v>
      </c>
      <c r="I167" s="16">
        <f t="shared" si="47"/>
        <v>0.69812610967381927</v>
      </c>
      <c r="J167" s="16">
        <f t="shared" si="47"/>
        <v>0.69697354150893198</v>
      </c>
      <c r="K167" s="16">
        <f t="shared" si="47"/>
        <v>0.71235614744133424</v>
      </c>
      <c r="L167" s="16">
        <f t="shared" si="47"/>
        <v>0.71927529646185118</v>
      </c>
      <c r="M167" s="16">
        <f t="shared" si="47"/>
        <v>0.73019736434370575</v>
      </c>
      <c r="N167" s="16">
        <f t="shared" si="47"/>
        <v>0.72454064938333751</v>
      </c>
      <c r="O167" s="16">
        <f t="shared" si="47"/>
        <v>0.73695616556695809</v>
      </c>
      <c r="P167" s="16">
        <f t="shared" si="47"/>
        <v>0.75109551895036231</v>
      </c>
      <c r="Q167" s="16">
        <f t="shared" si="47"/>
        <v>0.74917845136053507</v>
      </c>
      <c r="R167" s="16">
        <f t="shared" si="47"/>
        <v>0.75521665151201411</v>
      </c>
      <c r="S167" s="16">
        <f t="shared" si="47"/>
        <v>0.76124254358023979</v>
      </c>
      <c r="T167" s="16">
        <f t="shared" si="47"/>
        <v>0.76602830222735641</v>
      </c>
      <c r="U167" s="16">
        <f t="shared" si="47"/>
        <v>0.76906795382348481</v>
      </c>
      <c r="V167" s="16">
        <f t="shared" si="47"/>
        <v>0.76680937650275971</v>
      </c>
    </row>
    <row r="168" spans="1:27">
      <c r="A168" t="s">
        <v>48</v>
      </c>
      <c r="B168" s="16">
        <f t="shared" ref="B168:Q169" si="48">+B163/B125</f>
        <v>0.67923971287028606</v>
      </c>
      <c r="C168" s="16">
        <f t="shared" si="48"/>
        <v>0.66030208269462665</v>
      </c>
      <c r="D168" s="16">
        <f t="shared" si="48"/>
        <v>0.69521624402881377</v>
      </c>
      <c r="E168" s="16">
        <f t="shared" si="48"/>
        <v>0.69880876166985451</v>
      </c>
      <c r="F168" s="16">
        <f t="shared" si="48"/>
        <v>0.7168159164465977</v>
      </c>
      <c r="G168" s="16">
        <f t="shared" si="48"/>
        <v>0.73406643166922358</v>
      </c>
      <c r="H168" s="16">
        <f t="shared" si="48"/>
        <v>0.73182092032824342</v>
      </c>
      <c r="I168" s="16">
        <f t="shared" si="48"/>
        <v>0.73217956180017663</v>
      </c>
      <c r="J168" s="16">
        <f t="shared" si="48"/>
        <v>0.74098372090319731</v>
      </c>
      <c r="K168" s="16">
        <f t="shared" si="48"/>
        <v>0.74808550935038409</v>
      </c>
      <c r="L168" s="16">
        <f t="shared" si="48"/>
        <v>0.74920768422058681</v>
      </c>
      <c r="M168" s="16">
        <f t="shared" si="48"/>
        <v>0.76654989603042289</v>
      </c>
      <c r="N168" s="16">
        <f t="shared" si="48"/>
        <v>0.7531400183595226</v>
      </c>
      <c r="O168" s="16">
        <f t="shared" si="48"/>
        <v>0.75858909757214843</v>
      </c>
      <c r="P168" s="16">
        <f t="shared" si="48"/>
        <v>0.77951517165553641</v>
      </c>
      <c r="Q168" s="16">
        <f t="shared" si="48"/>
        <v>0.76976386214132386</v>
      </c>
      <c r="R168" s="16">
        <f t="shared" si="47"/>
        <v>0.77897180398920574</v>
      </c>
      <c r="S168" s="16">
        <f t="shared" si="47"/>
        <v>0.79250753455794465</v>
      </c>
      <c r="T168" s="16">
        <f t="shared" si="47"/>
        <v>0.78546053374237201</v>
      </c>
      <c r="U168" s="16">
        <f t="shared" si="47"/>
        <v>0.79014850556682747</v>
      </c>
      <c r="V168" s="16">
        <f t="shared" si="47"/>
        <v>0.7823851656445262</v>
      </c>
    </row>
    <row r="169" spans="1:27">
      <c r="A169" t="s">
        <v>49</v>
      </c>
      <c r="B169" s="16">
        <f t="shared" si="48"/>
        <v>0.53227682465833093</v>
      </c>
      <c r="C169" s="16">
        <f t="shared" si="47"/>
        <v>0.52047063872398247</v>
      </c>
      <c r="D169" s="16">
        <f t="shared" si="47"/>
        <v>0.58289507903025395</v>
      </c>
      <c r="E169" s="16">
        <f t="shared" si="47"/>
        <v>0.59231131705018458</v>
      </c>
      <c r="F169" s="16">
        <f t="shared" si="47"/>
        <v>0.6284774154950642</v>
      </c>
      <c r="G169" s="16">
        <f t="shared" si="47"/>
        <v>0.65812101154376013</v>
      </c>
      <c r="H169" s="16">
        <f t="shared" si="47"/>
        <v>0.67449223416965354</v>
      </c>
      <c r="I169" s="16">
        <f t="shared" si="47"/>
        <v>0.66546850998463902</v>
      </c>
      <c r="J169" s="16">
        <f t="shared" si="47"/>
        <v>0.68722714292628617</v>
      </c>
      <c r="K169" s="16">
        <f t="shared" si="47"/>
        <v>0.66999235844284433</v>
      </c>
      <c r="L169" s="16">
        <f t="shared" si="47"/>
        <v>0.66070093846026079</v>
      </c>
      <c r="M169" s="16">
        <f t="shared" si="47"/>
        <v>0.66889047813649372</v>
      </c>
      <c r="N169" s="16">
        <f t="shared" si="47"/>
        <v>0.64401461705385576</v>
      </c>
      <c r="O169" s="16">
        <f t="shared" si="47"/>
        <v>0.63616039744499642</v>
      </c>
      <c r="P169" s="16">
        <f t="shared" si="47"/>
        <v>0.6426767998775853</v>
      </c>
      <c r="Q169" s="16">
        <f t="shared" si="47"/>
        <v>0.6180247736940131</v>
      </c>
      <c r="R169" s="16">
        <f t="shared" si="47"/>
        <v>0.62091833655239015</v>
      </c>
      <c r="S169" s="16">
        <f t="shared" si="47"/>
        <v>0.62412765312529317</v>
      </c>
      <c r="T169" s="16">
        <f t="shared" si="47"/>
        <v>0.62443629324674055</v>
      </c>
      <c r="U169" s="16">
        <f t="shared" si="47"/>
        <v>0.64438645309188436</v>
      </c>
      <c r="V169" s="16">
        <f t="shared" si="47"/>
        <v>0.62237693517174641</v>
      </c>
    </row>
    <row r="185" spans="1:27">
      <c r="A185" s="402" t="s">
        <v>52</v>
      </c>
      <c r="B185" s="403">
        <v>202101</v>
      </c>
      <c r="C185" s="403">
        <v>202102</v>
      </c>
      <c r="D185" s="403">
        <v>202103</v>
      </c>
      <c r="E185" s="403">
        <v>202104</v>
      </c>
      <c r="F185" s="403">
        <v>202105</v>
      </c>
      <c r="G185" s="403">
        <v>202106</v>
      </c>
      <c r="H185" s="403">
        <v>202107</v>
      </c>
      <c r="I185" s="403">
        <v>202108</v>
      </c>
      <c r="J185" s="403">
        <v>202109</v>
      </c>
      <c r="K185" s="403">
        <v>202110</v>
      </c>
      <c r="L185" s="403">
        <v>202111</v>
      </c>
      <c r="M185" s="403">
        <v>202112</v>
      </c>
      <c r="N185" s="403">
        <v>202201</v>
      </c>
      <c r="O185" s="403">
        <v>202202</v>
      </c>
      <c r="P185" s="403">
        <v>202203</v>
      </c>
      <c r="Q185" s="403">
        <v>202004</v>
      </c>
      <c r="R185" s="403">
        <v>202005</v>
      </c>
      <c r="S185" s="403">
        <v>202206</v>
      </c>
      <c r="T185" s="403">
        <v>202207</v>
      </c>
      <c r="U185" s="403">
        <v>202208</v>
      </c>
      <c r="V185" s="403">
        <v>202209</v>
      </c>
      <c r="W185" s="403">
        <v>202210</v>
      </c>
      <c r="X185" s="403"/>
      <c r="Y185" s="403"/>
      <c r="Z185" s="403"/>
      <c r="AA185" s="403" t="s">
        <v>43</v>
      </c>
    </row>
    <row r="186" spans="1:27">
      <c r="A186" t="s">
        <v>47</v>
      </c>
      <c r="B186" s="204">
        <f>+B143*1000/B162</f>
        <v>1419.1532008316976</v>
      </c>
      <c r="C186" s="204">
        <f t="shared" ref="C186:V188" si="49">+C143*1000/C162</f>
        <v>1204.5350913930408</v>
      </c>
      <c r="D186" s="204">
        <f t="shared" si="49"/>
        <v>1619.5577257058744</v>
      </c>
      <c r="E186" s="204">
        <f t="shared" si="49"/>
        <v>1541.712416205703</v>
      </c>
      <c r="F186" s="204">
        <f t="shared" si="49"/>
        <v>1732.9608901717247</v>
      </c>
      <c r="G186" s="204">
        <f t="shared" si="49"/>
        <v>1641.8248839992793</v>
      </c>
      <c r="H186" s="204">
        <f t="shared" si="49"/>
        <v>1860.7496066741448</v>
      </c>
      <c r="I186" s="204">
        <f t="shared" si="49"/>
        <v>1844.6345725173667</v>
      </c>
      <c r="J186" s="204">
        <f t="shared" si="49"/>
        <v>1829.2612803612112</v>
      </c>
      <c r="K186" s="204">
        <f t="shared" si="49"/>
        <v>1927.9549827963074</v>
      </c>
      <c r="L186" s="204">
        <f t="shared" si="49"/>
        <v>1992.3807030625817</v>
      </c>
      <c r="M186" s="204">
        <f t="shared" si="49"/>
        <v>2118.6255257709504</v>
      </c>
      <c r="N186" s="204">
        <f t="shared" si="49"/>
        <v>1855.5422056290224</v>
      </c>
      <c r="O186" s="204">
        <f t="shared" si="49"/>
        <v>1881.7532695125406</v>
      </c>
      <c r="P186" s="204">
        <f t="shared" si="49"/>
        <v>2114.1609285017594</v>
      </c>
      <c r="Q186" s="204">
        <f t="shared" si="49"/>
        <v>1976.9987648387762</v>
      </c>
      <c r="R186" s="204">
        <f t="shared" si="49"/>
        <v>2082.5114801282198</v>
      </c>
      <c r="S186" s="204">
        <f t="shared" si="49"/>
        <v>2006.3749464209739</v>
      </c>
      <c r="T186" s="204">
        <f t="shared" si="49"/>
        <v>2154.5157733838996</v>
      </c>
      <c r="U186" s="204">
        <f t="shared" si="49"/>
        <v>2117.8256529920236</v>
      </c>
      <c r="V186" s="204">
        <f t="shared" si="49"/>
        <v>2048.0518028570559</v>
      </c>
    </row>
    <row r="187" spans="1:27">
      <c r="A187" t="s">
        <v>48</v>
      </c>
      <c r="B187" s="204">
        <f t="shared" ref="B187:Q188" si="50">+B144*1000/B163</f>
        <v>1052.8566997117152</v>
      </c>
      <c r="C187" s="204">
        <f t="shared" si="50"/>
        <v>898.72989951161685</v>
      </c>
      <c r="D187" s="204">
        <f t="shared" si="50"/>
        <v>1190.021691568101</v>
      </c>
      <c r="E187" s="204">
        <f t="shared" si="50"/>
        <v>1114.0049670550745</v>
      </c>
      <c r="F187" s="204">
        <f t="shared" si="50"/>
        <v>1222.9360941159525</v>
      </c>
      <c r="G187" s="204">
        <f t="shared" si="50"/>
        <v>1222.7559791831343</v>
      </c>
      <c r="H187" s="204">
        <f t="shared" si="50"/>
        <v>1281.1769614881537</v>
      </c>
      <c r="I187" s="204">
        <f t="shared" si="50"/>
        <v>1285.3788066699094</v>
      </c>
      <c r="J187" s="204">
        <f t="shared" si="50"/>
        <v>1274.3424728198036</v>
      </c>
      <c r="K187" s="204">
        <f t="shared" si="50"/>
        <v>1326.3186114414093</v>
      </c>
      <c r="L187" s="204">
        <f t="shared" si="50"/>
        <v>1345.6330298133428</v>
      </c>
      <c r="M187" s="204">
        <f t="shared" si="50"/>
        <v>1458.4767845829831</v>
      </c>
      <c r="N187" s="204">
        <f t="shared" si="50"/>
        <v>1306.9211098147323</v>
      </c>
      <c r="O187" s="204">
        <f t="shared" si="50"/>
        <v>1347.0614312613227</v>
      </c>
      <c r="P187" s="204">
        <f t="shared" si="50"/>
        <v>1508.1668448100645</v>
      </c>
      <c r="Q187" s="204">
        <f t="shared" si="50"/>
        <v>1379.7059456197658</v>
      </c>
      <c r="R187" s="204">
        <f t="shared" si="49"/>
        <v>1501.2581638591491</v>
      </c>
      <c r="S187" s="204">
        <f t="shared" si="49"/>
        <v>1422.428666698492</v>
      </c>
      <c r="T187" s="204">
        <f t="shared" si="49"/>
        <v>1514.6790184111662</v>
      </c>
      <c r="U187" s="204">
        <f t="shared" si="49"/>
        <v>1583.5403147094491</v>
      </c>
      <c r="V187" s="204">
        <f t="shared" si="49"/>
        <v>1471.6184778382799</v>
      </c>
    </row>
    <row r="188" spans="1:27">
      <c r="A188" t="s">
        <v>49</v>
      </c>
      <c r="B188" s="204">
        <f t="shared" si="50"/>
        <v>610.17894421291408</v>
      </c>
      <c r="C188" s="204">
        <f t="shared" si="49"/>
        <v>547.07685958854972</v>
      </c>
      <c r="D188" s="204">
        <f t="shared" si="49"/>
        <v>727.54852592472344</v>
      </c>
      <c r="E188" s="204">
        <f t="shared" si="49"/>
        <v>689.05328100279769</v>
      </c>
      <c r="F188" s="204">
        <f t="shared" si="49"/>
        <v>767.90348232345502</v>
      </c>
      <c r="G188" s="204">
        <f t="shared" si="49"/>
        <v>832.33059342424372</v>
      </c>
      <c r="H188" s="204">
        <f t="shared" si="49"/>
        <v>765.1510647602812</v>
      </c>
      <c r="I188" s="204">
        <f t="shared" si="49"/>
        <v>802.39558800040004</v>
      </c>
      <c r="J188" s="204">
        <f t="shared" si="49"/>
        <v>780.49082673437181</v>
      </c>
      <c r="K188" s="204">
        <f t="shared" si="49"/>
        <v>812.20875540537497</v>
      </c>
      <c r="L188" s="204">
        <f t="shared" si="49"/>
        <v>803.97850221890508</v>
      </c>
      <c r="M188" s="204">
        <f t="shared" si="49"/>
        <v>895.37443205709394</v>
      </c>
      <c r="N188" s="204">
        <f t="shared" si="49"/>
        <v>779.13182002581846</v>
      </c>
      <c r="O188" s="204">
        <f t="shared" si="49"/>
        <v>832.43531057078712</v>
      </c>
      <c r="P188" s="204">
        <f t="shared" si="49"/>
        <v>930.85644426997362</v>
      </c>
      <c r="Q188" s="204">
        <f t="shared" si="49"/>
        <v>877.03223106872133</v>
      </c>
      <c r="R188" s="204">
        <f t="shared" si="49"/>
        <v>919.46009382191744</v>
      </c>
      <c r="S188" s="204">
        <f t="shared" si="49"/>
        <v>864.37933989072746</v>
      </c>
      <c r="T188" s="204">
        <f t="shared" si="49"/>
        <v>898.59968140631656</v>
      </c>
      <c r="U188" s="204">
        <f t="shared" si="49"/>
        <v>884.60563829731052</v>
      </c>
      <c r="V188" s="204">
        <f t="shared" si="49"/>
        <v>909.25556447633403</v>
      </c>
    </row>
  </sheetData>
  <mergeCells count="2">
    <mergeCell ref="B5:E5"/>
    <mergeCell ref="AK5:AM5"/>
  </mergeCells>
  <pageMargins left="0.7" right="0.7" top="0.75" bottom="0.75" header="0.3" footer="0.3"/>
  <pageSetup orientation="portrait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I34"/>
  <sheetViews>
    <sheetView topLeftCell="A3" zoomScale="80" zoomScaleNormal="80" workbookViewId="0">
      <selection activeCell="E60" sqref="E60"/>
    </sheetView>
  </sheetViews>
  <sheetFormatPr baseColWidth="10" defaultColWidth="11.453125" defaultRowHeight="14.5"/>
  <cols>
    <col min="7" max="7" width="18.453125" bestFit="1" customWidth="1"/>
    <col min="8" max="8" width="15.26953125" bestFit="1" customWidth="1"/>
    <col min="9" max="9" width="15.54296875" bestFit="1" customWidth="1"/>
  </cols>
  <sheetData>
    <row r="3" spans="1:9">
      <c r="A3" t="s">
        <v>238</v>
      </c>
      <c r="B3" t="str">
        <f>+Resumen!A71</f>
        <v>Fecha</v>
      </c>
      <c r="C3" t="str">
        <f>+Resumen!B71</f>
        <v>Día Sem</v>
      </c>
      <c r="D3" t="s">
        <v>239</v>
      </c>
      <c r="E3" t="s">
        <v>240</v>
      </c>
    </row>
    <row r="4" spans="1:9">
      <c r="A4" t="s">
        <v>241</v>
      </c>
      <c r="B4" s="353">
        <f>+Resumen!A72</f>
        <v>46113</v>
      </c>
      <c r="C4" t="str">
        <f>+Resumen!B72</f>
        <v>miércoles</v>
      </c>
      <c r="D4" s="138">
        <f>+Resumen!C72</f>
        <v>69.450154613859993</v>
      </c>
      <c r="E4" s="138">
        <f>+Resumen!E72</f>
        <v>55.902833127602683</v>
      </c>
      <c r="G4" s="340" t="s">
        <v>242</v>
      </c>
      <c r="H4" t="s">
        <v>243</v>
      </c>
      <c r="I4" t="s">
        <v>244</v>
      </c>
    </row>
    <row r="5" spans="1:9">
      <c r="A5" t="s">
        <v>241</v>
      </c>
      <c r="B5" s="353">
        <f>+Resumen!A73</f>
        <v>46114</v>
      </c>
      <c r="C5" t="str">
        <f>+Resumen!B73</f>
        <v>jueves</v>
      </c>
      <c r="D5" s="138">
        <f>+Resumen!C73</f>
        <v>54.145314768989998</v>
      </c>
      <c r="E5" s="138">
        <f>+Resumen!E73</f>
        <v>59.25700311525884</v>
      </c>
      <c r="G5" s="21" t="s">
        <v>241</v>
      </c>
      <c r="H5" s="378">
        <v>455.99150694862266</v>
      </c>
      <c r="I5" s="378">
        <v>371.59207673947003</v>
      </c>
    </row>
    <row r="6" spans="1:9">
      <c r="A6" t="s">
        <v>241</v>
      </c>
      <c r="B6" s="353">
        <f>+Resumen!A74</f>
        <v>46115</v>
      </c>
      <c r="C6" t="str">
        <f>+Resumen!B74</f>
        <v>viernes</v>
      </c>
      <c r="D6" s="138">
        <f>+Resumen!C74</f>
        <v>36.973360684900001</v>
      </c>
      <c r="E6" s="138">
        <f>+Resumen!E74</f>
        <v>63.914227983215014</v>
      </c>
      <c r="G6" s="21" t="s">
        <v>245</v>
      </c>
      <c r="H6" s="378">
        <v>428.79480301301197</v>
      </c>
      <c r="I6" s="378">
        <v>318.68104693014999</v>
      </c>
    </row>
    <row r="7" spans="1:9">
      <c r="A7" t="s">
        <v>241</v>
      </c>
      <c r="B7" s="353">
        <f>+Resumen!A75</f>
        <v>46116</v>
      </c>
      <c r="C7" t="str">
        <f>+Resumen!B75</f>
        <v>sábado</v>
      </c>
      <c r="D7" s="138">
        <f>+Resumen!C75</f>
        <v>49.389049673140001</v>
      </c>
      <c r="E7" s="138">
        <f>+Resumen!E75</f>
        <v>60.56199960238169</v>
      </c>
      <c r="G7" s="21" t="s">
        <v>246</v>
      </c>
      <c r="H7" s="378">
        <v>529.09257947797562</v>
      </c>
      <c r="I7" s="378">
        <v>407.29257947797566</v>
      </c>
    </row>
    <row r="8" spans="1:9">
      <c r="A8" t="s">
        <v>241</v>
      </c>
      <c r="B8" s="353">
        <f>+Resumen!A76</f>
        <v>46117</v>
      </c>
      <c r="C8" t="str">
        <f>+Resumen!B76</f>
        <v>domingo</v>
      </c>
      <c r="D8" s="138">
        <f>+Resumen!C76</f>
        <v>39.947746357020002</v>
      </c>
      <c r="E8" s="138">
        <f>+Resumen!E76</f>
        <v>54.772241292076885</v>
      </c>
      <c r="G8" s="21" t="s">
        <v>247</v>
      </c>
      <c r="H8" s="378">
        <v>452.84111056038995</v>
      </c>
      <c r="I8" s="378">
        <v>346.14111056038996</v>
      </c>
    </row>
    <row r="9" spans="1:9">
      <c r="A9" t="s">
        <v>241</v>
      </c>
      <c r="B9" s="353">
        <f>+Resumen!A77</f>
        <v>46118</v>
      </c>
      <c r="C9" t="str">
        <f>+Resumen!B77</f>
        <v>lunes</v>
      </c>
      <c r="D9" s="138">
        <f>+Resumen!C77</f>
        <v>61.58556499665</v>
      </c>
      <c r="E9" s="138">
        <f>+Resumen!E77</f>
        <v>56.518584869923473</v>
      </c>
      <c r="G9" s="21" t="s">
        <v>248</v>
      </c>
      <c r="H9" s="378">
        <v>1866.7200000000003</v>
      </c>
      <c r="I9" s="378">
        <v>1443.7068137079857</v>
      </c>
    </row>
    <row r="10" spans="1:9">
      <c r="A10" t="s">
        <v>241</v>
      </c>
      <c r="B10" s="353">
        <f>+Resumen!A78</f>
        <v>46119</v>
      </c>
      <c r="C10" t="str">
        <f>+Resumen!B78</f>
        <v>martes</v>
      </c>
      <c r="D10" s="138">
        <f>+Resumen!C78</f>
        <v>63.431738435360003</v>
      </c>
      <c r="E10" s="138">
        <f>+Resumen!E78</f>
        <v>52.281290398837804</v>
      </c>
    </row>
    <row r="11" spans="1:9">
      <c r="A11" t="s">
        <v>241</v>
      </c>
      <c r="B11" s="353">
        <f>+Resumen!A79</f>
        <v>46120</v>
      </c>
      <c r="C11" t="str">
        <f>+Resumen!B79</f>
        <v>miércoles</v>
      </c>
      <c r="D11" s="138">
        <f>+Resumen!C79</f>
        <v>55.969330691480003</v>
      </c>
      <c r="E11" s="138">
        <f>+Resumen!E79</f>
        <v>33.541699876561609</v>
      </c>
    </row>
    <row r="12" spans="1:9">
      <c r="A12" t="s">
        <v>245</v>
      </c>
      <c r="B12" s="353">
        <f>+Resumen!A80</f>
        <v>46121</v>
      </c>
      <c r="C12" t="str">
        <f>+Resumen!B80</f>
        <v>jueves</v>
      </c>
      <c r="D12" s="138">
        <f>+Resumen!C80</f>
        <v>52.036932866599997</v>
      </c>
      <c r="E12" s="138">
        <f>+Resumen!E80</f>
        <v>57.248166692876737</v>
      </c>
    </row>
    <row r="13" spans="1:9">
      <c r="A13" t="s">
        <v>245</v>
      </c>
      <c r="B13" s="353">
        <f>+Resumen!A81</f>
        <v>46122</v>
      </c>
      <c r="C13" t="str">
        <f>+Resumen!B81</f>
        <v>viernes</v>
      </c>
      <c r="D13" s="138">
        <f>+Resumen!C81</f>
        <v>57.908774223659996</v>
      </c>
      <c r="E13" s="138">
        <f>+Resumen!E81</f>
        <v>58.904582361125797</v>
      </c>
    </row>
    <row r="14" spans="1:9">
      <c r="A14" t="s">
        <v>245</v>
      </c>
      <c r="B14" s="353">
        <f>+Resumen!A82</f>
        <v>46123</v>
      </c>
      <c r="C14" t="str">
        <f>+Resumen!B82</f>
        <v>sábado</v>
      </c>
      <c r="D14" s="138">
        <f>+Resumen!C82</f>
        <v>52.595859892340002</v>
      </c>
      <c r="E14" s="138">
        <f>+Resumen!E82</f>
        <v>59.455330853651823</v>
      </c>
    </row>
    <row r="15" spans="1:9">
      <c r="A15" t="s">
        <v>245</v>
      </c>
      <c r="B15" s="353">
        <f>+Resumen!A83</f>
        <v>46124</v>
      </c>
      <c r="C15" t="str">
        <f>+Resumen!B83</f>
        <v>domingo</v>
      </c>
      <c r="D15" s="138">
        <f>+Resumen!C83</f>
        <v>33.390565760400001</v>
      </c>
      <c r="E15" s="138">
        <f>+Resumen!E83</f>
        <v>56.502217818401753</v>
      </c>
    </row>
    <row r="16" spans="1:9">
      <c r="A16" t="s">
        <v>245</v>
      </c>
      <c r="B16" s="353">
        <f>+Resumen!A84</f>
        <v>46125</v>
      </c>
      <c r="C16" t="str">
        <f>+Resumen!B84</f>
        <v>lunes</v>
      </c>
      <c r="D16" s="138">
        <f>+Resumen!C84</f>
        <v>55.94746848682</v>
      </c>
      <c r="E16" s="138">
        <f>+Resumen!E84</f>
        <v>60.178496917616009</v>
      </c>
    </row>
    <row r="17" spans="1:5">
      <c r="A17" t="s">
        <v>245</v>
      </c>
      <c r="B17" s="353">
        <f>+Resumen!A85</f>
        <v>46126</v>
      </c>
      <c r="C17" t="str">
        <f>+Resumen!B85</f>
        <v>martes</v>
      </c>
      <c r="D17" s="138">
        <f>+Resumen!C85</f>
        <v>57.3321441505</v>
      </c>
      <c r="E17" s="138">
        <f>+Resumen!E85</f>
        <v>52.407943937491396</v>
      </c>
    </row>
    <row r="18" spans="1:5">
      <c r="A18" t="s">
        <v>245</v>
      </c>
      <c r="B18" s="353">
        <f>+Resumen!A86</f>
        <v>46127</v>
      </c>
      <c r="C18" t="str">
        <f>+Resumen!B86</f>
        <v>miércoles</v>
      </c>
      <c r="D18" s="138">
        <f>+Resumen!C86</f>
        <v>64.122386613789999</v>
      </c>
      <c r="E18" s="138">
        <f>+Resumen!E86</f>
        <v>32.423643214009552</v>
      </c>
    </row>
    <row r="19" spans="1:5">
      <c r="A19" t="s">
        <v>246</v>
      </c>
      <c r="B19" s="353">
        <f>+Resumen!A87</f>
        <v>46128</v>
      </c>
      <c r="C19" t="str">
        <f>+Resumen!B87</f>
        <v>jueves</v>
      </c>
      <c r="D19" s="138">
        <f>+Resumen!C87</f>
        <v>56.954018859919998</v>
      </c>
      <c r="E19" s="138">
        <f>+Resumen!E87</f>
        <v>60.16953403345002</v>
      </c>
    </row>
    <row r="20" spans="1:5">
      <c r="A20" t="s">
        <v>246</v>
      </c>
      <c r="B20" s="353">
        <f>+Resumen!A88</f>
        <v>46129</v>
      </c>
      <c r="C20" t="str">
        <f>+Resumen!B88</f>
        <v>viernes</v>
      </c>
      <c r="D20" s="138">
        <f>+Resumen!C88</f>
        <v>54.7826827114</v>
      </c>
      <c r="E20" s="138">
        <f>+Resumen!E88</f>
        <v>56.511796354985258</v>
      </c>
    </row>
    <row r="21" spans="1:5">
      <c r="A21" t="s">
        <v>246</v>
      </c>
      <c r="B21" s="353">
        <f>+Resumen!A89</f>
        <v>46130</v>
      </c>
      <c r="C21" t="str">
        <f>+Resumen!B89</f>
        <v>sábado</v>
      </c>
      <c r="D21" s="138">
        <f>+Resumen!C89</f>
        <v>54.563293576760003</v>
      </c>
      <c r="E21" s="138">
        <f>+Resumen!E89</f>
        <v>60.311113634894994</v>
      </c>
    </row>
    <row r="22" spans="1:5">
      <c r="A22" t="s">
        <v>246</v>
      </c>
      <c r="B22" s="353">
        <f>+Resumen!A90</f>
        <v>46131</v>
      </c>
      <c r="C22" t="str">
        <f>+Resumen!B90</f>
        <v>domingo</v>
      </c>
      <c r="D22" s="138">
        <f>+Resumen!C90</f>
        <v>41.411147659100003</v>
      </c>
      <c r="E22" s="138">
        <f>+Resumen!E90</f>
        <v>60.300052347438466</v>
      </c>
    </row>
    <row r="23" spans="1:5">
      <c r="A23" t="s">
        <v>246</v>
      </c>
      <c r="B23" s="353">
        <f>+Resumen!A91</f>
        <v>46132</v>
      </c>
      <c r="C23" t="str">
        <f>+Resumen!B91</f>
        <v>lunes</v>
      </c>
      <c r="D23" s="138">
        <f>+Resumen!C91</f>
        <v>81.913180560040004</v>
      </c>
      <c r="E23" s="138">
        <f>+Resumen!E91</f>
        <v>60.86496879310436</v>
      </c>
    </row>
    <row r="24" spans="1:5">
      <c r="A24" t="s">
        <v>246</v>
      </c>
      <c r="B24" s="353">
        <f>+Resumen!A92</f>
        <v>46133</v>
      </c>
      <c r="C24" t="str">
        <f>+Resumen!B92</f>
        <v>martes</v>
      </c>
      <c r="D24" s="138">
        <f>+Resumen!C92</f>
        <v>72.335877275550004</v>
      </c>
      <c r="E24" s="138">
        <f>+Resumen!E92</f>
        <v>55.816194357783537</v>
      </c>
    </row>
    <row r="25" spans="1:5">
      <c r="A25" t="s">
        <v>246</v>
      </c>
      <c r="B25" s="353">
        <f>+Resumen!A93</f>
        <v>46134</v>
      </c>
      <c r="C25" t="str">
        <f>+Resumen!B93</f>
        <v>miércoles</v>
      </c>
      <c r="D25" s="138">
        <f>+Resumen!C93</f>
        <v>69.080742005600001</v>
      </c>
      <c r="E25" s="138">
        <f>+Resumen!E93</f>
        <v>36.336841532941747</v>
      </c>
    </row>
    <row r="26" spans="1:5">
      <c r="A26" t="s">
        <v>246</v>
      </c>
      <c r="B26" s="353">
        <f>+Resumen!A94</f>
        <v>46135</v>
      </c>
      <c r="C26" t="str">
        <f>+Resumen!B94</f>
        <v>jueves</v>
      </c>
      <c r="D26" s="138">
        <f>+Resumen!C94</f>
        <v>69.501410634029995</v>
      </c>
      <c r="E26" s="138">
        <f>+Resumen!E94</f>
        <v>59.075111466438109</v>
      </c>
    </row>
    <row r="27" spans="1:5">
      <c r="A27" t="s">
        <v>247</v>
      </c>
      <c r="B27" s="353">
        <f>+Resumen!A95</f>
        <v>46136</v>
      </c>
      <c r="C27" t="str">
        <f>+Resumen!B95</f>
        <v>viernes</v>
      </c>
      <c r="D27" s="138">
        <f>+Resumen!C95</f>
        <v>60.136748694799998</v>
      </c>
      <c r="E27" s="138">
        <f>+Resumen!E95</f>
        <v>57.519037717679254</v>
      </c>
    </row>
    <row r="28" spans="1:5">
      <c r="A28" t="s">
        <v>247</v>
      </c>
      <c r="B28" s="353">
        <f>+Resumen!A96</f>
        <v>46137</v>
      </c>
      <c r="C28" t="str">
        <f>+Resumen!B96</f>
        <v>sábado</v>
      </c>
      <c r="D28" s="138">
        <f>+Resumen!C96</f>
        <v>54.432363589719998</v>
      </c>
      <c r="E28" s="138">
        <f>+Resumen!E96</f>
        <v>60.72490473731461</v>
      </c>
    </row>
    <row r="29" spans="1:5">
      <c r="A29" t="s">
        <v>247</v>
      </c>
      <c r="B29" s="353">
        <f>+Resumen!A97</f>
        <v>46138</v>
      </c>
      <c r="C29" t="str">
        <f>+Resumen!B97</f>
        <v>domingo</v>
      </c>
      <c r="D29" s="138">
        <f>+Resumen!C97</f>
        <v>43.044570582989998</v>
      </c>
      <c r="E29" s="138">
        <f>+Resumen!E97</f>
        <v>54.321943641207625</v>
      </c>
    </row>
    <row r="30" spans="1:5">
      <c r="A30" t="s">
        <v>247</v>
      </c>
      <c r="B30" s="353">
        <f>+Resumen!A98</f>
        <v>46139</v>
      </c>
      <c r="C30" t="str">
        <f>+Resumen!B98</f>
        <v>lunes</v>
      </c>
      <c r="D30" s="138">
        <f>+Resumen!C98</f>
        <v>57.044620271299998</v>
      </c>
      <c r="E30" s="138">
        <f>+Resumen!E98</f>
        <v>50.799346034442252</v>
      </c>
    </row>
    <row r="31" spans="1:5">
      <c r="A31" t="s">
        <v>247</v>
      </c>
      <c r="B31" s="353">
        <f>+Resumen!A99</f>
        <v>46140</v>
      </c>
      <c r="C31" t="str">
        <f>+Resumen!B99</f>
        <v>martes</v>
      </c>
      <c r="D31" s="138">
        <f>+Resumen!C99</f>
        <v>60.548065702640002</v>
      </c>
      <c r="E31" s="138">
        <f>+Resumen!E99</f>
        <v>54.615203338441141</v>
      </c>
    </row>
    <row r="32" spans="1:5">
      <c r="A32" t="s">
        <v>247</v>
      </c>
      <c r="B32" s="353">
        <f>+Resumen!A100</f>
        <v>46141</v>
      </c>
      <c r="C32" t="str">
        <f>+Resumen!B100</f>
        <v>miércoles</v>
      </c>
      <c r="D32" s="138">
        <f>+Resumen!C100</f>
        <v>62.083999965929998</v>
      </c>
      <c r="E32" s="138">
        <f>+Resumen!E100</f>
        <v>34.659756539113665</v>
      </c>
    </row>
    <row r="33" spans="1:5">
      <c r="A33" t="s">
        <v>247</v>
      </c>
      <c r="B33" s="353">
        <f>+Resumen!A101</f>
        <v>46142</v>
      </c>
      <c r="C33" t="str">
        <f>+Resumen!B101</f>
        <v>jueves</v>
      </c>
      <c r="D33" s="138">
        <f>+Resumen!C101</f>
        <v>73.339175272600002</v>
      </c>
      <c r="E33" s="138">
        <f>+Resumen!E101</f>
        <v>57.02088979015474</v>
      </c>
    </row>
    <row r="34" spans="1:5">
      <c r="A34" t="s">
        <v>247</v>
      </c>
      <c r="B34" s="353" t="e">
        <f>+Resumen!#REF!</f>
        <v>#REF!</v>
      </c>
      <c r="C34" t="e">
        <f>+Resumen!#REF!</f>
        <v>#REF!</v>
      </c>
      <c r="D34" s="138" t="e">
        <f>+Resumen!#REF!</f>
        <v>#REF!</v>
      </c>
      <c r="E34" s="138" t="e">
        <f>+Resumen!#REF!</f>
        <v>#REF!</v>
      </c>
    </row>
  </sheetData>
  <pageMargins left="0.7" right="0.7" top="0.75" bottom="0.75" header="0.3" footer="0.3"/>
  <pageSetup paperSize="9" orientation="portrait" r:id="rId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1"/>
  <dimension ref="A1:AP257"/>
  <sheetViews>
    <sheetView showGridLines="0" topLeftCell="C1" zoomScale="70" zoomScaleNormal="70" workbookViewId="0">
      <pane ySplit="3" topLeftCell="A4" activePane="bottomLeft" state="frozen"/>
      <selection pane="bottomLeft" activeCell="T4" sqref="T4:T8"/>
    </sheetView>
  </sheetViews>
  <sheetFormatPr baseColWidth="10" defaultColWidth="11.453125" defaultRowHeight="21.5"/>
  <cols>
    <col min="1" max="1" width="14.54296875" style="580" customWidth="1"/>
    <col min="2" max="2" width="11.453125" style="580" customWidth="1"/>
    <col min="3" max="3" width="11.453125" style="581" customWidth="1"/>
    <col min="4" max="4" width="14.7265625" style="581" customWidth="1"/>
    <col min="5" max="5" width="11.453125" style="580" customWidth="1"/>
    <col min="6" max="6" width="13.1796875" style="580" customWidth="1"/>
    <col min="7" max="8" width="11.453125" style="580" customWidth="1"/>
    <col min="9" max="9" width="9.453125" style="580" bestFit="1" customWidth="1"/>
    <col min="10" max="10" width="10.26953125" style="580" bestFit="1" customWidth="1"/>
    <col min="11" max="12" width="16.26953125" style="580" customWidth="1"/>
    <col min="13" max="18" width="9.7265625" style="580" customWidth="1"/>
    <col min="19" max="19" width="16.453125" style="580" bestFit="1" customWidth="1"/>
    <col min="20" max="20" width="12.26953125" style="580" bestFit="1" customWidth="1"/>
    <col min="21" max="21" width="14.1796875" style="580" customWidth="1"/>
    <col min="22" max="22" width="12.26953125" style="580" bestFit="1" customWidth="1"/>
    <col min="23" max="23" width="12.453125" style="580" bestFit="1" customWidth="1"/>
    <col min="24" max="24" width="14" style="580" bestFit="1" customWidth="1"/>
    <col min="25" max="26" width="11.453125" style="580"/>
    <col min="27" max="27" width="13.7265625" style="580" customWidth="1"/>
    <col min="28" max="33" width="11.453125" style="580"/>
    <col min="34" max="34" width="12.54296875" style="580" bestFit="1" customWidth="1"/>
    <col min="35" max="16384" width="11.453125" style="580"/>
  </cols>
  <sheetData>
    <row r="1" spans="1:35">
      <c r="A1" s="579" t="s">
        <v>15</v>
      </c>
    </row>
    <row r="2" spans="1:35" ht="21" customHeight="1">
      <c r="X2" s="582"/>
      <c r="AD2" s="580" t="s">
        <v>249</v>
      </c>
    </row>
    <row r="3" spans="1:35" ht="49.5" customHeight="1">
      <c r="A3" s="580" t="s">
        <v>250</v>
      </c>
      <c r="B3" s="580" t="s">
        <v>251</v>
      </c>
      <c r="C3" s="581" t="s">
        <v>252</v>
      </c>
      <c r="D3" s="581" t="s">
        <v>253</v>
      </c>
      <c r="E3" s="580" t="s">
        <v>254</v>
      </c>
      <c r="F3" s="580" t="s">
        <v>255</v>
      </c>
      <c r="G3" s="580" t="s">
        <v>94</v>
      </c>
      <c r="H3" s="580" t="s">
        <v>21</v>
      </c>
      <c r="I3" s="583" t="s">
        <v>256</v>
      </c>
      <c r="J3" s="580" t="s">
        <v>257</v>
      </c>
      <c r="K3" s="583" t="s">
        <v>258</v>
      </c>
      <c r="L3" s="580" t="s">
        <v>259</v>
      </c>
      <c r="M3" s="580" t="s">
        <v>260</v>
      </c>
      <c r="N3" s="580" t="s">
        <v>261</v>
      </c>
      <c r="O3" s="580" t="s">
        <v>262</v>
      </c>
      <c r="S3" s="580" t="s">
        <v>163</v>
      </c>
      <c r="T3" s="580" t="s">
        <v>24</v>
      </c>
      <c r="U3" s="580" t="s">
        <v>263</v>
      </c>
      <c r="V3" s="580" t="s">
        <v>264</v>
      </c>
      <c r="W3" s="584" t="s">
        <v>265</v>
      </c>
      <c r="X3" s="580" t="s">
        <v>266</v>
      </c>
      <c r="Y3" s="580" t="s">
        <v>267</v>
      </c>
      <c r="Z3" s="584" t="s">
        <v>268</v>
      </c>
      <c r="AA3" s="585"/>
      <c r="AB3" s="585"/>
      <c r="AD3" s="580" t="s">
        <v>269</v>
      </c>
      <c r="AE3" s="580" t="s">
        <v>270</v>
      </c>
      <c r="AG3" s="580" t="s">
        <v>271</v>
      </c>
    </row>
    <row r="4" spans="1:35">
      <c r="A4" s="584">
        <v>201901</v>
      </c>
      <c r="B4" s="580" t="s">
        <v>272</v>
      </c>
      <c r="C4" s="586">
        <v>618.60082433173</v>
      </c>
      <c r="D4" s="587">
        <v>602.87300000000005</v>
      </c>
      <c r="E4" s="586">
        <v>915.89800000000002</v>
      </c>
      <c r="F4" s="588">
        <v>0.65823159347438254</v>
      </c>
      <c r="G4" s="589">
        <v>1026.0881219290463</v>
      </c>
      <c r="H4" s="590">
        <v>6.5590248692510702</v>
      </c>
      <c r="I4" s="591"/>
      <c r="J4" s="592">
        <f>+G4/H4</f>
        <v>156.43912660544743</v>
      </c>
      <c r="K4" s="591"/>
      <c r="L4" s="593">
        <v>508.86632191396001</v>
      </c>
      <c r="M4" s="594">
        <f>C4-L4</f>
        <v>109.73450241776999</v>
      </c>
      <c r="N4" s="588">
        <f t="shared" ref="N4:N47" si="0">+M4/C4</f>
        <v>0.17739145843576168</v>
      </c>
      <c r="O4" s="594">
        <f>+U4*X4</f>
        <v>721.67978372593279</v>
      </c>
      <c r="P4" s="594">
        <f>+D4*H4/1000</f>
        <v>3.9542590000000009</v>
      </c>
      <c r="Q4" s="594"/>
      <c r="R4" s="594"/>
      <c r="S4" s="591" t="s">
        <v>272</v>
      </c>
      <c r="T4" s="595">
        <v>1509.7665500346834</v>
      </c>
      <c r="U4" s="588">
        <v>0.8470183570335863</v>
      </c>
      <c r="V4" s="586">
        <v>2092.0172409984493</v>
      </c>
      <c r="W4" s="595">
        <v>12.274683517457742</v>
      </c>
      <c r="X4" s="586">
        <v>852.02378169628787</v>
      </c>
      <c r="Y4" s="592">
        <v>171.01242716323429</v>
      </c>
      <c r="Z4" s="596">
        <v>0.245</v>
      </c>
      <c r="AA4" s="597"/>
      <c r="AB4" s="580" t="s">
        <v>272</v>
      </c>
      <c r="AC4" s="589"/>
      <c r="AD4" s="586">
        <v>2563.2783299193688</v>
      </c>
      <c r="AE4" s="588">
        <v>0.5208955968883926</v>
      </c>
      <c r="AF4" s="592"/>
      <c r="AG4" s="592">
        <v>1369.9662154607738</v>
      </c>
    </row>
    <row r="5" spans="1:35">
      <c r="A5" s="580">
        <v>201902</v>
      </c>
      <c r="B5" s="580" t="s">
        <v>273</v>
      </c>
      <c r="C5" s="586">
        <v>618.65607543596002</v>
      </c>
      <c r="D5" s="587">
        <v>607.53399999999999</v>
      </c>
      <c r="E5" s="586">
        <v>926.30899999999997</v>
      </c>
      <c r="F5" s="588">
        <v>0.65586537537689904</v>
      </c>
      <c r="G5" s="589">
        <v>1018.3069185197209</v>
      </c>
      <c r="H5" s="590">
        <v>6.5280033710047496</v>
      </c>
      <c r="I5" s="591"/>
      <c r="J5" s="592">
        <f t="shared" ref="J5:J24" si="1">+G5/H5</f>
        <v>155.99056260336909</v>
      </c>
      <c r="K5" s="598">
        <f t="shared" ref="K5:K68" si="2">+C5/C4-1</f>
        <v>8.931624733876653E-5</v>
      </c>
      <c r="L5" s="599">
        <v>510.90063885660999</v>
      </c>
      <c r="M5" s="594">
        <f t="shared" ref="M5:M47" si="3">C5-L5</f>
        <v>107.75543657935003</v>
      </c>
      <c r="N5" s="588">
        <f t="shared" si="0"/>
        <v>0.17417664007165207</v>
      </c>
      <c r="O5" s="594">
        <f t="shared" ref="O5:O15" si="4">+U5*X5</f>
        <v>726.52366223931267</v>
      </c>
      <c r="P5" s="594">
        <f t="shared" ref="P5:P68" si="5">+D5*H5/1000</f>
        <v>3.9659839999999993</v>
      </c>
      <c r="Q5" s="604">
        <f>+G5/G4-1</f>
        <v>-7.5833675909792175E-3</v>
      </c>
      <c r="R5" s="588"/>
      <c r="S5" s="580" t="s">
        <v>273</v>
      </c>
      <c r="T5" s="595">
        <v>1498.755362086958</v>
      </c>
      <c r="U5" s="588">
        <v>0.84637523455457431</v>
      </c>
      <c r="V5" s="586">
        <v>2062.9133502237905</v>
      </c>
      <c r="W5" s="595">
        <v>12.066450494393333</v>
      </c>
      <c r="X5" s="586">
        <v>858.39428255679468</v>
      </c>
      <c r="Y5" s="592">
        <v>171.61816157341599</v>
      </c>
      <c r="Z5" s="600">
        <v>0.251</v>
      </c>
      <c r="AA5" s="597">
        <f>+T5/T4</f>
        <v>0.99270669498706776</v>
      </c>
      <c r="AB5" s="580" t="s">
        <v>273</v>
      </c>
      <c r="AC5" s="589">
        <f t="shared" ref="AC5:AC15" si="6">+AD5-AD4</f>
        <v>-22.200880404372583</v>
      </c>
      <c r="AD5" s="586">
        <v>2541.0774495149963</v>
      </c>
      <c r="AE5" s="588">
        <v>0.47571946804060877</v>
      </c>
      <c r="AF5" s="601">
        <f>AE5-AE4</f>
        <v>-4.5176128847783825E-2</v>
      </c>
      <c r="AG5" s="592">
        <v>1255.4149607359925</v>
      </c>
    </row>
    <row r="6" spans="1:35">
      <c r="A6" s="580">
        <v>201903</v>
      </c>
      <c r="B6" s="580" t="s">
        <v>274</v>
      </c>
      <c r="C6" s="602">
        <v>698.72464648800008</v>
      </c>
      <c r="D6" s="603">
        <v>625.12199999999996</v>
      </c>
      <c r="E6" s="602">
        <v>938.524</v>
      </c>
      <c r="F6" s="604">
        <v>0.66606927473351774</v>
      </c>
      <c r="G6" s="589">
        <v>1117.7412512885485</v>
      </c>
      <c r="H6" s="590">
        <v>7.0684506384353796</v>
      </c>
      <c r="I6" s="598">
        <f t="shared" ref="I6:I69" si="7">+G6/G5-1</f>
        <v>9.7646722182121781E-2</v>
      </c>
      <c r="J6" s="592">
        <f t="shared" si="1"/>
        <v>158.13101179637911</v>
      </c>
      <c r="K6" s="598">
        <f t="shared" si="2"/>
        <v>0.12942339731427777</v>
      </c>
      <c r="L6" s="605">
        <v>578.33749243961995</v>
      </c>
      <c r="M6" s="594">
        <f t="shared" si="3"/>
        <v>120.38715404838013</v>
      </c>
      <c r="N6" s="604">
        <f t="shared" si="0"/>
        <v>0.17229555970793661</v>
      </c>
      <c r="O6" s="594">
        <f t="shared" si="4"/>
        <v>738.07674028084193</v>
      </c>
      <c r="P6" s="594">
        <f t="shared" si="5"/>
        <v>4.4186440000000013</v>
      </c>
      <c r="Q6" s="604">
        <f t="shared" ref="Q6:Q69" si="8">+G6/G5-1</f>
        <v>9.7646722182121781E-2</v>
      </c>
      <c r="R6" s="588"/>
      <c r="S6" s="580" t="s">
        <v>274</v>
      </c>
      <c r="T6" s="595">
        <v>1614.9982578042996</v>
      </c>
      <c r="U6" s="588">
        <v>0.85150094007768828</v>
      </c>
      <c r="V6" s="586">
        <v>2188.116993349207</v>
      </c>
      <c r="W6" s="595">
        <v>13.269927084595157</v>
      </c>
      <c r="X6" s="586">
        <v>866.79497994858593</v>
      </c>
      <c r="Y6" s="587">
        <v>165.56722802209686</v>
      </c>
      <c r="Z6" s="600">
        <v>0.253</v>
      </c>
      <c r="AA6" s="597"/>
      <c r="AB6" s="580" t="s">
        <v>274</v>
      </c>
      <c r="AC6" s="589">
        <f>+AD6-AD5</f>
        <v>-46.149346364993107</v>
      </c>
      <c r="AD6" s="602">
        <v>2494.9281031500032</v>
      </c>
      <c r="AE6" s="604">
        <v>0.47706353583194705</v>
      </c>
      <c r="AF6" s="606">
        <f t="shared" ref="AF6:AF15" si="9">AE6-AE5</f>
        <v>1.344067791338277E-3</v>
      </c>
      <c r="AG6" s="592">
        <v>1223.0136886863263</v>
      </c>
      <c r="AH6" s="602">
        <f>+AG6+14</f>
        <v>1237.0136886863263</v>
      </c>
    </row>
    <row r="7" spans="1:35">
      <c r="A7" s="580">
        <v>201904</v>
      </c>
      <c r="B7" s="580" t="s">
        <v>275</v>
      </c>
      <c r="C7" s="586">
        <v>665.73389351077992</v>
      </c>
      <c r="D7" s="587">
        <v>631.10599999999999</v>
      </c>
      <c r="E7" s="586">
        <v>945.73900000000003</v>
      </c>
      <c r="F7" s="588">
        <v>0.66731518949731372</v>
      </c>
      <c r="G7" s="589">
        <v>1054.8685854844987</v>
      </c>
      <c r="H7" s="590">
        <v>7.0070923109588596</v>
      </c>
      <c r="I7" s="598">
        <f t="shared" si="7"/>
        <v>-5.6249749869720977E-2</v>
      </c>
      <c r="J7" s="592">
        <f t="shared" si="1"/>
        <v>150.54298397563841</v>
      </c>
      <c r="K7" s="598">
        <f t="shared" si="2"/>
        <v>-4.7215670927083453E-2</v>
      </c>
      <c r="L7" s="599">
        <v>550.10729253158001</v>
      </c>
      <c r="M7" s="594">
        <f t="shared" si="3"/>
        <v>115.62660097919991</v>
      </c>
      <c r="N7" s="588">
        <f t="shared" si="0"/>
        <v>0.17368291160517219</v>
      </c>
      <c r="O7" s="594">
        <f t="shared" si="4"/>
        <v>741.40422984089696</v>
      </c>
      <c r="P7" s="594">
        <f t="shared" si="5"/>
        <v>4.4222180000000018</v>
      </c>
      <c r="Q7" s="604">
        <f t="shared" si="8"/>
        <v>-5.6249749869720977E-2</v>
      </c>
      <c r="R7" s="588"/>
      <c r="S7" s="580" t="s">
        <v>275</v>
      </c>
      <c r="T7" s="595">
        <v>1578.3803017410532</v>
      </c>
      <c r="U7" s="588">
        <v>0.84866507780745004</v>
      </c>
      <c r="V7" s="586">
        <v>2128.9065238807293</v>
      </c>
      <c r="W7" s="595">
        <v>12.664218145877609</v>
      </c>
      <c r="X7" s="586">
        <v>873.61227559443773</v>
      </c>
      <c r="Y7" s="592">
        <v>168.46480515801272</v>
      </c>
      <c r="Z7" s="600">
        <v>0.26100000000000001</v>
      </c>
      <c r="AA7" s="597"/>
      <c r="AB7" s="591" t="s">
        <v>275</v>
      </c>
      <c r="AC7" s="607">
        <f t="shared" si="6"/>
        <v>35.738208561729152</v>
      </c>
      <c r="AD7" s="608">
        <v>2530.6663117117323</v>
      </c>
      <c r="AE7" s="598">
        <v>0.51710370372251924</v>
      </c>
      <c r="AF7" s="609">
        <f t="shared" si="9"/>
        <v>4.0040167890572187E-2</v>
      </c>
      <c r="AG7" s="610">
        <v>1381.0985729878676</v>
      </c>
      <c r="AH7" s="611">
        <v>0.56200000000000006</v>
      </c>
    </row>
    <row r="8" spans="1:35" ht="20.25" customHeight="1">
      <c r="A8" s="580">
        <v>201905</v>
      </c>
      <c r="B8" s="580" t="s">
        <v>276</v>
      </c>
      <c r="C8" s="602">
        <v>724.09110463048989</v>
      </c>
      <c r="D8" s="603">
        <v>643.47900000000004</v>
      </c>
      <c r="E8" s="602">
        <v>957.72799999999995</v>
      </c>
      <c r="F8" s="604">
        <v>0.67188074275786025</v>
      </c>
      <c r="G8" s="589">
        <v>1125.2754241093958</v>
      </c>
      <c r="H8" s="590">
        <v>7.2374848475429712</v>
      </c>
      <c r="I8" s="598">
        <f t="shared" si="7"/>
        <v>6.6744653877961024E-2</v>
      </c>
      <c r="J8" s="592">
        <f t="shared" si="1"/>
        <v>155.47879516340703</v>
      </c>
      <c r="K8" s="598">
        <f t="shared" si="2"/>
        <v>8.7658464873946018E-2</v>
      </c>
      <c r="L8" s="605">
        <v>599.96570654416996</v>
      </c>
      <c r="M8" s="594">
        <f t="shared" si="3"/>
        <v>124.12539808631993</v>
      </c>
      <c r="N8" s="604">
        <f t="shared" si="0"/>
        <v>0.17142234905601034</v>
      </c>
      <c r="O8" s="594">
        <f t="shared" si="4"/>
        <v>751.26237470700164</v>
      </c>
      <c r="P8" s="594">
        <f t="shared" si="5"/>
        <v>4.6571695122121035</v>
      </c>
      <c r="Q8" s="604">
        <f t="shared" si="8"/>
        <v>6.6744653877961024E-2</v>
      </c>
      <c r="R8" s="604"/>
      <c r="S8" s="580" t="s">
        <v>276</v>
      </c>
      <c r="T8" s="595">
        <v>1666.3273639820964</v>
      </c>
      <c r="U8" s="604">
        <v>0.85261092592261367</v>
      </c>
      <c r="V8" s="602">
        <v>2218.0364944164512</v>
      </c>
      <c r="W8" s="595">
        <v>13.422061655043102</v>
      </c>
      <c r="X8" s="602">
        <v>881.13153592778281</v>
      </c>
      <c r="Y8" s="592">
        <v>165.67179308408939</v>
      </c>
      <c r="Z8" s="600">
        <v>0.25800000000000001</v>
      </c>
      <c r="AA8" s="665"/>
      <c r="AB8" s="580" t="s">
        <v>276</v>
      </c>
      <c r="AC8" s="589">
        <f t="shared" si="6"/>
        <v>-4.784503847869928</v>
      </c>
      <c r="AD8" s="602">
        <v>2525.8818078638624</v>
      </c>
      <c r="AE8" s="604">
        <v>0.51362648861418037</v>
      </c>
      <c r="AF8" s="606">
        <f t="shared" si="9"/>
        <v>-3.4772151083388714E-3</v>
      </c>
      <c r="AG8" s="592">
        <v>1349.9284742562156</v>
      </c>
    </row>
    <row r="9" spans="1:35">
      <c r="A9" s="580">
        <v>201906</v>
      </c>
      <c r="B9" s="580" t="s">
        <v>277</v>
      </c>
      <c r="C9" s="586">
        <v>693.88155097891001</v>
      </c>
      <c r="D9" s="587">
        <v>646.18600000000004</v>
      </c>
      <c r="E9" s="586">
        <v>954.64400000000001</v>
      </c>
      <c r="F9" s="588">
        <v>0.67688688139243525</v>
      </c>
      <c r="G9" s="589">
        <v>1073.8108702121524</v>
      </c>
      <c r="H9" s="590">
        <v>7.13468896263094</v>
      </c>
      <c r="I9" s="598">
        <f t="shared" si="7"/>
        <v>-4.5735073204833609E-2</v>
      </c>
      <c r="J9" s="592">
        <f t="shared" si="1"/>
        <v>150.50563182731671</v>
      </c>
      <c r="K9" s="598">
        <f t="shared" si="2"/>
        <v>-4.1720652910100409E-2</v>
      </c>
      <c r="L9" s="599">
        <v>573.03387773135</v>
      </c>
      <c r="M9" s="594">
        <f t="shared" si="3"/>
        <v>120.84767324756001</v>
      </c>
      <c r="N9" s="588">
        <f t="shared" si="0"/>
        <v>0.17416181922847099</v>
      </c>
      <c r="O9" s="594">
        <f t="shared" si="4"/>
        <v>755.57869300057928</v>
      </c>
      <c r="P9" s="594">
        <f t="shared" si="5"/>
        <v>4.610336122006637</v>
      </c>
      <c r="Q9" s="604">
        <f t="shared" si="8"/>
        <v>-4.5735073204833609E-2</v>
      </c>
      <c r="R9" s="588"/>
      <c r="S9" s="580" t="s">
        <v>277</v>
      </c>
      <c r="T9" s="595">
        <v>1593.9235427572178</v>
      </c>
      <c r="U9" s="588">
        <v>0.85019096353049051</v>
      </c>
      <c r="V9" s="586">
        <v>2109.540088309499</v>
      </c>
      <c r="W9" s="595">
        <v>12.65790050200193</v>
      </c>
      <c r="X9" s="586">
        <v>888.71644772954812</v>
      </c>
      <c r="Y9" s="592">
        <v>165.93955911243631</v>
      </c>
      <c r="Z9" s="600">
        <v>0.254</v>
      </c>
      <c r="AA9" s="597"/>
      <c r="AB9" s="580" t="s">
        <v>277</v>
      </c>
      <c r="AC9" s="589">
        <f t="shared" si="6"/>
        <v>39.865220036353094</v>
      </c>
      <c r="AD9" s="613">
        <v>2565.7470279002155</v>
      </c>
      <c r="AE9" s="588">
        <v>0.4654017941968529</v>
      </c>
      <c r="AF9" s="601">
        <f t="shared" si="9"/>
        <v>-4.8224694417327463E-2</v>
      </c>
      <c r="AG9" s="592">
        <v>1269.3240971595123</v>
      </c>
    </row>
    <row r="10" spans="1:35">
      <c r="A10" s="580">
        <v>201907</v>
      </c>
      <c r="B10" s="580" t="s">
        <v>278</v>
      </c>
      <c r="C10" s="602">
        <v>767.04261491858995</v>
      </c>
      <c r="D10" s="603">
        <v>657.84900000000005</v>
      </c>
      <c r="E10" s="602">
        <v>962.01900000000001</v>
      </c>
      <c r="F10" s="604">
        <v>0.68382121351033609</v>
      </c>
      <c r="G10" s="589">
        <v>1165.9858340114372</v>
      </c>
      <c r="H10" s="590">
        <v>7.3602706653784935</v>
      </c>
      <c r="I10" s="598">
        <f t="shared" si="7"/>
        <v>8.5839104777430508E-2</v>
      </c>
      <c r="J10" s="592">
        <f t="shared" si="1"/>
        <v>158.4161625327236</v>
      </c>
      <c r="K10" s="598">
        <f t="shared" si="2"/>
        <v>0.10543739610379643</v>
      </c>
      <c r="L10" s="599">
        <v>621.74908606276995</v>
      </c>
      <c r="M10" s="594">
        <f t="shared" si="3"/>
        <v>145.29352885582</v>
      </c>
      <c r="N10" s="588">
        <f t="shared" si="0"/>
        <v>0.18942041293395509</v>
      </c>
      <c r="O10" s="594">
        <f t="shared" si="4"/>
        <v>764.83284104983591</v>
      </c>
      <c r="P10" s="594">
        <f t="shared" si="5"/>
        <v>4.8419466969485763</v>
      </c>
      <c r="Q10" s="604">
        <f t="shared" si="8"/>
        <v>8.5839104777430508E-2</v>
      </c>
      <c r="R10" s="604"/>
      <c r="S10" s="580" t="s">
        <v>278</v>
      </c>
      <c r="T10" s="595">
        <v>1757.0636103481306</v>
      </c>
      <c r="U10" s="588">
        <v>0.8538150806450544</v>
      </c>
      <c r="V10" s="586">
        <v>2297.3171600951714</v>
      </c>
      <c r="W10" s="595">
        <v>13.092033928353754</v>
      </c>
      <c r="X10" s="586">
        <v>895.78277356263993</v>
      </c>
      <c r="Y10" s="592">
        <v>174.52722387977587</v>
      </c>
      <c r="Z10" s="600">
        <v>0.25700000000000001</v>
      </c>
      <c r="AA10" s="597"/>
      <c r="AB10" s="580" t="s">
        <v>278</v>
      </c>
      <c r="AC10" s="589">
        <f t="shared" si="6"/>
        <v>18.983586946432297</v>
      </c>
      <c r="AD10" s="613">
        <v>2584.7306148466478</v>
      </c>
      <c r="AE10" s="588">
        <v>0.56562549247850658</v>
      </c>
      <c r="AF10" s="601">
        <f t="shared" si="9"/>
        <v>0.10022369828165367</v>
      </c>
      <c r="AG10" s="592">
        <v>1523.8668172746268</v>
      </c>
      <c r="AI10" s="580">
        <f>+AG10/AG9-1</f>
        <v>0.20053406429825849</v>
      </c>
    </row>
    <row r="11" spans="1:35">
      <c r="A11" s="580">
        <v>201908</v>
      </c>
      <c r="B11" s="580" t="s">
        <v>279</v>
      </c>
      <c r="C11" s="602">
        <v>739.08388738153008</v>
      </c>
      <c r="D11" s="603">
        <v>662.91800000000001</v>
      </c>
      <c r="E11" s="602">
        <v>970.64</v>
      </c>
      <c r="F11" s="604">
        <v>0.68296999917580148</v>
      </c>
      <c r="G11" s="589">
        <v>1114.8948850107104</v>
      </c>
      <c r="H11" s="590">
        <v>7.2416480408701354</v>
      </c>
      <c r="I11" s="598">
        <f t="shared" si="7"/>
        <v>-4.3817812798766509E-2</v>
      </c>
      <c r="J11" s="592">
        <f t="shared" si="1"/>
        <v>153.95596122850895</v>
      </c>
      <c r="K11" s="598">
        <f t="shared" si="2"/>
        <v>-3.645003158009319E-2</v>
      </c>
      <c r="L11" s="599">
        <v>598.36212866840003</v>
      </c>
      <c r="M11" s="594">
        <f t="shared" si="3"/>
        <v>140.72175871313004</v>
      </c>
      <c r="N11" s="588">
        <f t="shared" si="0"/>
        <v>0.1904002524147663</v>
      </c>
      <c r="O11" s="594">
        <f t="shared" si="4"/>
        <v>770.69160765076458</v>
      </c>
      <c r="P11" s="594">
        <f t="shared" si="5"/>
        <v>4.8006188359575477</v>
      </c>
      <c r="Q11" s="604">
        <f t="shared" si="8"/>
        <v>-4.3817812798766509E-2</v>
      </c>
      <c r="R11" s="588"/>
      <c r="S11" s="580" t="s">
        <v>279</v>
      </c>
      <c r="T11" s="595">
        <v>1698.4746105496513</v>
      </c>
      <c r="U11" s="588">
        <v>0.85264908905820869</v>
      </c>
      <c r="V11" s="586">
        <v>2203.8317190542284</v>
      </c>
      <c r="W11" s="595">
        <v>12.92276490330609</v>
      </c>
      <c r="X11" s="586">
        <v>903.8790019725817</v>
      </c>
      <c r="Y11" s="592">
        <v>168.90533177334299</v>
      </c>
      <c r="Z11" s="600">
        <v>0.26400000000000001</v>
      </c>
      <c r="AA11" s="597"/>
      <c r="AB11" s="580" t="s">
        <v>279</v>
      </c>
      <c r="AC11" s="589">
        <f t="shared" si="6"/>
        <v>69.380245060112429</v>
      </c>
      <c r="AD11" s="586">
        <v>2654.1108599067602</v>
      </c>
      <c r="AE11" s="588">
        <v>0.49480524108058571</v>
      </c>
      <c r="AF11" s="601">
        <f t="shared" si="9"/>
        <v>-7.0820251397920864E-2</v>
      </c>
      <c r="AG11" s="592">
        <v>1401.3349634957212</v>
      </c>
    </row>
    <row r="12" spans="1:35">
      <c r="A12" s="580">
        <v>201909</v>
      </c>
      <c r="B12" s="580" t="s">
        <v>280</v>
      </c>
      <c r="C12" s="602">
        <v>709.32136930652996</v>
      </c>
      <c r="D12" s="603">
        <v>665.74199999999996</v>
      </c>
      <c r="E12" s="602">
        <v>977.59199999999998</v>
      </c>
      <c r="F12" s="604">
        <v>0.68100189035916825</v>
      </c>
      <c r="G12" s="589">
        <v>1065.4598467672613</v>
      </c>
      <c r="H12" s="590">
        <v>7.2668582925264413</v>
      </c>
      <c r="I12" s="598">
        <f t="shared" si="7"/>
        <v>-4.4340537308119599E-2</v>
      </c>
      <c r="J12" s="592">
        <f t="shared" si="1"/>
        <v>146.61904827056108</v>
      </c>
      <c r="K12" s="598">
        <f t="shared" si="2"/>
        <v>-4.0269472225195613E-2</v>
      </c>
      <c r="L12" s="605">
        <v>574.92460808761996</v>
      </c>
      <c r="M12" s="594">
        <f t="shared" si="3"/>
        <v>134.39676121891</v>
      </c>
      <c r="N12" s="604">
        <f t="shared" si="0"/>
        <v>0.18947231400952064</v>
      </c>
      <c r="O12" s="594">
        <f t="shared" si="4"/>
        <v>778.19180005036378</v>
      </c>
      <c r="P12" s="594">
        <f t="shared" si="5"/>
        <v>4.8378527733831378</v>
      </c>
      <c r="Q12" s="604">
        <f t="shared" si="8"/>
        <v>-4.4340537308119599E-2</v>
      </c>
      <c r="R12" s="588"/>
      <c r="S12" s="580" t="s">
        <v>280</v>
      </c>
      <c r="T12" s="595">
        <v>1621.2259809658171</v>
      </c>
      <c r="U12" s="588">
        <v>0.85184330840836264</v>
      </c>
      <c r="V12" s="586">
        <v>2083.3244206131353</v>
      </c>
      <c r="W12" s="595">
        <v>12.436784510917786</v>
      </c>
      <c r="X12" s="586">
        <v>913.53866652352542</v>
      </c>
      <c r="Y12" s="592">
        <v>167.814855400997</v>
      </c>
      <c r="Z12" s="600">
        <v>0.26100000000000001</v>
      </c>
      <c r="AA12" s="597">
        <f>+T12/T11-1</f>
        <v>-4.5481180056518689E-2</v>
      </c>
      <c r="AB12" s="580" t="s">
        <v>280</v>
      </c>
      <c r="AC12" s="589">
        <f t="shared" si="6"/>
        <v>54.562396419179549</v>
      </c>
      <c r="AD12" s="602">
        <v>2708.6732563259397</v>
      </c>
      <c r="AE12" s="604">
        <v>0.53391178475121048</v>
      </c>
      <c r="AF12" s="601">
        <f t="shared" si="9"/>
        <v>3.9106543670624772E-2</v>
      </c>
      <c r="AG12" s="592">
        <v>1524.7871598339811</v>
      </c>
    </row>
    <row r="13" spans="1:35">
      <c r="A13" s="580">
        <v>201910</v>
      </c>
      <c r="B13" s="580" t="s">
        <v>281</v>
      </c>
      <c r="C13" s="602">
        <v>751.74317042740995</v>
      </c>
      <c r="D13" s="603">
        <v>672.48299999999995</v>
      </c>
      <c r="E13" s="602">
        <v>982.73900000000003</v>
      </c>
      <c r="F13" s="614">
        <v>0.68429460925026886</v>
      </c>
      <c r="G13" s="589">
        <v>1117.8619688935037</v>
      </c>
      <c r="H13" s="590">
        <v>7.6086815577494153</v>
      </c>
      <c r="I13" s="598">
        <f t="shared" si="7"/>
        <v>4.9182634413898363E-2</v>
      </c>
      <c r="J13" s="592">
        <f t="shared" si="1"/>
        <v>146.91927378074658</v>
      </c>
      <c r="K13" s="598">
        <f t="shared" si="2"/>
        <v>5.9806179478779642E-2</v>
      </c>
      <c r="L13" s="605">
        <v>606.49083584734001</v>
      </c>
      <c r="M13" s="594">
        <f t="shared" si="3"/>
        <v>145.25233458006994</v>
      </c>
      <c r="N13" s="604">
        <f t="shared" si="0"/>
        <v>0.19322069064822431</v>
      </c>
      <c r="O13" s="594">
        <f t="shared" si="4"/>
        <v>787.10938767720415</v>
      </c>
      <c r="P13" s="594">
        <f t="shared" si="5"/>
        <v>5.1167090000000002</v>
      </c>
      <c r="Q13" s="604">
        <f t="shared" si="8"/>
        <v>4.9182634413898363E-2</v>
      </c>
      <c r="R13" s="588"/>
      <c r="S13" s="580" t="s">
        <v>281</v>
      </c>
      <c r="T13" s="595">
        <v>1697.5274718049127</v>
      </c>
      <c r="U13" s="588">
        <v>0.85332109209992213</v>
      </c>
      <c r="V13" s="586">
        <v>2156.6601775826789</v>
      </c>
      <c r="W13" s="595">
        <v>13.110895542912466</v>
      </c>
      <c r="X13" s="586">
        <v>922.40704579353735</v>
      </c>
      <c r="Y13" s="592">
        <v>164.35776672510642</v>
      </c>
      <c r="Z13" s="600">
        <v>0.26200000000000001</v>
      </c>
      <c r="AA13" s="597"/>
      <c r="AB13" s="580" t="s">
        <v>281</v>
      </c>
      <c r="AC13" s="589">
        <f t="shared" si="6"/>
        <v>59.096963636993223</v>
      </c>
      <c r="AD13" s="602">
        <v>2767.770219962933</v>
      </c>
      <c r="AE13" s="604">
        <v>0.52515348553806362</v>
      </c>
      <c r="AF13" s="601">
        <f t="shared" si="9"/>
        <v>-8.7582992131468584E-3</v>
      </c>
      <c r="AG13" s="592">
        <v>1534.6260490866307</v>
      </c>
    </row>
    <row r="14" spans="1:35">
      <c r="A14" s="580">
        <v>201911</v>
      </c>
      <c r="B14" s="580" t="s">
        <v>282</v>
      </c>
      <c r="C14" s="602">
        <v>779.11063471705995</v>
      </c>
      <c r="D14" s="603">
        <v>674.149</v>
      </c>
      <c r="E14" s="602">
        <v>983.41700000000003</v>
      </c>
      <c r="F14" s="614">
        <v>0.68551692720382096</v>
      </c>
      <c r="G14" s="589">
        <v>1155.6950091405015</v>
      </c>
      <c r="H14" s="590">
        <v>7.5431043947077168</v>
      </c>
      <c r="I14" s="598">
        <f t="shared" si="7"/>
        <v>3.3844107143609303E-2</v>
      </c>
      <c r="J14" s="592">
        <f t="shared" si="1"/>
        <v>153.21211913112901</v>
      </c>
      <c r="K14" s="598">
        <f t="shared" si="2"/>
        <v>3.6405338107814211E-2</v>
      </c>
      <c r="L14" s="605">
        <v>632.91532649409999</v>
      </c>
      <c r="M14" s="594">
        <f t="shared" si="3"/>
        <v>146.19530822295997</v>
      </c>
      <c r="N14" s="604">
        <f t="shared" si="0"/>
        <v>0.18764383607220547</v>
      </c>
      <c r="O14" s="594">
        <f t="shared" si="4"/>
        <v>792.50456423910407</v>
      </c>
      <c r="P14" s="594">
        <f t="shared" si="5"/>
        <v>5.0851762845878126</v>
      </c>
      <c r="Q14" s="604">
        <f t="shared" si="8"/>
        <v>3.3844107143609303E-2</v>
      </c>
      <c r="R14" s="588"/>
      <c r="S14" s="580" t="s">
        <v>282</v>
      </c>
      <c r="T14" s="595">
        <v>1731.5307366137827</v>
      </c>
      <c r="U14" s="588">
        <v>0.85202595278744986</v>
      </c>
      <c r="V14" s="586">
        <v>2184.8842451478522</v>
      </c>
      <c r="W14" s="595">
        <v>12.866257020032878</v>
      </c>
      <c r="X14" s="586">
        <v>930.14134328465195</v>
      </c>
      <c r="Y14" s="592">
        <v>170.14999876371746</v>
      </c>
      <c r="Z14" s="600">
        <v>0.25600000000000001</v>
      </c>
      <c r="AA14" s="597"/>
      <c r="AB14" s="580" t="s">
        <v>282</v>
      </c>
      <c r="AC14" s="589">
        <f t="shared" si="6"/>
        <v>60.918420470407909</v>
      </c>
      <c r="AD14" s="602">
        <v>2828.6886404333409</v>
      </c>
      <c r="AE14" s="604">
        <v>0.50434198868437186</v>
      </c>
      <c r="AF14" s="601">
        <f t="shared" si="9"/>
        <v>-2.0811496853691769E-2</v>
      </c>
      <c r="AG14" s="592">
        <v>1509.8217468821642</v>
      </c>
    </row>
    <row r="15" spans="1:35">
      <c r="A15" s="580">
        <v>201912</v>
      </c>
      <c r="B15" s="580" t="s">
        <v>283</v>
      </c>
      <c r="C15" s="602">
        <v>851.66200828968999</v>
      </c>
      <c r="D15" s="603">
        <v>679.16800000000001</v>
      </c>
      <c r="E15" s="602">
        <v>984.53399999999999</v>
      </c>
      <c r="F15" s="604">
        <v>0.68983701934112995</v>
      </c>
      <c r="G15" s="589">
        <v>1253.9784093032799</v>
      </c>
      <c r="H15" s="590">
        <v>7.7899108332164495</v>
      </c>
      <c r="I15" s="598">
        <f t="shared" si="7"/>
        <v>8.5042679414071731E-2</v>
      </c>
      <c r="J15" s="592">
        <f t="shared" si="1"/>
        <v>160.97468073142412</v>
      </c>
      <c r="K15" s="598">
        <f t="shared" si="2"/>
        <v>9.3120758900919975E-2</v>
      </c>
      <c r="L15" s="605">
        <v>692.59164408029005</v>
      </c>
      <c r="M15" s="594">
        <f t="shared" si="3"/>
        <v>159.07036420939994</v>
      </c>
      <c r="N15" s="604">
        <f t="shared" si="0"/>
        <v>0.18677640033379614</v>
      </c>
      <c r="O15" s="594">
        <f t="shared" si="4"/>
        <v>799.45734288432186</v>
      </c>
      <c r="P15" s="594">
        <f t="shared" si="5"/>
        <v>5.2906581607739502</v>
      </c>
      <c r="Q15" s="604">
        <f t="shared" si="8"/>
        <v>8.5042679414071731E-2</v>
      </c>
      <c r="R15" s="588"/>
      <c r="S15" s="580" t="s">
        <v>283</v>
      </c>
      <c r="T15" s="595">
        <v>1816.2063758892104</v>
      </c>
      <c r="U15" s="588">
        <v>0.85500836476653019</v>
      </c>
      <c r="V15" s="586">
        <v>2271.7989797136779</v>
      </c>
      <c r="W15" s="595">
        <v>14.657526080299544</v>
      </c>
      <c r="X15" s="586">
        <v>935.02868021954714</v>
      </c>
      <c r="Y15" s="592">
        <v>160.3668376055885</v>
      </c>
      <c r="Z15" s="600">
        <v>0.254</v>
      </c>
      <c r="AA15" s="597"/>
      <c r="AB15" s="580" t="s">
        <v>283</v>
      </c>
      <c r="AC15" s="589">
        <f t="shared" si="6"/>
        <v>67.231630891912573</v>
      </c>
      <c r="AD15" s="602">
        <v>2895.9202713252535</v>
      </c>
      <c r="AE15" s="604">
        <v>0.5810830559126825</v>
      </c>
      <c r="AF15" s="601">
        <f t="shared" si="9"/>
        <v>7.6741067228310644E-2</v>
      </c>
      <c r="AG15" s="592">
        <v>1763.8777661113022</v>
      </c>
    </row>
    <row r="16" spans="1:35">
      <c r="A16" s="584">
        <v>202001</v>
      </c>
      <c r="B16" s="580" t="s">
        <v>284</v>
      </c>
      <c r="C16" s="602">
        <v>758.42982089921998</v>
      </c>
      <c r="D16" s="603">
        <v>675.61699999999996</v>
      </c>
      <c r="E16" s="602">
        <v>978.24599999999998</v>
      </c>
      <c r="F16" s="604">
        <v>0.6906412088574857</v>
      </c>
      <c r="G16" s="589">
        <v>1122.573619223939</v>
      </c>
      <c r="H16" s="590">
        <v>7.3521527261746513</v>
      </c>
      <c r="I16" s="598">
        <f t="shared" si="7"/>
        <v>-0.10479031305838071</v>
      </c>
      <c r="J16" s="592">
        <f t="shared" si="1"/>
        <v>152.68638465947888</v>
      </c>
      <c r="K16" s="598">
        <f t="shared" si="2"/>
        <v>-0.10947087751125495</v>
      </c>
      <c r="L16" s="605">
        <v>606.92560277595999</v>
      </c>
      <c r="M16" s="594">
        <f t="shared" si="3"/>
        <v>151.50421812325999</v>
      </c>
      <c r="N16" s="604">
        <f t="shared" si="0"/>
        <v>0.19976036536067565</v>
      </c>
      <c r="O16" s="594"/>
      <c r="P16" s="594">
        <f t="shared" si="5"/>
        <v>4.9672393683999392</v>
      </c>
      <c r="Q16" s="604">
        <f t="shared" si="8"/>
        <v>-0.10479031305838071</v>
      </c>
      <c r="R16" s="604"/>
      <c r="U16" s="615">
        <f>U6-U5</f>
        <v>5.125705523113977E-3</v>
      </c>
      <c r="AA16" s="595"/>
      <c r="AB16" s="580" t="s">
        <v>272</v>
      </c>
      <c r="AG16" s="592">
        <v>1341.0047207488813</v>
      </c>
    </row>
    <row r="17" spans="1:42">
      <c r="A17" s="580">
        <v>202002</v>
      </c>
      <c r="B17" s="580" t="s">
        <v>285</v>
      </c>
      <c r="C17" s="602">
        <v>779.14157914622001</v>
      </c>
      <c r="D17" s="603">
        <v>678.03300000000002</v>
      </c>
      <c r="E17" s="602">
        <v>984.61300000000006</v>
      </c>
      <c r="F17" s="604">
        <v>0.68862893339819808</v>
      </c>
      <c r="G17" s="589">
        <v>1149.1204397812789</v>
      </c>
      <c r="H17" s="590">
        <v>7.5237663981214622</v>
      </c>
      <c r="I17" s="598">
        <f t="shared" si="7"/>
        <v>2.3648177814558302E-2</v>
      </c>
      <c r="J17" s="592">
        <f t="shared" si="1"/>
        <v>152.7320731366928</v>
      </c>
      <c r="K17" s="598">
        <f t="shared" si="2"/>
        <v>2.7308734013706815E-2</v>
      </c>
      <c r="L17" s="605">
        <v>631.40721941461004</v>
      </c>
      <c r="M17" s="594">
        <f t="shared" si="3"/>
        <v>147.73435973160997</v>
      </c>
      <c r="N17" s="604">
        <f t="shared" si="0"/>
        <v>0.18961170047361181</v>
      </c>
      <c r="O17" s="594"/>
      <c r="P17" s="594">
        <f t="shared" si="5"/>
        <v>5.1013619022174899</v>
      </c>
      <c r="Q17" s="604">
        <f t="shared" si="8"/>
        <v>2.3648177814558302E-2</v>
      </c>
      <c r="R17" s="594"/>
      <c r="Z17" s="597">
        <f>+T15/T14-1</f>
        <v>4.8902186651922364E-2</v>
      </c>
      <c r="AB17" s="580" t="s">
        <v>273</v>
      </c>
      <c r="AG17" s="592">
        <v>1352.5598195455377</v>
      </c>
    </row>
    <row r="18" spans="1:42">
      <c r="A18" s="580">
        <v>202003</v>
      </c>
      <c r="B18" s="580" t="s">
        <v>286</v>
      </c>
      <c r="C18" s="586">
        <v>538.11638953227998</v>
      </c>
      <c r="D18" s="587">
        <v>639.03399999999999</v>
      </c>
      <c r="E18" s="586">
        <v>976.28499999999997</v>
      </c>
      <c r="F18" s="588">
        <v>0.65455681486451189</v>
      </c>
      <c r="G18" s="589">
        <v>842.07786992911167</v>
      </c>
      <c r="H18" s="590">
        <v>5.6247855863977261</v>
      </c>
      <c r="I18" s="598">
        <f t="shared" si="7"/>
        <v>-0.26719790130145893</v>
      </c>
      <c r="J18" s="592">
        <f t="shared" si="1"/>
        <v>149.70843901418871</v>
      </c>
      <c r="K18" s="598">
        <f t="shared" si="2"/>
        <v>-0.30934710207361082</v>
      </c>
      <c r="L18" s="599">
        <v>406.06858939244</v>
      </c>
      <c r="M18" s="594">
        <f t="shared" si="3"/>
        <v>132.04780013983998</v>
      </c>
      <c r="N18" s="588">
        <f t="shared" si="0"/>
        <v>0.24538892088868225</v>
      </c>
      <c r="O18" s="594"/>
      <c r="P18" s="594">
        <f t="shared" si="5"/>
        <v>3.5944292324180847</v>
      </c>
      <c r="Q18" s="604">
        <f t="shared" si="8"/>
        <v>-0.26719790130145893</v>
      </c>
      <c r="R18" s="594"/>
      <c r="S18" s="580" t="s">
        <v>287</v>
      </c>
      <c r="T18" s="580" t="s">
        <v>252</v>
      </c>
      <c r="U18" s="580" t="s">
        <v>255</v>
      </c>
      <c r="V18" s="580" t="s">
        <v>253</v>
      </c>
      <c r="W18" s="580" t="s">
        <v>94</v>
      </c>
      <c r="X18" s="580" t="s">
        <v>254</v>
      </c>
      <c r="Y18" s="616"/>
      <c r="AA18" s="617"/>
      <c r="AB18" s="580" t="s">
        <v>274</v>
      </c>
      <c r="AC18" s="617"/>
      <c r="AD18" s="617"/>
      <c r="AE18" s="617"/>
      <c r="AF18" s="617"/>
      <c r="AG18" s="592">
        <v>1470.883259337274</v>
      </c>
      <c r="AH18" s="617"/>
      <c r="AI18" s="617"/>
      <c r="AJ18" s="617"/>
      <c r="AK18" s="617"/>
      <c r="AL18" s="617"/>
      <c r="AM18" s="663"/>
    </row>
    <row r="19" spans="1:42">
      <c r="A19" s="580">
        <v>202004</v>
      </c>
      <c r="B19" s="580" t="s">
        <v>288</v>
      </c>
      <c r="C19" s="602">
        <v>268.53377823277003</v>
      </c>
      <c r="D19" s="603">
        <v>532.36500000000001</v>
      </c>
      <c r="E19" s="602">
        <v>953.89499999999998</v>
      </c>
      <c r="F19" s="604">
        <v>0.55809601685720123</v>
      </c>
      <c r="G19" s="589">
        <v>504.41666569509647</v>
      </c>
      <c r="H19" s="590">
        <v>3.5424618159274082</v>
      </c>
      <c r="I19" s="598">
        <f t="shared" si="7"/>
        <v>-0.40098572387662956</v>
      </c>
      <c r="J19" s="592">
        <f t="shared" si="1"/>
        <v>142.39156041913225</v>
      </c>
      <c r="K19" s="598">
        <f t="shared" si="2"/>
        <v>-0.5009745410910561</v>
      </c>
      <c r="L19" s="605">
        <v>168.31082142215999</v>
      </c>
      <c r="M19" s="594">
        <f t="shared" si="3"/>
        <v>100.22295681061004</v>
      </c>
      <c r="N19" s="604">
        <f t="shared" si="0"/>
        <v>0.37322290502960465</v>
      </c>
      <c r="O19" s="594"/>
      <c r="P19" s="594">
        <f t="shared" si="5"/>
        <v>1.8858826846361947</v>
      </c>
      <c r="Q19" s="604">
        <f t="shared" si="8"/>
        <v>-0.40098572387662956</v>
      </c>
      <c r="R19" s="594"/>
      <c r="S19" s="580" t="s">
        <v>272</v>
      </c>
      <c r="T19" s="602">
        <v>1399.143</v>
      </c>
      <c r="U19" s="604">
        <v>0.83699999999999997</v>
      </c>
      <c r="V19" s="602">
        <f>+U19*X19</f>
        <v>683.51428799999996</v>
      </c>
      <c r="W19" s="602">
        <v>2027.6</v>
      </c>
      <c r="X19" s="602">
        <v>816.62400000000002</v>
      </c>
      <c r="Y19" s="616"/>
      <c r="Z19" s="616"/>
      <c r="AA19" s="618"/>
      <c r="AB19" s="591" t="s">
        <v>275</v>
      </c>
      <c r="AC19" s="618"/>
      <c r="AD19" s="618"/>
      <c r="AE19" s="618"/>
      <c r="AF19" s="618"/>
      <c r="AG19" s="592">
        <v>1453.8477678777656</v>
      </c>
      <c r="AH19" s="618"/>
      <c r="AI19" s="618"/>
      <c r="AJ19" s="618"/>
      <c r="AK19" s="618"/>
      <c r="AL19" s="618"/>
      <c r="AM19" s="664"/>
      <c r="AN19" s="664"/>
      <c r="AO19" s="664"/>
      <c r="AP19" s="664"/>
    </row>
    <row r="20" spans="1:42">
      <c r="A20" s="580">
        <v>202005</v>
      </c>
      <c r="B20" s="580" t="s">
        <v>289</v>
      </c>
      <c r="C20" s="586">
        <v>371.94922062059999</v>
      </c>
      <c r="D20" s="587">
        <v>538.41999999999996</v>
      </c>
      <c r="E20" s="586">
        <v>939.43200000000002</v>
      </c>
      <c r="F20" s="588">
        <v>0.57313355304056068</v>
      </c>
      <c r="G20" s="589">
        <v>690.81612982541503</v>
      </c>
      <c r="H20" s="590">
        <v>4.1965037448414462</v>
      </c>
      <c r="I20" s="598">
        <f t="shared" si="7"/>
        <v>0.36953470574461744</v>
      </c>
      <c r="J20" s="592">
        <f t="shared" si="1"/>
        <v>164.6170650209954</v>
      </c>
      <c r="K20" s="598">
        <f t="shared" si="2"/>
        <v>0.38511148604250289</v>
      </c>
      <c r="L20" s="599">
        <v>254.01979472818999</v>
      </c>
      <c r="M20" s="594">
        <f t="shared" si="3"/>
        <v>117.92942589240999</v>
      </c>
      <c r="N20" s="588">
        <f t="shared" si="0"/>
        <v>0.31705786530657032</v>
      </c>
      <c r="O20" s="594"/>
      <c r="P20" s="594">
        <f t="shared" si="5"/>
        <v>2.2594815462975313</v>
      </c>
      <c r="Q20" s="604">
        <f t="shared" si="8"/>
        <v>0.36953470574461744</v>
      </c>
      <c r="R20" s="594"/>
      <c r="S20" s="580" t="s">
        <v>273</v>
      </c>
      <c r="T20" s="586">
        <v>1424.13</v>
      </c>
      <c r="U20" s="588">
        <v>0.83899999999999997</v>
      </c>
      <c r="V20" s="586">
        <f t="shared" ref="V20:V21" si="10">+U20*X20</f>
        <v>691.91407099999992</v>
      </c>
      <c r="W20" s="586">
        <v>2046.9</v>
      </c>
      <c r="X20" s="586">
        <v>824.68899999999996</v>
      </c>
      <c r="AB20" s="580" t="s">
        <v>276</v>
      </c>
      <c r="AC20" s="619"/>
      <c r="AD20" s="619"/>
      <c r="AE20" s="619"/>
      <c r="AF20" s="619"/>
      <c r="AG20" s="592">
        <v>1492.2789682226667</v>
      </c>
      <c r="AH20" s="619"/>
      <c r="AI20" s="619"/>
      <c r="AJ20" s="619"/>
      <c r="AK20" s="619"/>
      <c r="AL20" s="619"/>
      <c r="AM20" s="619"/>
    </row>
    <row r="21" spans="1:42">
      <c r="A21" s="580">
        <v>202006</v>
      </c>
      <c r="B21" s="580" t="s">
        <v>290</v>
      </c>
      <c r="C21" s="586">
        <v>424.68240603119</v>
      </c>
      <c r="D21" s="587">
        <v>542.36800000000005</v>
      </c>
      <c r="E21" s="586">
        <v>926.279</v>
      </c>
      <c r="F21" s="588">
        <v>0.58553416411254056</v>
      </c>
      <c r="G21" s="589">
        <v>783.01523325710582</v>
      </c>
      <c r="H21" s="590">
        <v>4.4636114225028027</v>
      </c>
      <c r="I21" s="598">
        <f t="shared" si="7"/>
        <v>0.1334640281995032</v>
      </c>
      <c r="J21" s="592">
        <f t="shared" si="1"/>
        <v>175.42190821307187</v>
      </c>
      <c r="K21" s="598">
        <f t="shared" si="2"/>
        <v>0.14177522760393013</v>
      </c>
      <c r="L21" s="599">
        <v>298.58821135018002</v>
      </c>
      <c r="M21" s="594">
        <f t="shared" si="3"/>
        <v>126.09419468100998</v>
      </c>
      <c r="N21" s="588">
        <f t="shared" si="0"/>
        <v>0.29691410072624774</v>
      </c>
      <c r="O21" s="594"/>
      <c r="P21" s="594">
        <f t="shared" si="5"/>
        <v>2.4209200000000006</v>
      </c>
      <c r="Q21" s="604">
        <f t="shared" si="8"/>
        <v>0.1334640281995032</v>
      </c>
      <c r="R21" s="594"/>
      <c r="S21" s="580" t="s">
        <v>274</v>
      </c>
      <c r="T21" s="586">
        <v>1599.79</v>
      </c>
      <c r="U21" s="588">
        <v>0.85699999999999998</v>
      </c>
      <c r="V21" s="586">
        <f t="shared" si="10"/>
        <v>709.596</v>
      </c>
      <c r="W21" s="586">
        <v>2254</v>
      </c>
      <c r="X21" s="586">
        <v>828</v>
      </c>
      <c r="Y21" s="620"/>
      <c r="AB21" s="580" t="s">
        <v>277</v>
      </c>
      <c r="AG21" s="592">
        <v>1542.2738601040815</v>
      </c>
    </row>
    <row r="22" spans="1:42">
      <c r="A22" s="580">
        <v>202007</v>
      </c>
      <c r="B22" s="580" t="s">
        <v>291</v>
      </c>
      <c r="C22" s="586">
        <v>526.13977622345999</v>
      </c>
      <c r="D22" s="587">
        <v>541.50800000000004</v>
      </c>
      <c r="E22" s="586">
        <v>910.03200000000004</v>
      </c>
      <c r="F22" s="588">
        <v>0.59504281168134743</v>
      </c>
      <c r="G22" s="586">
        <v>971.61958128681385</v>
      </c>
      <c r="H22" s="621">
        <v>5.3436421991918861</v>
      </c>
      <c r="I22" s="598">
        <f t="shared" si="7"/>
        <v>0.24086932159055352</v>
      </c>
      <c r="J22" s="592">
        <f t="shared" si="1"/>
        <v>181.82721542130028</v>
      </c>
      <c r="K22" s="598">
        <f t="shared" si="2"/>
        <v>0.23890175046436624</v>
      </c>
      <c r="L22" s="599">
        <v>384.23664865847002</v>
      </c>
      <c r="M22" s="594">
        <f t="shared" si="3"/>
        <v>141.90312756498997</v>
      </c>
      <c r="N22" s="588">
        <f t="shared" si="0"/>
        <v>0.2697061388962948</v>
      </c>
      <c r="O22" s="594"/>
      <c r="P22" s="594">
        <f t="shared" si="5"/>
        <v>2.8936250000000001</v>
      </c>
      <c r="Q22" s="604">
        <f t="shared" si="8"/>
        <v>0.24086932159055352</v>
      </c>
      <c r="R22" s="604"/>
      <c r="S22" s="580" t="s">
        <v>275</v>
      </c>
      <c r="T22" s="602"/>
      <c r="U22" s="604"/>
      <c r="V22" s="602"/>
      <c r="W22" s="602"/>
      <c r="X22" s="602"/>
      <c r="Y22" s="601"/>
      <c r="Z22" s="622"/>
      <c r="AA22" s="588"/>
      <c r="AB22" s="580" t="s">
        <v>278</v>
      </c>
      <c r="AC22" s="615"/>
      <c r="AG22" s="592">
        <v>1636.801469977072</v>
      </c>
    </row>
    <row r="23" spans="1:42">
      <c r="A23" s="580">
        <v>202008</v>
      </c>
      <c r="B23" s="580" t="s">
        <v>292</v>
      </c>
      <c r="C23" s="586">
        <v>530.57068124535999</v>
      </c>
      <c r="D23" s="587">
        <v>527.46100000000001</v>
      </c>
      <c r="E23" s="586">
        <v>897.52099999999996</v>
      </c>
      <c r="F23" s="588">
        <v>0.58768652766899043</v>
      </c>
      <c r="G23" s="586">
        <v>1005.8955662036815</v>
      </c>
      <c r="H23" s="621">
        <v>5.487212756513129</v>
      </c>
      <c r="I23" s="598">
        <f t="shared" si="7"/>
        <v>3.5277165649000741E-2</v>
      </c>
      <c r="J23" s="592">
        <f t="shared" si="1"/>
        <v>183.31630480515244</v>
      </c>
      <c r="K23" s="598">
        <f t="shared" si="2"/>
        <v>8.4215359152357561E-3</v>
      </c>
      <c r="L23" s="599">
        <v>382.51273828413002</v>
      </c>
      <c r="M23" s="594">
        <f t="shared" si="3"/>
        <v>148.05794296122997</v>
      </c>
      <c r="N23" s="588">
        <f t="shared" si="0"/>
        <v>0.27905413584804029</v>
      </c>
      <c r="O23" s="594"/>
      <c r="P23" s="594">
        <f t="shared" si="5"/>
        <v>2.8942907277631718</v>
      </c>
      <c r="Q23" s="604">
        <f t="shared" si="8"/>
        <v>3.5277165649000741E-2</v>
      </c>
      <c r="R23" s="604"/>
      <c r="S23" s="580" t="s">
        <v>276</v>
      </c>
      <c r="T23" s="602"/>
      <c r="U23" s="604"/>
      <c r="V23" s="602"/>
      <c r="W23" s="602"/>
      <c r="X23" s="602"/>
      <c r="Y23" s="601"/>
      <c r="Z23" s="622"/>
      <c r="AA23" s="588"/>
      <c r="AB23" s="580" t="s">
        <v>279</v>
      </c>
      <c r="AC23" s="615"/>
      <c r="AD23" s="615"/>
      <c r="AG23" s="592">
        <v>1528.1869403872661</v>
      </c>
    </row>
    <row r="24" spans="1:42">
      <c r="A24" s="580">
        <v>202009</v>
      </c>
      <c r="B24" s="580" t="s">
        <v>293</v>
      </c>
      <c r="C24" s="586">
        <v>522.85874178800998</v>
      </c>
      <c r="D24" s="587">
        <v>523.99800000000005</v>
      </c>
      <c r="E24" s="586">
        <v>893.68499999999995</v>
      </c>
      <c r="F24" s="588">
        <v>0.5863341110122694</v>
      </c>
      <c r="G24" s="586">
        <v>997.82583480854885</v>
      </c>
      <c r="H24" s="621">
        <v>5.7714590513704254</v>
      </c>
      <c r="I24" s="598">
        <f t="shared" si="7"/>
        <v>-8.0224346008287428E-3</v>
      </c>
      <c r="J24" s="592">
        <f t="shared" si="1"/>
        <v>172.88970188077769</v>
      </c>
      <c r="K24" s="598">
        <f t="shared" si="2"/>
        <v>-1.4535178308851315E-2</v>
      </c>
      <c r="L24" s="599">
        <v>391.46087703536</v>
      </c>
      <c r="M24" s="594">
        <f t="shared" si="3"/>
        <v>131.39786475264998</v>
      </c>
      <c r="N24" s="588">
        <f t="shared" si="0"/>
        <v>0.25130662309156626</v>
      </c>
      <c r="O24" s="594"/>
      <c r="P24" s="594">
        <f t="shared" si="5"/>
        <v>3.0242330000000006</v>
      </c>
      <c r="Q24" s="604">
        <f t="shared" si="8"/>
        <v>-8.0224346008287428E-3</v>
      </c>
      <c r="R24" s="604"/>
      <c r="S24" s="580" t="s">
        <v>277</v>
      </c>
      <c r="T24" s="602"/>
      <c r="U24" s="604"/>
      <c r="V24" s="602"/>
      <c r="W24" s="602"/>
      <c r="X24" s="623"/>
      <c r="Y24" s="581"/>
      <c r="Z24" s="581"/>
      <c r="AA24" s="588"/>
      <c r="AB24" s="580" t="s">
        <v>280</v>
      </c>
      <c r="AC24" s="615"/>
      <c r="AG24" s="592">
        <v>1705.4463750439882</v>
      </c>
    </row>
    <row r="25" spans="1:42">
      <c r="A25" s="580">
        <v>202010</v>
      </c>
      <c r="B25" s="580" t="s">
        <v>294</v>
      </c>
      <c r="C25" s="586">
        <v>576.16904216425007</v>
      </c>
      <c r="D25" s="587">
        <v>531.85900000000004</v>
      </c>
      <c r="E25" s="586">
        <v>889.327</v>
      </c>
      <c r="F25" s="588">
        <v>0.59804661277572813</v>
      </c>
      <c r="G25" s="586">
        <v>1083.3116336552546</v>
      </c>
      <c r="H25" s="621">
        <v>6.238006900672298</v>
      </c>
      <c r="I25" s="598">
        <f t="shared" si="7"/>
        <v>8.5672064066278475E-2</v>
      </c>
      <c r="J25" s="592">
        <f>+G25/H25</f>
        <v>173.6631027994697</v>
      </c>
      <c r="K25" s="598">
        <f t="shared" si="2"/>
        <v>0.10195927908546754</v>
      </c>
      <c r="L25" s="599">
        <v>440.80142434133001</v>
      </c>
      <c r="M25" s="594">
        <f t="shared" si="3"/>
        <v>135.36761782292007</v>
      </c>
      <c r="N25" s="588">
        <f t="shared" si="0"/>
        <v>0.23494427488579028</v>
      </c>
      <c r="O25" s="594"/>
      <c r="P25" s="594">
        <f t="shared" si="5"/>
        <v>3.3177401121846679</v>
      </c>
      <c r="Q25" s="604">
        <f t="shared" si="8"/>
        <v>8.5672064066278475E-2</v>
      </c>
      <c r="R25" s="604"/>
      <c r="S25" s="580" t="s">
        <v>278</v>
      </c>
      <c r="T25" s="602"/>
      <c r="U25" s="604"/>
      <c r="V25" s="602"/>
      <c r="W25" s="602"/>
      <c r="X25" s="602"/>
      <c r="AA25" s="582"/>
      <c r="AB25" s="580" t="s">
        <v>281</v>
      </c>
      <c r="AG25" s="592">
        <v>1613.8598491056232</v>
      </c>
    </row>
    <row r="26" spans="1:42">
      <c r="A26" s="580">
        <v>202011</v>
      </c>
      <c r="B26" s="580" t="s">
        <v>295</v>
      </c>
      <c r="C26" s="586">
        <v>600.17891903754992</v>
      </c>
      <c r="D26" s="587">
        <v>532.50900000000001</v>
      </c>
      <c r="E26" s="586">
        <v>883.76900000000001</v>
      </c>
      <c r="F26" s="588">
        <v>0.60254319850549187</v>
      </c>
      <c r="G26" s="586">
        <v>1127.0775123754715</v>
      </c>
      <c r="H26" s="621">
        <v>6.6</v>
      </c>
      <c r="I26" s="598">
        <f t="shared" si="7"/>
        <v>4.0400081897527862E-2</v>
      </c>
      <c r="J26" s="592">
        <f t="shared" ref="J26:J33" si="11">+G26/H26</f>
        <v>170.76932005688963</v>
      </c>
      <c r="K26" s="598">
        <f t="shared" si="2"/>
        <v>4.1671584407090068E-2</v>
      </c>
      <c r="L26" s="599">
        <v>464.97795786700999</v>
      </c>
      <c r="M26" s="594">
        <f t="shared" si="3"/>
        <v>135.20096117053993</v>
      </c>
      <c r="N26" s="588">
        <f t="shared" si="0"/>
        <v>0.22526776079931116</v>
      </c>
      <c r="O26" s="594"/>
      <c r="P26" s="594">
        <f t="shared" si="5"/>
        <v>3.5145594</v>
      </c>
      <c r="Q26" s="604">
        <f t="shared" si="8"/>
        <v>4.0400081897527862E-2</v>
      </c>
      <c r="R26" s="604"/>
      <c r="S26" s="580" t="s">
        <v>279</v>
      </c>
      <c r="T26" s="602"/>
      <c r="U26" s="604"/>
      <c r="V26" s="602"/>
      <c r="W26" s="602"/>
      <c r="X26" s="602"/>
      <c r="AB26" s="580" t="s">
        <v>282</v>
      </c>
      <c r="AG26" s="592">
        <v>1508.049700135701</v>
      </c>
    </row>
    <row r="27" spans="1:42">
      <c r="A27" s="580">
        <v>202012</v>
      </c>
      <c r="B27" s="580" t="s">
        <v>296</v>
      </c>
      <c r="C27" s="586">
        <v>709.31848351555982</v>
      </c>
      <c r="D27" s="587">
        <v>545.11300000000006</v>
      </c>
      <c r="E27" s="586">
        <v>876.61</v>
      </c>
      <c r="F27" s="588">
        <v>0.62184209625717257</v>
      </c>
      <c r="G27" s="586">
        <v>1301.232007887465</v>
      </c>
      <c r="H27" s="621">
        <v>7.4040575073425146</v>
      </c>
      <c r="I27" s="598">
        <f t="shared" si="7"/>
        <v>0.15451864987079622</v>
      </c>
      <c r="J27" s="592">
        <f t="shared" si="11"/>
        <v>175.74579973170776</v>
      </c>
      <c r="K27" s="598">
        <f t="shared" si="2"/>
        <v>0.18184504822832936</v>
      </c>
      <c r="L27" s="599">
        <v>561.09857171024998</v>
      </c>
      <c r="M27" s="594">
        <f t="shared" si="3"/>
        <v>148.21991180530983</v>
      </c>
      <c r="N27" s="588">
        <f t="shared" si="0"/>
        <v>0.20896101715930887</v>
      </c>
      <c r="O27" s="594"/>
      <c r="P27" s="594">
        <f t="shared" si="5"/>
        <v>4.036048000000001</v>
      </c>
      <c r="Q27" s="604">
        <f t="shared" si="8"/>
        <v>0.15451864987079622</v>
      </c>
      <c r="R27" s="604"/>
      <c r="S27" s="580" t="s">
        <v>280</v>
      </c>
      <c r="T27" s="602"/>
      <c r="U27" s="604"/>
      <c r="V27" s="602"/>
      <c r="W27" s="602"/>
      <c r="X27" s="602"/>
      <c r="AB27" s="580" t="s">
        <v>283</v>
      </c>
      <c r="AG27" s="592">
        <v>1925.0630762486589</v>
      </c>
    </row>
    <row r="28" spans="1:42">
      <c r="A28" s="584">
        <v>202101</v>
      </c>
      <c r="B28" s="580" t="s">
        <v>272</v>
      </c>
      <c r="C28" s="602">
        <v>631.03208801444987</v>
      </c>
      <c r="D28" s="603">
        <v>541.00300000000004</v>
      </c>
      <c r="E28" s="602">
        <v>865.35799999999995</v>
      </c>
      <c r="F28" s="604">
        <v>0.62517824992662008</v>
      </c>
      <c r="G28" s="602">
        <v>1166.4114395196511</v>
      </c>
      <c r="H28" s="594">
        <v>6.8513150574026396</v>
      </c>
      <c r="I28" s="598">
        <f t="shared" si="7"/>
        <v>-0.10360993854331435</v>
      </c>
      <c r="J28" s="592">
        <f t="shared" si="11"/>
        <v>170.24635850884988</v>
      </c>
      <c r="K28" s="598">
        <f t="shared" si="2"/>
        <v>-0.11036846962326852</v>
      </c>
      <c r="L28" s="605">
        <v>491.32916423208002</v>
      </c>
      <c r="M28" s="594">
        <f t="shared" si="3"/>
        <v>139.70292378236985</v>
      </c>
      <c r="N28" s="604">
        <f t="shared" si="0"/>
        <v>0.22138798713381883</v>
      </c>
      <c r="O28" s="602">
        <v>593.70000000000005</v>
      </c>
      <c r="P28" s="594">
        <f t="shared" si="5"/>
        <v>3.7065820000000005</v>
      </c>
      <c r="Q28" s="604">
        <f t="shared" si="8"/>
        <v>-0.10360993854331435</v>
      </c>
      <c r="R28" s="604"/>
      <c r="S28" s="580" t="s">
        <v>281</v>
      </c>
      <c r="T28" s="624"/>
      <c r="U28" s="625"/>
      <c r="V28" s="602"/>
      <c r="W28" s="624"/>
      <c r="X28" s="624"/>
    </row>
    <row r="29" spans="1:42">
      <c r="A29" s="580">
        <v>202102</v>
      </c>
      <c r="B29" s="580" t="s">
        <v>273</v>
      </c>
      <c r="C29" s="602">
        <v>536.88908800210004</v>
      </c>
      <c r="D29" s="603">
        <v>531.12199999999996</v>
      </c>
      <c r="E29" s="602">
        <v>862.85900000000004</v>
      </c>
      <c r="F29" s="604">
        <v>0.61553741688966557</v>
      </c>
      <c r="G29" s="602">
        <v>1010.8583112770701</v>
      </c>
      <c r="H29" s="594">
        <v>5.7774409645994709</v>
      </c>
      <c r="I29" s="598">
        <f t="shared" si="7"/>
        <v>-0.1333604275234479</v>
      </c>
      <c r="J29" s="592">
        <f t="shared" si="11"/>
        <v>174.96644577953714</v>
      </c>
      <c r="K29" s="598">
        <f t="shared" si="2"/>
        <v>-0.14918892683979335</v>
      </c>
      <c r="L29" s="605">
        <v>394.72574891719</v>
      </c>
      <c r="M29" s="594">
        <f t="shared" si="3"/>
        <v>142.16333908491004</v>
      </c>
      <c r="N29" s="604">
        <f t="shared" si="0"/>
        <v>0.26479088933234934</v>
      </c>
      <c r="O29" s="602">
        <v>536</v>
      </c>
      <c r="P29" s="594">
        <f t="shared" si="5"/>
        <v>3.0685259999999999</v>
      </c>
      <c r="Q29" s="604">
        <f t="shared" si="8"/>
        <v>-0.1333604275234479</v>
      </c>
      <c r="R29" s="604"/>
      <c r="S29" s="580" t="s">
        <v>282</v>
      </c>
      <c r="T29" s="624"/>
      <c r="U29" s="625"/>
      <c r="V29" s="602"/>
      <c r="W29" s="624"/>
      <c r="X29" s="624"/>
    </row>
    <row r="30" spans="1:42">
      <c r="A30" s="580">
        <v>202103</v>
      </c>
      <c r="B30" s="580" t="s">
        <v>274</v>
      </c>
      <c r="C30" s="586">
        <v>748.50283487516015</v>
      </c>
      <c r="D30" s="587">
        <v>560.46500000000003</v>
      </c>
      <c r="E30" s="586">
        <v>865.54700000000003</v>
      </c>
      <c r="F30" s="588">
        <v>0.64752693961159824</v>
      </c>
      <c r="G30" s="586">
        <v>1335.5032604625803</v>
      </c>
      <c r="H30" s="621">
        <v>7.1965171777006596</v>
      </c>
      <c r="I30" s="598">
        <f t="shared" si="7"/>
        <v>0.32115771870675847</v>
      </c>
      <c r="J30" s="592">
        <f t="shared" si="11"/>
        <v>185.57633192356022</v>
      </c>
      <c r="K30" s="598">
        <f t="shared" si="2"/>
        <v>0.39414797506972676</v>
      </c>
      <c r="L30" s="599">
        <v>577.93170825332004</v>
      </c>
      <c r="M30" s="594">
        <f t="shared" si="3"/>
        <v>170.57112662184011</v>
      </c>
      <c r="N30" s="588">
        <f t="shared" si="0"/>
        <v>0.22788307361626625</v>
      </c>
      <c r="O30" s="602">
        <v>779.45600000000002</v>
      </c>
      <c r="P30" s="594">
        <f t="shared" si="5"/>
        <v>4.0333959999999998</v>
      </c>
      <c r="Q30" s="604">
        <f t="shared" si="8"/>
        <v>0.32115771870675847</v>
      </c>
      <c r="R30" s="604"/>
      <c r="S30" s="580" t="s">
        <v>283</v>
      </c>
      <c r="T30" s="624"/>
      <c r="U30" s="625"/>
      <c r="V30" s="602"/>
      <c r="W30" s="624"/>
      <c r="X30" s="624"/>
    </row>
    <row r="31" spans="1:42">
      <c r="A31" s="580">
        <v>202104</v>
      </c>
      <c r="B31" s="580" t="s">
        <v>275</v>
      </c>
      <c r="C31" s="602">
        <v>707.78032493823991</v>
      </c>
      <c r="D31" s="603">
        <v>557.202</v>
      </c>
      <c r="E31" s="602">
        <v>834.529</v>
      </c>
      <c r="F31" s="604">
        <v>0.66768440641367766</v>
      </c>
      <c r="G31" s="602">
        <v>1270.2401013245462</v>
      </c>
      <c r="H31" s="594">
        <v>6.8483386635367429</v>
      </c>
      <c r="I31" s="598">
        <f t="shared" si="7"/>
        <v>-4.8867839615328812E-2</v>
      </c>
      <c r="J31" s="592">
        <f t="shared" si="11"/>
        <v>185.48149613099682</v>
      </c>
      <c r="K31" s="598">
        <f t="shared" si="2"/>
        <v>-5.4405284842658164E-2</v>
      </c>
      <c r="L31" s="605">
        <v>556.99978219668003</v>
      </c>
      <c r="M31" s="594">
        <f t="shared" si="3"/>
        <v>150.78054274155988</v>
      </c>
      <c r="N31" s="604">
        <f t="shared" si="0"/>
        <v>0.21303296719178627</v>
      </c>
      <c r="O31" s="602">
        <v>716.3975858</v>
      </c>
      <c r="P31" s="594">
        <f t="shared" si="5"/>
        <v>3.8159080000000003</v>
      </c>
      <c r="Q31" s="604">
        <f t="shared" si="8"/>
        <v>-4.8867839615328812E-2</v>
      </c>
      <c r="R31" s="604"/>
    </row>
    <row r="32" spans="1:42">
      <c r="A32" s="580">
        <v>202105</v>
      </c>
      <c r="B32" s="580" t="s">
        <v>276</v>
      </c>
      <c r="C32" s="602">
        <v>813.08469558036018</v>
      </c>
      <c r="D32" s="603">
        <v>575.58000000000004</v>
      </c>
      <c r="E32" s="602">
        <v>841.96500000000003</v>
      </c>
      <c r="F32" s="604">
        <v>0.68361511464253266</v>
      </c>
      <c r="G32" s="589">
        <v>1412.635420932555</v>
      </c>
      <c r="H32" s="590">
        <v>7.4535807359532988</v>
      </c>
      <c r="I32" s="598">
        <f t="shared" si="7"/>
        <v>0.11210110549928753</v>
      </c>
      <c r="J32" s="592">
        <f t="shared" si="11"/>
        <v>189.52440054999707</v>
      </c>
      <c r="K32" s="598">
        <f t="shared" si="2"/>
        <v>0.1487811499299716</v>
      </c>
      <c r="L32" s="605">
        <v>651.36598414458001</v>
      </c>
      <c r="M32" s="594">
        <f t="shared" si="3"/>
        <v>161.71871143578016</v>
      </c>
      <c r="N32" s="604">
        <f t="shared" si="0"/>
        <v>0.19889528399049408</v>
      </c>
      <c r="O32" s="602">
        <v>815.08699999999999</v>
      </c>
      <c r="P32" s="594">
        <f t="shared" si="5"/>
        <v>4.2901319999999998</v>
      </c>
      <c r="Q32" s="604">
        <f t="shared" si="8"/>
        <v>0.11210110549928753</v>
      </c>
      <c r="R32" s="604"/>
    </row>
    <row r="33" spans="1:22">
      <c r="A33" s="580">
        <v>202106</v>
      </c>
      <c r="B33" s="580" t="s">
        <v>277</v>
      </c>
      <c r="C33" s="586">
        <v>803.88161440573003</v>
      </c>
      <c r="D33" s="587">
        <v>586.21100000000001</v>
      </c>
      <c r="E33" s="586">
        <v>841.92399999999998</v>
      </c>
      <c r="F33" s="588">
        <v>0.68937338065513598</v>
      </c>
      <c r="G33" s="586">
        <v>1371.3178606435738</v>
      </c>
      <c r="H33" s="621">
        <v>7.6068156346434987</v>
      </c>
      <c r="I33" s="598">
        <f t="shared" si="7"/>
        <v>-2.9248565961701112E-2</v>
      </c>
      <c r="J33" s="592">
        <f t="shared" si="11"/>
        <v>180.27489116447373</v>
      </c>
      <c r="K33" s="598">
        <f t="shared" si="2"/>
        <v>-1.1318723897590033E-2</v>
      </c>
      <c r="L33" s="599">
        <v>642.22198245677998</v>
      </c>
      <c r="M33" s="594">
        <f t="shared" si="3"/>
        <v>161.65963194895005</v>
      </c>
      <c r="N33" s="588">
        <f t="shared" si="0"/>
        <v>0.20109880491352825</v>
      </c>
      <c r="O33" s="602">
        <v>793.68664699999999</v>
      </c>
      <c r="P33" s="594">
        <f t="shared" si="5"/>
        <v>4.4591990000000008</v>
      </c>
      <c r="Q33" s="604">
        <f t="shared" si="8"/>
        <v>-2.9248565961701112E-2</v>
      </c>
      <c r="R33" s="604"/>
      <c r="U33" s="579"/>
    </row>
    <row r="34" spans="1:22">
      <c r="A34" s="580">
        <v>202107</v>
      </c>
      <c r="B34" s="580" t="s">
        <v>278</v>
      </c>
      <c r="C34" s="586">
        <v>920.30060345081006</v>
      </c>
      <c r="D34" s="587">
        <v>597.30600000000004</v>
      </c>
      <c r="E34" s="586">
        <v>843.93200000000002</v>
      </c>
      <c r="F34" s="588">
        <v>0.70776555457074741</v>
      </c>
      <c r="G34" s="586">
        <v>1540.7523169879594</v>
      </c>
      <c r="H34" s="621">
        <v>8.1124783611750093</v>
      </c>
      <c r="I34" s="598">
        <f t="shared" si="7"/>
        <v>0.12355593200315229</v>
      </c>
      <c r="J34" s="592">
        <v>189.92375059658059</v>
      </c>
      <c r="K34" s="598">
        <f t="shared" si="2"/>
        <v>0.14482106190616495</v>
      </c>
      <c r="L34" s="599">
        <v>735.30838058425002</v>
      </c>
      <c r="M34" s="594">
        <f t="shared" si="3"/>
        <v>184.99222286656004</v>
      </c>
      <c r="N34" s="588">
        <f t="shared" si="0"/>
        <v>0.20101282360665956</v>
      </c>
      <c r="O34" s="602">
        <v>899.19942500000002</v>
      </c>
      <c r="P34" s="594">
        <f t="shared" si="5"/>
        <v>4.8456320000000002</v>
      </c>
      <c r="Q34" s="604">
        <f t="shared" si="8"/>
        <v>0.12355593200315229</v>
      </c>
      <c r="R34" s="604"/>
      <c r="U34" s="621"/>
    </row>
    <row r="35" spans="1:22">
      <c r="A35" s="580">
        <v>202108</v>
      </c>
      <c r="B35" s="580" t="s">
        <v>279</v>
      </c>
      <c r="C35" s="586">
        <v>934.4868085608</v>
      </c>
      <c r="D35" s="587">
        <v>608.04600000000005</v>
      </c>
      <c r="E35" s="586">
        <v>860.25900000000001</v>
      </c>
      <c r="F35" s="588">
        <v>0.70681736546784169</v>
      </c>
      <c r="G35" s="586">
        <v>1536.8686062580789</v>
      </c>
      <c r="H35" s="621">
        <v>8.1641800126964075</v>
      </c>
      <c r="I35" s="598">
        <f t="shared" si="7"/>
        <v>-2.5206586983901325E-3</v>
      </c>
      <c r="J35" s="592">
        <v>188.24531108672761</v>
      </c>
      <c r="K35" s="598">
        <f t="shared" si="2"/>
        <v>1.5414751502711876E-2</v>
      </c>
      <c r="L35" s="599">
        <v>737.37295654705997</v>
      </c>
      <c r="M35" s="594">
        <f t="shared" si="3"/>
        <v>197.11385201374003</v>
      </c>
      <c r="N35" s="588">
        <f t="shared" si="0"/>
        <v>0.21093272821829814</v>
      </c>
      <c r="O35" s="602">
        <v>958.7</v>
      </c>
      <c r="P35" s="594">
        <f t="shared" si="5"/>
        <v>4.9641970000000004</v>
      </c>
      <c r="Q35" s="604">
        <f t="shared" si="8"/>
        <v>-2.5206586983901325E-3</v>
      </c>
      <c r="R35" s="604"/>
      <c r="U35" s="621"/>
    </row>
    <row r="36" spans="1:22">
      <c r="A36" s="580">
        <v>202109</v>
      </c>
      <c r="B36" s="580" t="s">
        <v>297</v>
      </c>
      <c r="C36" s="586">
        <v>937.96206507646002</v>
      </c>
      <c r="D36" s="587">
        <v>624.76599999999996</v>
      </c>
      <c r="E36" s="586">
        <v>878.06299999999999</v>
      </c>
      <c r="F36" s="588">
        <v>0.71152753276245551</v>
      </c>
      <c r="G36" s="586">
        <v>1501.3013913632624</v>
      </c>
      <c r="H36" s="621">
        <v>8.1363390453385751</v>
      </c>
      <c r="I36" s="598">
        <f t="shared" si="7"/>
        <v>-2.314265172051011E-2</v>
      </c>
      <c r="J36" s="592">
        <v>184.51804712137451</v>
      </c>
      <c r="K36" s="598">
        <f t="shared" si="2"/>
        <v>3.718893069247553E-3</v>
      </c>
      <c r="L36" s="599">
        <v>748.71179732456994</v>
      </c>
      <c r="M36" s="594">
        <f t="shared" si="3"/>
        <v>189.25026775189008</v>
      </c>
      <c r="N36" s="588">
        <f t="shared" si="0"/>
        <v>0.20176750723544767</v>
      </c>
      <c r="O36" s="602">
        <v>935.92499999999995</v>
      </c>
      <c r="P36" s="594">
        <f t="shared" si="5"/>
        <v>5.0833079999999997</v>
      </c>
      <c r="Q36" s="604">
        <f t="shared" si="8"/>
        <v>-2.314265172051011E-2</v>
      </c>
      <c r="R36" s="604"/>
      <c r="U36" s="621"/>
      <c r="V36" s="626"/>
    </row>
    <row r="37" spans="1:22">
      <c r="A37" s="580">
        <v>202110</v>
      </c>
      <c r="B37" s="580" t="s">
        <v>281</v>
      </c>
      <c r="C37" s="602">
        <v>1037.8625058841699</v>
      </c>
      <c r="D37" s="603">
        <v>647.125</v>
      </c>
      <c r="E37" s="602">
        <v>896.70500000000004</v>
      </c>
      <c r="F37" s="614">
        <v>0.72166989143586791</v>
      </c>
      <c r="G37" s="602">
        <v>1603.8053017333125</v>
      </c>
      <c r="H37" s="594">
        <v>8.8832837550705044</v>
      </c>
      <c r="I37" s="598">
        <f t="shared" si="7"/>
        <v>6.8276703771633196E-2</v>
      </c>
      <c r="J37" s="592">
        <v>180.54194214137016</v>
      </c>
      <c r="K37" s="598">
        <f t="shared" si="2"/>
        <v>0.10650797567124015</v>
      </c>
      <c r="L37" s="605">
        <v>833.17890670008001</v>
      </c>
      <c r="M37" s="594">
        <f t="shared" si="3"/>
        <v>204.68359918408987</v>
      </c>
      <c r="N37" s="604">
        <f t="shared" si="0"/>
        <v>0.19721648871949277</v>
      </c>
      <c r="O37" s="602">
        <v>972.35061599999995</v>
      </c>
      <c r="P37" s="594">
        <f t="shared" si="5"/>
        <v>5.7485949999999999</v>
      </c>
      <c r="Q37" s="604">
        <f t="shared" si="8"/>
        <v>6.8276703771633196E-2</v>
      </c>
      <c r="R37" s="604"/>
      <c r="U37" s="594"/>
    </row>
    <row r="38" spans="1:22">
      <c r="A38" s="580">
        <v>202111</v>
      </c>
      <c r="B38" s="580" t="s">
        <v>282</v>
      </c>
      <c r="C38" s="602">
        <v>1086.0316536420801</v>
      </c>
      <c r="D38" s="602">
        <v>659.52700000000004</v>
      </c>
      <c r="E38" s="589">
        <v>909.65293499999996</v>
      </c>
      <c r="F38" s="614">
        <v>0.72503146488501147</v>
      </c>
      <c r="G38" s="592">
        <v>1689.2251689100974</v>
      </c>
      <c r="H38" s="595">
        <v>8.7913322729774528</v>
      </c>
      <c r="I38" s="598">
        <f t="shared" si="7"/>
        <v>5.326074622927579E-2</v>
      </c>
      <c r="J38" s="592">
        <v>192.14666406164508</v>
      </c>
      <c r="K38" s="598">
        <f t="shared" si="2"/>
        <v>4.6411877763012699E-2</v>
      </c>
      <c r="L38" s="605">
        <v>868.34280781556004</v>
      </c>
      <c r="M38" s="594">
        <f t="shared" si="3"/>
        <v>217.68884582652004</v>
      </c>
      <c r="N38" s="604">
        <f t="shared" si="0"/>
        <v>0.20044429192877194</v>
      </c>
      <c r="O38" s="602">
        <v>1184.8900000000001</v>
      </c>
      <c r="P38" s="594">
        <f t="shared" si="5"/>
        <v>5.798121000000001</v>
      </c>
      <c r="Q38" s="604">
        <f t="shared" si="8"/>
        <v>5.326074622927579E-2</v>
      </c>
      <c r="R38" s="604"/>
    </row>
    <row r="39" spans="1:22">
      <c r="A39" s="580">
        <v>202112</v>
      </c>
      <c r="B39" s="580" t="s">
        <v>283</v>
      </c>
      <c r="C39" s="602">
        <v>1205.61929143926</v>
      </c>
      <c r="D39" s="602">
        <v>687.51700000000005</v>
      </c>
      <c r="E39" s="589">
        <v>930.94799999999998</v>
      </c>
      <c r="F39" s="604">
        <v>0.73851278481719718</v>
      </c>
      <c r="G39" s="592">
        <v>1804.9538893876663</v>
      </c>
      <c r="H39" s="595">
        <v>9.475874778369116</v>
      </c>
      <c r="I39" s="598">
        <f t="shared" si="7"/>
        <v>6.850994326128701E-2</v>
      </c>
      <c r="J39" s="592">
        <v>190.47886676466985</v>
      </c>
      <c r="K39" s="598">
        <f t="shared" si="2"/>
        <v>0.11011432069786808</v>
      </c>
      <c r="L39" s="605">
        <v>968.62189015305</v>
      </c>
      <c r="M39" s="594">
        <f t="shared" si="3"/>
        <v>236.99740128620999</v>
      </c>
      <c r="N39" s="604">
        <f t="shared" si="0"/>
        <v>0.19657731339325546</v>
      </c>
      <c r="O39" s="602">
        <v>1229.2498000000001</v>
      </c>
      <c r="P39" s="594">
        <f t="shared" si="5"/>
        <v>6.5148250000000001</v>
      </c>
      <c r="Q39" s="604">
        <f t="shared" si="8"/>
        <v>6.850994326128701E-2</v>
      </c>
      <c r="R39" s="604"/>
    </row>
    <row r="40" spans="1:22">
      <c r="A40" s="584">
        <v>202201</v>
      </c>
      <c r="B40" s="580" t="s">
        <v>284</v>
      </c>
      <c r="C40" s="602">
        <v>1064.26141127401</v>
      </c>
      <c r="D40" s="603">
        <v>688.12800000000004</v>
      </c>
      <c r="E40" s="602">
        <v>947.274</v>
      </c>
      <c r="F40" s="604">
        <f>+D40/E40</f>
        <v>0.72642973416350498</v>
      </c>
      <c r="G40" s="602">
        <v>1550.0446658336821</v>
      </c>
      <c r="H40" s="594">
        <v>8.5272914341517865</v>
      </c>
      <c r="I40" s="598">
        <f t="shared" si="7"/>
        <v>-0.14122755437285028</v>
      </c>
      <c r="J40" s="592">
        <v>183.02121405328495</v>
      </c>
      <c r="K40" s="598">
        <f t="shared" si="2"/>
        <v>-0.11724918568323328</v>
      </c>
      <c r="L40" s="605">
        <v>835.41310011987002</v>
      </c>
      <c r="M40" s="594">
        <f t="shared" si="3"/>
        <v>228.84831115413999</v>
      </c>
      <c r="N40" s="604">
        <f t="shared" si="0"/>
        <v>0.21503016902603789</v>
      </c>
      <c r="O40" s="602">
        <v>1105.3468640000001</v>
      </c>
      <c r="P40" s="594">
        <f t="shared" si="5"/>
        <v>5.8678680000000014</v>
      </c>
      <c r="Q40" s="604">
        <f t="shared" si="8"/>
        <v>-0.14122755437285028</v>
      </c>
      <c r="R40" s="604"/>
    </row>
    <row r="41" spans="1:22">
      <c r="A41" s="580">
        <v>202202</v>
      </c>
      <c r="B41" s="580" t="s">
        <v>285</v>
      </c>
      <c r="C41" s="602">
        <v>1107.9714565858401</v>
      </c>
      <c r="D41" s="602">
        <v>702.29</v>
      </c>
      <c r="E41" s="589">
        <v>956.91499999999996</v>
      </c>
      <c r="F41" s="604">
        <f>+D41/E41</f>
        <v>0.73391053541850637</v>
      </c>
      <c r="G41" s="592">
        <v>1583.6716450195647</v>
      </c>
      <c r="H41" s="595">
        <v>8.6613521479730604</v>
      </c>
      <c r="I41" s="598">
        <f t="shared" si="7"/>
        <v>2.1694200126676E-2</v>
      </c>
      <c r="J41" s="592">
        <v>185.07242450686772</v>
      </c>
      <c r="K41" s="598">
        <f t="shared" si="2"/>
        <v>4.1070779085662368E-2</v>
      </c>
      <c r="L41" s="605">
        <v>868.20022479721001</v>
      </c>
      <c r="M41" s="594">
        <f t="shared" si="3"/>
        <v>239.77123178863008</v>
      </c>
      <c r="N41" s="604">
        <f t="shared" si="0"/>
        <v>0.21640560355902436</v>
      </c>
      <c r="O41" s="602">
        <v>1140.5160000000001</v>
      </c>
      <c r="P41" s="594">
        <f t="shared" si="5"/>
        <v>6.0827809999999998</v>
      </c>
      <c r="Q41" s="604">
        <f t="shared" si="8"/>
        <v>2.1694200126676E-2</v>
      </c>
      <c r="R41" s="604"/>
    </row>
    <row r="42" spans="1:22">
      <c r="A42" s="580">
        <v>202203</v>
      </c>
      <c r="B42" s="580" t="s">
        <v>286</v>
      </c>
      <c r="C42" s="586">
        <v>1288.2287844244199</v>
      </c>
      <c r="D42" s="586">
        <v>731.09500000000003</v>
      </c>
      <c r="E42" s="589">
        <v>976.51800000000003</v>
      </c>
      <c r="F42" s="588">
        <f>+D42/E42</f>
        <v>0.74867539564042851</v>
      </c>
      <c r="G42" s="592">
        <v>1765.3372479301049</v>
      </c>
      <c r="H42" s="595">
        <v>9.5010210711330263</v>
      </c>
      <c r="I42" s="598">
        <f t="shared" si="7"/>
        <v>0.11471165975715625</v>
      </c>
      <c r="J42" s="592">
        <v>188.49856379893507</v>
      </c>
      <c r="K42" s="598">
        <f t="shared" si="2"/>
        <v>0.16269131011193561</v>
      </c>
      <c r="L42" s="599">
        <v>1005.29157668235</v>
      </c>
      <c r="M42" s="594">
        <f t="shared" si="3"/>
        <v>282.93720774206997</v>
      </c>
      <c r="N42" s="588">
        <f t="shared" si="0"/>
        <v>0.21963273229334507</v>
      </c>
      <c r="O42" s="602">
        <v>1331.3446569999999</v>
      </c>
      <c r="P42" s="594">
        <f t="shared" si="5"/>
        <v>6.9461490000000001</v>
      </c>
      <c r="Q42" s="604">
        <f t="shared" si="8"/>
        <v>0.11471165975715625</v>
      </c>
      <c r="R42" s="604"/>
    </row>
    <row r="43" spans="1:22">
      <c r="A43" s="580">
        <v>202204</v>
      </c>
      <c r="B43" s="580" t="s">
        <v>288</v>
      </c>
      <c r="C43" s="602">
        <v>1211.88605678883</v>
      </c>
      <c r="D43" s="602">
        <v>734.82899999999995</v>
      </c>
      <c r="E43" s="589">
        <v>991.41</v>
      </c>
      <c r="F43" s="604">
        <f>+D43/E43</f>
        <v>0.74119587254516295</v>
      </c>
      <c r="G43" s="592">
        <v>1652.7565252431932</v>
      </c>
      <c r="H43" s="595">
        <v>9.120647116540038</v>
      </c>
      <c r="I43" s="598">
        <f t="shared" si="7"/>
        <v>-6.3772926571914246E-2</v>
      </c>
      <c r="J43" s="592">
        <f>+G43/H43</f>
        <v>181.21044528145001</v>
      </c>
      <c r="K43" s="598">
        <f t="shared" si="2"/>
        <v>-5.9261777534104554E-2</v>
      </c>
      <c r="L43" s="605">
        <v>953.97076437039004</v>
      </c>
      <c r="M43" s="594">
        <f t="shared" si="3"/>
        <v>257.91529241844</v>
      </c>
      <c r="N43" s="604">
        <f t="shared" si="0"/>
        <v>0.21282140426786136</v>
      </c>
      <c r="O43" s="602">
        <v>1178.4645344</v>
      </c>
      <c r="P43" s="594">
        <f t="shared" si="5"/>
        <v>6.7021159999999993</v>
      </c>
      <c r="Q43" s="604">
        <f t="shared" si="8"/>
        <v>-6.3772926571914246E-2</v>
      </c>
      <c r="R43" s="604"/>
    </row>
    <row r="44" spans="1:22">
      <c r="A44" s="580">
        <v>202205</v>
      </c>
      <c r="B44" s="580" t="s">
        <v>289</v>
      </c>
      <c r="C44" s="602">
        <v>1307.21220129109</v>
      </c>
      <c r="D44" s="603">
        <v>752.76700000000005</v>
      </c>
      <c r="E44" s="602">
        <v>1008.724</v>
      </c>
      <c r="F44" s="604">
        <v>0.74625665692498644</v>
      </c>
      <c r="G44" s="589">
        <v>1736.542916056482</v>
      </c>
      <c r="H44" s="590">
        <v>9.6814180217783186</v>
      </c>
      <c r="I44" s="598">
        <f t="shared" si="7"/>
        <v>5.0694938748440332E-2</v>
      </c>
      <c r="J44" s="592">
        <v>179.36865365694717</v>
      </c>
      <c r="K44" s="598">
        <f t="shared" si="2"/>
        <v>7.8659329371977726E-2</v>
      </c>
      <c r="L44" s="605">
        <v>1023.97695501679</v>
      </c>
      <c r="M44" s="594">
        <f t="shared" si="3"/>
        <v>283.23524627429993</v>
      </c>
      <c r="N44" s="604">
        <f t="shared" si="0"/>
        <v>0.21667120762379505</v>
      </c>
      <c r="O44" s="602">
        <v>1343.7451470000001</v>
      </c>
      <c r="P44" s="594">
        <f t="shared" si="5"/>
        <v>7.287852</v>
      </c>
      <c r="Q44" s="604">
        <f t="shared" si="8"/>
        <v>5.0694938748440332E-2</v>
      </c>
      <c r="R44" s="604"/>
    </row>
    <row r="45" spans="1:22">
      <c r="A45" s="580">
        <v>202206</v>
      </c>
      <c r="B45" s="580" t="s">
        <v>290</v>
      </c>
      <c r="C45" s="586">
        <v>1270.2706878372398</v>
      </c>
      <c r="D45" s="586">
        <v>763.82799999999997</v>
      </c>
      <c r="E45" s="589">
        <v>1014.207</v>
      </c>
      <c r="F45" s="588">
        <v>0.75312830615446347</v>
      </c>
      <c r="G45" s="592">
        <v>1663.0323683306187</v>
      </c>
      <c r="H45" s="595">
        <v>9.3496297595793809</v>
      </c>
      <c r="I45" s="598">
        <f t="shared" si="7"/>
        <v>-4.2331546802654607E-2</v>
      </c>
      <c r="J45" s="592">
        <v>177.87146775803825</v>
      </c>
      <c r="K45" s="598">
        <f t="shared" si="2"/>
        <v>-2.8259767937725999E-2</v>
      </c>
      <c r="L45" s="599">
        <v>987.13205126549997</v>
      </c>
      <c r="M45" s="594">
        <f t="shared" si="3"/>
        <v>283.13863657173988</v>
      </c>
      <c r="N45" s="588">
        <f t="shared" si="0"/>
        <v>0.22289630020024404</v>
      </c>
      <c r="O45" s="602">
        <v>1269.4767185399999</v>
      </c>
      <c r="P45" s="594">
        <f t="shared" si="5"/>
        <v>7.1415089999999992</v>
      </c>
      <c r="Q45" s="604">
        <f t="shared" si="8"/>
        <v>-4.2331546802654607E-2</v>
      </c>
      <c r="R45" s="604"/>
    </row>
    <row r="46" spans="1:22">
      <c r="A46" s="580">
        <v>202207</v>
      </c>
      <c r="B46" s="580" t="s">
        <v>291</v>
      </c>
      <c r="C46" s="586">
        <v>1370.64682837442</v>
      </c>
      <c r="D46" s="586">
        <v>770.93299999999999</v>
      </c>
      <c r="E46" s="589">
        <v>1021.998</v>
      </c>
      <c r="F46" s="588">
        <v>0.75433904958718112</v>
      </c>
      <c r="G46" s="592">
        <v>1777.9065474878103</v>
      </c>
      <c r="H46" s="595">
        <v>9.6954025531501653</v>
      </c>
      <c r="I46" s="598">
        <f t="shared" si="7"/>
        <v>6.9075131275108115E-2</v>
      </c>
      <c r="J46" s="592">
        <v>183.37624845810501</v>
      </c>
      <c r="K46" s="598">
        <f>+C46/C45-1</f>
        <v>7.9019488915453406E-2</v>
      </c>
      <c r="L46" s="599">
        <v>1064.41022908531</v>
      </c>
      <c r="M46" s="594">
        <f t="shared" si="3"/>
        <v>306.23659928911002</v>
      </c>
      <c r="N46" s="588">
        <f t="shared" si="0"/>
        <v>0.22342487718175005</v>
      </c>
      <c r="O46" s="602">
        <v>1219.4100000000001</v>
      </c>
      <c r="P46" s="594">
        <f t="shared" si="5"/>
        <v>7.4745057765077165</v>
      </c>
      <c r="Q46" s="604">
        <f t="shared" si="8"/>
        <v>6.9075131275108115E-2</v>
      </c>
      <c r="R46" s="604"/>
    </row>
    <row r="47" spans="1:22">
      <c r="A47" s="580">
        <v>202208</v>
      </c>
      <c r="B47" s="580" t="s">
        <v>292</v>
      </c>
      <c r="C47" s="586">
        <v>1385.0428650244994</v>
      </c>
      <c r="D47" s="586">
        <v>775.69799999999998</v>
      </c>
      <c r="E47" s="589">
        <v>1021.407</v>
      </c>
      <c r="F47" s="588">
        <v>0.7594406539215024</v>
      </c>
      <c r="G47" s="592">
        <v>1785.5439423905946</v>
      </c>
      <c r="H47" s="595">
        <v>9.6308486034513425</v>
      </c>
      <c r="I47" s="598">
        <f t="shared" si="7"/>
        <v>4.2957234808409517E-3</v>
      </c>
      <c r="J47" s="592">
        <v>185.39840214607062</v>
      </c>
      <c r="K47" s="598">
        <f t="shared" si="2"/>
        <v>1.0503097042987353E-2</v>
      </c>
      <c r="L47" s="593">
        <v>1053.6544968852199</v>
      </c>
      <c r="M47" s="594">
        <f t="shared" si="3"/>
        <v>331.38836813927946</v>
      </c>
      <c r="N47" s="588">
        <f t="shared" si="0"/>
        <v>0.23926217484497686</v>
      </c>
      <c r="O47" s="586">
        <v>1547.06</v>
      </c>
      <c r="P47" s="594">
        <f t="shared" si="5"/>
        <v>7.470629999999999</v>
      </c>
      <c r="Q47" s="604">
        <f t="shared" si="8"/>
        <v>4.2957234808409517E-3</v>
      </c>
      <c r="R47" s="604"/>
    </row>
    <row r="48" spans="1:22">
      <c r="A48" s="580">
        <v>202209</v>
      </c>
      <c r="B48" s="580" t="s">
        <v>293</v>
      </c>
      <c r="C48" s="586">
        <v>1324.72066681976</v>
      </c>
      <c r="D48" s="586">
        <v>772.221</v>
      </c>
      <c r="E48" s="589">
        <v>1023.664</v>
      </c>
      <c r="F48" s="588">
        <v>0.75436959783679025</v>
      </c>
      <c r="G48" s="592">
        <v>1715.4683268387676</v>
      </c>
      <c r="H48" s="595">
        <v>9.5210749254423277</v>
      </c>
      <c r="I48" s="598">
        <f t="shared" si="7"/>
        <v>-3.9246088482149277E-2</v>
      </c>
      <c r="J48" s="592">
        <v>180.17590873638363</v>
      </c>
      <c r="K48" s="598">
        <f t="shared" si="2"/>
        <v>-4.3552585792117293E-2</v>
      </c>
      <c r="L48" s="593">
        <v>1018.02366587166</v>
      </c>
      <c r="M48" s="594">
        <v>306.69700094810003</v>
      </c>
      <c r="N48" s="588">
        <v>0.23151824277368874</v>
      </c>
      <c r="O48" s="586">
        <v>1321.17</v>
      </c>
      <c r="P48" s="594">
        <f t="shared" si="5"/>
        <v>7.3523740000000002</v>
      </c>
      <c r="Q48" s="604">
        <f t="shared" si="8"/>
        <v>-3.9246088482149277E-2</v>
      </c>
      <c r="R48" s="604"/>
    </row>
    <row r="49" spans="1:18">
      <c r="A49" s="580">
        <v>202210</v>
      </c>
      <c r="B49" s="580" t="s">
        <v>294</v>
      </c>
      <c r="C49" s="586">
        <v>1433.61833538159</v>
      </c>
      <c r="D49" s="587">
        <v>783.96299999999997</v>
      </c>
      <c r="E49" s="586">
        <v>1034.376</v>
      </c>
      <c r="F49" s="588">
        <v>0.75790911622079393</v>
      </c>
      <c r="G49" s="586">
        <v>1828.6811180905095</v>
      </c>
      <c r="H49" s="621">
        <v>10.125488065125522</v>
      </c>
      <c r="I49" s="598">
        <f t="shared" si="7"/>
        <v>6.5995267578252692E-2</v>
      </c>
      <c r="J49" s="592">
        <v>180.60177507777647</v>
      </c>
      <c r="K49" s="598">
        <f t="shared" si="2"/>
        <v>8.220424976327978E-2</v>
      </c>
      <c r="L49" s="599">
        <v>1001.85607567958</v>
      </c>
      <c r="M49" s="594">
        <v>431.76225970200994</v>
      </c>
      <c r="N49" s="588">
        <v>0.30116959935999049</v>
      </c>
      <c r="O49" s="602">
        <v>1435.204</v>
      </c>
      <c r="P49" s="594">
        <f t="shared" si="5"/>
        <v>7.9380079999999991</v>
      </c>
      <c r="Q49" s="604">
        <f t="shared" si="8"/>
        <v>6.5995267578252692E-2</v>
      </c>
      <c r="R49" s="604"/>
    </row>
    <row r="50" spans="1:18">
      <c r="A50" s="580">
        <v>202211</v>
      </c>
      <c r="B50" s="580" t="s">
        <v>295</v>
      </c>
      <c r="C50" s="586">
        <v>1450.5900100564104</v>
      </c>
      <c r="D50" s="587">
        <v>791.57500000000005</v>
      </c>
      <c r="E50" s="586">
        <v>1039.25</v>
      </c>
      <c r="F50" s="588">
        <v>0.76167909550156365</v>
      </c>
      <c r="G50" s="586">
        <v>1832.5364116557625</v>
      </c>
      <c r="H50" s="621">
        <v>10.018072829485519</v>
      </c>
      <c r="I50" s="598">
        <f t="shared" si="7"/>
        <v>2.1082372028200513E-3</v>
      </c>
      <c r="J50" s="592">
        <v>182.92304746100285</v>
      </c>
      <c r="K50" s="598">
        <f t="shared" si="2"/>
        <v>1.1838349340239862E-2</v>
      </c>
      <c r="L50" s="599">
        <v>1116.3970120127999</v>
      </c>
      <c r="M50" s="594">
        <v>334.19299804361049</v>
      </c>
      <c r="N50" s="588">
        <v>0.23038418555675455</v>
      </c>
      <c r="O50" s="602">
        <v>1447.98</v>
      </c>
      <c r="P50" s="594">
        <f t="shared" si="5"/>
        <v>7.9300559999999995</v>
      </c>
      <c r="Q50" s="604">
        <f t="shared" si="8"/>
        <v>2.1082372028200513E-3</v>
      </c>
      <c r="R50" s="604"/>
    </row>
    <row r="51" spans="1:18">
      <c r="A51" s="580">
        <v>202212</v>
      </c>
      <c r="B51" s="580" t="s">
        <v>296</v>
      </c>
      <c r="C51" s="586">
        <v>1543.2755846511498</v>
      </c>
      <c r="D51" s="587">
        <v>798.35199999999998</v>
      </c>
      <c r="E51" s="586">
        <v>1043.873</v>
      </c>
      <c r="F51" s="588">
        <v>0.76479801661696389</v>
      </c>
      <c r="G51" s="586">
        <v>1933.0766186483527</v>
      </c>
      <c r="H51" s="621">
        <v>10.558982754474217</v>
      </c>
      <c r="I51" s="598">
        <f t="shared" si="7"/>
        <v>5.4863961421507845E-2</v>
      </c>
      <c r="J51" s="592">
        <v>183.07413352192845</v>
      </c>
      <c r="K51" s="598">
        <f t="shared" si="2"/>
        <v>6.3895086793776423E-2</v>
      </c>
      <c r="L51" s="599">
        <v>1103.73956874174</v>
      </c>
      <c r="M51" s="594">
        <v>439.5360159094098</v>
      </c>
      <c r="N51" s="588">
        <v>0.28480721154463468</v>
      </c>
      <c r="O51" s="602">
        <v>1493.6796999999999</v>
      </c>
      <c r="P51" s="594">
        <f t="shared" si="5"/>
        <v>8.429784999999999</v>
      </c>
      <c r="Q51" s="604">
        <f t="shared" si="8"/>
        <v>5.4863961421507845E-2</v>
      </c>
      <c r="R51" s="604"/>
    </row>
    <row r="52" spans="1:18">
      <c r="A52" s="584">
        <v>202301</v>
      </c>
      <c r="B52" s="580" t="s">
        <v>284</v>
      </c>
      <c r="C52" s="586">
        <v>1402.2455370931102</v>
      </c>
      <c r="D52" s="587">
        <v>797.45299999999997</v>
      </c>
      <c r="E52" s="586">
        <v>1045.155</v>
      </c>
      <c r="F52" s="588">
        <f>D52/E52</f>
        <v>0.7629997464490913</v>
      </c>
      <c r="G52" s="586">
        <v>1758.4052440621706</v>
      </c>
      <c r="H52" s="621">
        <v>9.9947796296458851</v>
      </c>
      <c r="I52" s="598">
        <f t="shared" si="7"/>
        <v>-9.0359260932096896E-2</v>
      </c>
      <c r="J52" s="592">
        <v>175.93236761784121</v>
      </c>
      <c r="K52" s="598">
        <f t="shared" si="2"/>
        <v>-9.138357980951195E-2</v>
      </c>
      <c r="L52" s="599">
        <v>1064.41000074813</v>
      </c>
      <c r="M52" s="594">
        <v>337.83553634498026</v>
      </c>
      <c r="N52" s="588">
        <f>M52/C52</f>
        <v>0.24092466505211471</v>
      </c>
      <c r="O52" s="602">
        <v>1450</v>
      </c>
      <c r="P52" s="594">
        <f t="shared" si="5"/>
        <v>7.9703669999999995</v>
      </c>
      <c r="Q52" s="604">
        <f t="shared" si="8"/>
        <v>-9.0359260932096896E-2</v>
      </c>
      <c r="R52" s="604"/>
    </row>
    <row r="53" spans="1:18">
      <c r="A53" s="580">
        <v>202302</v>
      </c>
      <c r="B53" s="580" t="s">
        <v>285</v>
      </c>
      <c r="C53" s="586">
        <v>1398.90227738925</v>
      </c>
      <c r="D53" s="587">
        <v>797.33699999999999</v>
      </c>
      <c r="E53" s="586">
        <v>1045.9090000000001</v>
      </c>
      <c r="F53" s="588">
        <f t="shared" ref="F53:F55" si="12">D53/E53</f>
        <v>0.76233878855617454</v>
      </c>
      <c r="G53" s="586">
        <v>1754.4680321987441</v>
      </c>
      <c r="H53" s="621">
        <v>9.8932960592572528</v>
      </c>
      <c r="I53" s="598">
        <f t="shared" si="7"/>
        <v>-2.2390810518347903E-3</v>
      </c>
      <c r="J53" s="592">
        <v>177.33908109998097</v>
      </c>
      <c r="K53" s="598">
        <f t="shared" si="2"/>
        <v>-2.3842184663257493E-3</v>
      </c>
      <c r="L53" s="599">
        <v>895.06378737507998</v>
      </c>
      <c r="M53" s="594">
        <v>337.64581602356998</v>
      </c>
      <c r="N53" s="588">
        <f t="shared" ref="N53:N66" si="13">M53/C53</f>
        <v>0.24136483404238446</v>
      </c>
      <c r="O53" s="602">
        <v>1385.3694</v>
      </c>
      <c r="P53" s="594">
        <f t="shared" si="5"/>
        <v>7.8882910000000006</v>
      </c>
      <c r="Q53" s="604">
        <f t="shared" si="8"/>
        <v>-2.2390810518347903E-3</v>
      </c>
      <c r="R53" s="604"/>
    </row>
    <row r="54" spans="1:18">
      <c r="A54" s="580">
        <v>202303</v>
      </c>
      <c r="B54" s="580" t="s">
        <v>286</v>
      </c>
      <c r="C54" s="586">
        <v>1590.2747523522</v>
      </c>
      <c r="D54" s="587">
        <v>811.66200000000003</v>
      </c>
      <c r="E54" s="586">
        <v>1031.0450000000001</v>
      </c>
      <c r="F54" s="588">
        <f t="shared" si="12"/>
        <v>0.78722267214331088</v>
      </c>
      <c r="G54" s="586">
        <v>1959.2820069834486</v>
      </c>
      <c r="H54" s="621">
        <v>10.79110516446501</v>
      </c>
      <c r="I54" s="598">
        <f t="shared" si="7"/>
        <v>0.11673850479226244</v>
      </c>
      <c r="J54" s="592">
        <v>181.56453645131199</v>
      </c>
      <c r="K54" s="598">
        <f t="shared" si="2"/>
        <v>0.13680188963599771</v>
      </c>
      <c r="L54" s="599">
        <v>1146.5835602494101</v>
      </c>
      <c r="M54" s="594">
        <v>392.02968084269014</v>
      </c>
      <c r="N54" s="588">
        <f t="shared" si="13"/>
        <v>0.24651694951632286</v>
      </c>
      <c r="O54" s="602">
        <v>1598.3320000000001</v>
      </c>
      <c r="P54" s="594">
        <f t="shared" si="5"/>
        <v>8.7587299999999999</v>
      </c>
      <c r="Q54" s="604">
        <f t="shared" si="8"/>
        <v>0.11673850479226244</v>
      </c>
      <c r="R54" s="604"/>
    </row>
    <row r="55" spans="1:18">
      <c r="A55" s="580">
        <v>202304</v>
      </c>
      <c r="B55" s="580" t="s">
        <v>288</v>
      </c>
      <c r="C55" s="586">
        <v>1442.3859025326199</v>
      </c>
      <c r="D55" s="587">
        <v>790.54200000000003</v>
      </c>
      <c r="E55" s="586">
        <v>1022.3579999999999</v>
      </c>
      <c r="F55" s="588">
        <f t="shared" si="12"/>
        <v>0.77325359609843136</v>
      </c>
      <c r="G55" s="586">
        <v>1824.5531578747489</v>
      </c>
      <c r="H55" s="621">
        <v>10.629555418940424</v>
      </c>
      <c r="I55" s="598">
        <f t="shared" si="7"/>
        <v>-6.876439870753015E-2</v>
      </c>
      <c r="J55" s="592">
        <v>171.64905642465939</v>
      </c>
      <c r="K55" s="598">
        <f t="shared" si="2"/>
        <v>-9.2995785540099574E-2</v>
      </c>
      <c r="L55" s="599">
        <v>1097.9127660939801</v>
      </c>
      <c r="M55" s="594">
        <v>343.7097352592798</v>
      </c>
      <c r="N55" s="588">
        <f t="shared" si="13"/>
        <v>0.23829249485576329</v>
      </c>
      <c r="O55" s="602">
        <v>1357.7734744835291</v>
      </c>
      <c r="P55" s="594">
        <f t="shared" si="5"/>
        <v>8.4031099999999999</v>
      </c>
      <c r="Q55" s="604">
        <f t="shared" si="8"/>
        <v>-6.876439870753015E-2</v>
      </c>
      <c r="R55" s="604"/>
    </row>
    <row r="56" spans="1:18">
      <c r="A56" s="580">
        <v>202305</v>
      </c>
      <c r="B56" s="580" t="s">
        <v>289</v>
      </c>
      <c r="C56" s="586">
        <v>1550.3909304387</v>
      </c>
      <c r="D56" s="587">
        <v>796.67399999999998</v>
      </c>
      <c r="E56" s="586">
        <v>1011.735</v>
      </c>
      <c r="F56" s="588">
        <f t="shared" ref="F56:F61" si="14">D56/E56</f>
        <v>0.7874334682500852</v>
      </c>
      <c r="G56" s="586">
        <v>1946.0794885219048</v>
      </c>
      <c r="H56" s="621">
        <v>10.949817616741603</v>
      </c>
      <c r="I56" s="598">
        <f t="shared" si="7"/>
        <v>6.6606078382890566E-2</v>
      </c>
      <c r="J56" s="592">
        <v>177.72711442667941</v>
      </c>
      <c r="K56" s="598">
        <f t="shared" si="2"/>
        <v>7.4879425621422913E-2</v>
      </c>
      <c r="L56" s="599">
        <v>1150.2352348618899</v>
      </c>
      <c r="M56" s="594">
        <v>400.1556955768101</v>
      </c>
      <c r="N56" s="588">
        <f t="shared" si="13"/>
        <v>0.25809986869800744</v>
      </c>
      <c r="O56" s="602">
        <v>1638.6408990150953</v>
      </c>
      <c r="P56" s="594">
        <f t="shared" si="5"/>
        <v>8.7234350000000003</v>
      </c>
      <c r="Q56" s="604">
        <f t="shared" si="8"/>
        <v>6.6606078382890566E-2</v>
      </c>
      <c r="R56" s="604"/>
    </row>
    <row r="57" spans="1:18">
      <c r="A57" s="580">
        <v>202306</v>
      </c>
      <c r="B57" s="580" t="s">
        <v>290</v>
      </c>
      <c r="C57" s="586">
        <v>1461.9703831978397</v>
      </c>
      <c r="D57" s="587">
        <v>782.66300000000001</v>
      </c>
      <c r="E57" s="586">
        <v>988.01300000000003</v>
      </c>
      <c r="F57" s="588">
        <f t="shared" si="14"/>
        <v>0.79215860520053882</v>
      </c>
      <c r="G57" s="586">
        <v>1867.9436528848812</v>
      </c>
      <c r="H57" s="621">
        <v>10.837766701632759</v>
      </c>
      <c r="I57" s="598">
        <f t="shared" si="7"/>
        <v>-4.0150382395926498E-2</v>
      </c>
      <c r="J57" s="592">
        <f t="shared" ref="J57:J61" si="15">+G57/H57</f>
        <v>172.35503441898845</v>
      </c>
      <c r="K57" s="598">
        <f t="shared" si="2"/>
        <v>-5.703113034584173E-2</v>
      </c>
      <c r="L57" s="599">
        <v>1081.3761959037199</v>
      </c>
      <c r="M57" s="594">
        <v>380.59418729411982</v>
      </c>
      <c r="N57" s="588">
        <f t="shared" si="13"/>
        <v>0.26032961520166192</v>
      </c>
      <c r="O57" s="602">
        <v>1461.4095</v>
      </c>
      <c r="P57" s="594">
        <f t="shared" si="5"/>
        <v>8.4823190000000004</v>
      </c>
      <c r="Q57" s="604">
        <f t="shared" si="8"/>
        <v>-4.0150382395926498E-2</v>
      </c>
      <c r="R57" s="604"/>
    </row>
    <row r="58" spans="1:18">
      <c r="A58" s="580">
        <v>202307</v>
      </c>
      <c r="B58" s="580" t="s">
        <v>291</v>
      </c>
      <c r="C58" s="586">
        <v>1562.1832930060002</v>
      </c>
      <c r="D58" s="587">
        <v>764.25900000000001</v>
      </c>
      <c r="E58" s="586">
        <v>967.13699999999994</v>
      </c>
      <c r="F58" s="588">
        <f t="shared" si="14"/>
        <v>0.7902282716926351</v>
      </c>
      <c r="G58" s="586">
        <v>2044.0495866008778</v>
      </c>
      <c r="H58" s="621">
        <v>11.329643484734888</v>
      </c>
      <c r="I58" s="598">
        <f t="shared" si="7"/>
        <v>9.4277968954800118E-2</v>
      </c>
      <c r="J58" s="592">
        <f t="shared" si="15"/>
        <v>180.41605539970865</v>
      </c>
      <c r="K58" s="598">
        <f>+C58/C57-1</f>
        <v>6.8546470544061044E-2</v>
      </c>
      <c r="L58" s="599">
        <v>1142.3566327230801</v>
      </c>
      <c r="M58" s="594">
        <v>412.32577451442012</v>
      </c>
      <c r="N58" s="588">
        <f t="shared" si="13"/>
        <v>0.26394199474570645</v>
      </c>
      <c r="O58" s="602">
        <v>1560.654</v>
      </c>
      <c r="P58" s="594">
        <f t="shared" si="5"/>
        <v>8.6587820000000004</v>
      </c>
      <c r="Q58" s="604">
        <f t="shared" si="8"/>
        <v>9.4277968954800118E-2</v>
      </c>
      <c r="R58" s="604"/>
    </row>
    <row r="59" spans="1:18">
      <c r="A59" s="580">
        <v>202308</v>
      </c>
      <c r="B59" s="580" t="s">
        <v>292</v>
      </c>
      <c r="C59" s="586">
        <v>1544.6029106587598</v>
      </c>
      <c r="D59" s="587">
        <v>760.05499999999995</v>
      </c>
      <c r="E59" s="586">
        <v>928.21100000000001</v>
      </c>
      <c r="F59" s="588">
        <f t="shared" si="14"/>
        <v>0.81883860458451785</v>
      </c>
      <c r="G59" s="586">
        <v>2032.225181939149</v>
      </c>
      <c r="H59" s="621">
        <v>11.260637717007322</v>
      </c>
      <c r="I59" s="598">
        <f t="shared" si="7"/>
        <v>-5.7847934508242771E-3</v>
      </c>
      <c r="J59" s="592">
        <f t="shared" si="15"/>
        <v>180.47158899977845</v>
      </c>
      <c r="K59" s="598">
        <f>+C59/C58-1</f>
        <v>-1.1253725747771726E-2</v>
      </c>
      <c r="L59" s="599">
        <v>1127.6721132713401</v>
      </c>
      <c r="M59" s="594">
        <v>416.93079738741972</v>
      </c>
      <c r="N59" s="588">
        <f t="shared" si="13"/>
        <v>0.26992749690572726</v>
      </c>
      <c r="O59" s="602">
        <v>1550.8026242074802</v>
      </c>
      <c r="P59" s="594">
        <f t="shared" si="5"/>
        <v>8.5587040000000005</v>
      </c>
      <c r="Q59" s="604">
        <f t="shared" si="8"/>
        <v>-5.7847934508242771E-3</v>
      </c>
      <c r="R59" s="604"/>
    </row>
    <row r="60" spans="1:18">
      <c r="A60" s="580">
        <v>202309</v>
      </c>
      <c r="B60" s="580" t="s">
        <v>293</v>
      </c>
      <c r="C60" s="586">
        <v>1395.4113484828802</v>
      </c>
      <c r="D60" s="587">
        <v>724.75599999999997</v>
      </c>
      <c r="E60" s="586">
        <v>918.89</v>
      </c>
      <c r="F60" s="588">
        <f t="shared" si="14"/>
        <v>0.78872988061683114</v>
      </c>
      <c r="G60" s="586">
        <v>1925.3532892213107</v>
      </c>
      <c r="H60" s="621">
        <v>11.230265082317359</v>
      </c>
      <c r="I60" s="598">
        <f t="shared" si="7"/>
        <v>-5.258860763444595E-2</v>
      </c>
      <c r="J60" s="592">
        <f t="shared" si="15"/>
        <v>171.4432629246553</v>
      </c>
      <c r="K60" s="598">
        <f t="shared" si="2"/>
        <v>-9.6588942793232713E-2</v>
      </c>
      <c r="L60" s="599">
        <v>1031.7262504754499</v>
      </c>
      <c r="M60" s="594">
        <v>363.68509800743027</v>
      </c>
      <c r="N60" s="588">
        <f t="shared" si="13"/>
        <v>0.2606293107783853</v>
      </c>
      <c r="O60" s="602">
        <v>1370.8053521282563</v>
      </c>
      <c r="P60" s="594">
        <f t="shared" si="5"/>
        <v>8.1392019999999992</v>
      </c>
      <c r="Q60" s="604">
        <f t="shared" si="8"/>
        <v>-5.258860763444595E-2</v>
      </c>
      <c r="R60" s="604"/>
    </row>
    <row r="61" spans="1:18">
      <c r="A61" s="580">
        <v>202310</v>
      </c>
      <c r="B61" s="580" t="s">
        <v>294</v>
      </c>
      <c r="C61" s="586">
        <v>1434.9352712587197</v>
      </c>
      <c r="D61" s="587">
        <v>714.21027614876834</v>
      </c>
      <c r="E61" s="586">
        <v>857.38300000000004</v>
      </c>
      <c r="F61" s="588">
        <f t="shared" si="14"/>
        <v>0.83301193999504108</v>
      </c>
      <c r="G61" s="586">
        <v>2009.121569905592</v>
      </c>
      <c r="H61" s="621">
        <v>11.50771650254009</v>
      </c>
      <c r="I61" s="598">
        <f t="shared" si="7"/>
        <v>4.3508005077946166E-2</v>
      </c>
      <c r="J61" s="592">
        <f t="shared" si="15"/>
        <v>174.58907416272552</v>
      </c>
      <c r="K61" s="598">
        <f t="shared" si="2"/>
        <v>2.8324209071977746E-2</v>
      </c>
      <c r="L61" s="599">
        <v>1028.3606155229199</v>
      </c>
      <c r="M61" s="594">
        <v>365.93042265868962</v>
      </c>
      <c r="N61" s="588">
        <f t="shared" si="13"/>
        <v>0.25501528186542999</v>
      </c>
      <c r="O61" s="602">
        <v>1485.0380526548311</v>
      </c>
      <c r="P61" s="594">
        <f t="shared" si="5"/>
        <v>8.2189293811208959</v>
      </c>
      <c r="Q61" s="604">
        <f t="shared" si="8"/>
        <v>4.3508005077946166E-2</v>
      </c>
      <c r="R61" s="604"/>
    </row>
    <row r="62" spans="1:18">
      <c r="A62" s="580">
        <v>202311</v>
      </c>
      <c r="B62" s="580" t="s">
        <v>295</v>
      </c>
      <c r="C62" s="586">
        <v>1370.9331727922702</v>
      </c>
      <c r="D62" s="587">
        <v>676.81</v>
      </c>
      <c r="E62" s="586">
        <v>785.04499999999996</v>
      </c>
      <c r="F62" s="588">
        <v>0.86212892254584128</v>
      </c>
      <c r="G62" s="586">
        <v>2025.5805511033675</v>
      </c>
      <c r="H62" s="621">
        <v>11.478073271077228</v>
      </c>
      <c r="I62" s="598">
        <f t="shared" si="7"/>
        <v>8.1921280644798866E-3</v>
      </c>
      <c r="J62" s="592">
        <v>176.47391711703762</v>
      </c>
      <c r="K62" s="598">
        <f t="shared" si="2"/>
        <v>-4.4602777385426728E-2</v>
      </c>
      <c r="L62" s="599">
        <v>911.78722364574003</v>
      </c>
      <c r="M62" s="594">
        <v>346.38065613724007</v>
      </c>
      <c r="N62" s="588">
        <f t="shared" si="13"/>
        <v>0.25266049652277628</v>
      </c>
      <c r="O62" s="602">
        <v>1366.2714880311898</v>
      </c>
      <c r="P62" s="594">
        <f t="shared" si="5"/>
        <v>7.7684747705977779</v>
      </c>
      <c r="Q62" s="604">
        <f t="shared" si="8"/>
        <v>8.1921280644798866E-3</v>
      </c>
      <c r="R62" s="604"/>
    </row>
    <row r="63" spans="1:18">
      <c r="A63" s="580">
        <v>202312</v>
      </c>
      <c r="B63" s="580" t="s">
        <v>296</v>
      </c>
      <c r="C63" s="586">
        <v>1445.98911370769</v>
      </c>
      <c r="D63" s="587">
        <v>667.78737280375651</v>
      </c>
      <c r="E63" s="586">
        <v>779.57299999999998</v>
      </c>
      <c r="F63" s="588">
        <v>0.85660659464060007</v>
      </c>
      <c r="G63" s="586">
        <v>2165.3435997697798</v>
      </c>
      <c r="H63" s="621">
        <v>12.072411880952926</v>
      </c>
      <c r="I63" s="598">
        <f t="shared" si="7"/>
        <v>6.8999008007991192E-2</v>
      </c>
      <c r="J63" s="592">
        <v>179.36296583668749</v>
      </c>
      <c r="K63" s="598">
        <f t="shared" si="2"/>
        <v>5.4748066794932493E-2</v>
      </c>
      <c r="L63" s="599">
        <v>1103.9128435017401</v>
      </c>
      <c r="M63" s="621">
        <v>342.07627020594987</v>
      </c>
      <c r="N63" s="588">
        <f t="shared" si="13"/>
        <v>0.23656904949223662</v>
      </c>
      <c r="O63" s="586">
        <v>1358.3410281476799</v>
      </c>
      <c r="P63" s="594">
        <f t="shared" si="5"/>
        <v>8.0618042133864112</v>
      </c>
      <c r="Q63" s="604">
        <f t="shared" si="8"/>
        <v>6.8999008007991192E-2</v>
      </c>
      <c r="R63" s="604"/>
    </row>
    <row r="64" spans="1:18">
      <c r="A64" s="584">
        <v>202401</v>
      </c>
      <c r="B64" s="580" t="s">
        <v>284</v>
      </c>
      <c r="C64" s="586">
        <v>1287.61286451606</v>
      </c>
      <c r="D64" s="587">
        <v>648.81399999999996</v>
      </c>
      <c r="E64" s="586">
        <v>772.05499999999995</v>
      </c>
      <c r="F64" s="588">
        <v>0.84037277136991539</v>
      </c>
      <c r="G64" s="586">
        <v>1984.5639343726552</v>
      </c>
      <c r="H64" s="621">
        <v>11.569776546128782</v>
      </c>
      <c r="I64" s="598">
        <f t="shared" si="7"/>
        <v>-8.3487750127206217E-2</v>
      </c>
      <c r="J64" s="592">
        <v>171.53001412431647</v>
      </c>
      <c r="K64" s="598">
        <f t="shared" si="2"/>
        <v>-0.10952796787351615</v>
      </c>
      <c r="L64" s="599">
        <v>957.81344756580995</v>
      </c>
      <c r="M64" s="594">
        <v>329.50721018061995</v>
      </c>
      <c r="N64" s="588">
        <f t="shared" si="13"/>
        <v>0.25590549711109234</v>
      </c>
      <c r="O64" s="602">
        <v>1364.0350000000001</v>
      </c>
      <c r="P64" s="594">
        <f t="shared" si="5"/>
        <v>7.506632999999999</v>
      </c>
      <c r="Q64" s="604">
        <f t="shared" si="8"/>
        <v>-8.3487750127206217E-2</v>
      </c>
      <c r="R64" s="604"/>
    </row>
    <row r="65" spans="1:18">
      <c r="A65" s="580">
        <v>202402</v>
      </c>
      <c r="B65" s="580" t="s">
        <v>285</v>
      </c>
      <c r="C65" s="586">
        <v>1280.64217385661</v>
      </c>
      <c r="D65" s="587">
        <v>647.43100000000004</v>
      </c>
      <c r="E65" s="586">
        <v>773.20600000000002</v>
      </c>
      <c r="F65" s="588">
        <v>0.83733312985155317</v>
      </c>
      <c r="G65" s="586">
        <v>1978.0365380351107</v>
      </c>
      <c r="H65" s="621">
        <v>11.596732315876132</v>
      </c>
      <c r="I65" s="598">
        <f t="shared" si="7"/>
        <v>-3.2890834225545174E-3</v>
      </c>
      <c r="J65" s="592">
        <v>170.56843981188939</v>
      </c>
      <c r="K65" s="598">
        <f t="shared" si="2"/>
        <v>-5.4136540970874947E-3</v>
      </c>
      <c r="L65" s="599">
        <v>947.79184108475999</v>
      </c>
      <c r="M65" s="621">
        <v>332.85033277184982</v>
      </c>
      <c r="N65" s="588">
        <f t="shared" si="13"/>
        <v>0.25990892660475368</v>
      </c>
      <c r="O65" s="586">
        <v>1274.0920199489401</v>
      </c>
      <c r="P65" s="594">
        <f t="shared" si="5"/>
        <v>7.5080840000000011</v>
      </c>
      <c r="Q65" s="604">
        <f t="shared" si="8"/>
        <v>-3.2890834225545174E-3</v>
      </c>
      <c r="R65" s="604"/>
    </row>
    <row r="66" spans="1:18">
      <c r="A66" s="580">
        <v>202403</v>
      </c>
      <c r="B66" s="580" t="s">
        <v>286</v>
      </c>
      <c r="C66" s="586">
        <v>1344.8030844800301</v>
      </c>
      <c r="D66" s="587">
        <v>653.10299999999995</v>
      </c>
      <c r="E66" s="586">
        <v>775.09799999999996</v>
      </c>
      <c r="F66" s="588">
        <v>0.84260699937298245</v>
      </c>
      <c r="G66" s="586">
        <v>2059.0980051845272</v>
      </c>
      <c r="H66" s="621">
        <v>12.323876938247107</v>
      </c>
      <c r="I66" s="598">
        <f t="shared" si="7"/>
        <v>4.0980773403680004E-2</v>
      </c>
      <c r="J66" s="592">
        <v>167.08199988545195</v>
      </c>
      <c r="K66" s="598">
        <f t="shared" si="2"/>
        <v>5.0100576049437517E-2</v>
      </c>
      <c r="L66" s="627">
        <v>993.23358964270005</v>
      </c>
      <c r="M66" s="587">
        <v>351.56949483733001</v>
      </c>
      <c r="N66" s="588">
        <f t="shared" si="13"/>
        <v>0.2614282335419128</v>
      </c>
      <c r="O66" s="586">
        <v>1211.7360000000001</v>
      </c>
      <c r="P66" s="594">
        <f t="shared" si="5"/>
        <v>8.0487609999999989</v>
      </c>
      <c r="Q66" s="604">
        <f t="shared" si="8"/>
        <v>4.0980773403680004E-2</v>
      </c>
      <c r="R66" s="604"/>
    </row>
    <row r="67" spans="1:18">
      <c r="A67" s="580">
        <v>202404</v>
      </c>
      <c r="B67" s="580" t="s">
        <v>288</v>
      </c>
      <c r="C67" s="586">
        <v>1320.14579008181</v>
      </c>
      <c r="D67" s="586">
        <v>656.05600000000004</v>
      </c>
      <c r="E67" s="589">
        <v>783.00699999999995</v>
      </c>
      <c r="F67" s="588">
        <v>0.83786734984489297</v>
      </c>
      <c r="G67" s="589">
        <v>2012.24558586738</v>
      </c>
      <c r="H67" s="590">
        <v>12.029552355286743</v>
      </c>
      <c r="I67" s="598">
        <f t="shared" si="7"/>
        <v>-2.2753855911267551E-2</v>
      </c>
      <c r="J67" s="589">
        <v>167.27518418281284</v>
      </c>
      <c r="K67" s="598">
        <f t="shared" si="2"/>
        <v>-1.8335245273291334E-2</v>
      </c>
      <c r="L67" s="592">
        <v>956.88190574067005</v>
      </c>
      <c r="M67" s="592">
        <v>363.26388434113994</v>
      </c>
      <c r="N67" s="588">
        <v>0.27516952072288042</v>
      </c>
      <c r="O67" s="589">
        <v>1460.96808664335</v>
      </c>
      <c r="P67" s="594">
        <f t="shared" si="5"/>
        <v>7.8920599999999999</v>
      </c>
      <c r="Q67" s="604">
        <f t="shared" si="8"/>
        <v>-2.2753855911267551E-2</v>
      </c>
      <c r="R67" s="604"/>
    </row>
    <row r="68" spans="1:18">
      <c r="A68" s="580">
        <v>202405</v>
      </c>
      <c r="B68" s="580" t="s">
        <v>289</v>
      </c>
      <c r="C68" s="586">
        <v>1408.8629749464201</v>
      </c>
      <c r="D68" s="586">
        <v>662.875</v>
      </c>
      <c r="E68" s="589">
        <v>782.971</v>
      </c>
      <c r="F68" s="588">
        <v>0.84661500872956985</v>
      </c>
      <c r="G68" s="589">
        <v>2125.382575819604</v>
      </c>
      <c r="H68" s="590">
        <v>12.587127286441637</v>
      </c>
      <c r="I68" s="598">
        <f t="shared" si="7"/>
        <v>5.6224245562678687E-2</v>
      </c>
      <c r="J68" s="589">
        <v>168.85366513366264</v>
      </c>
      <c r="K68" s="598">
        <f t="shared" si="2"/>
        <v>6.7202566209836778E-2</v>
      </c>
      <c r="L68" s="592">
        <v>1036.58336880607</v>
      </c>
      <c r="M68" s="592">
        <v>372.2796061403501</v>
      </c>
      <c r="N68" s="588">
        <v>0.26424117374119233</v>
      </c>
      <c r="O68" s="589">
        <v>1409</v>
      </c>
      <c r="P68" s="594">
        <f t="shared" si="5"/>
        <v>8.3436920000000008</v>
      </c>
      <c r="Q68" s="604">
        <f t="shared" si="8"/>
        <v>5.6224245562678687E-2</v>
      </c>
      <c r="R68" s="604"/>
    </row>
    <row r="69" spans="1:18">
      <c r="A69" s="580">
        <v>202406</v>
      </c>
      <c r="B69" s="580" t="s">
        <v>290</v>
      </c>
      <c r="C69" s="586">
        <v>1337.22451823702</v>
      </c>
      <c r="D69" s="586">
        <v>661.74199999999996</v>
      </c>
      <c r="E69" s="589">
        <v>783.48</v>
      </c>
      <c r="F69" s="588">
        <v>0.84461887986930095</v>
      </c>
      <c r="G69" s="589">
        <v>2020.7641622218628</v>
      </c>
      <c r="H69" s="590">
        <v>12.078802614916388</v>
      </c>
      <c r="I69" s="598">
        <f t="shared" si="7"/>
        <v>-4.9223332678069776E-2</v>
      </c>
      <c r="J69" s="589">
        <v>167.29838433872371</v>
      </c>
      <c r="K69" s="598">
        <f t="shared" ref="K69:K87" si="16">+C69/C68-1</f>
        <v>-5.0848420310090514E-2</v>
      </c>
      <c r="L69" s="592">
        <v>981.79890848719003</v>
      </c>
      <c r="M69" s="592">
        <v>355.42560974982996</v>
      </c>
      <c r="N69" s="588">
        <v>0.26579351851730826</v>
      </c>
      <c r="O69" s="589">
        <v>1245.8539607270416</v>
      </c>
      <c r="P69" s="594">
        <f t="shared" ref="P69:P81" si="17">+D69*H69/1000</f>
        <v>7.9930509999999995</v>
      </c>
      <c r="Q69" s="604">
        <f t="shared" si="8"/>
        <v>-4.9223332678069776E-2</v>
      </c>
      <c r="R69" s="604"/>
    </row>
    <row r="70" spans="1:18">
      <c r="A70" s="580">
        <v>202407</v>
      </c>
      <c r="B70" s="580" t="s">
        <v>291</v>
      </c>
      <c r="C70" s="586">
        <v>1473.0445634218599</v>
      </c>
      <c r="D70" s="586">
        <v>668.45299999999997</v>
      </c>
      <c r="E70" s="589">
        <v>785.58</v>
      </c>
      <c r="F70" s="588">
        <v>0.85090379082970535</v>
      </c>
      <c r="G70" s="589">
        <v>2203.6621324488933</v>
      </c>
      <c r="H70" s="590">
        <v>12.293331019533161</v>
      </c>
      <c r="I70" s="598">
        <f t="shared" ref="I70:I89" si="18">+G70/G69-1</f>
        <v>9.0509310114611052E-2</v>
      </c>
      <c r="J70" s="589">
        <v>179.25671479499275</v>
      </c>
      <c r="K70" s="598">
        <f t="shared" si="16"/>
        <v>0.10156861718621757</v>
      </c>
      <c r="L70" s="592">
        <v>1074.4454000000001</v>
      </c>
      <c r="M70" s="592">
        <v>398.59916342185988</v>
      </c>
      <c r="N70" s="588">
        <v>0.27059545469277596</v>
      </c>
      <c r="O70" s="589">
        <v>1552.0832515300999</v>
      </c>
      <c r="P70" s="594">
        <f t="shared" si="17"/>
        <v>8.2175139999999995</v>
      </c>
      <c r="Q70" s="604">
        <f t="shared" ref="Q70:Q91" si="19">+G70/G69-1</f>
        <v>9.0509310114611052E-2</v>
      </c>
      <c r="R70" s="604"/>
    </row>
    <row r="71" spans="1:18">
      <c r="A71" s="580">
        <v>202408</v>
      </c>
      <c r="B71" s="580" t="s">
        <v>292</v>
      </c>
      <c r="C71" s="586">
        <v>1401.1501738196398</v>
      </c>
      <c r="D71" s="587">
        <v>672.649</v>
      </c>
      <c r="E71" s="586">
        <v>783.46299999999997</v>
      </c>
      <c r="F71" s="588">
        <v>0.85855873219284129</v>
      </c>
      <c r="G71" s="586">
        <v>2083.0331626444695</v>
      </c>
      <c r="H71" s="621">
        <v>12.2085218293642</v>
      </c>
      <c r="I71" s="598">
        <f t="shared" si="18"/>
        <v>-5.4740229016129072E-2</v>
      </c>
      <c r="J71" s="592">
        <v>170.6212424205454</v>
      </c>
      <c r="K71" s="598">
        <v>-4.880666300767611E-2</v>
      </c>
      <c r="L71" s="627">
        <v>1010.15169313771</v>
      </c>
      <c r="M71" s="603">
        <v>390.99848068192978</v>
      </c>
      <c r="N71" s="588">
        <v>0.27905537035765321</v>
      </c>
      <c r="O71" s="602">
        <v>1314.26526382525</v>
      </c>
      <c r="P71" s="594">
        <f t="shared" si="17"/>
        <v>8.2120499999999996</v>
      </c>
      <c r="Q71" s="604">
        <f t="shared" si="19"/>
        <v>-5.4740229016129072E-2</v>
      </c>
      <c r="R71" s="604"/>
    </row>
    <row r="72" spans="1:18">
      <c r="A72" s="580">
        <v>202409</v>
      </c>
      <c r="B72" s="580" t="s">
        <v>298</v>
      </c>
      <c r="C72" s="586">
        <v>1339.3905780891603</v>
      </c>
      <c r="D72" s="586">
        <v>674.70699999999999</v>
      </c>
      <c r="E72" s="589">
        <v>789.24699999999996</v>
      </c>
      <c r="F72" s="588">
        <v>0.85487432958250087</v>
      </c>
      <c r="G72" s="589">
        <v>1985.1440374698354</v>
      </c>
      <c r="H72" s="590">
        <v>11.768484690391533</v>
      </c>
      <c r="I72" s="598">
        <f t="shared" si="18"/>
        <v>-4.6993551005381495E-2</v>
      </c>
      <c r="J72" s="589">
        <v>168.68306240739906</v>
      </c>
      <c r="K72" s="598">
        <f t="shared" si="16"/>
        <v>-4.4077784726042846E-2</v>
      </c>
      <c r="L72" s="592">
        <v>973.82907664826996</v>
      </c>
      <c r="M72" s="592">
        <v>365.56150144089031</v>
      </c>
      <c r="N72" s="588">
        <v>0.27293121769037537</v>
      </c>
      <c r="O72" s="589">
        <v>1418.0550000000001</v>
      </c>
      <c r="P72" s="594">
        <f t="shared" si="17"/>
        <v>7.9402790000000003</v>
      </c>
      <c r="Q72" s="604">
        <f t="shared" si="19"/>
        <v>-4.6993551005381495E-2</v>
      </c>
      <c r="R72" s="604"/>
    </row>
    <row r="73" spans="1:18">
      <c r="A73" s="580">
        <v>202410</v>
      </c>
      <c r="B73" s="580" t="s">
        <v>294</v>
      </c>
      <c r="C73" s="586">
        <v>1416.7848277353598</v>
      </c>
      <c r="D73" s="586">
        <v>685.60199999999998</v>
      </c>
      <c r="E73" s="589">
        <v>799.9</v>
      </c>
      <c r="F73" s="588">
        <v>0.85710963870483814</v>
      </c>
      <c r="G73" s="589">
        <v>2066.4829270267005</v>
      </c>
      <c r="H73" s="590">
        <v>12.254208710009598</v>
      </c>
      <c r="I73" s="598">
        <f t="shared" si="18"/>
        <v>4.0973797377713561E-2</v>
      </c>
      <c r="J73" s="589">
        <v>168.63454637742024</v>
      </c>
      <c r="K73" s="598">
        <f t="shared" si="16"/>
        <v>5.7783182077190576E-2</v>
      </c>
      <c r="L73" s="592">
        <v>1040.3252113738999</v>
      </c>
      <c r="M73" s="592">
        <v>376.45961636145989</v>
      </c>
      <c r="N73" s="588">
        <v>0.26571403715778535</v>
      </c>
      <c r="O73" s="589">
        <v>1424.222577223949</v>
      </c>
      <c r="P73" s="594">
        <f t="shared" si="17"/>
        <v>8.40151</v>
      </c>
      <c r="Q73" s="604">
        <f t="shared" si="19"/>
        <v>4.0973797377713561E-2</v>
      </c>
      <c r="R73" s="604"/>
    </row>
    <row r="74" spans="1:18">
      <c r="A74" s="580">
        <v>202411</v>
      </c>
      <c r="B74" s="580" t="s">
        <v>295</v>
      </c>
      <c r="C74" s="586">
        <v>1433.8544764585697</v>
      </c>
      <c r="D74" s="586">
        <v>679.86</v>
      </c>
      <c r="E74" s="586">
        <v>807.81100000000004</v>
      </c>
      <c r="F74" s="588">
        <v>0.8416077523083989</v>
      </c>
      <c r="G74" s="586">
        <v>2109.0437390912389</v>
      </c>
      <c r="H74" s="621">
        <v>12.121916276880535</v>
      </c>
      <c r="I74" s="598">
        <f t="shared" si="18"/>
        <v>2.0595772415006541E-2</v>
      </c>
      <c r="J74" s="589">
        <v>173.98600113364105</v>
      </c>
      <c r="K74" s="598">
        <f t="shared" si="16"/>
        <v>1.2048158894032435E-2</v>
      </c>
      <c r="L74" s="627">
        <v>1062.7652137431401</v>
      </c>
      <c r="M74" s="603">
        <v>371.08926271542964</v>
      </c>
      <c r="N74" s="588">
        <v>0.25880538702363359</v>
      </c>
      <c r="O74" s="602">
        <v>1348.9536733352199</v>
      </c>
      <c r="P74" s="594">
        <f t="shared" si="17"/>
        <v>8.241206</v>
      </c>
      <c r="Q74" s="604">
        <f t="shared" si="19"/>
        <v>2.0595772415006541E-2</v>
      </c>
      <c r="R74" s="604"/>
    </row>
    <row r="75" spans="1:18">
      <c r="A75" s="580">
        <v>202412</v>
      </c>
      <c r="B75" s="580" t="s">
        <v>296</v>
      </c>
      <c r="C75" s="586">
        <v>1532.7116784100899</v>
      </c>
      <c r="D75" s="586">
        <v>686.29100000000005</v>
      </c>
      <c r="E75" s="586">
        <v>808.80899999999997</v>
      </c>
      <c r="F75" s="588">
        <v>0.84852047887696613</v>
      </c>
      <c r="G75" s="586">
        <v>2233.326210616327</v>
      </c>
      <c r="H75" s="621">
        <v>12.981979947281838</v>
      </c>
      <c r="I75" s="598">
        <f t="shared" si="18"/>
        <v>5.8928351850417338E-2</v>
      </c>
      <c r="J75" s="589">
        <v>172.03278850264593</v>
      </c>
      <c r="K75" s="598">
        <f t="shared" si="16"/>
        <v>6.8945073279461644E-2</v>
      </c>
      <c r="L75" s="627">
        <v>1167.29269772413</v>
      </c>
      <c r="M75" s="603">
        <v>365.41898068595992</v>
      </c>
      <c r="N75" s="588">
        <v>0.23841338578760995</v>
      </c>
      <c r="O75" s="602">
        <v>1562.8269039783099</v>
      </c>
      <c r="P75" s="594">
        <f t="shared" si="17"/>
        <v>8.9094160000000002</v>
      </c>
      <c r="Q75" s="604">
        <f t="shared" si="19"/>
        <v>5.8928351850417338E-2</v>
      </c>
      <c r="R75" s="604"/>
    </row>
    <row r="76" spans="1:18">
      <c r="A76" s="584">
        <v>202501</v>
      </c>
      <c r="B76" s="580" t="s">
        <v>284</v>
      </c>
      <c r="C76" s="628">
        <v>1385</v>
      </c>
      <c r="D76" s="629">
        <v>684</v>
      </c>
      <c r="E76" s="630">
        <v>812</v>
      </c>
      <c r="F76" s="600">
        <v>0.84199999999999997</v>
      </c>
      <c r="G76" s="628">
        <v>2025</v>
      </c>
      <c r="H76" s="631">
        <v>12</v>
      </c>
      <c r="I76" s="598">
        <f t="shared" si="18"/>
        <v>-9.328069031117292E-2</v>
      </c>
      <c r="J76" s="629">
        <v>168</v>
      </c>
      <c r="K76" s="598">
        <f>+C76/C75-1</f>
        <v>-9.6372775448095971E-2</v>
      </c>
      <c r="L76" s="630">
        <v>1030.21</v>
      </c>
      <c r="M76" s="630">
        <v>354.4</v>
      </c>
      <c r="N76" s="632">
        <v>0.25600000000000001</v>
      </c>
      <c r="O76" s="628">
        <v>1438</v>
      </c>
      <c r="P76" s="594">
        <f t="shared" si="17"/>
        <v>8.2080000000000002</v>
      </c>
      <c r="Q76" s="604">
        <f t="shared" si="19"/>
        <v>-9.328069031117292E-2</v>
      </c>
      <c r="R76" s="604"/>
    </row>
    <row r="77" spans="1:18">
      <c r="A77" s="580">
        <v>202502</v>
      </c>
      <c r="B77" s="580" t="s">
        <v>285</v>
      </c>
      <c r="C77" s="628">
        <v>1355.05227133481</v>
      </c>
      <c r="D77" s="628">
        <v>681.7521282054264</v>
      </c>
      <c r="E77" s="630">
        <v>815.92900000000009</v>
      </c>
      <c r="F77" s="600">
        <v>0.83555325059585617</v>
      </c>
      <c r="G77" s="628">
        <v>1987.6025541742115</v>
      </c>
      <c r="H77" s="631">
        <v>11.993625780126541</v>
      </c>
      <c r="I77" s="598">
        <f t="shared" si="18"/>
        <v>-1.8467874481870816E-2</v>
      </c>
      <c r="J77" s="628">
        <v>165.72157499425006</v>
      </c>
      <c r="K77" s="598">
        <f t="shared" si="16"/>
        <v>-2.1622908783530681E-2</v>
      </c>
      <c r="L77" s="630">
        <v>1167.29269772413</v>
      </c>
      <c r="M77" s="630">
        <v>187.75957361068004</v>
      </c>
      <c r="N77" s="632">
        <v>0.13856260572570037</v>
      </c>
      <c r="O77" s="628">
        <v>1336.2705288938439</v>
      </c>
      <c r="P77" s="594">
        <f t="shared" si="17"/>
        <v>8.1766799005007371</v>
      </c>
      <c r="Q77" s="604">
        <f t="shared" si="19"/>
        <v>-1.8467874481870816E-2</v>
      </c>
      <c r="R77" s="604"/>
    </row>
    <row r="78" spans="1:18">
      <c r="A78" s="580">
        <v>202503</v>
      </c>
      <c r="B78" s="580" t="s">
        <v>286</v>
      </c>
      <c r="C78" s="586">
        <v>1482.6421904248105</v>
      </c>
      <c r="D78" s="587">
        <v>693.88499999999999</v>
      </c>
      <c r="E78" s="587">
        <v>815.45899999999995</v>
      </c>
      <c r="F78" s="588">
        <v>0.85091341195572068</v>
      </c>
      <c r="G78" s="586">
        <v>2136.7261007584984</v>
      </c>
      <c r="H78" s="621">
        <v>12.752314864855128</v>
      </c>
      <c r="I78" s="598">
        <f t="shared" si="18"/>
        <v>7.5026843908561514E-2</v>
      </c>
      <c r="J78" s="592">
        <v>167.55593971783355</v>
      </c>
      <c r="K78" s="598">
        <f t="shared" si="16"/>
        <v>9.4158669587200761E-2</v>
      </c>
      <c r="L78" s="627">
        <v>1167.29269772413</v>
      </c>
      <c r="M78" s="603">
        <v>315.34949270068046</v>
      </c>
      <c r="N78" s="597">
        <v>0.2126942661805177</v>
      </c>
      <c r="O78" s="602">
        <v>1488.7662322673107</v>
      </c>
      <c r="P78" s="594">
        <f t="shared" si="17"/>
        <v>8.8486400000000014</v>
      </c>
      <c r="Q78" s="604">
        <f t="shared" si="19"/>
        <v>7.5026843908561514E-2</v>
      </c>
      <c r="R78" s="604"/>
    </row>
    <row r="79" spans="1:18">
      <c r="A79" s="580">
        <v>202504</v>
      </c>
      <c r="B79" s="580" t="s">
        <v>288</v>
      </c>
      <c r="C79" s="621">
        <v>1416.70833827771</v>
      </c>
      <c r="D79" s="586">
        <v>689.24800000000005</v>
      </c>
      <c r="E79" s="587">
        <v>816.01300000000003</v>
      </c>
      <c r="F79" s="588">
        <v>0.84465321018170059</v>
      </c>
      <c r="G79" s="586">
        <v>2055.4406226462897</v>
      </c>
      <c r="H79" s="621">
        <v>12.189877953944009</v>
      </c>
      <c r="I79" s="598">
        <f t="shared" si="18"/>
        <v>-3.8042067293208026E-2</v>
      </c>
      <c r="J79" s="592">
        <v>168.61863838277858</v>
      </c>
      <c r="K79" s="598">
        <f t="shared" si="16"/>
        <v>-4.4470508510356721E-2</v>
      </c>
      <c r="L79" s="592">
        <v>1167.29269772413</v>
      </c>
      <c r="M79" s="592">
        <v>249.41564055358003</v>
      </c>
      <c r="N79" s="597">
        <v>0.17605292057276534</v>
      </c>
      <c r="O79" s="602">
        <v>1413.3614277322699</v>
      </c>
      <c r="P79" s="594">
        <f t="shared" si="17"/>
        <v>8.4018490000000003</v>
      </c>
      <c r="Q79" s="604">
        <f t="shared" si="19"/>
        <v>-3.8042067293208026E-2</v>
      </c>
      <c r="R79" s="604"/>
    </row>
    <row r="80" spans="1:18">
      <c r="A80" s="580">
        <v>202505</v>
      </c>
      <c r="B80" s="580" t="s">
        <v>289</v>
      </c>
      <c r="C80" s="621">
        <v>1484.1594018196502</v>
      </c>
      <c r="D80" s="586">
        <v>694.36199999999997</v>
      </c>
      <c r="E80" s="592">
        <v>817.45699999999999</v>
      </c>
      <c r="F80" s="588">
        <v>0.84941715588709865</v>
      </c>
      <c r="G80" s="586">
        <v>2137.443295888384</v>
      </c>
      <c r="H80" s="621">
        <v>12.672192602705794</v>
      </c>
      <c r="I80" s="598">
        <f t="shared" si="18"/>
        <v>3.9895423073092351E-2</v>
      </c>
      <c r="J80" s="595">
        <v>168.67193885863071</v>
      </c>
      <c r="K80" s="598">
        <f t="shared" si="16"/>
        <v>4.7611114948289401E-2</v>
      </c>
      <c r="L80" s="592">
        <v>1167.29269772413</v>
      </c>
      <c r="M80" s="592">
        <v>316.86670409552016</v>
      </c>
      <c r="N80" s="597">
        <v>0.21349910508738246</v>
      </c>
      <c r="O80" s="602">
        <v>1429.719231930774</v>
      </c>
      <c r="P80" s="594">
        <f t="shared" si="17"/>
        <v>8.7990890000000004</v>
      </c>
      <c r="Q80" s="604">
        <f t="shared" si="19"/>
        <v>3.9895423073092351E-2</v>
      </c>
      <c r="R80" s="604"/>
    </row>
    <row r="81" spans="1:20">
      <c r="A81" s="580">
        <v>202506</v>
      </c>
      <c r="B81" s="580" t="s">
        <v>290</v>
      </c>
      <c r="C81" s="621">
        <v>1397.7338296011399</v>
      </c>
      <c r="D81" s="586">
        <v>691.01432000000011</v>
      </c>
      <c r="E81" s="587">
        <v>817.06399999999996</v>
      </c>
      <c r="F81" s="588">
        <v>0.84572851086328626</v>
      </c>
      <c r="G81" s="586">
        <v>2022.7277339218376</v>
      </c>
      <c r="H81" s="621">
        <v>12.304846388711598</v>
      </c>
      <c r="I81" s="598">
        <f t="shared" si="18"/>
        <v>-5.3669522923585733E-2</v>
      </c>
      <c r="J81" s="595">
        <v>164.38463919204042</v>
      </c>
      <c r="K81" s="598">
        <f t="shared" si="16"/>
        <v>-5.8232001301577463E-2</v>
      </c>
      <c r="L81" s="592">
        <v>1167.29269772413</v>
      </c>
      <c r="M81" s="592">
        <v>230.44113187700987</v>
      </c>
      <c r="N81" s="597">
        <v>0.16486767866437704</v>
      </c>
      <c r="O81" s="602">
        <v>1437.4545328187937</v>
      </c>
      <c r="P81" s="594">
        <f t="shared" si="17"/>
        <v>8.502825060000001</v>
      </c>
      <c r="Q81" s="604">
        <f t="shared" si="19"/>
        <v>-5.3669522923585733E-2</v>
      </c>
      <c r="R81" s="604"/>
    </row>
    <row r="82" spans="1:20">
      <c r="A82" s="580">
        <v>202507</v>
      </c>
      <c r="B82" s="580" t="s">
        <v>291</v>
      </c>
      <c r="C82" s="633">
        <v>1542.1946433655003</v>
      </c>
      <c r="D82" s="634">
        <v>695.64599999999996</v>
      </c>
      <c r="E82" s="634">
        <v>818.32</v>
      </c>
      <c r="F82" s="588">
        <v>0.85009042917196198</v>
      </c>
      <c r="G82" s="635">
        <v>2216.9244750426228</v>
      </c>
      <c r="H82" s="636">
        <v>12.437817510630406</v>
      </c>
      <c r="I82" s="598">
        <f t="shared" si="18"/>
        <v>9.6007355742465661E-2</v>
      </c>
      <c r="J82" s="637">
        <v>178.24063370827338</v>
      </c>
      <c r="K82" s="598">
        <f t="shared" si="16"/>
        <v>0.10335359329864979</v>
      </c>
      <c r="L82" s="638">
        <v>1167.29269772413</v>
      </c>
      <c r="M82" s="639">
        <v>374.90194564137028</v>
      </c>
      <c r="N82" s="640">
        <v>0.24309638686283419</v>
      </c>
      <c r="O82" s="641">
        <v>1509.3599800608706</v>
      </c>
      <c r="P82" s="594">
        <v>8.6523179999999993</v>
      </c>
      <c r="Q82" s="604">
        <f t="shared" si="19"/>
        <v>9.6007355742465661E-2</v>
      </c>
      <c r="R82" s="604"/>
    </row>
    <row r="83" spans="1:20">
      <c r="A83" s="580">
        <v>202508</v>
      </c>
      <c r="B83" s="580" t="s">
        <v>292</v>
      </c>
      <c r="C83" s="621">
        <v>1508.50849863603</v>
      </c>
      <c r="D83" s="586">
        <v>701.75900000000001</v>
      </c>
      <c r="E83" s="589">
        <v>824.71600000000001</v>
      </c>
      <c r="F83" s="588">
        <v>0.850909888979964</v>
      </c>
      <c r="G83" s="589">
        <v>2149.6104768674577</v>
      </c>
      <c r="H83" s="590">
        <v>12.563838867759445</v>
      </c>
      <c r="I83" s="598">
        <f t="shared" si="18"/>
        <v>-3.0363685787659023E-2</v>
      </c>
      <c r="J83" s="589">
        <v>171.09503707371292</v>
      </c>
      <c r="K83" s="598">
        <f t="shared" si="16"/>
        <v>-2.1842991657627375E-2</v>
      </c>
      <c r="L83" s="589">
        <v>1077.2791205736301</v>
      </c>
      <c r="M83" s="589">
        <v>431.22937806239997</v>
      </c>
      <c r="N83" s="588">
        <v>0.28586473225196335</v>
      </c>
      <c r="O83" s="589">
        <v>1426.1542166348236</v>
      </c>
      <c r="P83" s="590">
        <v>8.8167869999999997</v>
      </c>
      <c r="Q83" s="604">
        <f t="shared" si="19"/>
        <v>-3.0363685787659023E-2</v>
      </c>
      <c r="R83" s="604"/>
    </row>
    <row r="84" spans="1:20">
      <c r="A84" s="580">
        <v>202509</v>
      </c>
      <c r="B84" s="580" t="s">
        <v>298</v>
      </c>
      <c r="C84" s="621">
        <v>1467.11635472902</v>
      </c>
      <c r="D84" s="586">
        <v>705.48699999999997</v>
      </c>
      <c r="E84" s="589">
        <v>830.60500000000002</v>
      </c>
      <c r="F84" s="588">
        <v>0.84936522173596352</v>
      </c>
      <c r="G84" s="589">
        <v>2079.5795737256963</v>
      </c>
      <c r="H84" s="590">
        <v>12.344105561123026</v>
      </c>
      <c r="I84" s="598">
        <f t="shared" si="18"/>
        <v>-3.2578415436369967E-2</v>
      </c>
      <c r="J84" s="589">
        <v>168.46741656805006</v>
      </c>
      <c r="K84" s="598">
        <f t="shared" si="16"/>
        <v>-2.743911880140959E-2</v>
      </c>
      <c r="L84" s="589">
        <v>1167.29269772413</v>
      </c>
      <c r="M84" s="589">
        <v>299.82365700489004</v>
      </c>
      <c r="N84" s="588">
        <v>0.20436256200024994</v>
      </c>
      <c r="O84" s="589">
        <v>1547.9045595207451</v>
      </c>
      <c r="P84" s="590">
        <v>8.7086059999999996</v>
      </c>
      <c r="Q84" s="604">
        <f t="shared" si="19"/>
        <v>-3.2578415436369967E-2</v>
      </c>
      <c r="R84" s="604"/>
    </row>
    <row r="85" spans="1:20">
      <c r="A85" s="580">
        <v>202510</v>
      </c>
      <c r="B85" s="580" t="s">
        <v>294</v>
      </c>
      <c r="C85" s="621">
        <v>1539.9886191874298</v>
      </c>
      <c r="D85" s="586">
        <v>712.92229799999996</v>
      </c>
      <c r="E85" s="589">
        <v>837.97699999999998</v>
      </c>
      <c r="F85" s="588">
        <v>0.85076594942343287</v>
      </c>
      <c r="G85" s="589">
        <v>2160.1072424128752</v>
      </c>
      <c r="H85" s="590">
        <v>12.964783155092171</v>
      </c>
      <c r="I85" s="598">
        <f t="shared" si="18"/>
        <v>3.872305234413731E-2</v>
      </c>
      <c r="J85" s="589">
        <v>166.61344941696547</v>
      </c>
      <c r="K85" s="598">
        <f t="shared" si="16"/>
        <v>4.9670405638596593E-2</v>
      </c>
      <c r="L85" s="589">
        <v>1167.29269772413</v>
      </c>
      <c r="M85" s="589">
        <v>372.69592146329978</v>
      </c>
      <c r="N85" s="588">
        <v>0.24201212711555728</v>
      </c>
      <c r="O85" s="589">
        <v>1532.1809758805828</v>
      </c>
      <c r="P85" s="590">
        <v>9.2428829999999991</v>
      </c>
      <c r="Q85" s="604">
        <f t="shared" si="19"/>
        <v>3.872305234413731E-2</v>
      </c>
      <c r="R85" s="604"/>
    </row>
    <row r="86" spans="1:20">
      <c r="A86" s="580">
        <v>202511</v>
      </c>
      <c r="B86" s="580" t="s">
        <v>295</v>
      </c>
      <c r="C86" s="621">
        <v>1612.6915744568701</v>
      </c>
      <c r="D86" s="586">
        <v>720.14700000000005</v>
      </c>
      <c r="E86" s="589">
        <v>838.94500000000005</v>
      </c>
      <c r="F86" s="588">
        <v>0.85692204077164358</v>
      </c>
      <c r="G86" s="589">
        <v>2239.3921997270972</v>
      </c>
      <c r="H86" s="590">
        <v>12.960631648816145</v>
      </c>
      <c r="I86" s="598">
        <f t="shared" si="18"/>
        <v>3.670417642119439E-2</v>
      </c>
      <c r="J86" s="589">
        <v>172.7841867901283</v>
      </c>
      <c r="K86" s="598">
        <f t="shared" si="16"/>
        <v>4.7210060102782947E-2</v>
      </c>
      <c r="L86" s="589">
        <v>1167.29269772413</v>
      </c>
      <c r="M86" s="589">
        <v>445.39887673274006</v>
      </c>
      <c r="N86" s="588">
        <v>0.27618354543877593</v>
      </c>
      <c r="O86" s="589">
        <v>1455.9732251992391</v>
      </c>
      <c r="P86" s="590">
        <v>9.3335600000000021</v>
      </c>
      <c r="Q86" s="604">
        <f t="shared" si="19"/>
        <v>3.670417642119439E-2</v>
      </c>
      <c r="R86" s="604"/>
    </row>
    <row r="87" spans="1:20">
      <c r="A87" s="580">
        <v>202512</v>
      </c>
      <c r="B87" s="580" t="s">
        <v>296</v>
      </c>
      <c r="C87" s="621">
        <v>1727.4374557278804</v>
      </c>
      <c r="D87" s="586">
        <v>726.73199999999997</v>
      </c>
      <c r="E87" s="589">
        <v>848.38800000000003</v>
      </c>
      <c r="F87" s="588">
        <v>0.85526558905044625</v>
      </c>
      <c r="G87" s="589">
        <v>2376.9937965135437</v>
      </c>
      <c r="H87" s="590">
        <v>13.477138752662604</v>
      </c>
      <c r="I87" s="598">
        <f t="shared" si="18"/>
        <v>6.1445956989229167E-2</v>
      </c>
      <c r="J87" s="589">
        <v>176.37228792676294</v>
      </c>
      <c r="K87" s="598">
        <f t="shared" si="16"/>
        <v>7.1151783198008633E-2</v>
      </c>
      <c r="L87" s="589">
        <v>1167.29269772413</v>
      </c>
      <c r="M87" s="589">
        <v>560.14475800375044</v>
      </c>
      <c r="N87" s="588">
        <v>0.32426340886983107</v>
      </c>
      <c r="O87" s="589">
        <v>1875.725969912492</v>
      </c>
      <c r="P87" s="590">
        <v>9.7942680000000006</v>
      </c>
      <c r="Q87" s="604">
        <f t="shared" si="19"/>
        <v>6.1445956989229167E-2</v>
      </c>
      <c r="R87" s="588"/>
      <c r="T87" s="615" t="e">
        <f>+AVERAGE(T23:T24)*0.4</f>
        <v>#DIV/0!</v>
      </c>
    </row>
    <row r="88" spans="1:20">
      <c r="A88" s="584">
        <v>202601</v>
      </c>
      <c r="B88" s="580" t="s">
        <v>284</v>
      </c>
      <c r="C88" s="633">
        <v>1586.1291847195901</v>
      </c>
      <c r="D88" s="634">
        <v>728.08900000000006</v>
      </c>
      <c r="E88" s="634">
        <v>856.1</v>
      </c>
      <c r="F88" s="640">
        <v>0.85047190748744306</v>
      </c>
      <c r="G88" s="635">
        <v>2178.4825546321808</v>
      </c>
      <c r="H88" s="636">
        <v>12.577646414105967</v>
      </c>
      <c r="I88" s="598">
        <f t="shared" si="18"/>
        <v>-8.351357171084306E-2</v>
      </c>
      <c r="J88" s="637">
        <v>173.20271876851214</v>
      </c>
      <c r="K88" s="598">
        <v>-8.1802250228937057E-2</v>
      </c>
      <c r="L88" s="638">
        <v>1167.29269772413</v>
      </c>
      <c r="M88" s="639">
        <v>418.83648699546006</v>
      </c>
      <c r="N88" s="640">
        <v>0.2640620266182831</v>
      </c>
      <c r="O88" s="641">
        <v>1525.6227071229307</v>
      </c>
      <c r="P88" s="594">
        <v>9.1576460000000015</v>
      </c>
      <c r="Q88" s="604">
        <f t="shared" si="19"/>
        <v>-8.351357171084306E-2</v>
      </c>
      <c r="R88" s="604"/>
      <c r="S88" s="642">
        <f>+C88/T4</f>
        <v>1.050579100910106</v>
      </c>
      <c r="T88" s="615"/>
    </row>
    <row r="89" spans="1:20">
      <c r="A89" s="580">
        <v>202602</v>
      </c>
      <c r="B89" s="580" t="s">
        <v>285</v>
      </c>
      <c r="C89" s="633">
        <v>1544.1560649422699</v>
      </c>
      <c r="D89" s="634">
        <v>735.822</v>
      </c>
      <c r="E89" s="634">
        <v>858.62800000000004</v>
      </c>
      <c r="F89" s="640">
        <f>+D89/E89</f>
        <v>0.85697414945704076</v>
      </c>
      <c r="G89" s="635">
        <f>+C89*1000/D89</f>
        <v>2098.545660420958</v>
      </c>
      <c r="H89" s="636">
        <v>11.965679199589031</v>
      </c>
      <c r="I89" s="598">
        <f t="shared" si="18"/>
        <v>-3.6693841794257387E-2</v>
      </c>
      <c r="J89" s="637">
        <f>+G89/H89</f>
        <v>175.38040469052805</v>
      </c>
      <c r="K89" s="598">
        <f>+C89/C88-1</f>
        <v>-2.6462611104870692E-2</v>
      </c>
      <c r="Q89" s="604">
        <f t="shared" si="19"/>
        <v>-3.6693841794257387E-2</v>
      </c>
      <c r="R89" s="580">
        <f>+C89/C77-1</f>
        <v>0.13955461173551709</v>
      </c>
      <c r="T89" s="615"/>
    </row>
    <row r="90" spans="1:20">
      <c r="A90" s="580">
        <v>202603</v>
      </c>
      <c r="B90" s="580" t="s">
        <v>286</v>
      </c>
      <c r="C90" s="633">
        <v>1735.5069503322698</v>
      </c>
      <c r="D90" s="634">
        <v>748.40800000000002</v>
      </c>
      <c r="E90" s="634">
        <v>867.91</v>
      </c>
      <c r="F90" s="640">
        <v>0.86231060824279016</v>
      </c>
      <c r="G90" s="635">
        <v>2318.9315858893406</v>
      </c>
      <c r="H90" s="636">
        <v>12.978495686844608</v>
      </c>
      <c r="I90" s="598">
        <v>0.10501840852210687</v>
      </c>
      <c r="J90" s="637">
        <v>178.67491285911348</v>
      </c>
      <c r="K90" s="598">
        <v>0.12391939502381422</v>
      </c>
      <c r="L90" s="638">
        <v>1167.29269772413</v>
      </c>
      <c r="M90" s="639">
        <v>568.21425260813976</v>
      </c>
      <c r="N90" s="640">
        <v>0.3274053454521475</v>
      </c>
      <c r="O90" s="641">
        <v>1803.663218896771</v>
      </c>
      <c r="P90" s="594">
        <v>9.7132099999999983</v>
      </c>
      <c r="Q90" s="604">
        <f t="shared" si="19"/>
        <v>0.10501840852210687</v>
      </c>
      <c r="R90" s="604"/>
      <c r="T90" s="615"/>
    </row>
    <row r="91" spans="1:20">
      <c r="A91" s="580">
        <v>202604</v>
      </c>
      <c r="B91" s="580" t="s">
        <v>288</v>
      </c>
      <c r="C91" s="633">
        <f>+Resumen!B5</f>
        <v>1715.3982895778897</v>
      </c>
      <c r="D91" s="634">
        <f>Resumen!$B$17</f>
        <v>754.64</v>
      </c>
      <c r="E91" s="634">
        <f>Resumen!$B$33</f>
        <v>878.92899999999997</v>
      </c>
      <c r="F91" s="640">
        <f>+Resumen!B36</f>
        <v>0.85859039808676241</v>
      </c>
      <c r="G91" s="635">
        <f>Resumen!$B$25</f>
        <v>2273.1345934192327</v>
      </c>
      <c r="H91" s="636">
        <f>Resumen!$B$39</f>
        <v>12.81311221244567</v>
      </c>
      <c r="I91" s="598">
        <f>+G91/G89-1</f>
        <v>8.3195203369200499E-2</v>
      </c>
      <c r="J91" s="637">
        <f>+G91/H91</f>
        <v>177.40690596709868</v>
      </c>
      <c r="K91" s="598">
        <f>+C91/C89-1</f>
        <v>0.11089696729716358</v>
      </c>
      <c r="L91" s="638">
        <f>+Resumen!B46</f>
        <v>1167.29269772413</v>
      </c>
      <c r="M91" s="639">
        <f>C91-L91</f>
        <v>548.10559185375973</v>
      </c>
      <c r="N91" s="640">
        <f>M91/C91</f>
        <v>0.31952089213557089</v>
      </c>
      <c r="O91" s="641">
        <f>+Resumen!$C$66</f>
        <v>1714.12560511489</v>
      </c>
      <c r="P91" s="594">
        <f>+D91*H91/1000</f>
        <v>9.6692870000000006</v>
      </c>
      <c r="Q91" s="604">
        <f t="shared" si="19"/>
        <v>-1.9749177918305882E-2</v>
      </c>
      <c r="R91" s="604"/>
      <c r="T91" s="615"/>
    </row>
    <row r="92" spans="1:20">
      <c r="A92" s="580">
        <v>202605</v>
      </c>
      <c r="B92" s="580" t="s">
        <v>289</v>
      </c>
      <c r="C92" s="633"/>
      <c r="D92" s="634"/>
      <c r="E92" s="634"/>
      <c r="F92" s="640"/>
      <c r="G92" s="635"/>
      <c r="H92" s="636"/>
      <c r="I92" s="588"/>
      <c r="J92" s="637"/>
      <c r="K92" s="588"/>
      <c r="L92" s="638"/>
      <c r="M92" s="639"/>
      <c r="N92" s="640"/>
      <c r="O92" s="641"/>
      <c r="P92" s="594"/>
      <c r="Q92" s="604"/>
      <c r="R92" s="604"/>
      <c r="T92" s="615"/>
    </row>
    <row r="93" spans="1:20">
      <c r="A93" s="580">
        <v>202606</v>
      </c>
      <c r="B93" s="580" t="s">
        <v>290</v>
      </c>
      <c r="C93" s="633"/>
      <c r="D93" s="634"/>
      <c r="E93" s="634"/>
      <c r="F93" s="640"/>
      <c r="G93" s="635"/>
      <c r="H93" s="636"/>
      <c r="I93" s="588"/>
      <c r="J93" s="637"/>
      <c r="K93" s="588"/>
      <c r="L93" s="638"/>
      <c r="M93" s="639"/>
      <c r="N93" s="640"/>
      <c r="O93" s="641"/>
      <c r="P93" s="594"/>
      <c r="Q93" s="604"/>
      <c r="R93" s="604"/>
      <c r="T93" s="615"/>
    </row>
    <row r="94" spans="1:20">
      <c r="A94" s="580">
        <v>202607</v>
      </c>
      <c r="B94" s="580" t="s">
        <v>291</v>
      </c>
      <c r="C94" s="633"/>
      <c r="D94" s="634"/>
      <c r="E94" s="634"/>
      <c r="F94" s="640"/>
      <c r="G94" s="635"/>
      <c r="H94" s="636"/>
      <c r="I94" s="588"/>
      <c r="J94" s="637"/>
      <c r="K94" s="588"/>
      <c r="L94" s="638"/>
      <c r="M94" s="639"/>
      <c r="N94" s="640"/>
      <c r="O94" s="641"/>
      <c r="P94" s="594"/>
      <c r="Q94" s="604"/>
      <c r="R94" s="604"/>
      <c r="T94" s="615"/>
    </row>
    <row r="95" spans="1:20">
      <c r="A95" s="580">
        <v>202608</v>
      </c>
      <c r="B95" s="580" t="s">
        <v>292</v>
      </c>
      <c r="C95" s="633"/>
      <c r="D95" s="634"/>
      <c r="E95" s="634"/>
      <c r="F95" s="640"/>
      <c r="G95" s="635"/>
      <c r="H95" s="636"/>
      <c r="I95" s="588"/>
      <c r="J95" s="637"/>
      <c r="K95" s="588"/>
      <c r="L95" s="638"/>
      <c r="M95" s="639"/>
      <c r="N95" s="640"/>
      <c r="O95" s="641"/>
      <c r="P95" s="594"/>
      <c r="Q95" s="604"/>
      <c r="R95" s="604"/>
      <c r="T95" s="615"/>
    </row>
    <row r="96" spans="1:20">
      <c r="A96" s="580">
        <v>202609</v>
      </c>
      <c r="B96" s="580" t="s">
        <v>293</v>
      </c>
      <c r="C96" s="633"/>
      <c r="D96" s="634"/>
      <c r="E96" s="634"/>
      <c r="F96" s="640"/>
      <c r="G96" s="635"/>
      <c r="H96" s="636"/>
      <c r="I96" s="588"/>
      <c r="J96" s="637"/>
      <c r="K96" s="588"/>
      <c r="L96" s="638"/>
      <c r="M96" s="639"/>
      <c r="N96" s="640"/>
      <c r="O96" s="641"/>
      <c r="P96" s="594"/>
      <c r="Q96" s="604"/>
      <c r="R96" s="604"/>
      <c r="T96" s="615"/>
    </row>
    <row r="97" spans="1:25">
      <c r="A97" s="580">
        <v>202610</v>
      </c>
      <c r="B97" s="580" t="s">
        <v>294</v>
      </c>
      <c r="I97" s="622"/>
      <c r="K97" s="601"/>
      <c r="L97" s="620"/>
      <c r="M97" s="606"/>
      <c r="N97" s="601"/>
      <c r="O97" s="606"/>
      <c r="P97" s="606"/>
      <c r="Q97" s="606"/>
      <c r="R97" s="606"/>
      <c r="T97" s="588">
        <f>+C37/C23-1</f>
        <v>0.95612487189848161</v>
      </c>
    </row>
    <row r="98" spans="1:25">
      <c r="A98" s="580">
        <v>202611</v>
      </c>
      <c r="B98" s="580" t="s">
        <v>295</v>
      </c>
      <c r="I98" s="622"/>
      <c r="K98" s="601"/>
      <c r="L98" s="620"/>
      <c r="M98" s="606"/>
      <c r="N98" s="601"/>
      <c r="O98" s="606"/>
      <c r="P98" s="606"/>
      <c r="Q98" s="606"/>
      <c r="R98" s="606"/>
      <c r="T98" s="588"/>
    </row>
    <row r="99" spans="1:25">
      <c r="A99" s="580">
        <v>202612</v>
      </c>
      <c r="B99" s="580" t="s">
        <v>296</v>
      </c>
      <c r="I99" s="622"/>
      <c r="K99" s="601"/>
      <c r="L99" s="620"/>
      <c r="M99" s="606"/>
      <c r="N99" s="601"/>
      <c r="O99" s="606"/>
      <c r="P99" s="606"/>
      <c r="Q99" s="606"/>
      <c r="R99" s="606"/>
      <c r="T99" s="588"/>
    </row>
    <row r="100" spans="1:25">
      <c r="I100" s="622"/>
      <c r="K100" s="601"/>
      <c r="L100" s="620"/>
      <c r="M100" s="606"/>
      <c r="N100" s="601"/>
      <c r="O100" s="606"/>
      <c r="P100" s="606"/>
      <c r="Q100" s="606"/>
      <c r="R100" s="606"/>
      <c r="T100" s="588"/>
    </row>
    <row r="101" spans="1:25">
      <c r="E101" s="589">
        <f>+E63</f>
        <v>779.57299999999998</v>
      </c>
      <c r="I101" s="622"/>
      <c r="K101" s="601"/>
      <c r="L101" s="620"/>
      <c r="M101" s="606"/>
      <c r="N101" s="601"/>
      <c r="O101" s="606"/>
      <c r="P101" s="606"/>
      <c r="Q101" s="606"/>
      <c r="R101" s="606"/>
      <c r="T101" s="588"/>
    </row>
    <row r="102" spans="1:25">
      <c r="A102" s="579" t="s">
        <v>299</v>
      </c>
      <c r="E102" s="580">
        <f>+[1]Graf_PowerBI!$F$61</f>
        <v>6386.2529999999997</v>
      </c>
      <c r="F102" s="589">
        <f>+E101+E102</f>
        <v>7165.826</v>
      </c>
    </row>
    <row r="104" spans="1:25">
      <c r="A104" s="580" t="s">
        <v>250</v>
      </c>
      <c r="B104" s="580" t="s">
        <v>251</v>
      </c>
      <c r="C104" s="581" t="s">
        <v>252</v>
      </c>
      <c r="D104" s="581" t="s">
        <v>253</v>
      </c>
      <c r="E104" s="580" t="s">
        <v>254</v>
      </c>
      <c r="F104" s="580" t="s">
        <v>255</v>
      </c>
      <c r="G104" s="580" t="s">
        <v>94</v>
      </c>
      <c r="H104" s="580" t="s">
        <v>21</v>
      </c>
      <c r="J104" s="580" t="s">
        <v>257</v>
      </c>
      <c r="S104" s="580" t="s">
        <v>300</v>
      </c>
      <c r="T104" s="580" t="s">
        <v>301</v>
      </c>
      <c r="U104" s="580" t="s">
        <v>302</v>
      </c>
      <c r="V104" s="580" t="s">
        <v>303</v>
      </c>
      <c r="W104" s="580" t="s">
        <v>21</v>
      </c>
      <c r="X104" s="580" t="s">
        <v>257</v>
      </c>
      <c r="Y104" s="580" t="s">
        <v>304</v>
      </c>
    </row>
    <row r="105" spans="1:25">
      <c r="A105" s="580">
        <v>201901</v>
      </c>
      <c r="B105" s="580" t="s">
        <v>272</v>
      </c>
      <c r="C105" s="586">
        <v>89.550068528929998</v>
      </c>
      <c r="D105" s="643">
        <v>181.94</v>
      </c>
      <c r="E105" s="586">
        <v>915.89800000000002</v>
      </c>
      <c r="F105" s="588">
        <v>0.1986465741818412</v>
      </c>
      <c r="G105" s="589">
        <v>492.19560585319334</v>
      </c>
      <c r="H105" s="590">
        <v>3.9207258414736699</v>
      </c>
      <c r="I105" s="588">
        <f t="shared" ref="I105:I136" si="20">+C105/C4</f>
        <v>0.1447622845082211</v>
      </c>
      <c r="J105" s="592">
        <f>+G105/H105</f>
        <v>125.53685867211604</v>
      </c>
      <c r="K105" s="588"/>
      <c r="L105" s="620"/>
      <c r="S105" s="591" t="s">
        <v>272</v>
      </c>
      <c r="T105" s="610">
        <v>412.16340000000002</v>
      </c>
      <c r="U105" s="596">
        <v>0.44458839556279672</v>
      </c>
      <c r="V105" s="644">
        <v>985.0669964853447</v>
      </c>
      <c r="W105" s="645">
        <v>5.6806630724129752</v>
      </c>
      <c r="X105" s="610">
        <v>173.40704490451637</v>
      </c>
      <c r="Y105" s="604">
        <f t="shared" ref="Y105:Y116" si="21">+T105/T4</f>
        <v>0.27299810026293903</v>
      </c>
    </row>
    <row r="106" spans="1:25">
      <c r="A106" s="580">
        <v>201902</v>
      </c>
      <c r="B106" s="580" t="s">
        <v>273</v>
      </c>
      <c r="C106" s="586">
        <v>84.517274447630001</v>
      </c>
      <c r="D106" s="643">
        <v>185.47399999999999</v>
      </c>
      <c r="E106" s="586">
        <v>926.30899999999997</v>
      </c>
      <c r="F106" s="588">
        <v>0.2002290812245158</v>
      </c>
      <c r="G106" s="589">
        <v>455.682599435123</v>
      </c>
      <c r="H106" s="590">
        <v>3.85326028342788</v>
      </c>
      <c r="I106" s="588">
        <f t="shared" si="20"/>
        <v>0.13661431254525647</v>
      </c>
      <c r="J106" s="592">
        <f t="shared" ref="J106:J144" si="22">+G106/H106</f>
        <v>118.25897186206831</v>
      </c>
      <c r="K106" s="588">
        <f t="shared" ref="K106:K168" si="23">C106/C105-1</f>
        <v>-5.6200895923090299E-2</v>
      </c>
      <c r="L106" s="620"/>
      <c r="S106" s="580" t="s">
        <v>273</v>
      </c>
      <c r="T106" s="592">
        <v>439.8442</v>
      </c>
      <c r="U106" s="600">
        <v>0.45120014031095029</v>
      </c>
      <c r="V106" s="628">
        <v>956.31433757211346</v>
      </c>
      <c r="W106" s="631">
        <v>5.495912309418773</v>
      </c>
      <c r="X106" s="592">
        <v>174.00465723101206</v>
      </c>
      <c r="Y106" s="604">
        <f t="shared" si="21"/>
        <v>0.29347297839691078</v>
      </c>
    </row>
    <row r="107" spans="1:25">
      <c r="A107" s="580">
        <v>201903</v>
      </c>
      <c r="B107" s="580" t="s">
        <v>274</v>
      </c>
      <c r="C107" s="586">
        <v>101.06706716399</v>
      </c>
      <c r="D107" s="643">
        <v>194.499</v>
      </c>
      <c r="E107" s="586">
        <v>941.16078129999994</v>
      </c>
      <c r="F107" s="588">
        <v>0.20723923948668335</v>
      </c>
      <c r="G107" s="589">
        <v>519.62769558707248</v>
      </c>
      <c r="H107" s="590">
        <v>4.1955783887191798</v>
      </c>
      <c r="I107" s="588">
        <f t="shared" si="20"/>
        <v>0.14464505820995929</v>
      </c>
      <c r="J107" s="592">
        <f t="shared" si="22"/>
        <v>123.85126612917455</v>
      </c>
      <c r="K107" s="588">
        <f t="shared" si="23"/>
        <v>0.1958155042803098</v>
      </c>
      <c r="L107" s="620"/>
      <c r="S107" s="580" t="s">
        <v>274</v>
      </c>
      <c r="T107" s="592">
        <v>468.70639999999997</v>
      </c>
      <c r="U107" s="600">
        <v>0.47202343626669951</v>
      </c>
      <c r="V107" s="628">
        <v>1068.7409144192975</v>
      </c>
      <c r="W107" s="631">
        <v>5.8394920688894221</v>
      </c>
      <c r="X107" s="592">
        <v>183.01949926657832</v>
      </c>
      <c r="Y107" s="604">
        <f t="shared" si="21"/>
        <v>0.29022099419304537</v>
      </c>
    </row>
    <row r="108" spans="1:25">
      <c r="A108" s="580">
        <v>201904</v>
      </c>
      <c r="B108" s="580" t="s">
        <v>275</v>
      </c>
      <c r="C108" s="586">
        <v>106.04776133212</v>
      </c>
      <c r="D108" s="643">
        <v>209.886</v>
      </c>
      <c r="E108" s="586">
        <v>947.19204400000001</v>
      </c>
      <c r="F108" s="588">
        <v>0.22192803722803014</v>
      </c>
      <c r="G108" s="589">
        <v>505.26362564496918</v>
      </c>
      <c r="H108" s="590">
        <v>4.14431201361056</v>
      </c>
      <c r="I108" s="588">
        <f t="shared" si="20"/>
        <v>0.15929452047705128</v>
      </c>
      <c r="J108" s="592">
        <f t="shared" si="22"/>
        <v>121.91737108248739</v>
      </c>
      <c r="K108" s="588">
        <f t="shared" si="23"/>
        <v>4.9281079464276845E-2</v>
      </c>
      <c r="L108" s="620"/>
      <c r="S108" s="580" t="s">
        <v>275</v>
      </c>
      <c r="T108" s="592">
        <v>450.57170000000002</v>
      </c>
      <c r="U108" s="600">
        <v>0.47138763664790362</v>
      </c>
      <c r="V108" s="628">
        <v>981.97359830492337</v>
      </c>
      <c r="W108" s="631">
        <v>5.7980104691272416</v>
      </c>
      <c r="X108" s="592">
        <v>169.36388844650313</v>
      </c>
      <c r="Y108" s="604">
        <f t="shared" si="21"/>
        <v>0.28546459905954918</v>
      </c>
    </row>
    <row r="109" spans="1:25">
      <c r="A109" s="591">
        <v>201905</v>
      </c>
      <c r="B109" s="591" t="s">
        <v>276</v>
      </c>
      <c r="C109" s="608">
        <v>105.91302006002999</v>
      </c>
      <c r="D109" s="646">
        <v>208.98400000000001</v>
      </c>
      <c r="E109" s="608">
        <v>957.72799999999995</v>
      </c>
      <c r="F109" s="598">
        <v>0.21820809248554912</v>
      </c>
      <c r="G109" s="607">
        <v>506.7996595913084</v>
      </c>
      <c r="H109" s="612">
        <v>4.0859546795151545</v>
      </c>
      <c r="I109" s="588">
        <f t="shared" si="20"/>
        <v>0.14627029579941925</v>
      </c>
      <c r="J109" s="610">
        <f t="shared" si="22"/>
        <v>124.03457682292404</v>
      </c>
      <c r="K109" s="588">
        <f t="shared" si="23"/>
        <v>-1.2705715839491649E-3</v>
      </c>
      <c r="L109" s="620"/>
      <c r="S109" s="580" t="s">
        <v>276</v>
      </c>
      <c r="T109" s="592">
        <v>487.03219999999999</v>
      </c>
      <c r="U109" s="600">
        <v>0.48419052365570925</v>
      </c>
      <c r="V109" s="628">
        <v>987.42664413178147</v>
      </c>
      <c r="W109" s="631">
        <v>5.923083122937344</v>
      </c>
      <c r="X109" s="592">
        <v>166.70821996536529</v>
      </c>
      <c r="Y109" s="604">
        <f t="shared" si="21"/>
        <v>0.29227882259348942</v>
      </c>
    </row>
    <row r="110" spans="1:25">
      <c r="A110" s="580">
        <v>201906</v>
      </c>
      <c r="B110" s="580" t="s">
        <v>277</v>
      </c>
      <c r="C110" s="586">
        <v>103.08383370794</v>
      </c>
      <c r="D110" s="643">
        <v>210.489</v>
      </c>
      <c r="E110" s="586">
        <v>954.64400000000001</v>
      </c>
      <c r="F110" s="588">
        <v>0.22048952279593231</v>
      </c>
      <c r="G110" s="589">
        <v>489.73501564423793</v>
      </c>
      <c r="H110" s="590">
        <v>4.2744720591598693</v>
      </c>
      <c r="I110" s="588">
        <f t="shared" si="20"/>
        <v>0.14856113923552516</v>
      </c>
      <c r="J110" s="592">
        <f t="shared" si="22"/>
        <v>114.57204746367987</v>
      </c>
      <c r="K110" s="588">
        <f t="shared" si="23"/>
        <v>-2.6712356521289338E-2</v>
      </c>
      <c r="L110" s="620"/>
      <c r="S110" s="580" t="s">
        <v>277</v>
      </c>
      <c r="T110" s="592">
        <v>508.22829999999999</v>
      </c>
      <c r="U110" s="600">
        <v>0.48349295868195363</v>
      </c>
      <c r="V110" s="628">
        <v>971.54017644396231</v>
      </c>
      <c r="W110" s="631">
        <v>5.935299149524309</v>
      </c>
      <c r="X110" s="592">
        <v>163.68849353142164</v>
      </c>
      <c r="Y110" s="604">
        <f t="shared" si="21"/>
        <v>0.31885362526288502</v>
      </c>
    </row>
    <row r="111" spans="1:25">
      <c r="A111" s="580">
        <v>201907</v>
      </c>
      <c r="B111" s="580" t="s">
        <v>278</v>
      </c>
      <c r="C111" s="586">
        <v>130.20638830839999</v>
      </c>
      <c r="D111" s="643">
        <v>226.58600000000001</v>
      </c>
      <c r="E111" s="586">
        <v>962.01900000000001</v>
      </c>
      <c r="F111" s="588">
        <v>0.23553173066228422</v>
      </c>
      <c r="G111" s="589">
        <v>574.64445423989127</v>
      </c>
      <c r="H111" s="590">
        <v>4.4138436789023494</v>
      </c>
      <c r="I111" s="588">
        <f t="shared" si="20"/>
        <v>0.16975117910785106</v>
      </c>
      <c r="J111" s="592">
        <f t="shared" si="22"/>
        <v>130.19139236548494</v>
      </c>
      <c r="K111" s="588">
        <f t="shared" si="23"/>
        <v>0.26311162114230613</v>
      </c>
      <c r="L111" s="620"/>
      <c r="S111" s="580" t="s">
        <v>278</v>
      </c>
      <c r="T111" s="592">
        <v>538.42700000000002</v>
      </c>
      <c r="U111" s="600">
        <v>0.49395426844644519</v>
      </c>
      <c r="V111" s="628">
        <v>1085.6897033646283</v>
      </c>
      <c r="W111" s="631">
        <v>6.203061768470846</v>
      </c>
      <c r="X111" s="592">
        <v>175.02480934222069</v>
      </c>
      <c r="Y111" s="604">
        <f t="shared" si="21"/>
        <v>0.30643569010761107</v>
      </c>
    </row>
    <row r="112" spans="1:25">
      <c r="A112" s="580">
        <v>201908</v>
      </c>
      <c r="B112" s="580" t="s">
        <v>279</v>
      </c>
      <c r="C112" s="602">
        <v>112.29250817977</v>
      </c>
      <c r="D112" s="647">
        <v>220.10900000000001</v>
      </c>
      <c r="E112" s="602">
        <v>971.40265800000009</v>
      </c>
      <c r="F112" s="604">
        <v>0.22676687546361163</v>
      </c>
      <c r="G112" s="589">
        <v>510.1677268070365</v>
      </c>
      <c r="H112" s="590">
        <v>4.4253811742594031</v>
      </c>
      <c r="I112" s="588">
        <f t="shared" si="20"/>
        <v>0.15193472635103236</v>
      </c>
      <c r="J112" s="592">
        <f t="shared" si="22"/>
        <v>115.28221111764776</v>
      </c>
      <c r="K112" s="588">
        <f t="shared" si="23"/>
        <v>-0.1375806545390087</v>
      </c>
      <c r="L112" s="648"/>
      <c r="S112" s="580" t="s">
        <v>279</v>
      </c>
      <c r="T112" s="592">
        <v>512.3886</v>
      </c>
      <c r="U112" s="600">
        <v>0.50102781836850674</v>
      </c>
      <c r="V112" s="628">
        <v>1031.3030503678858</v>
      </c>
      <c r="W112" s="631">
        <v>5.8006976706950564</v>
      </c>
      <c r="X112" s="592">
        <v>177.78948480249139</v>
      </c>
      <c r="Y112" s="604">
        <f t="shared" si="21"/>
        <v>0.30167574882628567</v>
      </c>
    </row>
    <row r="113" spans="1:25">
      <c r="A113" s="580">
        <v>201909</v>
      </c>
      <c r="B113" s="580" t="s">
        <v>280</v>
      </c>
      <c r="C113" s="602">
        <v>114.69930890801001</v>
      </c>
      <c r="D113" s="647">
        <v>221.99600000000001</v>
      </c>
      <c r="E113" s="602">
        <v>977.59199999999998</v>
      </c>
      <c r="F113" s="604">
        <v>0.22708450969320534</v>
      </c>
      <c r="G113" s="589">
        <v>516.67286306064079</v>
      </c>
      <c r="H113" s="590">
        <v>4.4311392241820737</v>
      </c>
      <c r="I113" s="588">
        <f t="shared" si="20"/>
        <v>0.16170288091016646</v>
      </c>
      <c r="J113" s="592">
        <f t="shared" si="22"/>
        <v>116.60045801337044</v>
      </c>
      <c r="K113" s="588">
        <f t="shared" si="23"/>
        <v>2.1433315251868423E-2</v>
      </c>
      <c r="L113" s="648"/>
      <c r="S113" s="580" t="s">
        <v>280</v>
      </c>
      <c r="T113" s="592">
        <v>509.5478</v>
      </c>
      <c r="U113" s="600">
        <v>0.48928500325723701</v>
      </c>
      <c r="V113" s="628">
        <v>1048.7445914786313</v>
      </c>
      <c r="W113" s="631">
        <v>5.9193981267840865</v>
      </c>
      <c r="X113" s="592">
        <v>177.17081517684591</v>
      </c>
      <c r="Y113" s="604">
        <f t="shared" si="21"/>
        <v>0.31429782521523975</v>
      </c>
    </row>
    <row r="114" spans="1:25">
      <c r="A114" s="580">
        <v>201910</v>
      </c>
      <c r="B114" s="580" t="s">
        <v>281</v>
      </c>
      <c r="C114" s="602">
        <v>122.76697431047</v>
      </c>
      <c r="D114" s="647">
        <v>237.983</v>
      </c>
      <c r="E114" s="602">
        <v>979.80100000000004</v>
      </c>
      <c r="F114" s="604">
        <v>0.24216297511343296</v>
      </c>
      <c r="G114" s="589">
        <v>515.86447061542208</v>
      </c>
      <c r="H114" s="590">
        <v>4.4643187435893124</v>
      </c>
      <c r="I114" s="588">
        <f t="shared" si="20"/>
        <v>0.16330973015780084</v>
      </c>
      <c r="J114" s="592">
        <f t="shared" si="22"/>
        <v>115.5527864931676</v>
      </c>
      <c r="K114" s="588">
        <f t="shared" si="23"/>
        <v>7.0337524081599767E-2</v>
      </c>
      <c r="L114" s="604">
        <f>F114-F113</f>
        <v>1.5078465420227616E-2</v>
      </c>
      <c r="S114" s="580" t="s">
        <v>281</v>
      </c>
      <c r="T114" s="592">
        <v>543.54319999999996</v>
      </c>
      <c r="U114" s="600">
        <v>0.49355543817699915</v>
      </c>
      <c r="V114" s="628">
        <v>1054.3045154922856</v>
      </c>
      <c r="W114" s="631">
        <v>6.1880976480013725</v>
      </c>
      <c r="X114" s="592">
        <v>170.37619240426889</v>
      </c>
      <c r="Y114" s="604">
        <f t="shared" si="21"/>
        <v>0.3201969977087159</v>
      </c>
    </row>
    <row r="115" spans="1:25">
      <c r="A115" s="580">
        <v>201911</v>
      </c>
      <c r="B115" s="580" t="s">
        <v>282</v>
      </c>
      <c r="C115" s="602">
        <v>144.58622151710998</v>
      </c>
      <c r="D115" s="647">
        <v>244.852</v>
      </c>
      <c r="E115" s="602">
        <v>983.41700000000003</v>
      </c>
      <c r="F115" s="604">
        <v>0.24898084942603188</v>
      </c>
      <c r="G115" s="589">
        <v>590.50455588318653</v>
      </c>
      <c r="H115" s="590">
        <v>4.3573095278575424</v>
      </c>
      <c r="I115" s="588">
        <f t="shared" si="20"/>
        <v>0.18557854953374828</v>
      </c>
      <c r="J115" s="592">
        <f t="shared" si="22"/>
        <v>135.5204518081444</v>
      </c>
      <c r="K115" s="588">
        <f t="shared" si="23"/>
        <v>0.17772896439933805</v>
      </c>
      <c r="L115" s="648"/>
      <c r="S115" s="580" t="s">
        <v>282</v>
      </c>
      <c r="T115" s="592">
        <v>479.25819999999999</v>
      </c>
      <c r="U115" s="600">
        <v>0.49716881241461558</v>
      </c>
      <c r="V115" s="628">
        <v>1089.2865543061569</v>
      </c>
      <c r="W115" s="631">
        <v>6.1429477870080289</v>
      </c>
      <c r="X115" s="592">
        <v>177.32310155882058</v>
      </c>
      <c r="Y115" s="604">
        <f t="shared" si="21"/>
        <v>0.27678295849211848</v>
      </c>
    </row>
    <row r="116" spans="1:25">
      <c r="A116" s="580">
        <v>201912</v>
      </c>
      <c r="B116" s="580" t="s">
        <v>283</v>
      </c>
      <c r="C116" s="602">
        <v>125.23360632196</v>
      </c>
      <c r="D116" s="647">
        <v>232.053</v>
      </c>
      <c r="E116" s="602">
        <v>987.83207700000003</v>
      </c>
      <c r="F116" s="604">
        <v>0.23569831006344119</v>
      </c>
      <c r="G116" s="589">
        <v>539.67673902927345</v>
      </c>
      <c r="H116" s="590">
        <v>4.3808547265015321</v>
      </c>
      <c r="I116" s="588">
        <f t="shared" si="20"/>
        <v>0.14704613462029906</v>
      </c>
      <c r="J116" s="592">
        <f t="shared" si="22"/>
        <v>123.18982772118744</v>
      </c>
      <c r="K116" s="588">
        <f t="shared" si="23"/>
        <v>-0.13384826708995812</v>
      </c>
      <c r="L116" s="648"/>
      <c r="S116" s="580" t="s">
        <v>283</v>
      </c>
      <c r="T116" s="592">
        <v>595.23990000000003</v>
      </c>
      <c r="U116" s="600">
        <v>0.48953676548115088</v>
      </c>
      <c r="V116" s="628">
        <v>1016.9190396727284</v>
      </c>
      <c r="W116" s="631">
        <v>6.087102066175162</v>
      </c>
      <c r="X116" s="592">
        <v>167.06127622264609</v>
      </c>
      <c r="Y116" s="604">
        <f t="shared" si="21"/>
        <v>0.32773803016112196</v>
      </c>
    </row>
    <row r="117" spans="1:25">
      <c r="A117" s="580">
        <v>202001</v>
      </c>
      <c r="B117" s="580" t="s">
        <v>272</v>
      </c>
      <c r="C117" s="602">
        <v>123.95726884339</v>
      </c>
      <c r="D117" s="647">
        <v>240.804</v>
      </c>
      <c r="E117" s="602">
        <v>978.24599999999998</v>
      </c>
      <c r="F117" s="604">
        <v>0.24615894161591256</v>
      </c>
      <c r="G117" s="589">
        <v>514.7641602439744</v>
      </c>
      <c r="H117" s="590">
        <v>4.226</v>
      </c>
      <c r="I117" s="588">
        <f t="shared" si="20"/>
        <v>0.16343933931345431</v>
      </c>
      <c r="J117" s="592">
        <f t="shared" si="22"/>
        <v>121.80884056885338</v>
      </c>
      <c r="K117" s="588">
        <f t="shared" si="23"/>
        <v>-1.0191653151700342E-2</v>
      </c>
      <c r="L117" s="648"/>
      <c r="M117" s="594"/>
      <c r="N117" s="594"/>
      <c r="O117" s="594"/>
      <c r="P117" s="594"/>
      <c r="Q117" s="594"/>
      <c r="R117" s="594"/>
      <c r="S117" s="580" t="s">
        <v>305</v>
      </c>
    </row>
    <row r="118" spans="1:25">
      <c r="A118" s="580">
        <v>202002</v>
      </c>
      <c r="B118" s="580" t="s">
        <v>273</v>
      </c>
      <c r="C118" s="602">
        <v>129.11896905926</v>
      </c>
      <c r="D118" s="647">
        <v>248.619</v>
      </c>
      <c r="E118" s="602">
        <v>985.04847042266908</v>
      </c>
      <c r="F118" s="604">
        <v>0.25250428340881137</v>
      </c>
      <c r="G118" s="589">
        <v>519.34473656180739</v>
      </c>
      <c r="H118" s="590">
        <v>4.2130000000000001</v>
      </c>
      <c r="I118" s="588">
        <f t="shared" si="20"/>
        <v>0.16571952070732512</v>
      </c>
      <c r="J118" s="592">
        <f t="shared" si="22"/>
        <v>123.27195266124077</v>
      </c>
      <c r="K118" s="588">
        <f t="shared" si="23"/>
        <v>4.1640964374516809E-2</v>
      </c>
      <c r="L118" s="648"/>
      <c r="M118" s="594"/>
      <c r="N118" s="594"/>
      <c r="O118" s="594"/>
      <c r="P118" s="594"/>
      <c r="Q118" s="594"/>
      <c r="R118" s="594"/>
    </row>
    <row r="119" spans="1:25">
      <c r="A119" s="580">
        <v>202003</v>
      </c>
      <c r="B119" s="580" t="s">
        <v>274</v>
      </c>
      <c r="C119" s="602">
        <v>86.045737391749995</v>
      </c>
      <c r="D119" s="647">
        <v>212.33600000000001</v>
      </c>
      <c r="E119" s="602">
        <v>976.28499999999997</v>
      </c>
      <c r="F119" s="604">
        <v>0.21749386705726298</v>
      </c>
      <c r="G119" s="589">
        <v>405.23386233022188</v>
      </c>
      <c r="H119" s="590">
        <v>3.254</v>
      </c>
      <c r="I119" s="588">
        <f t="shared" si="20"/>
        <v>0.15990172212843998</v>
      </c>
      <c r="J119" s="592">
        <f t="shared" si="22"/>
        <v>124.53406955446277</v>
      </c>
      <c r="K119" s="588">
        <f t="shared" si="23"/>
        <v>-0.33359336727465083</v>
      </c>
      <c r="L119" s="648"/>
      <c r="M119" s="594"/>
      <c r="N119" s="594"/>
      <c r="O119" s="594"/>
      <c r="P119" s="594"/>
      <c r="Q119" s="594"/>
      <c r="R119" s="594"/>
    </row>
    <row r="120" spans="1:25">
      <c r="A120" s="580">
        <v>202004</v>
      </c>
      <c r="B120" s="580" t="s">
        <v>275</v>
      </c>
      <c r="C120" s="586">
        <v>54.968981882809999</v>
      </c>
      <c r="D120" s="643">
        <v>179.32400000000001</v>
      </c>
      <c r="E120" s="586">
        <v>953.89499999999998</v>
      </c>
      <c r="F120" s="588">
        <v>0.18799134076601723</v>
      </c>
      <c r="G120" s="589">
        <v>306.53443980064014</v>
      </c>
      <c r="H120" s="590">
        <v>2.4129999999999998</v>
      </c>
      <c r="I120" s="588">
        <f t="shared" si="20"/>
        <v>0.20470043748150696</v>
      </c>
      <c r="J120" s="592">
        <f t="shared" si="22"/>
        <v>127.03457927917123</v>
      </c>
      <c r="K120" s="588">
        <f t="shared" si="23"/>
        <v>-0.3611655434766442</v>
      </c>
      <c r="L120" s="620"/>
      <c r="M120" s="594"/>
      <c r="N120" s="621"/>
      <c r="O120" s="594"/>
      <c r="P120" s="594"/>
      <c r="Q120" s="594"/>
      <c r="R120" s="594"/>
    </row>
    <row r="121" spans="1:25">
      <c r="A121" s="580">
        <v>202005</v>
      </c>
      <c r="B121" s="580" t="s">
        <v>276</v>
      </c>
      <c r="C121" s="602">
        <v>113.44462369810999</v>
      </c>
      <c r="D121" s="647">
        <v>205.726</v>
      </c>
      <c r="E121" s="602">
        <v>939.43200000000002</v>
      </c>
      <c r="F121" s="604">
        <v>0.21898977254340921</v>
      </c>
      <c r="G121" s="589">
        <v>551.43551956539284</v>
      </c>
      <c r="H121" s="590">
        <v>2.7080000000000002</v>
      </c>
      <c r="I121" s="588">
        <f t="shared" si="20"/>
        <v>0.3050002995269806</v>
      </c>
      <c r="J121" s="592">
        <f t="shared" si="22"/>
        <v>203.6320234731879</v>
      </c>
      <c r="K121" s="588">
        <f t="shared" si="23"/>
        <v>1.06379343062904</v>
      </c>
      <c r="L121" s="620"/>
      <c r="M121" s="594"/>
      <c r="N121" s="621"/>
      <c r="O121" s="594"/>
      <c r="P121" s="594"/>
      <c r="Q121" s="594"/>
      <c r="R121" s="594"/>
    </row>
    <row r="122" spans="1:25">
      <c r="A122" s="580">
        <v>202006</v>
      </c>
      <c r="B122" s="580" t="s">
        <v>277</v>
      </c>
      <c r="C122" s="586">
        <v>119.36849535966999</v>
      </c>
      <c r="D122" s="643">
        <v>208.78200000000001</v>
      </c>
      <c r="E122" s="586">
        <v>926.262290112767</v>
      </c>
      <c r="F122" s="588">
        <v>0.22539861100165284</v>
      </c>
      <c r="G122" s="589">
        <v>571.73748388112961</v>
      </c>
      <c r="H122" s="590">
        <v>3.0289999999999999</v>
      </c>
      <c r="I122" s="588">
        <f t="shared" si="20"/>
        <v>0.28107709117316998</v>
      </c>
      <c r="J122" s="592">
        <f t="shared" si="22"/>
        <v>188.75453413044886</v>
      </c>
      <c r="K122" s="588">
        <f t="shared" si="23"/>
        <v>5.2218178953320482E-2</v>
      </c>
      <c r="L122" s="620"/>
      <c r="M122" s="594"/>
      <c r="N122" s="621"/>
      <c r="O122" s="594"/>
      <c r="P122" s="594"/>
      <c r="Q122" s="594"/>
      <c r="R122" s="594"/>
      <c r="S122" s="615">
        <f>+I122-I121</f>
        <v>-2.3923208353810621E-2</v>
      </c>
      <c r="U122" s="601">
        <f>+T110/T109-1</f>
        <v>4.3520941736501229E-2</v>
      </c>
      <c r="W122" s="588">
        <f>+T110/T9</f>
        <v>0.31885362526288502</v>
      </c>
    </row>
    <row r="123" spans="1:25">
      <c r="A123" s="580">
        <v>202007</v>
      </c>
      <c r="B123" s="580" t="s">
        <v>278</v>
      </c>
      <c r="C123" s="586">
        <v>136.58906143469</v>
      </c>
      <c r="D123" s="643">
        <v>213.45699999999999</v>
      </c>
      <c r="E123" s="586">
        <v>910.03200000000004</v>
      </c>
      <c r="F123" s="588">
        <v>0.23455988360848851</v>
      </c>
      <c r="G123" s="589">
        <v>639.89028907316231</v>
      </c>
      <c r="H123" s="590">
        <v>3.355</v>
      </c>
      <c r="I123" s="588">
        <f t="shared" si="20"/>
        <v>0.25960603551988137</v>
      </c>
      <c r="J123" s="592">
        <f t="shared" si="22"/>
        <v>190.7273588891691</v>
      </c>
      <c r="K123" s="588">
        <f t="shared" si="23"/>
        <v>0.14426391170578645</v>
      </c>
      <c r="L123" s="620"/>
      <c r="M123" s="594"/>
      <c r="N123" s="621"/>
      <c r="O123" s="594"/>
      <c r="P123" s="594"/>
      <c r="Q123" s="594"/>
      <c r="R123" s="594"/>
      <c r="S123" s="615">
        <f>+I123-I122</f>
        <v>-2.1471055653288607E-2</v>
      </c>
      <c r="U123" s="601">
        <f>+T111/T110-1</f>
        <v>5.9419556132549234E-2</v>
      </c>
      <c r="W123" s="588">
        <f>+T111/T10</f>
        <v>0.30643569010761107</v>
      </c>
      <c r="X123" s="615">
        <f>+W123-W122</f>
        <v>-1.2417935155273951E-2</v>
      </c>
    </row>
    <row r="124" spans="1:25">
      <c r="A124" s="580">
        <v>202008</v>
      </c>
      <c r="B124" s="580" t="s">
        <v>279</v>
      </c>
      <c r="C124" s="586">
        <v>131.25558502452</v>
      </c>
      <c r="D124" s="643">
        <v>206.483</v>
      </c>
      <c r="E124" s="586">
        <v>897.52099999999996</v>
      </c>
      <c r="F124" s="588">
        <v>0.23005924095369357</v>
      </c>
      <c r="G124" s="589">
        <v>635.67259786287491</v>
      </c>
      <c r="H124" s="590">
        <v>3.5329999999999999</v>
      </c>
      <c r="I124" s="588">
        <f t="shared" si="20"/>
        <v>0.24738567294452793</v>
      </c>
      <c r="J124" s="592">
        <f t="shared" si="22"/>
        <v>179.92431300958816</v>
      </c>
      <c r="K124" s="588">
        <f t="shared" si="23"/>
        <v>-3.9047610065907068E-2</v>
      </c>
      <c r="L124" s="620"/>
      <c r="M124" s="594"/>
      <c r="N124" s="621"/>
      <c r="O124" s="594"/>
      <c r="P124" s="594"/>
      <c r="Q124" s="594"/>
      <c r="R124" s="594"/>
      <c r="S124" s="615">
        <f>+I124-I123</f>
        <v>-1.2220362575353444E-2</v>
      </c>
      <c r="U124" s="601">
        <f>+T112/T111-1</f>
        <v>-4.8360130528372514E-2</v>
      </c>
      <c r="W124" s="588">
        <f>+T112/T11</f>
        <v>0.30167574882628567</v>
      </c>
      <c r="X124" s="615">
        <f>+W124-W123</f>
        <v>-4.7599412813253972E-3</v>
      </c>
    </row>
    <row r="125" spans="1:25">
      <c r="A125" s="580">
        <v>202009</v>
      </c>
      <c r="B125" s="580" t="s">
        <v>280</v>
      </c>
      <c r="C125" s="586">
        <v>124.75610417233001</v>
      </c>
      <c r="D125" s="643">
        <v>206.441</v>
      </c>
      <c r="E125" s="586">
        <v>893.68499999999972</v>
      </c>
      <c r="F125" s="588">
        <v>0.23099973704381296</v>
      </c>
      <c r="G125" s="589">
        <v>604.31844532980369</v>
      </c>
      <c r="H125" s="590">
        <v>3.5979999999999999</v>
      </c>
      <c r="I125" s="588">
        <f t="shared" si="20"/>
        <v>0.23860384115546002</v>
      </c>
      <c r="J125" s="592">
        <f t="shared" si="22"/>
        <v>167.95954567254134</v>
      </c>
      <c r="K125" s="588">
        <f t="shared" si="23"/>
        <v>-4.9517747004638402E-2</v>
      </c>
      <c r="L125" s="620"/>
      <c r="M125" s="594"/>
      <c r="N125" s="621"/>
      <c r="O125" s="594"/>
      <c r="P125" s="594"/>
      <c r="Q125" s="594"/>
      <c r="R125" s="594"/>
      <c r="S125" s="615">
        <f>+I125-I124</f>
        <v>-8.7818317890679121E-3</v>
      </c>
      <c r="U125" s="601">
        <f>+T113/T112-1</f>
        <v>-5.5442295164256361E-3</v>
      </c>
      <c r="W125" s="588">
        <f>+T113/T12</f>
        <v>0.31429782521523975</v>
      </c>
      <c r="X125" s="615">
        <f>+W125-W124</f>
        <v>1.2622076388954073E-2</v>
      </c>
    </row>
    <row r="126" spans="1:25">
      <c r="A126" s="580">
        <v>202010</v>
      </c>
      <c r="B126" s="580" t="s">
        <v>281</v>
      </c>
      <c r="C126" s="586">
        <v>137.35015394797998</v>
      </c>
      <c r="D126" s="643">
        <v>214.982</v>
      </c>
      <c r="E126" s="586">
        <v>889.327</v>
      </c>
      <c r="F126" s="588">
        <v>0.24173560456390056</v>
      </c>
      <c r="G126" s="589">
        <v>638.891413922933</v>
      </c>
      <c r="H126" s="590">
        <v>3.7729561878884299</v>
      </c>
      <c r="I126" s="588">
        <f t="shared" si="20"/>
        <v>0.23838516806119062</v>
      </c>
      <c r="J126" s="592">
        <f t="shared" si="22"/>
        <v>169.33443753570182</v>
      </c>
      <c r="K126" s="588">
        <f t="shared" si="23"/>
        <v>0.10094936724100778</v>
      </c>
      <c r="L126" s="620"/>
      <c r="M126" s="594"/>
      <c r="N126" s="621"/>
      <c r="O126" s="594"/>
      <c r="P126" s="594"/>
      <c r="Q126" s="594"/>
      <c r="R126" s="594"/>
      <c r="S126" s="615">
        <f>+I160-I125</f>
        <v>3.7749332156650106E-2</v>
      </c>
      <c r="T126" s="615">
        <f>+I125+X126*5</f>
        <v>0.2680997036228408</v>
      </c>
      <c r="U126" s="601">
        <f>+T114/T113-1</f>
        <v>6.6716802623816518E-2</v>
      </c>
      <c r="V126" s="580">
        <f>+C125*(1+U126)</f>
        <v>133.07943255051165</v>
      </c>
      <c r="W126" s="588">
        <f>+T114/T13</f>
        <v>0.3201969977087159</v>
      </c>
      <c r="X126" s="615">
        <f>+W126-W125</f>
        <v>5.8991724934761569E-3</v>
      </c>
    </row>
    <row r="127" spans="1:25">
      <c r="A127" s="580">
        <v>202011</v>
      </c>
      <c r="B127" s="580" t="s">
        <v>282</v>
      </c>
      <c r="C127" s="586">
        <v>146.71049540835</v>
      </c>
      <c r="D127" s="586">
        <v>215.179</v>
      </c>
      <c r="E127" s="589">
        <v>883.79100000000005</v>
      </c>
      <c r="F127" s="588">
        <v>0.24347878235149684</v>
      </c>
      <c r="G127" s="592">
        <v>681.80675348593491</v>
      </c>
      <c r="H127" s="595">
        <v>3.97421681483788</v>
      </c>
      <c r="I127" s="588">
        <f t="shared" si="20"/>
        <v>0.24444459935983043</v>
      </c>
      <c r="J127" s="592">
        <f t="shared" si="22"/>
        <v>171.55751315338034</v>
      </c>
      <c r="K127" s="588">
        <f t="shared" si="23"/>
        <v>6.814947920564518E-2</v>
      </c>
      <c r="L127" s="620"/>
      <c r="M127" s="594"/>
      <c r="N127" s="621"/>
      <c r="O127" s="594"/>
      <c r="P127" s="594"/>
      <c r="Q127" s="594"/>
      <c r="R127" s="594"/>
      <c r="V127" s="580">
        <f>+C125*(1+U126)</f>
        <v>133.07943255051165</v>
      </c>
    </row>
    <row r="128" spans="1:25">
      <c r="A128" s="580">
        <v>202012</v>
      </c>
      <c r="B128" s="580" t="s">
        <v>283</v>
      </c>
      <c r="C128" s="586">
        <v>154.76054689703</v>
      </c>
      <c r="D128" s="586">
        <v>216.41499999999999</v>
      </c>
      <c r="E128" s="589">
        <v>876.61</v>
      </c>
      <c r="F128" s="588">
        <v>0.24687717457021935</v>
      </c>
      <c r="G128" s="592">
        <v>715.11007507349314</v>
      </c>
      <c r="H128" s="595">
        <v>4.1809393988401915</v>
      </c>
      <c r="I128" s="588">
        <f t="shared" si="20"/>
        <v>0.21818203034833947</v>
      </c>
      <c r="J128" s="592">
        <f t="shared" si="22"/>
        <v>171.04052626829926</v>
      </c>
      <c r="K128" s="588">
        <f t="shared" si="23"/>
        <v>5.4870317670686841E-2</v>
      </c>
      <c r="L128" s="620"/>
    </row>
    <row r="129" spans="1:31">
      <c r="A129" s="580">
        <v>202101</v>
      </c>
      <c r="B129" s="580" t="s">
        <v>272</v>
      </c>
      <c r="C129" s="602">
        <v>151.71978840158002</v>
      </c>
      <c r="D129" s="602">
        <v>216.39400000000001</v>
      </c>
      <c r="E129" s="589">
        <v>865.35799999999995</v>
      </c>
      <c r="F129" s="604">
        <v>0.25006297971475389</v>
      </c>
      <c r="G129" s="592">
        <v>701.12751925460043</v>
      </c>
      <c r="H129" s="595">
        <v>4.0507592631958369</v>
      </c>
      <c r="I129" s="588">
        <f t="shared" si="20"/>
        <v>0.24043117819724219</v>
      </c>
      <c r="J129" s="592">
        <f t="shared" si="22"/>
        <v>173.08545724374829</v>
      </c>
      <c r="K129" s="588">
        <f t="shared" si="23"/>
        <v>-1.9648150361429972E-2</v>
      </c>
      <c r="L129" s="648"/>
    </row>
    <row r="130" spans="1:31">
      <c r="A130" s="580">
        <v>202102</v>
      </c>
      <c r="B130" s="580" t="s">
        <v>273</v>
      </c>
      <c r="C130" s="602">
        <v>167.42433226260999</v>
      </c>
      <c r="D130" s="602">
        <v>225.50399999999999</v>
      </c>
      <c r="E130" s="589">
        <v>862.85900000000004</v>
      </c>
      <c r="F130" s="604">
        <v>0.2613451328664359</v>
      </c>
      <c r="G130" s="592">
        <v>742.44506644055093</v>
      </c>
      <c r="H130" s="595">
        <v>3.940338087129275</v>
      </c>
      <c r="I130" s="588">
        <f t="shared" si="20"/>
        <v>0.31184156281819442</v>
      </c>
      <c r="J130" s="592">
        <f t="shared" si="22"/>
        <v>188.42166586305737</v>
      </c>
      <c r="K130" s="588">
        <f t="shared" si="23"/>
        <v>0.10351018826537217</v>
      </c>
      <c r="L130" s="648"/>
    </row>
    <row r="131" spans="1:31">
      <c r="A131" s="580">
        <v>202103</v>
      </c>
      <c r="B131" s="580" t="s">
        <v>274</v>
      </c>
      <c r="C131" s="586">
        <v>203.76184703822</v>
      </c>
      <c r="D131" s="586">
        <v>238.20699999999999</v>
      </c>
      <c r="E131" s="589">
        <v>865.54700000000003</v>
      </c>
      <c r="F131" s="588">
        <v>0.27520978063582913</v>
      </c>
      <c r="G131" s="592">
        <v>855.39823362965819</v>
      </c>
      <c r="H131" s="595">
        <v>4.3051547603554887</v>
      </c>
      <c r="I131" s="588">
        <f t="shared" si="20"/>
        <v>0.27222588552013249</v>
      </c>
      <c r="J131" s="592">
        <f t="shared" si="22"/>
        <v>198.69163392375367</v>
      </c>
      <c r="K131" s="588">
        <f t="shared" si="23"/>
        <v>0.21703843333007011</v>
      </c>
      <c r="L131" s="620"/>
    </row>
    <row r="132" spans="1:31">
      <c r="A132" s="580">
        <v>202104</v>
      </c>
      <c r="B132" s="580" t="s">
        <v>275</v>
      </c>
      <c r="C132" s="586">
        <v>210.22010525682001</v>
      </c>
      <c r="D132" s="586">
        <v>240.32900000000001</v>
      </c>
      <c r="E132" s="589">
        <v>834.529</v>
      </c>
      <c r="F132" s="588">
        <v>0.28798160399458855</v>
      </c>
      <c r="G132" s="592">
        <v>874.71801262777274</v>
      </c>
      <c r="H132" s="595">
        <v>4.3626528633664687</v>
      </c>
      <c r="I132" s="588">
        <f t="shared" si="20"/>
        <v>0.29701320854767127</v>
      </c>
      <c r="J132" s="592">
        <f t="shared" si="22"/>
        <v>200.50140133148045</v>
      </c>
      <c r="K132" s="588">
        <f t="shared" si="23"/>
        <v>3.1695129939554478E-2</v>
      </c>
      <c r="L132" s="620"/>
      <c r="T132" s="632"/>
      <c r="U132" s="632"/>
      <c r="V132" s="632"/>
      <c r="W132" s="632"/>
      <c r="X132" s="632"/>
      <c r="Y132" s="632"/>
      <c r="Z132" s="632"/>
      <c r="AA132" s="632"/>
      <c r="AB132" s="632"/>
      <c r="AC132" s="632"/>
      <c r="AD132" s="632"/>
      <c r="AE132" s="632"/>
    </row>
    <row r="133" spans="1:31">
      <c r="A133" s="591">
        <v>202105</v>
      </c>
      <c r="B133" s="591" t="s">
        <v>276</v>
      </c>
      <c r="C133" s="608">
        <v>233.37801403680001</v>
      </c>
      <c r="D133" s="608">
        <v>248.77500000000001</v>
      </c>
      <c r="E133" s="607">
        <v>841.96500000000003</v>
      </c>
      <c r="F133" s="598">
        <v>0.2954695266430315</v>
      </c>
      <c r="G133" s="610">
        <v>938.10878921435028</v>
      </c>
      <c r="H133" s="649">
        <v>4.6103386594312132</v>
      </c>
      <c r="I133" s="588">
        <f t="shared" si="20"/>
        <v>0.28702792624847084</v>
      </c>
      <c r="J133" s="610">
        <f t="shared" si="22"/>
        <v>203.47936637914722</v>
      </c>
      <c r="K133" s="588">
        <f t="shared" si="23"/>
        <v>0.110160294857091</v>
      </c>
      <c r="L133" s="620"/>
      <c r="T133" s="628"/>
      <c r="U133" s="629"/>
      <c r="V133" s="628"/>
      <c r="W133" s="628"/>
      <c r="X133" s="628"/>
      <c r="Y133" s="629"/>
      <c r="Z133" s="628"/>
      <c r="AA133" s="628"/>
      <c r="AB133" s="628"/>
      <c r="AC133" s="628"/>
      <c r="AD133" s="628"/>
      <c r="AE133" s="628"/>
    </row>
    <row r="134" spans="1:31">
      <c r="A134" s="580">
        <v>202106</v>
      </c>
      <c r="B134" s="580" t="s">
        <v>277</v>
      </c>
      <c r="C134" s="586">
        <v>210.14156384207001</v>
      </c>
      <c r="D134" s="586">
        <v>248.83600000000001</v>
      </c>
      <c r="E134" s="589">
        <v>841.92399999999998</v>
      </c>
      <c r="F134" s="588">
        <v>0.2955563685083214</v>
      </c>
      <c r="G134" s="592">
        <v>844.49823916985486</v>
      </c>
      <c r="H134" s="595">
        <v>4.5110353807326913</v>
      </c>
      <c r="I134" s="588">
        <f t="shared" si="20"/>
        <v>0.26140859558955992</v>
      </c>
      <c r="J134" s="592">
        <f t="shared" si="22"/>
        <v>187.2071859105414</v>
      </c>
      <c r="K134" s="588">
        <f t="shared" si="23"/>
        <v>-9.9565720835493865E-2</v>
      </c>
      <c r="L134" s="620"/>
      <c r="T134" s="629"/>
      <c r="U134" s="629"/>
      <c r="V134" s="629"/>
      <c r="W134" s="629"/>
      <c r="X134" s="629"/>
      <c r="Y134" s="629"/>
      <c r="Z134" s="629"/>
      <c r="AA134" s="629"/>
      <c r="AB134" s="629"/>
      <c r="AC134" s="629"/>
      <c r="AD134" s="629"/>
      <c r="AE134" s="629"/>
    </row>
    <row r="135" spans="1:31">
      <c r="A135" s="580">
        <v>202107</v>
      </c>
      <c r="B135" s="580" t="s">
        <v>278</v>
      </c>
      <c r="C135" s="586">
        <v>250.44193642233998</v>
      </c>
      <c r="D135" s="586">
        <v>262.5</v>
      </c>
      <c r="E135" s="589">
        <v>843.93200000000002</v>
      </c>
      <c r="F135" s="588">
        <v>0.31104401776446444</v>
      </c>
      <c r="G135" s="592">
        <v>954.0645197041523</v>
      </c>
      <c r="H135" s="595">
        <v>4.694830476190476</v>
      </c>
      <c r="I135" s="588">
        <f t="shared" si="20"/>
        <v>0.27213057938163793</v>
      </c>
      <c r="J135" s="592">
        <f t="shared" si="22"/>
        <v>203.21596797640038</v>
      </c>
      <c r="K135" s="588">
        <f t="shared" si="23"/>
        <v>0.19177725645249954</v>
      </c>
      <c r="L135" s="620"/>
    </row>
    <row r="136" spans="1:31">
      <c r="A136" s="580">
        <v>202108</v>
      </c>
      <c r="B136" s="580" t="s">
        <v>279</v>
      </c>
      <c r="C136" s="586">
        <v>243.77842661806002</v>
      </c>
      <c r="D136" s="586">
        <v>262.84699999999998</v>
      </c>
      <c r="E136" s="589">
        <v>860.25900000000001</v>
      </c>
      <c r="F136" s="588">
        <v>0.30554402801946851</v>
      </c>
      <c r="G136" s="592">
        <v>927.45371496749078</v>
      </c>
      <c r="H136" s="595">
        <v>4.64338569586109</v>
      </c>
      <c r="I136" s="588">
        <f t="shared" si="20"/>
        <v>0.26086877244795181</v>
      </c>
      <c r="J136" s="592">
        <f t="shared" si="22"/>
        <v>199.73652324298243</v>
      </c>
      <c r="K136" s="588">
        <f t="shared" si="23"/>
        <v>-2.6607004799079514E-2</v>
      </c>
      <c r="L136" s="620"/>
    </row>
    <row r="137" spans="1:31">
      <c r="A137" s="580">
        <v>202109</v>
      </c>
      <c r="B137" s="580" t="s">
        <v>297</v>
      </c>
      <c r="C137" s="586">
        <v>251.09152950660999</v>
      </c>
      <c r="D137" s="586">
        <v>267.221</v>
      </c>
      <c r="E137" s="589">
        <v>878.06299999999999</v>
      </c>
      <c r="F137" s="588">
        <v>0.30433009932089156</v>
      </c>
      <c r="G137" s="592">
        <v>939.63995908483992</v>
      </c>
      <c r="H137" s="595">
        <v>4.688838077845678</v>
      </c>
      <c r="I137" s="588">
        <f t="shared" ref="I137:I167" si="24">+C137/C36</f>
        <v>0.26769902414565316</v>
      </c>
      <c r="J137" s="592">
        <f t="shared" si="22"/>
        <v>200.39931929501915</v>
      </c>
      <c r="K137" s="588">
        <f t="shared" si="23"/>
        <v>2.9998974847794013E-2</v>
      </c>
      <c r="L137" s="620"/>
    </row>
    <row r="138" spans="1:31">
      <c r="A138" s="580">
        <v>202110</v>
      </c>
      <c r="B138" s="580" t="s">
        <v>281</v>
      </c>
      <c r="C138" s="602">
        <v>279.83733685700992</v>
      </c>
      <c r="D138" s="602">
        <v>288.089</v>
      </c>
      <c r="E138" s="589">
        <v>896.70500000000004</v>
      </c>
      <c r="F138" s="604">
        <v>0.32127511277398918</v>
      </c>
      <c r="G138" s="592">
        <v>971.35724327207879</v>
      </c>
      <c r="H138" s="595">
        <v>4.8912350002950475</v>
      </c>
      <c r="I138" s="588">
        <f t="shared" si="24"/>
        <v>0.26962852523380493</v>
      </c>
      <c r="J138" s="592">
        <f t="shared" si="22"/>
        <v>198.59140753071256</v>
      </c>
      <c r="K138" s="588">
        <f t="shared" si="23"/>
        <v>0.1144833814461399</v>
      </c>
      <c r="L138" s="604">
        <f>F138-F137</f>
        <v>1.6945013453097624E-2</v>
      </c>
    </row>
    <row r="139" spans="1:31">
      <c r="A139" s="580">
        <v>202111</v>
      </c>
      <c r="B139" s="580" t="s">
        <v>282</v>
      </c>
      <c r="C139" s="602">
        <v>286.89250131249997</v>
      </c>
      <c r="D139" s="602">
        <v>288.40699999999998</v>
      </c>
      <c r="E139" s="589">
        <v>909.65293499999996</v>
      </c>
      <c r="F139" s="604">
        <v>0.31705168960951025</v>
      </c>
      <c r="G139" s="592">
        <v>994.74874504606339</v>
      </c>
      <c r="H139" s="595">
        <v>4.9101166060463166</v>
      </c>
      <c r="I139" s="588">
        <f t="shared" si="24"/>
        <v>0.26416587430982025</v>
      </c>
      <c r="J139" s="592">
        <f t="shared" si="22"/>
        <v>202.59167446677947</v>
      </c>
      <c r="K139" s="588">
        <f t="shared" si="23"/>
        <v>2.521166237046879E-2</v>
      </c>
      <c r="L139" s="648"/>
    </row>
    <row r="140" spans="1:31">
      <c r="A140" s="580">
        <v>202112</v>
      </c>
      <c r="B140" s="580" t="s">
        <v>283</v>
      </c>
      <c r="C140" s="602">
        <v>281.33658711248233</v>
      </c>
      <c r="D140" s="602">
        <v>291.46332603279961</v>
      </c>
      <c r="E140" s="589">
        <v>922.07686960000001</v>
      </c>
      <c r="F140" s="604">
        <v>0.31609439043757531</v>
      </c>
      <c r="G140" s="592">
        <v>965.25552954412626</v>
      </c>
      <c r="H140" s="595">
        <v>5.0247185862087207</v>
      </c>
      <c r="I140" s="588">
        <f t="shared" si="24"/>
        <v>0.23335441719468894</v>
      </c>
      <c r="J140" s="592">
        <f t="shared" si="22"/>
        <v>192.10141085183366</v>
      </c>
      <c r="K140" s="588">
        <f t="shared" si="23"/>
        <v>-1.9365839729515333E-2</v>
      </c>
      <c r="L140" s="604">
        <f>C140/C39</f>
        <v>0.23335441719468894</v>
      </c>
    </row>
    <row r="141" spans="1:31">
      <c r="A141" s="580">
        <v>202201</v>
      </c>
      <c r="B141" s="580" t="s">
        <v>272</v>
      </c>
      <c r="C141" s="602">
        <v>269.14001554831003</v>
      </c>
      <c r="D141" s="602">
        <v>303.05500000000001</v>
      </c>
      <c r="E141" s="589">
        <v>947.274</v>
      </c>
      <c r="F141" s="604">
        <v>0.31992327457525488</v>
      </c>
      <c r="G141" s="592">
        <v>888.08967200115501</v>
      </c>
      <c r="H141" s="595">
        <v>4.6851165630001157</v>
      </c>
      <c r="I141" s="588">
        <f t="shared" si="24"/>
        <v>0.25288901081748977</v>
      </c>
      <c r="J141" s="592">
        <f t="shared" si="22"/>
        <v>189.55551266636289</v>
      </c>
      <c r="K141" s="588">
        <f t="shared" si="23"/>
        <v>-4.3352241133485903E-2</v>
      </c>
      <c r="L141" s="604">
        <f>C141/C40</f>
        <v>0.25288901081748977</v>
      </c>
    </row>
    <row r="142" spans="1:31">
      <c r="A142" s="580">
        <v>202202</v>
      </c>
      <c r="B142" s="580" t="s">
        <v>273</v>
      </c>
      <c r="C142" s="602">
        <v>263.12938462738998</v>
      </c>
      <c r="D142" s="602">
        <v>306.28757089814968</v>
      </c>
      <c r="E142" s="589">
        <v>956.91499999999996</v>
      </c>
      <c r="F142" s="604">
        <v>0.3200781374501912</v>
      </c>
      <c r="G142" s="592">
        <v>859.09259672469318</v>
      </c>
      <c r="H142" s="595">
        <v>4.5769659179726929</v>
      </c>
      <c r="I142" s="588">
        <f t="shared" si="24"/>
        <v>0.23748751203231383</v>
      </c>
      <c r="J142" s="592">
        <f t="shared" si="22"/>
        <v>187.6991465790108</v>
      </c>
      <c r="K142" s="588">
        <f t="shared" si="23"/>
        <v>-2.2332728593608797E-2</v>
      </c>
      <c r="L142" s="648"/>
    </row>
    <row r="143" spans="1:31">
      <c r="A143" s="580">
        <v>202203</v>
      </c>
      <c r="B143" s="580" t="s">
        <v>274</v>
      </c>
      <c r="C143" s="586">
        <v>343.74671055641994</v>
      </c>
      <c r="D143" s="586">
        <v>342.899</v>
      </c>
      <c r="E143" s="589">
        <v>976.51800000000003</v>
      </c>
      <c r="F143" s="588">
        <v>0.3511445769560827</v>
      </c>
      <c r="G143" s="592">
        <v>1002.472187310024</v>
      </c>
      <c r="H143" s="595">
        <v>5.0285186016873773</v>
      </c>
      <c r="I143" s="588">
        <f t="shared" si="24"/>
        <v>0.26683669446961306</v>
      </c>
      <c r="J143" s="592">
        <f t="shared" si="22"/>
        <v>199.35735883996389</v>
      </c>
      <c r="K143" s="588">
        <f t="shared" si="23"/>
        <v>0.30637903114921916</v>
      </c>
      <c r="L143" s="620"/>
    </row>
    <row r="144" spans="1:31">
      <c r="A144" s="580">
        <v>202204</v>
      </c>
      <c r="B144" s="580" t="s">
        <v>275</v>
      </c>
      <c r="C144" s="586">
        <v>332.95731822995998</v>
      </c>
      <c r="D144" s="586">
        <v>348.16199999999998</v>
      </c>
      <c r="E144" s="589">
        <v>991.41</v>
      </c>
      <c r="F144" s="588">
        <v>0.35117862438345387</v>
      </c>
      <c r="G144" s="592">
        <v>956.32871545418504</v>
      </c>
      <c r="H144" s="595">
        <v>4.8501473452013721</v>
      </c>
      <c r="I144" s="588">
        <f t="shared" si="24"/>
        <v>0.27474308856412355</v>
      </c>
      <c r="J144" s="592">
        <f t="shared" si="22"/>
        <v>197.17518817244911</v>
      </c>
      <c r="K144" s="588">
        <f t="shared" si="23"/>
        <v>-3.1387623488804528E-2</v>
      </c>
      <c r="L144" s="620"/>
    </row>
    <row r="145" spans="1:12">
      <c r="A145" s="591">
        <v>202205</v>
      </c>
      <c r="B145" s="591" t="s">
        <v>276</v>
      </c>
      <c r="C145" s="608">
        <v>331.88091125122997</v>
      </c>
      <c r="D145" s="608">
        <v>360.48</v>
      </c>
      <c r="E145" s="607">
        <v>1008.724</v>
      </c>
      <c r="F145" s="598">
        <v>0.35736237067820337</v>
      </c>
      <c r="G145" s="610">
        <v>920.66386831788157</v>
      </c>
      <c r="H145" s="649">
        <v>5.0539142254771416</v>
      </c>
      <c r="I145" s="588">
        <f t="shared" si="24"/>
        <v>0.25388449627645937</v>
      </c>
      <c r="J145" s="610">
        <v>182.16847917140134</v>
      </c>
      <c r="K145" s="588">
        <f t="shared" si="23"/>
        <v>-3.2328677575020892E-3</v>
      </c>
      <c r="L145" s="620"/>
    </row>
    <row r="146" spans="1:12">
      <c r="A146" s="580">
        <v>202206</v>
      </c>
      <c r="B146" s="580" t="s">
        <v>277</v>
      </c>
      <c r="C146" s="586">
        <v>320.74322243896</v>
      </c>
      <c r="D146" s="586">
        <v>362.02</v>
      </c>
      <c r="E146" s="589">
        <v>1014.207</v>
      </c>
      <c r="F146" s="588">
        <v>0.35694882800059552</v>
      </c>
      <c r="G146" s="592">
        <v>885.9820519279599</v>
      </c>
      <c r="H146" s="595">
        <v>5.0081873929617151</v>
      </c>
      <c r="I146" s="588">
        <f t="shared" si="24"/>
        <v>0.25249990061965194</v>
      </c>
      <c r="J146" s="592">
        <v>176.90672940335256</v>
      </c>
      <c r="K146" s="588">
        <f t="shared" si="23"/>
        <v>-3.3559293212374164E-2</v>
      </c>
    </row>
    <row r="147" spans="1:12">
      <c r="A147" s="580">
        <v>202207</v>
      </c>
      <c r="B147" s="580" t="s">
        <v>278</v>
      </c>
      <c r="C147" s="586">
        <v>373.69714802454007</v>
      </c>
      <c r="D147" s="586">
        <v>378.16328572306429</v>
      </c>
      <c r="E147" s="589">
        <v>1021.998</v>
      </c>
      <c r="F147" s="588">
        <v>0.37002350858129301</v>
      </c>
      <c r="G147" s="592">
        <v>988.18992253575118</v>
      </c>
      <c r="H147" s="595">
        <v>4.9523518989243227</v>
      </c>
      <c r="I147" s="588">
        <f t="shared" si="24"/>
        <v>0.27264291594921131</v>
      </c>
      <c r="J147" s="592">
        <v>199.53952035403447</v>
      </c>
      <c r="K147" s="588">
        <f t="shared" si="23"/>
        <v>0.16509756677916276</v>
      </c>
    </row>
    <row r="148" spans="1:12">
      <c r="A148" s="580">
        <v>202208</v>
      </c>
      <c r="B148" s="580" t="s">
        <v>279</v>
      </c>
      <c r="C148" s="586">
        <v>360.03650028597997</v>
      </c>
      <c r="D148" s="586">
        <v>377.49599999999998</v>
      </c>
      <c r="E148" s="589">
        <v>1021.407</v>
      </c>
      <c r="F148" s="588">
        <v>0.36958430870358239</v>
      </c>
      <c r="G148" s="592">
        <v>953.74917955681644</v>
      </c>
      <c r="H148" s="595">
        <v>5.0663212325428617</v>
      </c>
      <c r="I148" s="588">
        <f t="shared" si="24"/>
        <v>0.25994610663519896</v>
      </c>
      <c r="J148" s="592">
        <v>188.25280430907765</v>
      </c>
      <c r="K148" s="588">
        <f t="shared" si="23"/>
        <v>-3.6555397360600206E-2</v>
      </c>
    </row>
    <row r="149" spans="1:12">
      <c r="A149" s="580">
        <v>202209</v>
      </c>
      <c r="B149" s="580" t="s">
        <v>297</v>
      </c>
      <c r="C149" s="586">
        <v>343.96643645952997</v>
      </c>
      <c r="D149" s="586">
        <v>366.36099999999999</v>
      </c>
      <c r="E149" s="589">
        <v>1023.664</v>
      </c>
      <c r="F149" s="588">
        <v>0.35789184732490348</v>
      </c>
      <c r="G149" s="592">
        <v>938.87295989346569</v>
      </c>
      <c r="H149" s="595">
        <v>4.9729993094243108</v>
      </c>
      <c r="I149" s="588">
        <f t="shared" si="24"/>
        <v>0.25965204973006556</v>
      </c>
      <c r="J149" s="592">
        <v>188.79410622764644</v>
      </c>
      <c r="K149" s="588">
        <f t="shared" si="23"/>
        <v>-4.4634540702638281E-2</v>
      </c>
    </row>
    <row r="150" spans="1:12">
      <c r="A150" s="580">
        <v>202210</v>
      </c>
      <c r="B150" s="580" t="s">
        <v>281</v>
      </c>
      <c r="C150" s="586">
        <v>382.53203821217988</v>
      </c>
      <c r="D150" s="586">
        <v>383.86099999999999</v>
      </c>
      <c r="E150" s="589">
        <v>1034.376</v>
      </c>
      <c r="F150" s="588">
        <v>0.37110393125903929</v>
      </c>
      <c r="G150" s="592">
        <v>996.53790880599979</v>
      </c>
      <c r="H150" s="595">
        <v>5.12822349756813</v>
      </c>
      <c r="I150" s="588">
        <f t="shared" si="24"/>
        <v>0.26682976129093683</v>
      </c>
      <c r="J150" s="592">
        <v>194.32419614288867</v>
      </c>
      <c r="K150" s="588">
        <f t="shared" si="23"/>
        <v>0.11212024681712629</v>
      </c>
    </row>
    <row r="151" spans="1:12">
      <c r="A151" s="580">
        <v>202211</v>
      </c>
      <c r="B151" s="580" t="s">
        <v>282</v>
      </c>
      <c r="C151" s="586">
        <v>395.76359144334992</v>
      </c>
      <c r="D151" s="586">
        <v>388.68400000000003</v>
      </c>
      <c r="E151" s="589">
        <v>1039.25</v>
      </c>
      <c r="F151" s="588">
        <v>0.37400433004570605</v>
      </c>
      <c r="G151" s="592">
        <v>1018.214260024467</v>
      </c>
      <c r="H151" s="595">
        <v>5.058692922785605</v>
      </c>
      <c r="I151" s="588">
        <f t="shared" si="24"/>
        <v>0.27282939266068673</v>
      </c>
      <c r="J151" s="592">
        <v>201.28010843239326</v>
      </c>
      <c r="K151" s="588">
        <f t="shared" si="23"/>
        <v>3.4589398820056072E-2</v>
      </c>
    </row>
    <row r="152" spans="1:12">
      <c r="A152" s="580">
        <v>202212</v>
      </c>
      <c r="B152" s="580" t="s">
        <v>283</v>
      </c>
      <c r="C152" s="586">
        <v>360.37822873153999</v>
      </c>
      <c r="D152" s="586">
        <v>383.20600000000002</v>
      </c>
      <c r="E152" s="589">
        <v>1043.873</v>
      </c>
      <c r="F152" s="588">
        <v>0.36710021238215762</v>
      </c>
      <c r="G152" s="592">
        <v>940.4295045785816</v>
      </c>
      <c r="H152" s="595">
        <v>5.1249536802659668</v>
      </c>
      <c r="I152" s="588">
        <f t="shared" si="24"/>
        <v>0.2335151494105972</v>
      </c>
      <c r="J152" s="592">
        <v>183.50009839108958</v>
      </c>
      <c r="K152" s="588">
        <f t="shared" si="23"/>
        <v>-8.9410353748710203E-2</v>
      </c>
    </row>
    <row r="153" spans="1:12">
      <c r="A153" s="580">
        <v>202301</v>
      </c>
      <c r="B153" s="580" t="s">
        <v>284</v>
      </c>
      <c r="C153" s="586">
        <v>357.19165400125007</v>
      </c>
      <c r="D153" s="586">
        <v>392.96499999999997</v>
      </c>
      <c r="E153" s="589">
        <v>1045.155</v>
      </c>
      <c r="F153" s="588">
        <f>D153/E153</f>
        <v>0.37598729375068768</v>
      </c>
      <c r="G153" s="592">
        <v>908.96556691117553</v>
      </c>
      <c r="H153" s="595">
        <v>5.0070744213861289</v>
      </c>
      <c r="I153" s="588">
        <f t="shared" si="24"/>
        <v>0.25472832293103048</v>
      </c>
      <c r="J153" s="592">
        <v>181.53626058139213</v>
      </c>
      <c r="K153" s="588">
        <f t="shared" si="23"/>
        <v>-8.8423064331772938E-3</v>
      </c>
    </row>
    <row r="154" spans="1:12">
      <c r="A154" s="580">
        <v>202302</v>
      </c>
      <c r="B154" s="580" t="s">
        <v>285</v>
      </c>
      <c r="C154" s="586">
        <v>353.02166545845006</v>
      </c>
      <c r="D154" s="586">
        <v>399.40300000000002</v>
      </c>
      <c r="E154" s="589">
        <v>1045.9090000000001</v>
      </c>
      <c r="F154" s="588">
        <f t="shared" ref="F154:F162" si="25">D154/E154</f>
        <v>0.38187165422613245</v>
      </c>
      <c r="G154" s="592">
        <v>883.87334461295995</v>
      </c>
      <c r="H154" s="595">
        <v>4.8343127117222453</v>
      </c>
      <c r="I154" s="588">
        <f t="shared" si="24"/>
        <v>0.2523562018336899</v>
      </c>
      <c r="J154" s="592">
        <v>182.83329964769203</v>
      </c>
      <c r="K154" s="588">
        <f t="shared" si="23"/>
        <v>-1.1674372836229296E-2</v>
      </c>
    </row>
    <row r="155" spans="1:12">
      <c r="A155" s="580">
        <v>202303</v>
      </c>
      <c r="B155" s="580" t="s">
        <v>286</v>
      </c>
      <c r="C155" s="586">
        <v>439.65774105443012</v>
      </c>
      <c r="D155" s="586">
        <v>426.29399999999998</v>
      </c>
      <c r="E155" s="589">
        <v>1031.0450000000001</v>
      </c>
      <c r="F155" s="588">
        <f t="shared" si="25"/>
        <v>0.41345819047665228</v>
      </c>
      <c r="G155" s="592">
        <v>1031.3486491820906</v>
      </c>
      <c r="H155" s="595">
        <v>5.2299610128221365</v>
      </c>
      <c r="I155" s="588">
        <f t="shared" si="24"/>
        <v>0.27646652907249236</v>
      </c>
      <c r="J155" s="592">
        <v>197.20006452315121</v>
      </c>
      <c r="K155" s="588">
        <f t="shared" si="23"/>
        <v>0.24541291391697029</v>
      </c>
    </row>
    <row r="156" spans="1:12">
      <c r="A156" s="580">
        <v>202304</v>
      </c>
      <c r="B156" s="580" t="s">
        <v>288</v>
      </c>
      <c r="C156" s="586">
        <v>390.92104534181993</v>
      </c>
      <c r="D156" s="586">
        <v>421.35300000000001</v>
      </c>
      <c r="E156" s="589">
        <v>1022.3579999999999</v>
      </c>
      <c r="F156" s="588">
        <f t="shared" si="25"/>
        <v>0.41213840944170244</v>
      </c>
      <c r="G156" s="592">
        <v>927.77563074623868</v>
      </c>
      <c r="H156" s="595">
        <v>5.1789212370625108</v>
      </c>
      <c r="I156" s="588">
        <f t="shared" si="24"/>
        <v>0.27102389496141044</v>
      </c>
      <c r="J156" s="592">
        <v>179.14457244622508</v>
      </c>
      <c r="K156" s="588">
        <f t="shared" si="23"/>
        <v>-0.11085144457078155</v>
      </c>
    </row>
    <row r="157" spans="1:12">
      <c r="A157" s="580">
        <v>202305</v>
      </c>
      <c r="B157" s="580" t="s">
        <v>289</v>
      </c>
      <c r="C157" s="586">
        <v>406.60098753187003</v>
      </c>
      <c r="D157" s="586">
        <v>424.04922407793117</v>
      </c>
      <c r="E157" s="589">
        <v>1011.735</v>
      </c>
      <c r="F157" s="588">
        <f t="shared" si="25"/>
        <v>0.41913072501982351</v>
      </c>
      <c r="G157" s="592">
        <v>958.853275621477</v>
      </c>
      <c r="H157" s="595">
        <v>5.3449176703886021</v>
      </c>
      <c r="I157" s="588">
        <f t="shared" si="24"/>
        <v>0.26225707307047896</v>
      </c>
      <c r="J157" s="592">
        <v>179.39533118229744</v>
      </c>
      <c r="K157" s="588">
        <f t="shared" si="23"/>
        <v>4.0110253405107876E-2</v>
      </c>
    </row>
    <row r="158" spans="1:12">
      <c r="A158" s="580">
        <v>202306</v>
      </c>
      <c r="B158" s="580" t="s">
        <v>290</v>
      </c>
      <c r="C158" s="586">
        <v>384.57796667858003</v>
      </c>
      <c r="D158" s="586">
        <v>422.48599999999999</v>
      </c>
      <c r="E158" s="589">
        <v>988.01300000000003</v>
      </c>
      <c r="F158" s="588">
        <f t="shared" si="25"/>
        <v>0.42761178243606102</v>
      </c>
      <c r="G158" s="592">
        <v>910.27387103615274</v>
      </c>
      <c r="H158" s="595">
        <v>5.2946588898284368</v>
      </c>
      <c r="I158" s="588">
        <f t="shared" si="24"/>
        <v>0.26305455370263636</v>
      </c>
      <c r="J158" s="592">
        <v>171.92304357602316</v>
      </c>
      <c r="K158" s="588">
        <f t="shared" si="23"/>
        <v>-5.4163717080406237E-2</v>
      </c>
    </row>
    <row r="159" spans="1:12">
      <c r="A159" s="580">
        <v>202307</v>
      </c>
      <c r="B159" s="580" t="s">
        <v>291</v>
      </c>
      <c r="C159" s="586">
        <v>444.32199754244004</v>
      </c>
      <c r="D159" s="586">
        <v>431.79199999999997</v>
      </c>
      <c r="E159" s="589">
        <v>967.13699999999994</v>
      </c>
      <c r="F159" s="588">
        <f t="shared" si="25"/>
        <v>0.44646415140771162</v>
      </c>
      <c r="G159" s="592">
        <v>1029.0185958573575</v>
      </c>
      <c r="H159" s="595">
        <v>5.5086268388483344</v>
      </c>
      <c r="I159" s="588">
        <f t="shared" si="24"/>
        <v>0.28442372897706664</v>
      </c>
      <c r="J159" s="592">
        <v>186.80128931595775</v>
      </c>
      <c r="K159" s="588">
        <f t="shared" si="23"/>
        <v>0.15534959368536172</v>
      </c>
    </row>
    <row r="160" spans="1:12">
      <c r="A160" s="580">
        <v>202308</v>
      </c>
      <c r="B160" s="580" t="s">
        <v>292</v>
      </c>
      <c r="C160" s="586">
        <v>426.85591586766998</v>
      </c>
      <c r="D160" s="586">
        <v>425.375</v>
      </c>
      <c r="E160" s="589">
        <v>928.21100000000001</v>
      </c>
      <c r="F160" s="588">
        <f t="shared" si="25"/>
        <v>0.45827403467530547</v>
      </c>
      <c r="G160" s="592">
        <v>1003.4814360685747</v>
      </c>
      <c r="H160" s="595">
        <v>5.4044713488098735</v>
      </c>
      <c r="I160" s="588">
        <f t="shared" si="24"/>
        <v>0.27635317331211012</v>
      </c>
      <c r="J160" s="592">
        <f t="shared" ref="J160:J162" si="26">+G160/H160</f>
        <v>185.67615059880978</v>
      </c>
      <c r="K160" s="588">
        <f t="shared" si="23"/>
        <v>-3.930951375663494E-2</v>
      </c>
    </row>
    <row r="161" spans="1:11">
      <c r="A161" s="580">
        <v>202309</v>
      </c>
      <c r="B161" s="580" t="s">
        <v>293</v>
      </c>
      <c r="C161" s="586">
        <v>377.36738178059989</v>
      </c>
      <c r="D161" s="586">
        <v>403.39400000000001</v>
      </c>
      <c r="E161" s="589">
        <v>918.89</v>
      </c>
      <c r="F161" s="588">
        <f t="shared" si="25"/>
        <v>0.43900140386770997</v>
      </c>
      <c r="G161" s="592">
        <v>935.48089902328718</v>
      </c>
      <c r="H161" s="595">
        <v>5.4217266493800107</v>
      </c>
      <c r="I161" s="588">
        <f t="shared" si="24"/>
        <v>0.27043450821213505</v>
      </c>
      <c r="J161" s="592">
        <f t="shared" si="26"/>
        <v>172.54298483127363</v>
      </c>
      <c r="K161" s="588">
        <f t="shared" si="23"/>
        <v>-0.11593732743863872</v>
      </c>
    </row>
    <row r="162" spans="1:11">
      <c r="A162" s="580">
        <v>202310</v>
      </c>
      <c r="B162" s="580" t="s">
        <v>294</v>
      </c>
      <c r="C162" s="586">
        <v>406.34533858011451</v>
      </c>
      <c r="D162" s="586">
        <v>404.60101925004</v>
      </c>
      <c r="E162" s="589">
        <v>857.38300000000004</v>
      </c>
      <c r="F162" s="588">
        <f t="shared" si="25"/>
        <v>0.47190231116086973</v>
      </c>
      <c r="G162" s="592">
        <v>1004.3112084425981</v>
      </c>
      <c r="H162" s="595">
        <v>5.4962765444172321</v>
      </c>
      <c r="I162" s="588">
        <f t="shared" si="24"/>
        <v>0.28318025678166647</v>
      </c>
      <c r="J162" s="592">
        <f t="shared" si="26"/>
        <v>182.72574175015146</v>
      </c>
      <c r="K162" s="588">
        <f t="shared" si="23"/>
        <v>7.6789776219615913E-2</v>
      </c>
    </row>
    <row r="163" spans="1:11">
      <c r="A163" s="580">
        <v>202311</v>
      </c>
      <c r="B163" s="580" t="s">
        <v>295</v>
      </c>
      <c r="C163" s="586">
        <v>400.13807031236007</v>
      </c>
      <c r="D163" s="586">
        <v>389.1692205425415</v>
      </c>
      <c r="E163" s="589">
        <v>785.04499999999996</v>
      </c>
      <c r="F163" s="588">
        <v>0.49572855128373727</v>
      </c>
      <c r="G163" s="592">
        <v>1028.1852962434359</v>
      </c>
      <c r="H163" s="595">
        <v>5.6962213310544678</v>
      </c>
      <c r="I163" s="588">
        <f t="shared" si="24"/>
        <v>0.29187277560537284</v>
      </c>
      <c r="J163" s="592">
        <v>180.50304517452824</v>
      </c>
      <c r="K163" s="588">
        <f t="shared" si="23"/>
        <v>-1.527584465332954E-2</v>
      </c>
    </row>
    <row r="164" spans="1:11">
      <c r="A164" s="580">
        <v>202312</v>
      </c>
      <c r="B164" s="580" t="s">
        <v>296</v>
      </c>
      <c r="C164" s="586">
        <v>374.90635180821999</v>
      </c>
      <c r="D164" s="586">
        <v>377.08100000000002</v>
      </c>
      <c r="E164" s="589">
        <v>779.57299999999998</v>
      </c>
      <c r="F164" s="588">
        <v>0.48370197531212605</v>
      </c>
      <c r="G164" s="592">
        <v>994.2329414853042</v>
      </c>
      <c r="H164" s="595">
        <v>5.6815246591581117</v>
      </c>
      <c r="I164" s="588">
        <f t="shared" si="24"/>
        <v>0.25927328792048443</v>
      </c>
      <c r="J164" s="592">
        <v>174.99403789134124</v>
      </c>
      <c r="K164" s="588">
        <f t="shared" si="23"/>
        <v>-6.3057530328077593E-2</v>
      </c>
    </row>
    <row r="165" spans="1:11">
      <c r="A165" s="580">
        <v>202401</v>
      </c>
      <c r="B165" s="580" t="s">
        <v>284</v>
      </c>
      <c r="C165" s="586">
        <v>376.38981804385992</v>
      </c>
      <c r="D165" s="586">
        <v>372.80200000000002</v>
      </c>
      <c r="E165" s="589">
        <v>772.05499999999995</v>
      </c>
      <c r="F165" s="588">
        <v>0.48286974373587382</v>
      </c>
      <c r="G165" s="592">
        <v>1009.6239238090459</v>
      </c>
      <c r="H165" s="595">
        <v>5.4977816642614581</v>
      </c>
      <c r="I165" s="588">
        <f t="shared" si="24"/>
        <v>0.29231598131424646</v>
      </c>
      <c r="J165" s="592">
        <v>183.6420551896677</v>
      </c>
      <c r="K165" s="588">
        <f t="shared" si="23"/>
        <v>3.9568981119817437E-3</v>
      </c>
    </row>
    <row r="166" spans="1:11">
      <c r="A166" s="580">
        <v>202402</v>
      </c>
      <c r="B166" s="580" t="s">
        <v>285</v>
      </c>
      <c r="C166" s="586">
        <v>360.13200057975996</v>
      </c>
      <c r="D166" s="586">
        <v>369.04450500000002</v>
      </c>
      <c r="E166" s="589">
        <v>773.20600000000002</v>
      </c>
      <c r="F166" s="588">
        <v>0.477291310465775</v>
      </c>
      <c r="G166" s="592">
        <v>975.84978424149676</v>
      </c>
      <c r="H166" s="595">
        <v>5.4745510978411671</v>
      </c>
      <c r="I166" s="588">
        <f t="shared" si="24"/>
        <v>0.28121204184244125</v>
      </c>
      <c r="J166" s="592">
        <v>178.25201862236943</v>
      </c>
      <c r="K166" s="588">
        <f t="shared" si="23"/>
        <v>-4.3194094751536238E-2</v>
      </c>
    </row>
    <row r="167" spans="1:11">
      <c r="A167" s="580">
        <v>202403</v>
      </c>
      <c r="B167" s="580" t="s">
        <v>286</v>
      </c>
      <c r="C167" s="586">
        <v>378.02524724777004</v>
      </c>
      <c r="D167" s="586">
        <v>379.49700000000001</v>
      </c>
      <c r="E167" s="589">
        <v>775.09799999999996</v>
      </c>
      <c r="F167" s="588">
        <v>0.4896116362060024</v>
      </c>
      <c r="G167" s="592">
        <v>996.12183297304068</v>
      </c>
      <c r="H167" s="595">
        <v>5.6685797252679206</v>
      </c>
      <c r="I167" s="588">
        <f t="shared" si="24"/>
        <v>0.28110081811266369</v>
      </c>
      <c r="J167" s="592">
        <v>175.72688067396984</v>
      </c>
      <c r="K167" s="588">
        <f t="shared" si="23"/>
        <v>4.968524496352611E-2</v>
      </c>
    </row>
    <row r="168" spans="1:11">
      <c r="A168" s="580">
        <v>202404</v>
      </c>
      <c r="B168" s="580" t="s">
        <v>288</v>
      </c>
      <c r="C168" s="586">
        <v>384</v>
      </c>
      <c r="D168" s="586">
        <v>383</v>
      </c>
      <c r="E168" s="589">
        <v>783</v>
      </c>
      <c r="F168" s="588">
        <v>0.49</v>
      </c>
      <c r="G168" s="592">
        <v>1001</v>
      </c>
      <c r="H168" s="595">
        <v>5.7</v>
      </c>
      <c r="I168" s="588">
        <v>0.29099999999999998</v>
      </c>
      <c r="J168" s="592">
        <v>175</v>
      </c>
      <c r="K168" s="588">
        <f t="shared" si="23"/>
        <v>1.5805168558791882E-2</v>
      </c>
    </row>
    <row r="169" spans="1:11">
      <c r="A169" s="580">
        <v>202405</v>
      </c>
      <c r="B169" s="580" t="s">
        <v>289</v>
      </c>
      <c r="C169" s="586">
        <v>404.67122813589003</v>
      </c>
      <c r="D169" s="586">
        <v>391.46100000000001</v>
      </c>
      <c r="E169" s="589">
        <v>782.971</v>
      </c>
      <c r="F169" s="588">
        <v>0.49996870893047124</v>
      </c>
      <c r="G169" s="589">
        <v>1033.7459622692681</v>
      </c>
      <c r="H169" s="590">
        <v>5.859582436053655</v>
      </c>
      <c r="I169" s="588">
        <v>0.28723249551737273</v>
      </c>
      <c r="J169" s="589">
        <v>176.41973187520873</v>
      </c>
      <c r="K169" s="588">
        <v>5.383132327054696E-2</v>
      </c>
    </row>
    <row r="170" spans="1:11">
      <c r="A170" s="580">
        <v>202406</v>
      </c>
      <c r="B170" s="580" t="s">
        <v>290</v>
      </c>
      <c r="C170" s="586">
        <v>378.44321124131005</v>
      </c>
      <c r="D170" s="586">
        <v>386.15800000000002</v>
      </c>
      <c r="E170" s="589">
        <v>787.59100000000001</v>
      </c>
      <c r="F170" s="588">
        <v>0.49030270787756591</v>
      </c>
      <c r="G170" s="589">
        <v>980.02167828016002</v>
      </c>
      <c r="H170" s="590">
        <v>5.667765526028206</v>
      </c>
      <c r="I170" s="588">
        <v>0.28300648550794211</v>
      </c>
      <c r="J170" s="589">
        <v>172.91147168660817</v>
      </c>
      <c r="K170" s="588">
        <v>-1.4470804059088405E-2</v>
      </c>
    </row>
    <row r="171" spans="1:11">
      <c r="A171" s="580">
        <v>202407</v>
      </c>
      <c r="B171" s="580" t="s">
        <v>291</v>
      </c>
      <c r="C171" s="586">
        <v>449.81785993718995</v>
      </c>
      <c r="D171" s="586">
        <v>397.35899999999998</v>
      </c>
      <c r="E171" s="589">
        <v>785.58</v>
      </c>
      <c r="F171" s="588">
        <v>0.50581608493087904</v>
      </c>
      <c r="G171" s="589">
        <v>1132.0188039963609</v>
      </c>
      <c r="H171" s="589">
        <v>5.8668081004834418</v>
      </c>
      <c r="I171" s="588">
        <v>0.30536609082095245</v>
      </c>
      <c r="J171" s="589">
        <v>192.95309896075847</v>
      </c>
      <c r="K171" s="588">
        <v>0.17140067691976557</v>
      </c>
    </row>
    <row r="172" spans="1:11">
      <c r="A172" s="580">
        <v>202408</v>
      </c>
      <c r="B172" s="580" t="s">
        <v>292</v>
      </c>
      <c r="C172" s="586">
        <v>395.89503222179007</v>
      </c>
      <c r="D172" s="586">
        <v>393.71199999999999</v>
      </c>
      <c r="E172" s="589">
        <v>783.46299999999997</v>
      </c>
      <c r="F172" s="588">
        <v>0.50252787942761812</v>
      </c>
      <c r="G172" s="592">
        <v>1005.5447439290397</v>
      </c>
      <c r="H172" s="595">
        <v>5.7356544885601659</v>
      </c>
      <c r="I172" s="588">
        <v>0.28255003611964785</v>
      </c>
      <c r="J172" s="592">
        <v>175.31473451453729</v>
      </c>
      <c r="K172" s="588">
        <v>3.0976646410911579E-2</v>
      </c>
    </row>
    <row r="173" spans="1:11">
      <c r="A173" s="580">
        <v>202409</v>
      </c>
      <c r="B173" s="580" t="s">
        <v>298</v>
      </c>
      <c r="C173" s="586">
        <v>388.62595958716003</v>
      </c>
      <c r="D173" s="586">
        <v>387.39100000000002</v>
      </c>
      <c r="E173" s="589">
        <v>789.24699999999996</v>
      </c>
      <c r="F173" s="588">
        <v>0.49083620210149681</v>
      </c>
      <c r="G173" s="589">
        <v>1003.1878892053765</v>
      </c>
      <c r="H173" s="590">
        <v>5.5741899011592935</v>
      </c>
      <c r="I173" s="588">
        <v>0.2901513314671757</v>
      </c>
      <c r="J173" s="589">
        <v>179.97016732363895</v>
      </c>
      <c r="K173" s="588">
        <v>1.2046769758229159E-2</v>
      </c>
    </row>
    <row r="174" spans="1:11">
      <c r="A174" s="580">
        <v>202410</v>
      </c>
      <c r="B174" s="580" t="s">
        <v>294</v>
      </c>
      <c r="C174" s="586">
        <v>429.89793873986997</v>
      </c>
      <c r="D174" s="586">
        <v>401.26499999999999</v>
      </c>
      <c r="E174" s="589">
        <v>794.45399999999995</v>
      </c>
      <c r="F174" s="615">
        <v>0.50508273606778997</v>
      </c>
      <c r="G174" s="589">
        <v>1071.3566813449215</v>
      </c>
      <c r="H174" s="590">
        <v>5.7518248538995431</v>
      </c>
      <c r="I174" s="615">
        <v>0.30343205991769012</v>
      </c>
      <c r="J174" s="589">
        <v>186.26378732978594</v>
      </c>
      <c r="K174" s="615">
        <v>0.10619974845878399</v>
      </c>
    </row>
    <row r="175" spans="1:11">
      <c r="A175" s="580">
        <v>202411</v>
      </c>
      <c r="B175" s="580" t="s">
        <v>295</v>
      </c>
      <c r="C175" s="586">
        <v>451.79701896626005</v>
      </c>
      <c r="D175" s="643">
        <v>407.67200000000003</v>
      </c>
      <c r="E175" s="586">
        <v>807.81100000000004</v>
      </c>
      <c r="F175" s="588">
        <v>0.50466260053403578</v>
      </c>
      <c r="G175" s="589">
        <v>1108.2365700029925</v>
      </c>
      <c r="H175" s="590">
        <v>5.6749372044192388</v>
      </c>
      <c r="I175" s="588">
        <v>0.3150926585535645</v>
      </c>
      <c r="J175" s="589">
        <v>195.28613799285327</v>
      </c>
      <c r="K175" s="615">
        <v>5.094018429253544E-2</v>
      </c>
    </row>
    <row r="176" spans="1:11">
      <c r="A176" s="580">
        <v>202412</v>
      </c>
      <c r="B176" s="580" t="s">
        <v>296</v>
      </c>
      <c r="C176" s="586">
        <f>'Resumen Digital'!C5</f>
        <v>412.36929870678</v>
      </c>
      <c r="D176" s="586">
        <f>'Resumen Digital'!C7</f>
        <v>399.56400000000002</v>
      </c>
      <c r="E176" s="589">
        <f>'Resumen Digital'!C9</f>
        <v>878.92899999999997</v>
      </c>
      <c r="F176" s="588">
        <f>'Resumen Digital'!C10</f>
        <v>0.45460327284683977</v>
      </c>
      <c r="G176" s="592">
        <f>'Resumen Digital'!C8</f>
        <v>1032.0481792823678</v>
      </c>
      <c r="H176" s="595">
        <f>'Resumen Digital'!C11</f>
        <v>5.8028701284399995</v>
      </c>
      <c r="I176" s="588">
        <f>+C176/C91</f>
        <v>0.24039274214751155</v>
      </c>
      <c r="J176" s="592">
        <f>+G176/H176</f>
        <v>177.85133157198814</v>
      </c>
      <c r="K176" s="588">
        <f>C176/C168-1</f>
        <v>7.3878382048906177E-2</v>
      </c>
    </row>
    <row r="177" spans="1:20">
      <c r="C177" s="586"/>
      <c r="D177" s="650"/>
      <c r="E177" s="586"/>
      <c r="F177" s="588"/>
      <c r="G177" s="589"/>
      <c r="H177" s="590"/>
      <c r="I177" s="588"/>
      <c r="J177" s="595"/>
    </row>
    <row r="178" spans="1:20">
      <c r="C178" s="581">
        <f>+T126*C37</f>
        <v>278.25063022880482</v>
      </c>
      <c r="D178" s="581">
        <f>+C178/C160-1</f>
        <v>-0.34813922008506126</v>
      </c>
    </row>
    <row r="179" spans="1:20">
      <c r="A179" s="651" t="s">
        <v>306</v>
      </c>
      <c r="C179" s="652" t="s">
        <v>15</v>
      </c>
      <c r="D179" s="653" t="s">
        <v>307</v>
      </c>
      <c r="E179" s="654"/>
      <c r="F179" s="654"/>
    </row>
    <row r="181" spans="1:20">
      <c r="A181" s="580" t="s">
        <v>250</v>
      </c>
      <c r="B181" s="580" t="s">
        <v>251</v>
      </c>
    </row>
    <row r="182" spans="1:20">
      <c r="A182" s="585">
        <v>2018</v>
      </c>
      <c r="B182" s="580" t="s">
        <v>272</v>
      </c>
      <c r="C182" s="588">
        <v>5.8132357504171159E-2</v>
      </c>
      <c r="D182" s="588">
        <v>0.10080404940946112</v>
      </c>
      <c r="F182" s="588"/>
      <c r="G182" s="588"/>
      <c r="H182" s="588" t="s">
        <v>308</v>
      </c>
      <c r="I182" s="588" t="s">
        <v>309</v>
      </c>
      <c r="J182" s="588" t="s">
        <v>310</v>
      </c>
      <c r="K182" s="588"/>
      <c r="L182" s="620"/>
      <c r="M182" s="604"/>
      <c r="N182" s="588"/>
      <c r="O182" s="604"/>
      <c r="P182" s="604"/>
      <c r="Q182" s="604"/>
      <c r="R182" s="604"/>
      <c r="S182" s="588"/>
      <c r="T182" s="588"/>
    </row>
    <row r="183" spans="1:20">
      <c r="A183" s="585">
        <v>2018</v>
      </c>
      <c r="B183" s="580" t="s">
        <v>273</v>
      </c>
      <c r="C183" s="588">
        <v>5.5563002125786624E-2</v>
      </c>
      <c r="D183" s="588">
        <v>9.9950846944948574E-2</v>
      </c>
      <c r="F183" s="588"/>
      <c r="G183" s="655">
        <v>43709</v>
      </c>
      <c r="H183" s="589">
        <f>+C113</f>
        <v>114.69930890801001</v>
      </c>
      <c r="I183" s="615">
        <f>+F137</f>
        <v>0.30433009932089156</v>
      </c>
      <c r="J183" s="588">
        <v>0.20666216724281508</v>
      </c>
    </row>
    <row r="184" spans="1:20">
      <c r="A184" s="585">
        <v>2018</v>
      </c>
      <c r="B184" s="580" t="s">
        <v>274</v>
      </c>
      <c r="C184" s="588">
        <v>5.2129077545972284E-2</v>
      </c>
      <c r="D184" s="588">
        <v>9.6032828971972059E-2</v>
      </c>
      <c r="F184" s="588"/>
      <c r="G184" s="655">
        <v>44075</v>
      </c>
      <c r="H184" s="589">
        <f>+C125</f>
        <v>124.75610417233001</v>
      </c>
      <c r="I184" s="615">
        <f>+F125</f>
        <v>0.23099973704381296</v>
      </c>
      <c r="J184" s="588">
        <v>0.19896113461214163</v>
      </c>
    </row>
    <row r="185" spans="1:20">
      <c r="A185" s="585">
        <v>2018</v>
      </c>
      <c r="B185" s="580" t="s">
        <v>275</v>
      </c>
      <c r="C185" s="588">
        <v>5.1938138283190723E-2</v>
      </c>
      <c r="D185" s="588">
        <v>9.6133367188003319E-2</v>
      </c>
      <c r="F185" s="588"/>
      <c r="G185" s="655">
        <v>44440</v>
      </c>
      <c r="H185" s="589">
        <f>+C137</f>
        <v>251.09152950660999</v>
      </c>
      <c r="I185" s="615">
        <f>+F137</f>
        <v>0.30433009932089156</v>
      </c>
      <c r="J185" s="588">
        <v>0.2197894002581694</v>
      </c>
    </row>
    <row r="186" spans="1:20">
      <c r="A186" s="585">
        <v>2018</v>
      </c>
      <c r="B186" s="580" t="s">
        <v>276</v>
      </c>
      <c r="C186" s="588">
        <v>5.2264657544463418E-2</v>
      </c>
      <c r="D186" s="588">
        <v>9.6070961155003118E-2</v>
      </c>
      <c r="F186" s="588"/>
      <c r="G186" s="655">
        <v>44805</v>
      </c>
      <c r="H186" s="589">
        <f>+C149</f>
        <v>343.96643645952997</v>
      </c>
      <c r="I186" s="615">
        <f>+F149</f>
        <v>0.35789184732490348</v>
      </c>
      <c r="J186" s="588">
        <v>0.21399523922839311</v>
      </c>
    </row>
    <row r="187" spans="1:20">
      <c r="A187" s="585">
        <v>2018</v>
      </c>
      <c r="B187" s="580" t="s">
        <v>277</v>
      </c>
      <c r="C187" s="588">
        <v>4.9969238156690327E-2</v>
      </c>
      <c r="D187" s="588">
        <v>9.4970730609028484E-2</v>
      </c>
      <c r="F187" s="588"/>
    </row>
    <row r="188" spans="1:20">
      <c r="A188" s="585">
        <v>2018</v>
      </c>
      <c r="B188" s="580" t="s">
        <v>278</v>
      </c>
      <c r="C188" s="588">
        <v>4.999105464095354E-2</v>
      </c>
      <c r="D188" s="588">
        <v>9.0092828067302316E-2</v>
      </c>
      <c r="F188" s="588"/>
      <c r="H188" s="588">
        <f>+(H186/H183)^(1/4)-1</f>
        <v>0.31594826697281908</v>
      </c>
    </row>
    <row r="189" spans="1:20">
      <c r="A189" s="585">
        <v>2018</v>
      </c>
      <c r="B189" s="580" t="s">
        <v>279</v>
      </c>
      <c r="C189" s="588">
        <v>4.6988015501909848E-2</v>
      </c>
      <c r="D189" s="588">
        <v>8.4424231498160085E-2</v>
      </c>
      <c r="F189" s="588"/>
    </row>
    <row r="190" spans="1:20">
      <c r="A190" s="585">
        <v>2018</v>
      </c>
      <c r="B190" s="580" t="s">
        <v>280</v>
      </c>
      <c r="C190" s="588">
        <v>4.638503986433945E-2</v>
      </c>
      <c r="D190" s="588">
        <v>8.5104628145913852E-2</v>
      </c>
      <c r="F190" s="588"/>
    </row>
    <row r="191" spans="1:20">
      <c r="A191" s="585">
        <v>2018</v>
      </c>
      <c r="B191" s="580" t="s">
        <v>281</v>
      </c>
      <c r="C191" s="588">
        <v>4.721806345987524E-2</v>
      </c>
      <c r="D191" s="588">
        <v>9.0833572731531073E-2</v>
      </c>
    </row>
    <row r="192" spans="1:20">
      <c r="A192" s="585">
        <v>2018</v>
      </c>
      <c r="B192" s="580" t="s">
        <v>282</v>
      </c>
      <c r="C192" s="588">
        <v>4.8107133271207858E-2</v>
      </c>
      <c r="D192" s="588">
        <v>9.0453486343060677E-2</v>
      </c>
    </row>
    <row r="193" spans="1:21">
      <c r="A193" s="585">
        <v>2018</v>
      </c>
      <c r="B193" s="580" t="s">
        <v>283</v>
      </c>
      <c r="C193" s="588">
        <v>4.594189959327085E-2</v>
      </c>
      <c r="D193" s="588">
        <v>8.9987572225233764E-2</v>
      </c>
    </row>
    <row r="194" spans="1:21">
      <c r="A194" s="585">
        <v>2019</v>
      </c>
      <c r="B194" s="580" t="s">
        <v>272</v>
      </c>
      <c r="C194" s="588">
        <v>4.9719238318281511E-2</v>
      </c>
      <c r="D194" s="588">
        <v>0.10023055470814851</v>
      </c>
    </row>
    <row r="195" spans="1:21">
      <c r="A195" s="585">
        <v>2019</v>
      </c>
      <c r="B195" s="580" t="s">
        <v>273</v>
      </c>
      <c r="C195" s="588">
        <v>4.5582964355822132E-2</v>
      </c>
      <c r="D195" s="588">
        <v>9.1485783005729224E-2</v>
      </c>
    </row>
    <row r="196" spans="1:21">
      <c r="A196" s="585">
        <v>2019</v>
      </c>
      <c r="B196" s="580" t="s">
        <v>274</v>
      </c>
      <c r="C196" s="588">
        <v>4.628400353319527E-2</v>
      </c>
      <c r="D196" s="588">
        <v>8.9342581843789584E-2</v>
      </c>
    </row>
    <row r="197" spans="1:21">
      <c r="A197" s="585">
        <v>2019</v>
      </c>
      <c r="B197" s="580" t="s">
        <v>275</v>
      </c>
      <c r="C197" s="588">
        <v>4.8237315228098869E-2</v>
      </c>
      <c r="D197" s="588">
        <v>9.3504942641219863E-2</v>
      </c>
    </row>
    <row r="198" spans="1:21">
      <c r="A198" s="585">
        <v>2019</v>
      </c>
      <c r="B198" s="580" t="s">
        <v>276</v>
      </c>
      <c r="C198" s="588">
        <v>4.8114815432243961E-2</v>
      </c>
      <c r="D198" s="588">
        <v>9.5686172520316859E-2</v>
      </c>
    </row>
    <row r="199" spans="1:21">
      <c r="A199" s="585">
        <v>2019</v>
      </c>
      <c r="B199" s="580" t="s">
        <v>277</v>
      </c>
      <c r="C199" s="588">
        <v>4.422005101059813E-2</v>
      </c>
      <c r="D199" s="588">
        <v>8.7508092412682065E-2</v>
      </c>
    </row>
    <row r="200" spans="1:21">
      <c r="A200" s="585">
        <v>2019</v>
      </c>
      <c r="B200" s="580" t="s">
        <v>278</v>
      </c>
      <c r="C200" s="588">
        <v>4.3893619551513482E-2</v>
      </c>
      <c r="D200" s="588">
        <v>8.7105258801429927E-2</v>
      </c>
    </row>
    <row r="201" spans="1:21">
      <c r="A201" s="585">
        <v>2019</v>
      </c>
      <c r="B201" s="580" t="s">
        <v>279</v>
      </c>
      <c r="C201" s="588">
        <v>4.5148507139345019E-2</v>
      </c>
      <c r="D201" s="588">
        <v>8.9151131667918854E-2</v>
      </c>
    </row>
    <row r="202" spans="1:21">
      <c r="A202" s="585">
        <v>2019</v>
      </c>
      <c r="B202" s="580" t="s">
        <v>280</v>
      </c>
      <c r="C202" s="588">
        <v>4.2999999999999997E-2</v>
      </c>
      <c r="D202" s="588">
        <v>8.7999999999999995E-2</v>
      </c>
    </row>
    <row r="203" spans="1:21">
      <c r="A203" s="585">
        <v>2019</v>
      </c>
      <c r="B203" s="580" t="s">
        <v>281</v>
      </c>
      <c r="C203" s="588">
        <v>4.4999999999999998E-2</v>
      </c>
      <c r="D203" s="588">
        <v>9.0999999999999998E-2</v>
      </c>
      <c r="F203" s="588"/>
      <c r="G203" s="588"/>
      <c r="H203" s="588"/>
      <c r="I203" s="588"/>
      <c r="J203" s="588"/>
      <c r="K203" s="588"/>
      <c r="L203" s="620"/>
      <c r="M203" s="604"/>
      <c r="N203" s="588"/>
      <c r="O203" s="604"/>
      <c r="P203" s="604"/>
      <c r="Q203" s="604"/>
      <c r="R203" s="604"/>
      <c r="S203" s="588"/>
      <c r="T203" s="588"/>
      <c r="U203" s="588"/>
    </row>
    <row r="204" spans="1:21">
      <c r="A204" s="585">
        <v>2019</v>
      </c>
      <c r="B204" s="580" t="s">
        <v>282</v>
      </c>
      <c r="C204" s="588">
        <v>4.5999999999999999E-2</v>
      </c>
      <c r="D204" s="588">
        <v>9.0999999999999998E-2</v>
      </c>
    </row>
    <row r="205" spans="1:21">
      <c r="A205" s="585">
        <v>2019</v>
      </c>
      <c r="B205" s="580" t="s">
        <v>283</v>
      </c>
      <c r="C205" s="588">
        <v>4.9000000000000002E-2</v>
      </c>
      <c r="D205" s="588">
        <v>9.5000000000000001E-2</v>
      </c>
    </row>
    <row r="206" spans="1:21">
      <c r="A206" s="585">
        <v>2020</v>
      </c>
      <c r="B206" s="580" t="s">
        <v>272</v>
      </c>
      <c r="C206" s="588">
        <v>3.1874818140499001E-2</v>
      </c>
      <c r="D206" s="588">
        <v>7.3258107493143543E-2</v>
      </c>
    </row>
    <row r="207" spans="1:21">
      <c r="A207" s="585">
        <v>2020</v>
      </c>
      <c r="B207" s="580" t="s">
        <v>273</v>
      </c>
      <c r="C207" s="588">
        <v>3.257189144592245E-2</v>
      </c>
      <c r="D207" s="588">
        <v>7.6463029300481766E-2</v>
      </c>
    </row>
    <row r="208" spans="1:21">
      <c r="A208" s="585">
        <v>2020</v>
      </c>
      <c r="B208" s="580" t="s">
        <v>274</v>
      </c>
      <c r="C208" s="588">
        <v>3.1468381855894297E-2</v>
      </c>
      <c r="D208" s="588">
        <v>8.6651280685107759E-2</v>
      </c>
    </row>
    <row r="209" spans="1:21">
      <c r="A209" s="585">
        <v>2020</v>
      </c>
      <c r="B209" s="580" t="s">
        <v>275</v>
      </c>
      <c r="C209" s="588">
        <v>2.7434292576049461E-2</v>
      </c>
      <c r="D209" s="588">
        <v>8.2518167972700424E-2</v>
      </c>
      <c r="F209" s="588"/>
      <c r="G209" s="588"/>
      <c r="H209" s="588"/>
      <c r="I209" s="588"/>
      <c r="J209" s="588"/>
      <c r="K209" s="588"/>
      <c r="L209" s="620"/>
      <c r="M209" s="604"/>
      <c r="N209" s="588"/>
      <c r="O209" s="604"/>
      <c r="P209" s="604"/>
      <c r="Q209" s="604"/>
      <c r="R209" s="604"/>
      <c r="S209" s="588"/>
      <c r="T209" s="588"/>
      <c r="U209" s="588"/>
    </row>
    <row r="210" spans="1:21">
      <c r="A210" s="585">
        <v>2020</v>
      </c>
      <c r="B210" s="580" t="s">
        <v>276</v>
      </c>
      <c r="C210" s="588">
        <v>4.8085821230857279E-2</v>
      </c>
      <c r="D210" s="588">
        <v>0.10418521185941315</v>
      </c>
      <c r="F210" s="588">
        <v>4.8252667555761478E-2</v>
      </c>
      <c r="G210" s="588">
        <v>8.8999999999999996E-2</v>
      </c>
    </row>
    <row r="211" spans="1:21">
      <c r="A211" s="585">
        <v>2020</v>
      </c>
      <c r="B211" s="580" t="s">
        <v>277</v>
      </c>
      <c r="C211" s="588" t="e">
        <f>+Resumen!#REF!</f>
        <v>#REF!</v>
      </c>
      <c r="D211" s="588" t="e">
        <f>+'Resumen Digital'!#REF!</f>
        <v>#REF!</v>
      </c>
      <c r="F211" s="588">
        <v>4.6410345404506212E-2</v>
      </c>
      <c r="G211" s="588">
        <v>8.2000000000000003E-2</v>
      </c>
    </row>
    <row r="212" spans="1:21">
      <c r="A212" s="585">
        <v>2020</v>
      </c>
      <c r="B212" s="580" t="s">
        <v>278</v>
      </c>
      <c r="C212" s="588">
        <f t="shared" ref="C212:C217" si="27">+F212</f>
        <v>4.5472163278916754E-2</v>
      </c>
      <c r="D212" s="588">
        <f t="shared" ref="D212:D217" si="28">+G212</f>
        <v>7.6999999999999999E-2</v>
      </c>
      <c r="F212" s="588">
        <v>4.5472163278916754E-2</v>
      </c>
      <c r="G212" s="588">
        <v>7.6999999999999999E-2</v>
      </c>
    </row>
    <row r="213" spans="1:21">
      <c r="A213" s="585">
        <v>2020</v>
      </c>
      <c r="B213" s="580" t="s">
        <v>279</v>
      </c>
      <c r="C213" s="588">
        <f t="shared" si="27"/>
        <v>4.602363842246792E-2</v>
      </c>
      <c r="D213" s="588">
        <f t="shared" si="28"/>
        <v>7.9000000000000001E-2</v>
      </c>
      <c r="F213" s="588">
        <v>4.602363842246792E-2</v>
      </c>
      <c r="G213" s="588">
        <v>7.9000000000000001E-2</v>
      </c>
    </row>
    <row r="214" spans="1:21">
      <c r="A214" s="585">
        <v>2020</v>
      </c>
      <c r="B214" s="580" t="s">
        <v>280</v>
      </c>
      <c r="C214" s="588">
        <f t="shared" si="27"/>
        <v>4.5025645751780898E-2</v>
      </c>
      <c r="D214" s="588">
        <f t="shared" si="28"/>
        <v>7.6999999999999999E-2</v>
      </c>
      <c r="F214" s="588">
        <v>4.5025645751780898E-2</v>
      </c>
      <c r="G214" s="588">
        <v>7.6999999999999999E-2</v>
      </c>
    </row>
    <row r="215" spans="1:21">
      <c r="A215" s="585">
        <v>2020</v>
      </c>
      <c r="B215" s="580" t="s">
        <v>281</v>
      </c>
      <c r="C215" s="588">
        <f t="shared" si="27"/>
        <v>4.3522118815506487E-2</v>
      </c>
      <c r="D215" s="588">
        <f t="shared" si="28"/>
        <v>7.2999999999999995E-2</v>
      </c>
      <c r="F215" s="588">
        <v>4.3522118815506487E-2</v>
      </c>
      <c r="G215" s="588">
        <v>7.2999999999999995E-2</v>
      </c>
    </row>
    <row r="216" spans="1:21">
      <c r="A216" s="585">
        <v>2020</v>
      </c>
      <c r="B216" s="580" t="s">
        <v>282</v>
      </c>
      <c r="C216" s="588">
        <f t="shared" si="27"/>
        <v>4.3019384227274256E-2</v>
      </c>
      <c r="D216" s="588">
        <f t="shared" si="28"/>
        <v>7.0000000000000007E-2</v>
      </c>
      <c r="F216" s="588">
        <v>4.3019384227274256E-2</v>
      </c>
      <c r="G216" s="588">
        <v>7.0000000000000007E-2</v>
      </c>
    </row>
    <row r="217" spans="1:21">
      <c r="A217" s="585">
        <v>2020</v>
      </c>
      <c r="B217" s="580" t="s">
        <v>283</v>
      </c>
      <c r="C217" s="588">
        <f t="shared" si="27"/>
        <v>3.970185863843164E-2</v>
      </c>
      <c r="D217" s="588">
        <f t="shared" si="28"/>
        <v>6.6000000000000003E-2</v>
      </c>
      <c r="F217" s="588">
        <v>3.970185863843164E-2</v>
      </c>
      <c r="G217" s="588">
        <v>6.6000000000000003E-2</v>
      </c>
    </row>
    <row r="218" spans="1:21">
      <c r="A218" s="585" t="s">
        <v>311</v>
      </c>
    </row>
    <row r="224" spans="1:21">
      <c r="B224" s="585">
        <v>7</v>
      </c>
      <c r="C224" s="656">
        <v>14</v>
      </c>
      <c r="D224" s="656">
        <v>21</v>
      </c>
      <c r="E224" s="585">
        <v>28</v>
      </c>
      <c r="F224" s="585">
        <v>31</v>
      </c>
      <c r="G224" s="585"/>
      <c r="H224" s="657"/>
      <c r="I224" s="585">
        <v>7</v>
      </c>
      <c r="J224" s="656">
        <v>14</v>
      </c>
      <c r="K224" s="656">
        <v>21</v>
      </c>
      <c r="L224" s="656"/>
      <c r="M224" s="658"/>
      <c r="N224" s="656"/>
      <c r="O224" s="658"/>
      <c r="P224" s="658"/>
      <c r="Q224" s="658"/>
      <c r="R224" s="658"/>
      <c r="S224" s="585">
        <v>28</v>
      </c>
      <c r="T224" s="585">
        <v>31</v>
      </c>
    </row>
    <row r="225" spans="1:25">
      <c r="A225" s="580" t="s">
        <v>312</v>
      </c>
      <c r="B225" s="585" t="s">
        <v>313</v>
      </c>
      <c r="C225" s="659" t="s">
        <v>314</v>
      </c>
      <c r="D225" s="659" t="s">
        <v>315</v>
      </c>
      <c r="E225" s="585" t="s">
        <v>316</v>
      </c>
      <c r="F225" s="585" t="s">
        <v>317</v>
      </c>
      <c r="G225" s="585"/>
      <c r="H225" s="660" t="s">
        <v>318</v>
      </c>
      <c r="I225" s="585" t="s">
        <v>313</v>
      </c>
      <c r="J225" s="659" t="s">
        <v>314</v>
      </c>
      <c r="K225" s="659" t="s">
        <v>315</v>
      </c>
      <c r="L225" s="656"/>
      <c r="M225" s="661"/>
      <c r="N225" s="659"/>
      <c r="O225" s="661"/>
      <c r="P225" s="661"/>
      <c r="Q225" s="661"/>
      <c r="R225" s="661"/>
      <c r="S225" s="585" t="s">
        <v>316</v>
      </c>
      <c r="T225" s="585" t="s">
        <v>317</v>
      </c>
      <c r="X225" s="580" t="s">
        <v>319</v>
      </c>
      <c r="Y225" s="580" t="s">
        <v>320</v>
      </c>
    </row>
    <row r="226" spans="1:25">
      <c r="A226" s="580" t="s">
        <v>321</v>
      </c>
      <c r="B226" s="662"/>
      <c r="C226" s="662"/>
      <c r="D226" s="662"/>
      <c r="E226" s="662"/>
      <c r="F226" s="662"/>
      <c r="H226" s="621" t="s">
        <v>321</v>
      </c>
      <c r="I226" s="662"/>
      <c r="J226" s="662"/>
      <c r="K226" s="662"/>
      <c r="M226" s="662"/>
      <c r="N226" s="662"/>
      <c r="O226" s="662"/>
      <c r="P226" s="662"/>
      <c r="Q226" s="662"/>
      <c r="R226" s="662"/>
      <c r="S226" s="662"/>
      <c r="T226" s="662"/>
      <c r="X226" s="662">
        <f t="shared" ref="X226:X236" si="29">+SUM(B226:F226)</f>
        <v>0</v>
      </c>
      <c r="Y226" s="662">
        <f t="shared" ref="Y226:Y232" si="30">+SUM(I226:T226)</f>
        <v>0</v>
      </c>
    </row>
    <row r="227" spans="1:25">
      <c r="A227" s="580" t="s">
        <v>322</v>
      </c>
      <c r="B227" s="662"/>
      <c r="C227" s="662"/>
      <c r="D227" s="662"/>
      <c r="E227" s="662"/>
      <c r="F227" s="662"/>
      <c r="H227" s="621" t="s">
        <v>323</v>
      </c>
      <c r="I227" s="662"/>
      <c r="J227" s="662"/>
      <c r="K227" s="662"/>
      <c r="M227" s="662"/>
      <c r="N227" s="662"/>
      <c r="O227" s="662"/>
      <c r="P227" s="662"/>
      <c r="Q227" s="662"/>
      <c r="R227" s="662"/>
      <c r="S227" s="662"/>
      <c r="T227" s="662"/>
      <c r="X227" s="662">
        <f t="shared" si="29"/>
        <v>0</v>
      </c>
      <c r="Y227" s="662">
        <f t="shared" si="30"/>
        <v>0</v>
      </c>
    </row>
    <row r="228" spans="1:25">
      <c r="A228" s="580" t="s">
        <v>323</v>
      </c>
      <c r="B228" s="662"/>
      <c r="C228" s="662"/>
      <c r="D228" s="662"/>
      <c r="E228" s="662"/>
      <c r="F228" s="662"/>
      <c r="H228" s="621" t="s">
        <v>324</v>
      </c>
      <c r="I228" s="662"/>
      <c r="J228" s="662"/>
      <c r="K228" s="662"/>
      <c r="M228" s="662"/>
      <c r="N228" s="662"/>
      <c r="O228" s="662"/>
      <c r="P228" s="662"/>
      <c r="Q228" s="662"/>
      <c r="R228" s="662"/>
      <c r="S228" s="662"/>
      <c r="T228" s="662"/>
      <c r="X228" s="662">
        <f t="shared" si="29"/>
        <v>0</v>
      </c>
      <c r="Y228" s="662">
        <f t="shared" si="30"/>
        <v>0</v>
      </c>
    </row>
    <row r="229" spans="1:25">
      <c r="A229" s="580" t="s">
        <v>324</v>
      </c>
      <c r="B229" s="662"/>
      <c r="C229" s="662"/>
      <c r="D229" s="662"/>
      <c r="E229" s="662"/>
      <c r="F229" s="662"/>
      <c r="H229" s="621" t="s">
        <v>322</v>
      </c>
      <c r="I229" s="662"/>
      <c r="J229" s="662"/>
      <c r="K229" s="662"/>
      <c r="M229" s="662"/>
      <c r="N229" s="662"/>
      <c r="O229" s="662"/>
      <c r="P229" s="662"/>
      <c r="Q229" s="662"/>
      <c r="R229" s="662"/>
      <c r="S229" s="662"/>
      <c r="T229" s="662"/>
      <c r="X229" s="662">
        <f t="shared" si="29"/>
        <v>0</v>
      </c>
      <c r="Y229" s="662">
        <f t="shared" si="30"/>
        <v>0</v>
      </c>
    </row>
    <row r="230" spans="1:25">
      <c r="A230" s="580" t="s">
        <v>325</v>
      </c>
      <c r="B230" s="662"/>
      <c r="C230" s="662"/>
      <c r="D230" s="662"/>
      <c r="E230" s="662"/>
      <c r="F230" s="662"/>
      <c r="H230" s="580" t="s">
        <v>325</v>
      </c>
      <c r="I230" s="662"/>
      <c r="J230" s="662"/>
      <c r="K230" s="662"/>
      <c r="M230" s="662"/>
      <c r="N230" s="662"/>
      <c r="O230" s="662"/>
      <c r="P230" s="662"/>
      <c r="Q230" s="662"/>
      <c r="R230" s="662"/>
      <c r="S230" s="662"/>
      <c r="T230" s="662"/>
      <c r="X230" s="662">
        <f t="shared" si="29"/>
        <v>0</v>
      </c>
      <c r="Y230" s="662">
        <f t="shared" si="30"/>
        <v>0</v>
      </c>
    </row>
    <row r="231" spans="1:25">
      <c r="A231" s="580" t="s">
        <v>326</v>
      </c>
      <c r="B231" s="662"/>
      <c r="C231" s="662"/>
      <c r="D231" s="662"/>
      <c r="E231" s="662"/>
      <c r="F231" s="662"/>
      <c r="H231" s="621" t="s">
        <v>326</v>
      </c>
      <c r="I231" s="662"/>
      <c r="J231" s="662"/>
      <c r="K231" s="662"/>
      <c r="M231" s="662"/>
      <c r="N231" s="662"/>
      <c r="O231" s="662"/>
      <c r="P231" s="662"/>
      <c r="Q231" s="662"/>
      <c r="R231" s="662"/>
      <c r="S231" s="662"/>
      <c r="T231" s="662"/>
      <c r="X231" s="662">
        <f t="shared" si="29"/>
        <v>0</v>
      </c>
      <c r="Y231" s="662">
        <f t="shared" si="30"/>
        <v>0</v>
      </c>
    </row>
    <row r="232" spans="1:25">
      <c r="A232" s="580" t="s">
        <v>327</v>
      </c>
      <c r="B232" s="662"/>
      <c r="C232" s="662"/>
      <c r="D232" s="662"/>
      <c r="E232" s="662"/>
      <c r="F232" s="662"/>
      <c r="H232" s="621" t="s">
        <v>328</v>
      </c>
      <c r="I232" s="662"/>
      <c r="J232" s="662"/>
      <c r="K232" s="662"/>
      <c r="M232" s="662"/>
      <c r="N232" s="662"/>
      <c r="O232" s="662"/>
      <c r="P232" s="662"/>
      <c r="Q232" s="662"/>
      <c r="R232" s="662"/>
      <c r="S232" s="662"/>
      <c r="T232" s="662"/>
      <c r="X232" s="662">
        <f t="shared" si="29"/>
        <v>0</v>
      </c>
      <c r="Y232" s="662">
        <f t="shared" si="30"/>
        <v>0</v>
      </c>
    </row>
    <row r="233" spans="1:25">
      <c r="A233" s="580" t="s">
        <v>329</v>
      </c>
      <c r="B233" s="662"/>
      <c r="C233" s="662"/>
      <c r="D233" s="662"/>
      <c r="E233" s="662"/>
      <c r="F233" s="662"/>
      <c r="H233" s="621"/>
      <c r="I233" s="662"/>
      <c r="J233" s="662"/>
      <c r="K233" s="662"/>
      <c r="M233" s="662"/>
      <c r="N233" s="662"/>
      <c r="O233" s="662"/>
      <c r="P233" s="662"/>
      <c r="Q233" s="662"/>
      <c r="R233" s="662"/>
      <c r="S233" s="662"/>
      <c r="T233" s="662"/>
      <c r="X233" s="662">
        <f t="shared" si="29"/>
        <v>0</v>
      </c>
      <c r="Y233" s="662"/>
    </row>
    <row r="234" spans="1:25">
      <c r="A234" s="580" t="s">
        <v>330</v>
      </c>
      <c r="B234" s="662"/>
      <c r="C234" s="662"/>
      <c r="D234" s="662"/>
      <c r="E234" s="662"/>
      <c r="F234" s="662"/>
      <c r="H234" s="621"/>
      <c r="X234" s="662">
        <f t="shared" si="29"/>
        <v>0</v>
      </c>
      <c r="Y234" s="662"/>
    </row>
    <row r="235" spans="1:25">
      <c r="A235" s="580" t="s">
        <v>331</v>
      </c>
      <c r="B235" s="662"/>
      <c r="C235" s="662"/>
      <c r="D235" s="662"/>
      <c r="E235" s="662"/>
      <c r="F235" s="662"/>
      <c r="H235" s="621"/>
      <c r="X235" s="662">
        <f t="shared" si="29"/>
        <v>0</v>
      </c>
      <c r="Y235" s="662"/>
    </row>
    <row r="236" spans="1:25">
      <c r="A236" s="580" t="s">
        <v>328</v>
      </c>
      <c r="B236" s="662"/>
      <c r="C236" s="662"/>
      <c r="D236" s="662"/>
      <c r="E236" s="662"/>
      <c r="F236" s="662"/>
      <c r="H236" s="621"/>
      <c r="X236" s="662">
        <f t="shared" si="29"/>
        <v>0</v>
      </c>
      <c r="Y236" s="662"/>
    </row>
    <row r="237" spans="1:25">
      <c r="B237" s="662"/>
      <c r="C237" s="662"/>
      <c r="D237" s="662"/>
      <c r="E237" s="662"/>
      <c r="F237" s="662"/>
      <c r="H237" s="621"/>
    </row>
    <row r="238" spans="1:25">
      <c r="B238" s="662"/>
      <c r="C238" s="662"/>
      <c r="D238" s="662"/>
      <c r="E238" s="662"/>
      <c r="F238" s="662"/>
      <c r="H238" s="621"/>
      <c r="I238" s="662"/>
      <c r="J238" s="662"/>
      <c r="K238" s="662"/>
      <c r="M238" s="662"/>
      <c r="N238" s="662"/>
      <c r="O238" s="662"/>
      <c r="P238" s="662"/>
      <c r="Q238" s="662"/>
      <c r="R238" s="662"/>
      <c r="S238" s="662"/>
      <c r="T238" s="662"/>
    </row>
    <row r="239" spans="1:25">
      <c r="A239" s="580" t="s">
        <v>15</v>
      </c>
      <c r="B239" s="662">
        <f>+SUM(B226:B237)</f>
        <v>0</v>
      </c>
      <c r="C239" s="662">
        <f>+SUM(C226:C237)</f>
        <v>0</v>
      </c>
      <c r="D239" s="662">
        <f>+SUM(D226:D237)</f>
        <v>0</v>
      </c>
      <c r="E239" s="662">
        <f>+SUM(E226:E237)</f>
        <v>0</v>
      </c>
      <c r="F239" s="662">
        <f>+SUM(F226:F237)</f>
        <v>0</v>
      </c>
      <c r="H239" s="621" t="s">
        <v>15</v>
      </c>
      <c r="I239" s="662">
        <f>+SUM(I226:I232)</f>
        <v>0</v>
      </c>
      <c r="J239" s="662">
        <f>+SUM(J226:J232)</f>
        <v>0</v>
      </c>
      <c r="K239" s="662">
        <f>+SUM(K226:K232)</f>
        <v>0</v>
      </c>
      <c r="M239" s="662"/>
      <c r="N239" s="662"/>
      <c r="O239" s="662"/>
      <c r="P239" s="662"/>
      <c r="Q239" s="662"/>
      <c r="R239" s="662"/>
      <c r="S239" s="662">
        <f>+SUM(S226:S232)</f>
        <v>0</v>
      </c>
      <c r="T239" s="662">
        <f>+SUM(T226:T232)</f>
        <v>0</v>
      </c>
    </row>
    <row r="240" spans="1:25">
      <c r="B240" s="662">
        <f>+B239+C239+D239+E239+F239</f>
        <v>0</v>
      </c>
      <c r="H240" s="621"/>
    </row>
    <row r="241" spans="1:20">
      <c r="H241" s="621"/>
    </row>
    <row r="242" spans="1:20">
      <c r="A242" s="580" t="s">
        <v>312</v>
      </c>
      <c r="B242" s="585" t="s">
        <v>313</v>
      </c>
      <c r="C242" s="659" t="s">
        <v>314</v>
      </c>
      <c r="D242" s="659" t="s">
        <v>315</v>
      </c>
      <c r="E242" s="585" t="s">
        <v>316</v>
      </c>
      <c r="F242" s="585" t="s">
        <v>317</v>
      </c>
      <c r="H242" s="660" t="s">
        <v>318</v>
      </c>
      <c r="I242" s="585" t="s">
        <v>313</v>
      </c>
      <c r="J242" s="659" t="s">
        <v>314</v>
      </c>
      <c r="K242" s="659" t="s">
        <v>315</v>
      </c>
      <c r="L242" s="656"/>
      <c r="M242" s="661"/>
      <c r="N242" s="659"/>
      <c r="O242" s="661"/>
      <c r="P242" s="661"/>
      <c r="Q242" s="661"/>
      <c r="R242" s="661"/>
      <c r="S242" s="585" t="s">
        <v>316</v>
      </c>
      <c r="T242" s="585" t="s">
        <v>317</v>
      </c>
    </row>
    <row r="243" spans="1:20">
      <c r="A243" s="580" t="s">
        <v>321</v>
      </c>
      <c r="B243" s="601" t="str">
        <f t="shared" ref="B243:F246" si="31">+IFERROR(B226/B$239,"")</f>
        <v/>
      </c>
      <c r="C243" s="601" t="str">
        <f t="shared" si="31"/>
        <v/>
      </c>
      <c r="D243" s="601" t="str">
        <f t="shared" si="31"/>
        <v/>
      </c>
      <c r="E243" s="601" t="str">
        <f t="shared" si="31"/>
        <v/>
      </c>
      <c r="F243" s="601" t="str">
        <f t="shared" si="31"/>
        <v/>
      </c>
      <c r="H243" s="621" t="s">
        <v>321</v>
      </c>
      <c r="I243" s="601" t="str">
        <f>IFERROR(+I226/I$239,"")</f>
        <v/>
      </c>
      <c r="J243" s="601" t="str">
        <f>IFERROR(+J226/J$239,"")</f>
        <v/>
      </c>
      <c r="K243" s="601" t="str">
        <f>IFERROR(+K226/K$239,"")</f>
        <v/>
      </c>
      <c r="L243" s="620"/>
      <c r="M243" s="606"/>
      <c r="N243" s="601"/>
      <c r="O243" s="606"/>
      <c r="P243" s="606"/>
      <c r="Q243" s="606"/>
      <c r="R243" s="606"/>
      <c r="S243" s="601" t="str">
        <f>IFERROR(+S226/S$239,"")</f>
        <v/>
      </c>
      <c r="T243" s="601" t="str">
        <f>IFERROR(+T226/T$239,"")</f>
        <v/>
      </c>
    </row>
    <row r="244" spans="1:20">
      <c r="A244" s="580" t="s">
        <v>322</v>
      </c>
      <c r="B244" s="601" t="str">
        <f t="shared" si="31"/>
        <v/>
      </c>
      <c r="C244" s="601" t="str">
        <f t="shared" si="31"/>
        <v/>
      </c>
      <c r="D244" s="601" t="str">
        <f t="shared" si="31"/>
        <v/>
      </c>
      <c r="E244" s="601" t="str">
        <f t="shared" si="31"/>
        <v/>
      </c>
      <c r="F244" s="601" t="str">
        <f t="shared" si="31"/>
        <v/>
      </c>
      <c r="H244" s="621" t="s">
        <v>323</v>
      </c>
      <c r="I244" s="601" t="str">
        <f t="shared" ref="I244:T244" si="32">IFERROR(+I227/I$239,"")</f>
        <v/>
      </c>
      <c r="J244" s="601" t="str">
        <f t="shared" si="32"/>
        <v/>
      </c>
      <c r="K244" s="601" t="str">
        <f t="shared" si="32"/>
        <v/>
      </c>
      <c r="L244" s="620"/>
      <c r="M244" s="606"/>
      <c r="N244" s="601"/>
      <c r="O244" s="606"/>
      <c r="P244" s="606"/>
      <c r="Q244" s="606"/>
      <c r="R244" s="606"/>
      <c r="S244" s="601" t="str">
        <f t="shared" si="32"/>
        <v/>
      </c>
      <c r="T244" s="601" t="str">
        <f t="shared" si="32"/>
        <v/>
      </c>
    </row>
    <row r="245" spans="1:20">
      <c r="A245" s="580" t="s">
        <v>323</v>
      </c>
      <c r="B245" s="601" t="str">
        <f t="shared" si="31"/>
        <v/>
      </c>
      <c r="C245" s="601" t="str">
        <f t="shared" si="31"/>
        <v/>
      </c>
      <c r="D245" s="601" t="str">
        <f t="shared" si="31"/>
        <v/>
      </c>
      <c r="E245" s="601" t="str">
        <f t="shared" si="31"/>
        <v/>
      </c>
      <c r="F245" s="601" t="str">
        <f t="shared" si="31"/>
        <v/>
      </c>
      <c r="H245" s="621" t="s">
        <v>324</v>
      </c>
      <c r="I245" s="601" t="str">
        <f t="shared" ref="I245:T245" si="33">IFERROR(+I228/I$239,"")</f>
        <v/>
      </c>
      <c r="J245" s="601" t="str">
        <f t="shared" si="33"/>
        <v/>
      </c>
      <c r="K245" s="601" t="str">
        <f t="shared" si="33"/>
        <v/>
      </c>
      <c r="L245" s="620"/>
      <c r="M245" s="606"/>
      <c r="N245" s="601"/>
      <c r="O245" s="606"/>
      <c r="P245" s="606"/>
      <c r="Q245" s="606"/>
      <c r="R245" s="606"/>
      <c r="S245" s="601" t="str">
        <f t="shared" si="33"/>
        <v/>
      </c>
      <c r="T245" s="601" t="str">
        <f t="shared" si="33"/>
        <v/>
      </c>
    </row>
    <row r="246" spans="1:20">
      <c r="A246" s="580" t="s">
        <v>324</v>
      </c>
      <c r="B246" s="601" t="str">
        <f t="shared" si="31"/>
        <v/>
      </c>
      <c r="C246" s="601" t="str">
        <f t="shared" si="31"/>
        <v/>
      </c>
      <c r="D246" s="601" t="str">
        <f t="shared" si="31"/>
        <v/>
      </c>
      <c r="E246" s="601" t="str">
        <f t="shared" si="31"/>
        <v/>
      </c>
      <c r="F246" s="601" t="str">
        <f t="shared" si="31"/>
        <v/>
      </c>
      <c r="H246" s="621" t="s">
        <v>322</v>
      </c>
      <c r="I246" s="601" t="str">
        <f>IFERROR(+I229/I$239,"")</f>
        <v/>
      </c>
      <c r="J246" s="601" t="str">
        <f>IFERROR(+J230/J$239,"")</f>
        <v/>
      </c>
      <c r="K246" s="601" t="str">
        <f>IFERROR(+K230/K$239,"")</f>
        <v/>
      </c>
      <c r="L246" s="620"/>
      <c r="M246" s="606"/>
      <c r="N246" s="601"/>
      <c r="O246" s="606"/>
      <c r="P246" s="606"/>
      <c r="Q246" s="606"/>
      <c r="R246" s="606"/>
      <c r="S246" s="601" t="str">
        <f>IFERROR(+S230/S$239,"")</f>
        <v/>
      </c>
      <c r="T246" s="601" t="str">
        <f>IFERROR(+T230/T$239,"")</f>
        <v/>
      </c>
    </row>
    <row r="247" spans="1:20">
      <c r="A247" s="580" t="s">
        <v>325</v>
      </c>
      <c r="B247" s="601" t="str">
        <f>+IFERROR(B230/B$239,"")</f>
        <v/>
      </c>
      <c r="C247" s="601" t="str">
        <f t="shared" ref="C247:F248" si="34">+IFERROR(C231/C$239,"")</f>
        <v/>
      </c>
      <c r="D247" s="601" t="str">
        <f t="shared" si="34"/>
        <v/>
      </c>
      <c r="E247" s="601" t="str">
        <f t="shared" si="34"/>
        <v/>
      </c>
      <c r="F247" s="601" t="str">
        <f t="shared" si="34"/>
        <v/>
      </c>
      <c r="H247" s="580" t="s">
        <v>325</v>
      </c>
      <c r="I247" s="601" t="str">
        <f>IFERROR(+I230/I$239,"")</f>
        <v/>
      </c>
      <c r="J247" s="601" t="str">
        <f>IFERROR(+J231/J$239,"")</f>
        <v/>
      </c>
      <c r="K247" s="601" t="str">
        <f>IFERROR(+K231/K$239,"")</f>
        <v/>
      </c>
      <c r="L247" s="620"/>
      <c r="M247" s="606"/>
      <c r="N247" s="601"/>
      <c r="O247" s="606"/>
      <c r="P247" s="606"/>
      <c r="Q247" s="606"/>
      <c r="R247" s="606"/>
      <c r="S247" s="601" t="str">
        <f>IFERROR(+S231/S$239,"")</f>
        <v/>
      </c>
      <c r="T247" s="601" t="str">
        <f>IFERROR(+T231/T$239,"")</f>
        <v/>
      </c>
    </row>
    <row r="248" spans="1:20">
      <c r="A248" s="580" t="s">
        <v>326</v>
      </c>
      <c r="B248" s="601" t="str">
        <f>+IFERROR(B231/B$239,"")</f>
        <v/>
      </c>
      <c r="C248" s="601" t="str">
        <f t="shared" si="34"/>
        <v/>
      </c>
      <c r="D248" s="601" t="str">
        <f t="shared" si="34"/>
        <v/>
      </c>
      <c r="E248" s="601" t="str">
        <f t="shared" si="34"/>
        <v/>
      </c>
      <c r="F248" s="601" t="str">
        <f t="shared" si="34"/>
        <v/>
      </c>
      <c r="H248" s="621" t="s">
        <v>328</v>
      </c>
      <c r="I248" s="601" t="str">
        <f t="shared" ref="I248:T248" si="35">+IF(ISNUMBER(I243),1-SUM(I243:I247),"")</f>
        <v/>
      </c>
      <c r="J248" s="601" t="str">
        <f t="shared" si="35"/>
        <v/>
      </c>
      <c r="K248" s="601" t="str">
        <f t="shared" si="35"/>
        <v/>
      </c>
      <c r="L248" s="620"/>
      <c r="M248" s="606"/>
      <c r="N248" s="601"/>
      <c r="O248" s="606"/>
      <c r="P248" s="606"/>
      <c r="Q248" s="606"/>
      <c r="R248" s="606"/>
      <c r="S248" s="601" t="str">
        <f t="shared" si="35"/>
        <v/>
      </c>
      <c r="T248" s="601" t="str">
        <f t="shared" si="35"/>
        <v/>
      </c>
    </row>
    <row r="249" spans="1:20">
      <c r="A249" s="580" t="s">
        <v>327</v>
      </c>
      <c r="B249" s="601" t="str">
        <f>+IFERROR(B232/B$239,"")</f>
        <v/>
      </c>
      <c r="C249" s="601" t="str">
        <f>+IFERROR(C234/C$239,"")</f>
        <v/>
      </c>
      <c r="D249" s="601" t="str">
        <f>+IFERROR(D234/D$239,"")</f>
        <v/>
      </c>
      <c r="E249" s="601" t="str">
        <f>+IFERROR(E234/E$239,"")</f>
        <v/>
      </c>
      <c r="F249" s="601" t="str">
        <f>+IFERROR(F234/F$239,"")</f>
        <v/>
      </c>
      <c r="H249" s="621"/>
      <c r="I249" s="601"/>
    </row>
    <row r="250" spans="1:20">
      <c r="A250" s="580" t="s">
        <v>329</v>
      </c>
      <c r="B250" s="601" t="e">
        <f>+B233/B239</f>
        <v>#DIV/0!</v>
      </c>
      <c r="C250" s="601"/>
      <c r="D250" s="601"/>
      <c r="E250" s="601"/>
      <c r="F250" s="601"/>
      <c r="H250" s="621"/>
    </row>
    <row r="251" spans="1:20">
      <c r="A251" s="580" t="s">
        <v>330</v>
      </c>
      <c r="B251" s="601" t="e">
        <f>+B234/B239</f>
        <v>#DIV/0!</v>
      </c>
      <c r="C251" s="601"/>
      <c r="D251" s="601"/>
      <c r="E251" s="601"/>
      <c r="F251" s="601"/>
      <c r="H251" s="621"/>
    </row>
    <row r="252" spans="1:20">
      <c r="A252" s="580" t="s">
        <v>331</v>
      </c>
      <c r="B252" s="601" t="str">
        <f t="shared" ref="B252:F253" si="36">+IFERROR(B235/B$239,"")</f>
        <v/>
      </c>
      <c r="C252" s="601" t="str">
        <f t="shared" si="36"/>
        <v/>
      </c>
      <c r="D252" s="601" t="str">
        <f t="shared" si="36"/>
        <v/>
      </c>
      <c r="E252" s="601" t="str">
        <f t="shared" si="36"/>
        <v/>
      </c>
      <c r="F252" s="601" t="str">
        <f t="shared" si="36"/>
        <v/>
      </c>
      <c r="H252" s="621"/>
    </row>
    <row r="253" spans="1:20">
      <c r="A253" s="580" t="s">
        <v>328</v>
      </c>
      <c r="B253" s="601" t="str">
        <f t="shared" si="36"/>
        <v/>
      </c>
      <c r="C253" s="601" t="str">
        <f t="shared" si="36"/>
        <v/>
      </c>
      <c r="D253" s="601" t="str">
        <f t="shared" si="36"/>
        <v/>
      </c>
      <c r="E253" s="601" t="str">
        <f t="shared" si="36"/>
        <v/>
      </c>
      <c r="F253" s="601" t="str">
        <f t="shared" si="36"/>
        <v/>
      </c>
      <c r="H253" s="621"/>
    </row>
    <row r="254" spans="1:20">
      <c r="B254" s="601"/>
      <c r="C254" s="601"/>
      <c r="D254" s="601"/>
      <c r="E254" s="601"/>
      <c r="F254" s="601"/>
      <c r="H254" s="621"/>
    </row>
    <row r="255" spans="1:20">
      <c r="H255" s="621"/>
    </row>
    <row r="256" spans="1:20">
      <c r="A256" s="580" t="s">
        <v>332</v>
      </c>
      <c r="B256" s="601" t="str">
        <f>IF(ISNUMBER(B243),1-SUM(B243:B247),"")</f>
        <v/>
      </c>
      <c r="C256" s="601" t="str">
        <f>IF(ISNUMBER(C243),1-SUM(C243:C247),"")</f>
        <v/>
      </c>
      <c r="D256" s="601" t="str">
        <f>IF(ISNUMBER(D243),1-SUM(D243:D247),"")</f>
        <v/>
      </c>
      <c r="E256" s="601" t="str">
        <f>IF(ISNUMBER(E243),1-SUM(E243:E247),"")</f>
        <v/>
      </c>
      <c r="F256" s="601" t="str">
        <f>IF(ISNUMBER(F243),1-SUM(F243:F247),"")</f>
        <v/>
      </c>
      <c r="H256" s="621"/>
    </row>
    <row r="257" spans="2:6">
      <c r="B257" s="662" t="str">
        <f>+IFERROR(B256*B239,"")</f>
        <v/>
      </c>
      <c r="C257" s="662" t="str">
        <f>+IFERROR(C256*C239,"")</f>
        <v/>
      </c>
      <c r="D257" s="662" t="str">
        <f>+IFERROR(D256*D239,"")</f>
        <v/>
      </c>
      <c r="E257" s="662" t="str">
        <f>+IFERROR(E256*E239,"")</f>
        <v/>
      </c>
      <c r="F257" s="662" t="str">
        <f>+IFERROR(F256*F239,"")</f>
        <v/>
      </c>
    </row>
  </sheetData>
  <phoneticPr fontId="50" type="noConversion"/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J7"/>
  <sheetViews>
    <sheetView showGridLines="0" zoomScale="120" zoomScaleNormal="120" workbookViewId="0">
      <selection activeCell="N5" sqref="N5"/>
    </sheetView>
  </sheetViews>
  <sheetFormatPr baseColWidth="10" defaultColWidth="11.453125" defaultRowHeight="14.5"/>
  <cols>
    <col min="3" max="4" width="11.453125" hidden="1" customWidth="1"/>
    <col min="8" max="8" width="9.7265625" customWidth="1"/>
  </cols>
  <sheetData>
    <row r="2" spans="2:10">
      <c r="B2" s="444"/>
      <c r="C2" s="720" t="s">
        <v>333</v>
      </c>
      <c r="D2" s="720"/>
      <c r="E2" s="720"/>
      <c r="F2" s="720"/>
      <c r="G2" s="720"/>
      <c r="H2" s="445"/>
      <c r="I2" s="445"/>
      <c r="J2" s="719" t="s">
        <v>24</v>
      </c>
    </row>
    <row r="3" spans="2:10" ht="15" thickBot="1">
      <c r="B3" s="444"/>
      <c r="C3" s="450">
        <v>44988</v>
      </c>
      <c r="D3" s="450">
        <v>44995</v>
      </c>
      <c r="E3" s="454">
        <v>45006</v>
      </c>
      <c r="F3" s="454">
        <v>45010</v>
      </c>
      <c r="G3" s="454">
        <v>45014</v>
      </c>
      <c r="H3" s="445"/>
      <c r="I3" s="445"/>
      <c r="J3" s="719"/>
    </row>
    <row r="4" spans="2:10" ht="15" thickBot="1">
      <c r="B4" s="446" t="s">
        <v>334</v>
      </c>
      <c r="C4" s="447">
        <v>1561.6325559806419</v>
      </c>
      <c r="D4" s="448">
        <v>1572.2005334061466</v>
      </c>
      <c r="E4" s="448">
        <v>1574</v>
      </c>
      <c r="F4" s="458">
        <v>1588.0870905019067</v>
      </c>
      <c r="G4" s="458">
        <v>1587.8091079686362</v>
      </c>
      <c r="H4" s="455" t="str">
        <f>""&amp;ROUNDUP(G4-F4,1)</f>
        <v>-0.3</v>
      </c>
      <c r="I4" s="444"/>
      <c r="J4" s="448">
        <f>+Resumen!D5</f>
        <v>1578.3803017410532</v>
      </c>
    </row>
    <row r="5" spans="2:10" ht="15" thickBot="1">
      <c r="B5" s="449" t="s">
        <v>335</v>
      </c>
      <c r="C5" s="447">
        <v>423.6306671573148</v>
      </c>
      <c r="D5" s="448">
        <v>424.5300167807722</v>
      </c>
      <c r="E5" s="448">
        <v>424</v>
      </c>
      <c r="F5" s="448">
        <v>432.9</v>
      </c>
      <c r="G5" s="448">
        <v>437.1</v>
      </c>
      <c r="H5" s="456" t="str">
        <f>""&amp;ROUNDUP(G5-F5,1)</f>
        <v>4.3</v>
      </c>
      <c r="I5" s="444"/>
      <c r="J5" s="448">
        <f>+'Resumen Digital'!E5</f>
        <v>412.16340000000002</v>
      </c>
    </row>
    <row r="6" spans="2:10" ht="15" thickBot="1">
      <c r="B6" s="449" t="s">
        <v>336</v>
      </c>
      <c r="C6" s="447">
        <v>917.19008255454219</v>
      </c>
      <c r="D6" s="448">
        <v>915.52779481659854</v>
      </c>
      <c r="E6" s="448">
        <v>895</v>
      </c>
      <c r="F6" s="458">
        <v>892</v>
      </c>
      <c r="G6" s="458">
        <v>890</v>
      </c>
      <c r="H6" s="455">
        <f>ROUNDUP(G6-F6,1)</f>
        <v>-2</v>
      </c>
      <c r="I6" s="444"/>
      <c r="J6" s="453">
        <v>916.01130942410634</v>
      </c>
    </row>
    <row r="7" spans="2:10" ht="15" thickBot="1">
      <c r="B7" s="449" t="s">
        <v>337</v>
      </c>
      <c r="C7" s="451">
        <v>468.56286678392178</v>
      </c>
      <c r="D7" s="452">
        <v>468.56286678392178</v>
      </c>
      <c r="E7" s="452">
        <v>461</v>
      </c>
      <c r="F7" s="458">
        <v>465</v>
      </c>
      <c r="G7" s="458">
        <v>462</v>
      </c>
      <c r="H7" s="455">
        <f>ROUNDUP(G7-F7,0)</f>
        <v>-3</v>
      </c>
      <c r="I7" s="444"/>
      <c r="J7" s="453">
        <v>467.10121645892679</v>
      </c>
    </row>
  </sheetData>
  <mergeCells count="2">
    <mergeCell ref="J2:J3"/>
    <mergeCell ref="C2:G2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5:N114"/>
  <sheetViews>
    <sheetView topLeftCell="A31" workbookViewId="0">
      <selection activeCell="J88" sqref="J88"/>
    </sheetView>
  </sheetViews>
  <sheetFormatPr baseColWidth="10" defaultColWidth="11.453125" defaultRowHeight="14.5"/>
  <sheetData>
    <row r="5" spans="3:13">
      <c r="C5" s="353">
        <v>43617</v>
      </c>
      <c r="D5">
        <v>32166</v>
      </c>
      <c r="E5">
        <v>2.93246365114</v>
      </c>
      <c r="G5">
        <f>D5</f>
        <v>32166</v>
      </c>
      <c r="J5" s="353">
        <v>43617</v>
      </c>
      <c r="K5">
        <v>22375</v>
      </c>
      <c r="M5">
        <f>K5</f>
        <v>22375</v>
      </c>
    </row>
    <row r="6" spans="3:13">
      <c r="C6" s="353">
        <v>43618</v>
      </c>
      <c r="D6">
        <v>28515</v>
      </c>
      <c r="E6">
        <v>2.6645605962399999</v>
      </c>
      <c r="G6">
        <f>D6+G5</f>
        <v>60681</v>
      </c>
      <c r="J6" s="353">
        <v>43618</v>
      </c>
      <c r="K6">
        <v>14495</v>
      </c>
      <c r="M6">
        <f>K6+M5</f>
        <v>36870</v>
      </c>
    </row>
    <row r="7" spans="3:13">
      <c r="C7" s="353">
        <v>43619</v>
      </c>
      <c r="D7">
        <v>26709</v>
      </c>
      <c r="E7">
        <v>3.8795764720800001</v>
      </c>
      <c r="G7">
        <f t="shared" ref="G7:G34" si="0">D7+G6</f>
        <v>87390</v>
      </c>
      <c r="J7" s="353">
        <v>43619</v>
      </c>
      <c r="K7">
        <v>12208</v>
      </c>
      <c r="M7">
        <f>K7+M6</f>
        <v>49078</v>
      </c>
    </row>
    <row r="8" spans="3:13">
      <c r="C8" s="353">
        <v>43620</v>
      </c>
      <c r="D8">
        <v>27545</v>
      </c>
      <c r="E8">
        <v>3.8606148170000001</v>
      </c>
      <c r="G8">
        <f t="shared" si="0"/>
        <v>114935</v>
      </c>
      <c r="J8" s="353">
        <v>43620</v>
      </c>
      <c r="K8">
        <v>10876</v>
      </c>
      <c r="M8">
        <f>K8+M7</f>
        <v>59954</v>
      </c>
    </row>
    <row r="9" spans="3:13">
      <c r="C9" s="353">
        <v>43621</v>
      </c>
      <c r="D9">
        <v>27500</v>
      </c>
      <c r="E9">
        <v>3.8249570348000002</v>
      </c>
      <c r="G9">
        <f t="shared" si="0"/>
        <v>142435</v>
      </c>
      <c r="J9" s="353">
        <v>43621</v>
      </c>
      <c r="K9">
        <v>9714</v>
      </c>
      <c r="M9">
        <f t="shared" ref="M9:M34" si="1">K9+M8</f>
        <v>69668</v>
      </c>
    </row>
    <row r="10" spans="3:13">
      <c r="C10" s="353">
        <v>43622</v>
      </c>
      <c r="D10">
        <v>29524</v>
      </c>
      <c r="E10">
        <v>3.7424749322399999</v>
      </c>
      <c r="G10">
        <f t="shared" si="0"/>
        <v>171959</v>
      </c>
      <c r="J10" s="353">
        <v>43622</v>
      </c>
      <c r="K10">
        <v>9529</v>
      </c>
      <c r="M10">
        <f t="shared" si="1"/>
        <v>79197</v>
      </c>
    </row>
    <row r="11" spans="3:13">
      <c r="C11" s="353">
        <v>43623</v>
      </c>
      <c r="D11">
        <v>29677</v>
      </c>
      <c r="E11">
        <v>3.4042908327000001</v>
      </c>
      <c r="G11">
        <f t="shared" si="0"/>
        <v>201636</v>
      </c>
      <c r="J11" s="353">
        <v>43623</v>
      </c>
      <c r="K11">
        <v>8546</v>
      </c>
      <c r="M11">
        <f t="shared" si="1"/>
        <v>87743</v>
      </c>
    </row>
    <row r="12" spans="3:13">
      <c r="C12" s="353">
        <v>43624</v>
      </c>
      <c r="D12">
        <v>31932</v>
      </c>
      <c r="E12">
        <v>2.6869907134400002</v>
      </c>
      <c r="G12">
        <f t="shared" si="0"/>
        <v>233568</v>
      </c>
      <c r="J12" s="353">
        <v>43624</v>
      </c>
      <c r="K12">
        <v>8392</v>
      </c>
      <c r="M12">
        <f t="shared" si="1"/>
        <v>96135</v>
      </c>
    </row>
    <row r="13" spans="3:13">
      <c r="C13" s="353">
        <v>43625</v>
      </c>
      <c r="D13">
        <v>29272</v>
      </c>
      <c r="E13">
        <v>2.5598884581800001</v>
      </c>
      <c r="G13">
        <f t="shared" si="0"/>
        <v>262840</v>
      </c>
      <c r="J13" s="353">
        <v>43625</v>
      </c>
      <c r="K13">
        <v>7574</v>
      </c>
      <c r="M13">
        <f t="shared" si="1"/>
        <v>103709</v>
      </c>
    </row>
    <row r="14" spans="3:13">
      <c r="C14" s="353">
        <v>43626</v>
      </c>
      <c r="D14">
        <v>27232</v>
      </c>
      <c r="E14">
        <v>3.41418592004</v>
      </c>
      <c r="G14">
        <f t="shared" si="0"/>
        <v>290072</v>
      </c>
      <c r="J14" s="353">
        <v>43626</v>
      </c>
      <c r="K14">
        <v>6814</v>
      </c>
      <c r="M14">
        <f t="shared" si="1"/>
        <v>110523</v>
      </c>
    </row>
    <row r="15" spans="3:13">
      <c r="C15" s="353">
        <v>43627</v>
      </c>
      <c r="D15">
        <v>27522</v>
      </c>
      <c r="E15">
        <v>3.4476209368999999</v>
      </c>
      <c r="G15">
        <f t="shared" si="0"/>
        <v>317594</v>
      </c>
      <c r="J15" s="353">
        <v>43627</v>
      </c>
      <c r="K15">
        <v>6407</v>
      </c>
      <c r="M15">
        <f t="shared" si="1"/>
        <v>116930</v>
      </c>
    </row>
    <row r="16" spans="3:13">
      <c r="C16" s="353">
        <v>43628</v>
      </c>
      <c r="D16">
        <v>28858</v>
      </c>
      <c r="E16">
        <v>3.6264980052000002</v>
      </c>
      <c r="G16">
        <f t="shared" si="0"/>
        <v>346452</v>
      </c>
      <c r="J16" s="353">
        <v>43628</v>
      </c>
      <c r="K16">
        <v>6437</v>
      </c>
      <c r="M16">
        <f t="shared" si="1"/>
        <v>123367</v>
      </c>
    </row>
    <row r="17" spans="3:13">
      <c r="C17" s="353">
        <v>43629</v>
      </c>
      <c r="D17">
        <v>29763</v>
      </c>
      <c r="E17">
        <v>3.65368719129</v>
      </c>
      <c r="G17">
        <f t="shared" si="0"/>
        <v>376215</v>
      </c>
      <c r="J17" s="353">
        <v>43629</v>
      </c>
      <c r="K17">
        <v>6093</v>
      </c>
      <c r="M17">
        <f t="shared" si="1"/>
        <v>129460</v>
      </c>
    </row>
    <row r="18" spans="3:13">
      <c r="C18" s="353">
        <v>43630</v>
      </c>
      <c r="D18">
        <v>31378</v>
      </c>
      <c r="E18">
        <v>3.56305069224</v>
      </c>
      <c r="G18">
        <f t="shared" si="0"/>
        <v>407593</v>
      </c>
      <c r="J18" s="353">
        <v>43630</v>
      </c>
      <c r="K18">
        <v>6324</v>
      </c>
      <c r="M18">
        <f t="shared" si="1"/>
        <v>135784</v>
      </c>
    </row>
    <row r="19" spans="3:13">
      <c r="C19" s="353">
        <v>43631</v>
      </c>
      <c r="D19">
        <v>31761</v>
      </c>
      <c r="E19">
        <v>2.8014085386400001</v>
      </c>
      <c r="G19">
        <f t="shared" si="0"/>
        <v>439354</v>
      </c>
      <c r="J19" s="353">
        <v>43631</v>
      </c>
      <c r="K19">
        <v>5554</v>
      </c>
      <c r="M19">
        <f t="shared" si="1"/>
        <v>141338</v>
      </c>
    </row>
    <row r="20" spans="3:13">
      <c r="C20" s="353">
        <v>43632</v>
      </c>
      <c r="D20">
        <v>27691</v>
      </c>
      <c r="E20">
        <v>2.3872871783199998</v>
      </c>
      <c r="G20">
        <f t="shared" si="0"/>
        <v>467045</v>
      </c>
      <c r="J20" s="353">
        <v>43632</v>
      </c>
      <c r="K20">
        <v>4953</v>
      </c>
      <c r="M20">
        <f t="shared" si="1"/>
        <v>146291</v>
      </c>
    </row>
    <row r="21" spans="3:13">
      <c r="C21" s="353">
        <v>43633</v>
      </c>
      <c r="D21">
        <v>26906</v>
      </c>
      <c r="E21">
        <v>3.3451169890800001</v>
      </c>
      <c r="G21">
        <f t="shared" si="0"/>
        <v>493951</v>
      </c>
      <c r="J21" s="353">
        <v>43633</v>
      </c>
      <c r="K21">
        <v>4851</v>
      </c>
      <c r="M21">
        <f t="shared" si="1"/>
        <v>151142</v>
      </c>
    </row>
    <row r="22" spans="3:13">
      <c r="C22" s="353">
        <v>43634</v>
      </c>
      <c r="D22">
        <v>29391</v>
      </c>
      <c r="E22">
        <v>3.75614606744</v>
      </c>
      <c r="G22">
        <f t="shared" si="0"/>
        <v>523342</v>
      </c>
      <c r="J22" s="353">
        <v>43634</v>
      </c>
      <c r="K22">
        <v>5194</v>
      </c>
      <c r="M22">
        <f t="shared" si="1"/>
        <v>156336</v>
      </c>
    </row>
    <row r="23" spans="3:13">
      <c r="C23" s="353">
        <v>43635</v>
      </c>
      <c r="D23">
        <v>29558</v>
      </c>
      <c r="E23">
        <v>3.7115160398199998</v>
      </c>
      <c r="G23">
        <f t="shared" si="0"/>
        <v>552900</v>
      </c>
      <c r="J23" s="353">
        <v>43635</v>
      </c>
      <c r="K23">
        <v>4856</v>
      </c>
      <c r="M23">
        <f t="shared" si="1"/>
        <v>161192</v>
      </c>
    </row>
    <row r="24" spans="3:13">
      <c r="C24" s="353">
        <v>43636</v>
      </c>
      <c r="D24">
        <v>32922</v>
      </c>
      <c r="E24">
        <v>4.29906046358</v>
      </c>
      <c r="G24">
        <f t="shared" si="0"/>
        <v>585822</v>
      </c>
      <c r="J24" s="353">
        <v>43636</v>
      </c>
      <c r="K24">
        <v>5716</v>
      </c>
      <c r="M24">
        <f t="shared" si="1"/>
        <v>166908</v>
      </c>
    </row>
    <row r="25" spans="3:13">
      <c r="C25" s="353">
        <v>43637</v>
      </c>
      <c r="D25">
        <v>33430</v>
      </c>
      <c r="E25">
        <v>4.0843889219199996</v>
      </c>
      <c r="G25">
        <f t="shared" si="0"/>
        <v>619252</v>
      </c>
      <c r="J25" s="353">
        <v>43637</v>
      </c>
      <c r="K25">
        <v>5402</v>
      </c>
      <c r="M25">
        <f t="shared" si="1"/>
        <v>172310</v>
      </c>
    </row>
    <row r="26" spans="3:13">
      <c r="C26" s="353">
        <v>43638</v>
      </c>
      <c r="D26">
        <v>34285</v>
      </c>
      <c r="E26">
        <v>2.9328810790399999</v>
      </c>
      <c r="G26">
        <f t="shared" si="0"/>
        <v>653537</v>
      </c>
      <c r="J26" s="353">
        <v>43638</v>
      </c>
      <c r="K26">
        <v>4955</v>
      </c>
      <c r="M26">
        <f t="shared" si="1"/>
        <v>177265</v>
      </c>
    </row>
    <row r="27" spans="3:13">
      <c r="C27" s="353">
        <v>43639</v>
      </c>
      <c r="D27">
        <v>31761</v>
      </c>
      <c r="E27">
        <v>2.6195436485600001</v>
      </c>
      <c r="G27">
        <f t="shared" si="0"/>
        <v>685298</v>
      </c>
      <c r="J27" s="353">
        <v>43639</v>
      </c>
      <c r="K27">
        <v>4679</v>
      </c>
      <c r="M27">
        <f t="shared" si="1"/>
        <v>181944</v>
      </c>
    </row>
    <row r="28" spans="3:13">
      <c r="C28" s="353">
        <v>43640</v>
      </c>
      <c r="D28">
        <v>29934</v>
      </c>
      <c r="E28">
        <v>3.8317774149999999</v>
      </c>
      <c r="G28">
        <f t="shared" si="0"/>
        <v>715232</v>
      </c>
      <c r="J28" s="353">
        <v>43640</v>
      </c>
      <c r="K28">
        <v>4266</v>
      </c>
      <c r="M28">
        <f t="shared" si="1"/>
        <v>186210</v>
      </c>
    </row>
    <row r="29" spans="3:13">
      <c r="C29" s="353">
        <v>43641</v>
      </c>
      <c r="D29">
        <v>28985</v>
      </c>
      <c r="E29">
        <v>3.77653436214</v>
      </c>
      <c r="G29">
        <f t="shared" si="0"/>
        <v>744217</v>
      </c>
      <c r="J29" s="353">
        <v>43641</v>
      </c>
      <c r="K29">
        <v>3993</v>
      </c>
      <c r="M29">
        <f t="shared" si="1"/>
        <v>190203</v>
      </c>
    </row>
    <row r="30" spans="3:13">
      <c r="C30" s="353">
        <v>43642</v>
      </c>
      <c r="D30">
        <v>30429</v>
      </c>
      <c r="E30">
        <v>4.2544032146899999</v>
      </c>
      <c r="G30">
        <f t="shared" si="0"/>
        <v>774646</v>
      </c>
      <c r="J30" s="353">
        <v>43642</v>
      </c>
      <c r="K30">
        <v>4020</v>
      </c>
      <c r="M30">
        <f t="shared" si="1"/>
        <v>194223</v>
      </c>
    </row>
    <row r="31" spans="3:13">
      <c r="C31" s="353">
        <v>43643</v>
      </c>
      <c r="D31">
        <v>30975</v>
      </c>
      <c r="E31">
        <v>4.2276480946800001</v>
      </c>
      <c r="G31">
        <f t="shared" si="0"/>
        <v>805621</v>
      </c>
      <c r="J31" s="353">
        <v>43643</v>
      </c>
      <c r="K31">
        <v>3861</v>
      </c>
      <c r="M31">
        <f t="shared" si="1"/>
        <v>198084</v>
      </c>
    </row>
    <row r="32" spans="3:13">
      <c r="C32" s="353">
        <v>43644</v>
      </c>
      <c r="D32">
        <v>31901</v>
      </c>
      <c r="E32">
        <v>3.6982941292499998</v>
      </c>
      <c r="G32">
        <f t="shared" si="0"/>
        <v>837522</v>
      </c>
      <c r="J32" s="353">
        <v>43644</v>
      </c>
      <c r="K32">
        <v>3977</v>
      </c>
      <c r="M32">
        <f t="shared" si="1"/>
        <v>202061</v>
      </c>
    </row>
    <row r="33" spans="3:13">
      <c r="C33" s="353">
        <v>43645</v>
      </c>
      <c r="D33">
        <v>32673</v>
      </c>
      <c r="E33">
        <v>3.0573007304400002</v>
      </c>
      <c r="G33">
        <f t="shared" si="0"/>
        <v>870195</v>
      </c>
      <c r="J33" s="353">
        <v>43645</v>
      </c>
      <c r="K33">
        <v>3949</v>
      </c>
      <c r="M33">
        <f t="shared" si="1"/>
        <v>206010</v>
      </c>
    </row>
    <row r="34" spans="3:13">
      <c r="C34" s="353">
        <v>43646</v>
      </c>
      <c r="D34">
        <v>33049</v>
      </c>
      <c r="E34">
        <v>3.4055613357899999</v>
      </c>
      <c r="G34">
        <f t="shared" si="0"/>
        <v>903244</v>
      </c>
      <c r="J34" s="353">
        <v>43646</v>
      </c>
      <c r="K34">
        <v>4607</v>
      </c>
      <c r="M34">
        <f t="shared" si="1"/>
        <v>210617</v>
      </c>
    </row>
    <row r="35" spans="3:13">
      <c r="C35" s="353"/>
      <c r="J35" s="353"/>
    </row>
    <row r="36" spans="3:13">
      <c r="C36" s="353"/>
      <c r="J36" s="353"/>
    </row>
    <row r="37" spans="3:13">
      <c r="C37" s="353"/>
      <c r="J37" s="353"/>
    </row>
    <row r="38" spans="3:13">
      <c r="C38" s="353">
        <v>44348</v>
      </c>
      <c r="D38">
        <v>39056</v>
      </c>
      <c r="E38">
        <v>8.0336619469200006</v>
      </c>
      <c r="G38">
        <f>D38</f>
        <v>39056</v>
      </c>
      <c r="J38" s="353">
        <v>44348</v>
      </c>
      <c r="K38">
        <v>28585</v>
      </c>
      <c r="M38">
        <f>K38</f>
        <v>28585</v>
      </c>
    </row>
    <row r="39" spans="3:13">
      <c r="C39" s="353">
        <v>44349</v>
      </c>
      <c r="D39">
        <v>38587</v>
      </c>
      <c r="E39">
        <v>7.7697270843600004</v>
      </c>
      <c r="G39">
        <f>D39+G38</f>
        <v>77643</v>
      </c>
      <c r="J39" s="353">
        <v>44349</v>
      </c>
      <c r="K39">
        <v>21082</v>
      </c>
      <c r="M39">
        <f>K39+M38</f>
        <v>49667</v>
      </c>
    </row>
    <row r="40" spans="3:13">
      <c r="C40" s="353">
        <v>44350</v>
      </c>
      <c r="D40">
        <v>35507</v>
      </c>
      <c r="E40">
        <v>6.8203090213599999</v>
      </c>
      <c r="G40">
        <f t="shared" ref="G40:G67" si="2">D40+G39</f>
        <v>113150</v>
      </c>
      <c r="J40" s="353">
        <v>44350</v>
      </c>
      <c r="K40">
        <v>15693</v>
      </c>
      <c r="M40">
        <f t="shared" ref="M40:M67" si="3">K40+M39</f>
        <v>65360</v>
      </c>
    </row>
    <row r="41" spans="3:13">
      <c r="C41" s="353">
        <v>44351</v>
      </c>
      <c r="D41">
        <v>36369</v>
      </c>
      <c r="E41">
        <v>6.7329144742200002</v>
      </c>
      <c r="G41">
        <f t="shared" si="2"/>
        <v>149519</v>
      </c>
      <c r="J41" s="353">
        <v>44351</v>
      </c>
      <c r="K41">
        <v>13549</v>
      </c>
      <c r="M41">
        <f t="shared" si="3"/>
        <v>78909</v>
      </c>
    </row>
    <row r="42" spans="3:13">
      <c r="C42" s="353">
        <v>44352</v>
      </c>
      <c r="D42">
        <v>35117</v>
      </c>
      <c r="E42">
        <v>5.3459259399799999</v>
      </c>
      <c r="G42">
        <f t="shared" si="2"/>
        <v>184636</v>
      </c>
      <c r="J42" s="353">
        <v>44352</v>
      </c>
      <c r="K42">
        <v>11488</v>
      </c>
      <c r="M42">
        <f t="shared" si="3"/>
        <v>90397</v>
      </c>
    </row>
    <row r="43" spans="3:13">
      <c r="C43" s="353">
        <v>44353</v>
      </c>
      <c r="D43">
        <v>31856</v>
      </c>
      <c r="E43">
        <v>3.9213884825799998</v>
      </c>
      <c r="G43">
        <f t="shared" si="2"/>
        <v>216492</v>
      </c>
      <c r="J43" s="353">
        <v>44353</v>
      </c>
      <c r="K43">
        <v>9441</v>
      </c>
      <c r="M43">
        <f t="shared" si="3"/>
        <v>99838</v>
      </c>
    </row>
    <row r="44" spans="3:13">
      <c r="C44" s="353">
        <v>44354</v>
      </c>
      <c r="D44">
        <v>32798</v>
      </c>
      <c r="E44">
        <v>6.1394335441600001</v>
      </c>
      <c r="G44">
        <f t="shared" si="2"/>
        <v>249290</v>
      </c>
      <c r="J44" s="353">
        <v>44354</v>
      </c>
      <c r="K44">
        <v>9641</v>
      </c>
      <c r="M44">
        <f t="shared" si="3"/>
        <v>109479</v>
      </c>
    </row>
    <row r="45" spans="3:13">
      <c r="C45" s="353">
        <v>44355</v>
      </c>
      <c r="D45">
        <v>32774</v>
      </c>
      <c r="E45">
        <v>6.4330018042599999</v>
      </c>
      <c r="G45">
        <f t="shared" si="2"/>
        <v>282064</v>
      </c>
      <c r="J45" s="353">
        <v>44355</v>
      </c>
      <c r="K45">
        <v>9153</v>
      </c>
      <c r="M45">
        <f t="shared" si="3"/>
        <v>118632</v>
      </c>
    </row>
    <row r="46" spans="3:13">
      <c r="C46" s="353">
        <v>44356</v>
      </c>
      <c r="D46">
        <v>33858</v>
      </c>
      <c r="E46">
        <v>6.07053061458</v>
      </c>
      <c r="G46">
        <f t="shared" si="2"/>
        <v>315922</v>
      </c>
      <c r="J46" s="353">
        <v>44356</v>
      </c>
      <c r="K46">
        <v>8791</v>
      </c>
      <c r="M46">
        <f t="shared" si="3"/>
        <v>127423</v>
      </c>
    </row>
    <row r="47" spans="3:13">
      <c r="C47" s="353">
        <v>44357</v>
      </c>
      <c r="D47">
        <v>36499</v>
      </c>
      <c r="E47">
        <v>6.5913636501799999</v>
      </c>
      <c r="G47">
        <f t="shared" si="2"/>
        <v>352421</v>
      </c>
      <c r="J47" s="353">
        <v>44357</v>
      </c>
      <c r="K47">
        <v>8735</v>
      </c>
      <c r="M47">
        <f t="shared" si="3"/>
        <v>136158</v>
      </c>
    </row>
    <row r="48" spans="3:13">
      <c r="C48" s="353">
        <v>44358</v>
      </c>
      <c r="D48">
        <v>37934</v>
      </c>
      <c r="E48">
        <v>6.7604640170100003</v>
      </c>
      <c r="G48">
        <f t="shared" si="2"/>
        <v>390355</v>
      </c>
      <c r="J48" s="353">
        <v>44358</v>
      </c>
      <c r="K48">
        <v>8228</v>
      </c>
      <c r="M48">
        <f t="shared" si="3"/>
        <v>144386</v>
      </c>
    </row>
    <row r="49" spans="3:13">
      <c r="C49" s="353">
        <v>44359</v>
      </c>
      <c r="D49">
        <v>38608</v>
      </c>
      <c r="E49">
        <v>6.1387044816099996</v>
      </c>
      <c r="G49">
        <f t="shared" si="2"/>
        <v>428963</v>
      </c>
      <c r="J49" s="353">
        <v>44359</v>
      </c>
      <c r="K49">
        <v>7488</v>
      </c>
      <c r="M49">
        <f t="shared" si="3"/>
        <v>151874</v>
      </c>
    </row>
    <row r="50" spans="3:13">
      <c r="C50" s="353">
        <v>44360</v>
      </c>
      <c r="D50">
        <v>36153</v>
      </c>
      <c r="E50">
        <v>5.4659702825599998</v>
      </c>
      <c r="G50">
        <f t="shared" si="2"/>
        <v>465116</v>
      </c>
      <c r="J50" s="353">
        <v>44360</v>
      </c>
      <c r="K50">
        <v>7037</v>
      </c>
      <c r="M50">
        <f t="shared" si="3"/>
        <v>158911</v>
      </c>
    </row>
    <row r="51" spans="3:13">
      <c r="C51" s="353">
        <v>44361</v>
      </c>
      <c r="D51">
        <v>38742</v>
      </c>
      <c r="E51">
        <v>8.3111200618000005</v>
      </c>
      <c r="G51">
        <f t="shared" si="2"/>
        <v>503858</v>
      </c>
      <c r="J51" s="353">
        <v>44361</v>
      </c>
      <c r="K51">
        <v>7845</v>
      </c>
      <c r="M51">
        <f t="shared" si="3"/>
        <v>166756</v>
      </c>
    </row>
    <row r="52" spans="3:13">
      <c r="C52" s="353">
        <v>44362</v>
      </c>
      <c r="D52">
        <v>39025</v>
      </c>
      <c r="E52">
        <v>8.7158613564999996</v>
      </c>
      <c r="G52">
        <f t="shared" si="2"/>
        <v>542883</v>
      </c>
      <c r="J52" s="353">
        <v>44362</v>
      </c>
      <c r="K52">
        <v>7362</v>
      </c>
      <c r="M52">
        <f t="shared" si="3"/>
        <v>174118</v>
      </c>
    </row>
    <row r="53" spans="3:13">
      <c r="C53" s="353">
        <v>44363</v>
      </c>
      <c r="D53">
        <v>39181</v>
      </c>
      <c r="E53">
        <v>8.6820299639999998</v>
      </c>
      <c r="G53">
        <f t="shared" si="2"/>
        <v>582064</v>
      </c>
      <c r="J53" s="353">
        <v>44363</v>
      </c>
      <c r="K53">
        <v>6973</v>
      </c>
      <c r="M53">
        <f t="shared" si="3"/>
        <v>181091</v>
      </c>
    </row>
    <row r="54" spans="3:13">
      <c r="C54" s="353">
        <v>44364</v>
      </c>
      <c r="D54">
        <v>39314</v>
      </c>
      <c r="E54">
        <v>8.0855832754999994</v>
      </c>
      <c r="G54">
        <f t="shared" si="2"/>
        <v>621378</v>
      </c>
      <c r="J54" s="353">
        <v>44364</v>
      </c>
      <c r="K54">
        <v>6379</v>
      </c>
      <c r="M54">
        <f t="shared" si="3"/>
        <v>187470</v>
      </c>
    </row>
    <row r="55" spans="3:13">
      <c r="C55" s="353">
        <v>44365</v>
      </c>
      <c r="D55">
        <v>37504</v>
      </c>
      <c r="E55">
        <v>7.3073323798400001</v>
      </c>
      <c r="G55">
        <f t="shared" si="2"/>
        <v>658882</v>
      </c>
      <c r="J55" s="353">
        <v>44365</v>
      </c>
      <c r="K55">
        <v>5771</v>
      </c>
      <c r="M55">
        <f t="shared" si="3"/>
        <v>193241</v>
      </c>
    </row>
    <row r="56" spans="3:13">
      <c r="C56" s="353">
        <v>44366</v>
      </c>
      <c r="D56">
        <v>37948</v>
      </c>
      <c r="E56">
        <v>5.8505112594700002</v>
      </c>
      <c r="G56">
        <f t="shared" si="2"/>
        <v>696830</v>
      </c>
      <c r="J56" s="353">
        <v>44366</v>
      </c>
      <c r="K56">
        <v>5145</v>
      </c>
      <c r="M56">
        <f t="shared" si="3"/>
        <v>198386</v>
      </c>
    </row>
    <row r="57" spans="3:13">
      <c r="C57" s="353">
        <v>44367</v>
      </c>
      <c r="D57">
        <v>35433</v>
      </c>
      <c r="E57">
        <v>4.8518721405500003</v>
      </c>
      <c r="G57">
        <f t="shared" si="2"/>
        <v>732263</v>
      </c>
      <c r="J57" s="353">
        <v>44367</v>
      </c>
      <c r="K57">
        <v>4787</v>
      </c>
      <c r="M57">
        <f t="shared" si="3"/>
        <v>203173</v>
      </c>
    </row>
    <row r="58" spans="3:13">
      <c r="C58" s="353">
        <v>44368</v>
      </c>
      <c r="D58">
        <v>38593</v>
      </c>
      <c r="E58">
        <v>8.2784737596200006</v>
      </c>
      <c r="G58">
        <f t="shared" si="2"/>
        <v>770856</v>
      </c>
      <c r="J58" s="353">
        <v>44368</v>
      </c>
      <c r="K58">
        <v>5494</v>
      </c>
      <c r="M58">
        <f t="shared" si="3"/>
        <v>208667</v>
      </c>
    </row>
    <row r="59" spans="3:13">
      <c r="C59" s="353">
        <v>44369</v>
      </c>
      <c r="D59">
        <v>38415</v>
      </c>
      <c r="E59">
        <v>8.4516241707200006</v>
      </c>
      <c r="G59">
        <f t="shared" si="2"/>
        <v>809271</v>
      </c>
      <c r="J59" s="353">
        <v>44369</v>
      </c>
      <c r="K59">
        <v>5177</v>
      </c>
      <c r="M59">
        <f t="shared" si="3"/>
        <v>213844</v>
      </c>
    </row>
    <row r="60" spans="3:13">
      <c r="C60" s="353">
        <v>44370</v>
      </c>
      <c r="D60">
        <v>38621</v>
      </c>
      <c r="E60">
        <v>7.6041018329399996</v>
      </c>
      <c r="G60">
        <f t="shared" si="2"/>
        <v>847892</v>
      </c>
      <c r="J60" s="353">
        <v>44370</v>
      </c>
      <c r="K60">
        <v>4963</v>
      </c>
      <c r="M60">
        <f t="shared" si="3"/>
        <v>218807</v>
      </c>
    </row>
    <row r="61" spans="3:13">
      <c r="C61" s="353">
        <v>44371</v>
      </c>
      <c r="D61">
        <v>38233</v>
      </c>
      <c r="E61">
        <v>7.7105467991000003</v>
      </c>
      <c r="G61">
        <f t="shared" si="2"/>
        <v>886125</v>
      </c>
      <c r="J61" s="353">
        <v>44371</v>
      </c>
      <c r="K61">
        <v>4680</v>
      </c>
      <c r="M61">
        <f t="shared" si="3"/>
        <v>223487</v>
      </c>
    </row>
    <row r="62" spans="3:13">
      <c r="C62" s="353">
        <v>44372</v>
      </c>
      <c r="D62">
        <v>39986</v>
      </c>
      <c r="E62">
        <v>7.4455078176900003</v>
      </c>
      <c r="G62">
        <f t="shared" si="2"/>
        <v>926111</v>
      </c>
      <c r="J62" s="353">
        <v>44372</v>
      </c>
      <c r="K62">
        <v>4520</v>
      </c>
      <c r="M62">
        <f t="shared" si="3"/>
        <v>228007</v>
      </c>
    </row>
    <row r="63" spans="3:13">
      <c r="C63" s="353">
        <v>44373</v>
      </c>
      <c r="D63">
        <v>38615</v>
      </c>
      <c r="E63">
        <v>5.9212595405600004</v>
      </c>
      <c r="G63">
        <f t="shared" si="2"/>
        <v>964726</v>
      </c>
      <c r="J63" s="353">
        <v>44373</v>
      </c>
      <c r="K63">
        <v>3880</v>
      </c>
      <c r="M63">
        <f t="shared" si="3"/>
        <v>231887</v>
      </c>
    </row>
    <row r="64" spans="3:13">
      <c r="C64" s="353">
        <v>44374</v>
      </c>
      <c r="D64">
        <v>36881</v>
      </c>
      <c r="E64">
        <v>5.6136824966200001</v>
      </c>
      <c r="G64">
        <f t="shared" si="2"/>
        <v>1001607</v>
      </c>
      <c r="J64" s="353">
        <v>44374</v>
      </c>
      <c r="K64">
        <v>3848</v>
      </c>
      <c r="M64">
        <f t="shared" si="3"/>
        <v>235735</v>
      </c>
    </row>
    <row r="65" spans="3:14">
      <c r="C65" s="353">
        <v>44375</v>
      </c>
      <c r="D65">
        <v>40189</v>
      </c>
      <c r="E65">
        <v>8.0842911665599999</v>
      </c>
      <c r="G65">
        <f t="shared" si="2"/>
        <v>1041796</v>
      </c>
      <c r="J65" s="353">
        <v>44375</v>
      </c>
      <c r="K65">
        <v>4323</v>
      </c>
      <c r="M65">
        <f t="shared" si="3"/>
        <v>240058</v>
      </c>
    </row>
    <row r="66" spans="3:14">
      <c r="C66" s="353">
        <v>44376</v>
      </c>
      <c r="D66">
        <v>36124</v>
      </c>
      <c r="E66">
        <v>6.8761534103199997</v>
      </c>
      <c r="G66">
        <f t="shared" si="2"/>
        <v>1077920</v>
      </c>
      <c r="J66" s="353">
        <v>44376</v>
      </c>
      <c r="K66">
        <v>3800</v>
      </c>
      <c r="M66">
        <f t="shared" si="3"/>
        <v>243858</v>
      </c>
    </row>
    <row r="67" spans="3:14">
      <c r="C67" s="353">
        <v>44377</v>
      </c>
      <c r="D67">
        <v>44734</v>
      </c>
      <c r="E67">
        <v>10.138448267119999</v>
      </c>
      <c r="G67">
        <f t="shared" si="2"/>
        <v>1122654</v>
      </c>
      <c r="J67" s="353">
        <v>44377</v>
      </c>
      <c r="K67">
        <v>4981</v>
      </c>
      <c r="M67">
        <f t="shared" si="3"/>
        <v>248839</v>
      </c>
    </row>
    <row r="68" spans="3:14">
      <c r="C68" s="353"/>
      <c r="J68" s="353"/>
    </row>
    <row r="69" spans="3:14">
      <c r="C69" s="353"/>
      <c r="J69" s="353"/>
    </row>
    <row r="70" spans="3:14">
      <c r="C70" s="353"/>
      <c r="J70" s="353" t="s">
        <v>338</v>
      </c>
    </row>
    <row r="71" spans="3:14">
      <c r="C71" s="353"/>
      <c r="J71" s="353" t="s">
        <v>35</v>
      </c>
      <c r="K71" t="s">
        <v>74</v>
      </c>
      <c r="L71" t="s">
        <v>57</v>
      </c>
      <c r="M71" t="s">
        <v>58</v>
      </c>
      <c r="N71" t="s">
        <v>59</v>
      </c>
    </row>
    <row r="72" spans="3:14">
      <c r="C72" s="353"/>
      <c r="J72" s="353">
        <v>202302</v>
      </c>
      <c r="K72" s="353">
        <v>44958</v>
      </c>
      <c r="L72">
        <v>7.069</v>
      </c>
      <c r="M72">
        <v>33.671230272439999</v>
      </c>
      <c r="N72">
        <v>4.05844668702</v>
      </c>
    </row>
    <row r="73" spans="3:14">
      <c r="C73" s="353"/>
      <c r="J73" s="353">
        <v>202302</v>
      </c>
      <c r="K73" s="353">
        <v>44959</v>
      </c>
      <c r="L73">
        <v>6.8620000000000001</v>
      </c>
      <c r="M73">
        <v>37.41692937501</v>
      </c>
      <c r="N73">
        <v>4.1241607714999997</v>
      </c>
    </row>
    <row r="74" spans="3:14">
      <c r="C74" s="353"/>
      <c r="J74" s="353">
        <v>202302</v>
      </c>
      <c r="K74" s="353">
        <v>44960</v>
      </c>
      <c r="L74">
        <v>6.74</v>
      </c>
      <c r="M74">
        <v>35.702466504900002</v>
      </c>
      <c r="N74">
        <v>3.9852603172499999</v>
      </c>
    </row>
    <row r="75" spans="3:14">
      <c r="C75" s="353"/>
      <c r="J75" s="353"/>
      <c r="L75">
        <f>SUM(L72:L74)</f>
        <v>20.670999999999999</v>
      </c>
      <c r="M75">
        <f t="shared" ref="M75:N75" si="4">SUM(M72:M74)</f>
        <v>106.79062615235</v>
      </c>
      <c r="N75">
        <f t="shared" si="4"/>
        <v>12.167867775769999</v>
      </c>
    </row>
    <row r="76" spans="3:14">
      <c r="C76" s="353"/>
    </row>
    <row r="77" spans="3:14">
      <c r="C77" s="353"/>
      <c r="J77" s="353" t="s">
        <v>35</v>
      </c>
      <c r="K77" s="353" t="s">
        <v>36</v>
      </c>
      <c r="L77" t="s">
        <v>57</v>
      </c>
      <c r="M77" t="s">
        <v>58</v>
      </c>
      <c r="N77" t="s">
        <v>59</v>
      </c>
    </row>
    <row r="78" spans="3:14">
      <c r="C78" s="353"/>
      <c r="J78" s="353">
        <v>202301</v>
      </c>
      <c r="K78" s="353" t="s">
        <v>9</v>
      </c>
      <c r="L78">
        <v>25.157</v>
      </c>
      <c r="M78">
        <v>202.82460624454001</v>
      </c>
      <c r="N78">
        <v>26.95298937351</v>
      </c>
    </row>
    <row r="79" spans="3:14">
      <c r="C79" s="353"/>
      <c r="J79" s="353">
        <v>202301</v>
      </c>
      <c r="K79" s="353" t="s">
        <v>13</v>
      </c>
      <c r="L79">
        <v>12.962</v>
      </c>
      <c r="M79">
        <v>72.833109737949997</v>
      </c>
      <c r="N79">
        <v>9.1585450363100005</v>
      </c>
    </row>
    <row r="80" spans="3:14">
      <c r="J80" s="353">
        <v>202301</v>
      </c>
      <c r="K80" t="s">
        <v>11</v>
      </c>
      <c r="L80">
        <v>22.919</v>
      </c>
      <c r="M80">
        <v>150.21940991280999</v>
      </c>
      <c r="N80">
        <v>19.264517006249999</v>
      </c>
    </row>
    <row r="81" spans="2:14">
      <c r="J81">
        <v>202301</v>
      </c>
      <c r="K81" t="s">
        <v>14</v>
      </c>
      <c r="L81">
        <v>8.4489999999999998</v>
      </c>
      <c r="M81">
        <v>43.119807557030001</v>
      </c>
      <c r="N81">
        <v>5.3686775278300001</v>
      </c>
    </row>
    <row r="82" spans="2:14">
      <c r="J82">
        <v>202301</v>
      </c>
      <c r="K82" t="s">
        <v>12</v>
      </c>
      <c r="L82">
        <v>19.318000000000001</v>
      </c>
      <c r="M82">
        <v>107.00304237624</v>
      </c>
      <c r="N82">
        <v>13.96116439547</v>
      </c>
    </row>
    <row r="83" spans="2:14">
      <c r="J83">
        <v>202301</v>
      </c>
      <c r="K83" t="s">
        <v>10</v>
      </c>
      <c r="L83">
        <v>31.326000000000001</v>
      </c>
      <c r="M83">
        <v>241.88139815117</v>
      </c>
      <c r="N83">
        <v>29.6672594148</v>
      </c>
    </row>
    <row r="84" spans="2:14">
      <c r="C84" s="353"/>
      <c r="J84">
        <v>202301</v>
      </c>
      <c r="L84">
        <v>3.4809999999999999</v>
      </c>
      <c r="M84">
        <v>45.451932298860001</v>
      </c>
      <c r="N84">
        <v>4.0237424214999997</v>
      </c>
    </row>
    <row r="85" spans="2:14">
      <c r="C85" s="353"/>
      <c r="J85" s="353"/>
      <c r="L85">
        <f>SUM(L78:L84)</f>
        <v>123.61199999999999</v>
      </c>
      <c r="M85">
        <f t="shared" ref="M85:N85" si="5">SUM(M78:M84)</f>
        <v>863.33330627859993</v>
      </c>
      <c r="N85">
        <f t="shared" si="5"/>
        <v>108.39689517567</v>
      </c>
    </row>
    <row r="86" spans="2:14">
      <c r="C86" s="353"/>
      <c r="J86" s="353"/>
    </row>
    <row r="87" spans="2:14" s="13" customFormat="1">
      <c r="B87" s="13" t="s">
        <v>338</v>
      </c>
      <c r="C87" s="432"/>
      <c r="J87" s="432" t="s">
        <v>339</v>
      </c>
    </row>
    <row r="88" spans="2:14">
      <c r="C88" s="353"/>
      <c r="J88" s="353"/>
    </row>
    <row r="89" spans="2:14">
      <c r="C89" s="353"/>
      <c r="J89" s="353"/>
    </row>
    <row r="90" spans="2:14">
      <c r="C90" s="353"/>
      <c r="J90" s="353"/>
    </row>
    <row r="91" spans="2:14">
      <c r="C91" s="353"/>
      <c r="J91" s="353"/>
    </row>
    <row r="92" spans="2:14">
      <c r="C92" s="353"/>
      <c r="J92" s="353"/>
    </row>
    <row r="93" spans="2:14">
      <c r="C93" s="353"/>
      <c r="J93" s="353"/>
    </row>
    <row r="94" spans="2:14">
      <c r="C94" s="353"/>
      <c r="J94" s="353"/>
    </row>
    <row r="95" spans="2:14">
      <c r="C95" s="353"/>
      <c r="J95" s="353"/>
    </row>
    <row r="96" spans="2:14">
      <c r="C96" s="353"/>
      <c r="J96" s="353"/>
    </row>
    <row r="97" spans="3:10">
      <c r="C97" s="353"/>
      <c r="J97" s="353"/>
    </row>
    <row r="98" spans="3:10">
      <c r="C98" s="353"/>
      <c r="J98" s="353"/>
    </row>
    <row r="99" spans="3:10">
      <c r="C99" s="353"/>
      <c r="J99" s="353"/>
    </row>
    <row r="100" spans="3:10">
      <c r="C100" s="353"/>
      <c r="J100" s="353"/>
    </row>
    <row r="101" spans="3:10">
      <c r="C101" s="353"/>
      <c r="J101" s="353"/>
    </row>
    <row r="102" spans="3:10">
      <c r="C102" s="353"/>
      <c r="J102" s="353"/>
    </row>
    <row r="103" spans="3:10">
      <c r="C103" s="353"/>
      <c r="J103" s="353"/>
    </row>
    <row r="104" spans="3:10">
      <c r="C104" s="353"/>
      <c r="J104" s="353"/>
    </row>
    <row r="105" spans="3:10">
      <c r="C105" s="353"/>
      <c r="J105" s="353"/>
    </row>
    <row r="106" spans="3:10">
      <c r="C106" s="353"/>
      <c r="J106" s="353"/>
    </row>
    <row r="107" spans="3:10">
      <c r="C107" s="353"/>
      <c r="J107" s="353"/>
    </row>
    <row r="108" spans="3:10">
      <c r="C108" s="353"/>
      <c r="J108" s="353"/>
    </row>
    <row r="109" spans="3:10">
      <c r="C109" s="353"/>
      <c r="J109" s="353"/>
    </row>
    <row r="110" spans="3:10">
      <c r="C110" s="353"/>
      <c r="J110" s="353"/>
    </row>
    <row r="111" spans="3:10">
      <c r="C111" s="353"/>
      <c r="J111" s="353"/>
    </row>
    <row r="112" spans="3:10">
      <c r="C112" s="353"/>
      <c r="J112" s="353"/>
    </row>
    <row r="113" spans="3:10">
      <c r="C113" s="353"/>
      <c r="J113" s="353"/>
    </row>
    <row r="114" spans="3:10">
      <c r="C114" s="353"/>
      <c r="J114" s="35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4"/>
  <dimension ref="A1:G86"/>
  <sheetViews>
    <sheetView topLeftCell="A49" workbookViewId="0">
      <selection activeCell="A82" sqref="A82:A86"/>
    </sheetView>
  </sheetViews>
  <sheetFormatPr baseColWidth="10" defaultColWidth="11.453125" defaultRowHeight="14.5"/>
  <cols>
    <col min="1" max="1" width="132.26953125" bestFit="1" customWidth="1"/>
  </cols>
  <sheetData>
    <row r="1" spans="1:7">
      <c r="A1" t="s">
        <v>340</v>
      </c>
    </row>
    <row r="2" spans="1:7" ht="15.5">
      <c r="A2" t="s">
        <v>341</v>
      </c>
      <c r="F2" s="129">
        <v>532.88553380943995</v>
      </c>
      <c r="G2" s="130">
        <v>594.67999152439234</v>
      </c>
    </row>
    <row r="3" spans="1:7">
      <c r="A3" t="s">
        <v>342</v>
      </c>
      <c r="C3" t="s">
        <v>343</v>
      </c>
      <c r="D3">
        <v>78.076196670919998</v>
      </c>
      <c r="F3" s="128">
        <f>+F$2*$D3/SUM($D$3:$D$14)</f>
        <v>80.591072086520896</v>
      </c>
      <c r="G3" s="128">
        <f t="shared" ref="G3:G14" si="0">+G$2*$D3/SUM($D$3:$D$14)</f>
        <v>89.936571786338362</v>
      </c>
    </row>
    <row r="4" spans="1:7">
      <c r="A4" t="s">
        <v>344</v>
      </c>
      <c r="C4" t="s">
        <v>345</v>
      </c>
      <c r="D4">
        <v>0.43522163404000003</v>
      </c>
      <c r="F4" s="128">
        <f t="shared" ref="F4:F14" si="1">+F$2*$D4/SUM($D$3:$D$14)</f>
        <v>0.4492403520930594</v>
      </c>
      <c r="G4" s="128">
        <f t="shared" si="0"/>
        <v>0.50133514953072467</v>
      </c>
    </row>
    <row r="5" spans="1:7">
      <c r="C5" t="s">
        <v>346</v>
      </c>
      <c r="D5">
        <v>29.334400564239999</v>
      </c>
      <c r="F5" s="128">
        <f t="shared" si="1"/>
        <v>30.279277056128251</v>
      </c>
      <c r="G5" s="128">
        <f t="shared" si="0"/>
        <v>33.790521754981995</v>
      </c>
    </row>
    <row r="6" spans="1:7">
      <c r="A6" t="s">
        <v>347</v>
      </c>
      <c r="C6" t="s">
        <v>348</v>
      </c>
      <c r="D6">
        <v>65.925452678249997</v>
      </c>
      <c r="F6" s="128">
        <f t="shared" si="1"/>
        <v>68.048946230346161</v>
      </c>
      <c r="G6" s="128">
        <f t="shared" si="0"/>
        <v>75.940036274238992</v>
      </c>
    </row>
    <row r="7" spans="1:7">
      <c r="A7" t="s">
        <v>349</v>
      </c>
      <c r="C7" t="s">
        <v>350</v>
      </c>
      <c r="D7">
        <v>142.10832178799001</v>
      </c>
      <c r="F7" s="128">
        <f t="shared" si="1"/>
        <v>146.68570567777195</v>
      </c>
      <c r="G7" s="128">
        <f t="shared" si="0"/>
        <v>163.69566947261282</v>
      </c>
    </row>
    <row r="8" spans="1:7">
      <c r="A8" t="s">
        <v>351</v>
      </c>
      <c r="C8" t="s">
        <v>352</v>
      </c>
      <c r="D8">
        <v>26.746130104110001</v>
      </c>
      <c r="F8" s="128">
        <f t="shared" si="1"/>
        <v>27.607637041298471</v>
      </c>
      <c r="G8" s="128">
        <f t="shared" si="0"/>
        <v>30.809073093732838</v>
      </c>
    </row>
    <row r="9" spans="1:7">
      <c r="A9" t="s">
        <v>353</v>
      </c>
      <c r="C9" t="s">
        <v>354</v>
      </c>
      <c r="D9">
        <v>17.800546575990001</v>
      </c>
      <c r="F9" s="128">
        <f t="shared" si="1"/>
        <v>18.37391155631683</v>
      </c>
      <c r="G9" s="128">
        <f t="shared" si="0"/>
        <v>20.504586586296377</v>
      </c>
    </row>
    <row r="10" spans="1:7">
      <c r="A10" t="s">
        <v>355</v>
      </c>
      <c r="C10" t="s">
        <v>356</v>
      </c>
      <c r="D10">
        <v>14.87523705589</v>
      </c>
      <c r="F10" s="128">
        <f t="shared" si="1"/>
        <v>15.354376275885159</v>
      </c>
      <c r="G10" s="128">
        <f t="shared" si="0"/>
        <v>17.134900038158936</v>
      </c>
    </row>
    <row r="11" spans="1:7">
      <c r="A11" t="s">
        <v>357</v>
      </c>
      <c r="C11" t="s">
        <v>358</v>
      </c>
      <c r="D11">
        <v>32.744752999340001</v>
      </c>
      <c r="F11" s="128">
        <f t="shared" si="1"/>
        <v>33.799478739312356</v>
      </c>
      <c r="G11" s="128">
        <f t="shared" si="0"/>
        <v>37.718932969591322</v>
      </c>
    </row>
    <row r="12" spans="1:7">
      <c r="A12" t="s">
        <v>359</v>
      </c>
      <c r="C12" t="s">
        <v>360</v>
      </c>
      <c r="D12">
        <v>36.334047438520003</v>
      </c>
      <c r="F12" s="128">
        <f t="shared" si="1"/>
        <v>37.504386242772284</v>
      </c>
      <c r="G12" s="128">
        <f t="shared" si="0"/>
        <v>41.853468855761726</v>
      </c>
    </row>
    <row r="13" spans="1:7">
      <c r="A13" t="s">
        <v>361</v>
      </c>
      <c r="C13" t="s">
        <v>362</v>
      </c>
      <c r="D13">
        <v>60.221774085939998</v>
      </c>
      <c r="F13" s="128">
        <f t="shared" si="1"/>
        <v>62.161549146589302</v>
      </c>
      <c r="G13" s="128">
        <f t="shared" si="0"/>
        <v>69.369925010679609</v>
      </c>
    </row>
    <row r="14" spans="1:7">
      <c r="C14" t="s">
        <v>363</v>
      </c>
      <c r="D14">
        <v>11.65455407934</v>
      </c>
      <c r="F14" s="128">
        <f t="shared" si="1"/>
        <v>12.029953404405227</v>
      </c>
      <c r="G14" s="128">
        <f t="shared" si="0"/>
        <v>13.424970532468608</v>
      </c>
    </row>
    <row r="15" spans="1:7">
      <c r="A15" t="s">
        <v>364</v>
      </c>
    </row>
    <row r="16" spans="1:7">
      <c r="A16" t="s">
        <v>365</v>
      </c>
    </row>
    <row r="17" spans="1:7">
      <c r="A17" t="s">
        <v>366</v>
      </c>
      <c r="C17" t="s">
        <v>367</v>
      </c>
      <c r="D17">
        <v>33.281762018530003</v>
      </c>
      <c r="F17">
        <f t="shared" ref="F17:F22" si="2">+F$2*$D17/SUM($D$17:$D$22)</f>
        <v>34.353785101840039</v>
      </c>
      <c r="G17">
        <f t="shared" ref="G17:G22" si="3">+G$2*$D17/SUM($D$17:$D$22)</f>
        <v>38.337517791388628</v>
      </c>
    </row>
    <row r="18" spans="1:7">
      <c r="A18" t="s">
        <v>368</v>
      </c>
      <c r="C18" t="s">
        <v>369</v>
      </c>
      <c r="D18">
        <v>142.43644320249001</v>
      </c>
      <c r="F18">
        <f t="shared" si="2"/>
        <v>147.02439605584655</v>
      </c>
      <c r="G18">
        <f t="shared" si="3"/>
        <v>164.07363505505785</v>
      </c>
    </row>
    <row r="19" spans="1:7">
      <c r="A19" t="s">
        <v>370</v>
      </c>
      <c r="C19" t="s">
        <v>371</v>
      </c>
      <c r="D19">
        <v>182.42978868649999</v>
      </c>
      <c r="F19">
        <f t="shared" si="2"/>
        <v>188.30594826141717</v>
      </c>
      <c r="G19">
        <f t="shared" si="3"/>
        <v>210.14227748981631</v>
      </c>
    </row>
    <row r="20" spans="1:7">
      <c r="A20" t="s">
        <v>372</v>
      </c>
      <c r="C20" t="s">
        <v>373</v>
      </c>
      <c r="D20">
        <v>57.990487420089998</v>
      </c>
      <c r="F20">
        <f t="shared" si="2"/>
        <v>59.858391562067951</v>
      </c>
      <c r="G20">
        <f t="shared" si="3"/>
        <v>66.799688729256602</v>
      </c>
    </row>
    <row r="21" spans="1:7">
      <c r="A21" t="s">
        <v>374</v>
      </c>
      <c r="C21" t="s">
        <v>375</v>
      </c>
      <c r="D21">
        <v>89.860899634120003</v>
      </c>
      <c r="F21">
        <f t="shared" si="2"/>
        <v>92.755366538881489</v>
      </c>
      <c r="G21">
        <f t="shared" si="3"/>
        <v>103.5114618196956</v>
      </c>
    </row>
    <row r="22" spans="1:7">
      <c r="A22" t="s">
        <v>376</v>
      </c>
      <c r="C22" t="s">
        <v>377</v>
      </c>
      <c r="D22">
        <v>10.25725471284</v>
      </c>
      <c r="F22">
        <f t="shared" si="2"/>
        <v>10.587646289386727</v>
      </c>
      <c r="G22">
        <f t="shared" si="3"/>
        <v>11.81541063917736</v>
      </c>
    </row>
    <row r="23" spans="1:7">
      <c r="A23" t="s">
        <v>378</v>
      </c>
    </row>
    <row r="24" spans="1:7">
      <c r="A24" t="s">
        <v>379</v>
      </c>
    </row>
    <row r="25" spans="1:7">
      <c r="A25" t="s">
        <v>380</v>
      </c>
    </row>
    <row r="26" spans="1:7">
      <c r="A26" t="s">
        <v>381</v>
      </c>
    </row>
    <row r="27" spans="1:7">
      <c r="A27" t="s">
        <v>382</v>
      </c>
    </row>
    <row r="28" spans="1:7" s="13" customFormat="1">
      <c r="A28" s="13" t="s">
        <v>383</v>
      </c>
    </row>
    <row r="29" spans="1:7">
      <c r="A29" s="28" t="s">
        <v>384</v>
      </c>
    </row>
    <row r="30" spans="1:7">
      <c r="A30" t="s">
        <v>365</v>
      </c>
    </row>
    <row r="31" spans="1:7">
      <c r="A31" t="s">
        <v>366</v>
      </c>
    </row>
    <row r="32" spans="1:7">
      <c r="A32" t="s">
        <v>368</v>
      </c>
    </row>
    <row r="33" spans="1:1">
      <c r="A33" t="s">
        <v>370</v>
      </c>
    </row>
    <row r="34" spans="1:1">
      <c r="A34" t="s">
        <v>372</v>
      </c>
    </row>
    <row r="35" spans="1:1">
      <c r="A35" t="s">
        <v>374</v>
      </c>
    </row>
    <row r="36" spans="1:1">
      <c r="A36" t="s">
        <v>376</v>
      </c>
    </row>
    <row r="37" spans="1:1">
      <c r="A37" t="s">
        <v>378</v>
      </c>
    </row>
    <row r="38" spans="1:1">
      <c r="A38" t="s">
        <v>379</v>
      </c>
    </row>
    <row r="39" spans="1:1">
      <c r="A39" t="s">
        <v>380</v>
      </c>
    </row>
    <row r="40" spans="1:1">
      <c r="A40" t="s">
        <v>381</v>
      </c>
    </row>
    <row r="41" spans="1:1">
      <c r="A41" t="s">
        <v>385</v>
      </c>
    </row>
    <row r="42" spans="1:1">
      <c r="A42" t="s">
        <v>386</v>
      </c>
    </row>
    <row r="43" spans="1:1">
      <c r="A43" t="s">
        <v>365</v>
      </c>
    </row>
    <row r="44" spans="1:1">
      <c r="A44" t="s">
        <v>366</v>
      </c>
    </row>
    <row r="45" spans="1:1">
      <c r="A45" t="s">
        <v>368</v>
      </c>
    </row>
    <row r="46" spans="1:1">
      <c r="A46" t="s">
        <v>370</v>
      </c>
    </row>
    <row r="47" spans="1:1">
      <c r="A47" t="s">
        <v>372</v>
      </c>
    </row>
    <row r="48" spans="1:1">
      <c r="A48" t="s">
        <v>374</v>
      </c>
    </row>
    <row r="49" spans="1:1">
      <c r="A49" t="s">
        <v>376</v>
      </c>
    </row>
    <row r="50" spans="1:1">
      <c r="A50" t="s">
        <v>378</v>
      </c>
    </row>
    <row r="51" spans="1:1">
      <c r="A51" t="s">
        <v>379</v>
      </c>
    </row>
    <row r="52" spans="1:1">
      <c r="A52" t="s">
        <v>380</v>
      </c>
    </row>
    <row r="53" spans="1:1">
      <c r="A53" t="s">
        <v>381</v>
      </c>
    </row>
    <row r="54" spans="1:1">
      <c r="A54" t="s">
        <v>385</v>
      </c>
    </row>
    <row r="56" spans="1:1">
      <c r="A56" t="s">
        <v>387</v>
      </c>
    </row>
    <row r="57" spans="1:1">
      <c r="A57" t="s">
        <v>388</v>
      </c>
    </row>
    <row r="58" spans="1:1">
      <c r="A58" t="s">
        <v>389</v>
      </c>
    </row>
    <row r="59" spans="1:1">
      <c r="A59" t="s">
        <v>344</v>
      </c>
    </row>
    <row r="61" spans="1:1">
      <c r="A61" t="s">
        <v>390</v>
      </c>
    </row>
    <row r="62" spans="1:1">
      <c r="A62" t="s">
        <v>391</v>
      </c>
    </row>
    <row r="63" spans="1:1">
      <c r="A63" t="s">
        <v>392</v>
      </c>
    </row>
    <row r="64" spans="1:1">
      <c r="A64" t="s">
        <v>393</v>
      </c>
    </row>
    <row r="65" spans="1:1">
      <c r="A65" t="s">
        <v>394</v>
      </c>
    </row>
    <row r="66" spans="1:1">
      <c r="A66" t="s">
        <v>395</v>
      </c>
    </row>
    <row r="67" spans="1:1">
      <c r="A67" t="s">
        <v>396</v>
      </c>
    </row>
    <row r="68" spans="1:1">
      <c r="A68" t="s">
        <v>397</v>
      </c>
    </row>
    <row r="69" spans="1:1">
      <c r="A69" t="s">
        <v>398</v>
      </c>
    </row>
    <row r="70" spans="1:1">
      <c r="A70" t="s">
        <v>399</v>
      </c>
    </row>
    <row r="71" spans="1:1">
      <c r="A71" t="s">
        <v>400</v>
      </c>
    </row>
    <row r="72" spans="1:1">
      <c r="A72" t="s">
        <v>401</v>
      </c>
    </row>
    <row r="73" spans="1:1">
      <c r="A73" t="s">
        <v>402</v>
      </c>
    </row>
    <row r="74" spans="1:1">
      <c r="A74" t="s">
        <v>403</v>
      </c>
    </row>
    <row r="75" spans="1:1">
      <c r="A75" t="s">
        <v>404</v>
      </c>
    </row>
    <row r="76" spans="1:1">
      <c r="A76" t="s">
        <v>399</v>
      </c>
    </row>
    <row r="77" spans="1:1">
      <c r="A77" t="s">
        <v>400</v>
      </c>
    </row>
    <row r="78" spans="1:1">
      <c r="A78" t="s">
        <v>401</v>
      </c>
    </row>
    <row r="79" spans="1:1">
      <c r="A79" t="s">
        <v>402</v>
      </c>
    </row>
    <row r="80" spans="1:1">
      <c r="A80" t="s">
        <v>403</v>
      </c>
    </row>
    <row r="82" spans="1:1">
      <c r="A82" t="s">
        <v>405</v>
      </c>
    </row>
    <row r="83" spans="1:1">
      <c r="A83" t="s">
        <v>406</v>
      </c>
    </row>
    <row r="84" spans="1:1">
      <c r="A84" t="s">
        <v>407</v>
      </c>
    </row>
    <row r="85" spans="1:1">
      <c r="A85" t="s">
        <v>408</v>
      </c>
    </row>
    <row r="86" spans="1:1">
      <c r="A86" t="s">
        <v>409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7"/>
  <dimension ref="A1:AT117"/>
  <sheetViews>
    <sheetView showGridLines="0"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G106" sqref="AG106"/>
    </sheetView>
  </sheetViews>
  <sheetFormatPr baseColWidth="10" defaultColWidth="11.453125" defaultRowHeight="14.5"/>
  <cols>
    <col min="1" max="1" width="23.453125" style="36" bestFit="1" customWidth="1"/>
    <col min="2" max="2" width="10.54296875" style="36" bestFit="1" customWidth="1"/>
    <col min="3" max="3" width="19" style="36" customWidth="1"/>
    <col min="4" max="4" width="10.26953125" style="35" bestFit="1" customWidth="1"/>
    <col min="5" max="5" width="10.453125" style="35" bestFit="1" customWidth="1"/>
    <col min="6" max="6" width="9.1796875" style="35" bestFit="1" customWidth="1"/>
    <col min="7" max="7" width="9" style="35" bestFit="1" customWidth="1"/>
    <col min="8" max="8" width="13" style="35" bestFit="1" customWidth="1"/>
    <col min="9" max="9" width="10" style="35" bestFit="1" customWidth="1"/>
    <col min="10" max="10" width="10.453125" style="35" bestFit="1" customWidth="1"/>
    <col min="11" max="11" width="9.26953125" style="35" bestFit="1" customWidth="1"/>
    <col min="12" max="12" width="10.453125" style="35" bestFit="1" customWidth="1"/>
    <col min="13" max="13" width="9.453125" style="35" bestFit="1" customWidth="1"/>
    <col min="14" max="14" width="10" style="35" bestFit="1" customWidth="1"/>
    <col min="15" max="15" width="13" style="35" bestFit="1" customWidth="1"/>
    <col min="16" max="16" width="9" style="35" bestFit="1" customWidth="1"/>
    <col min="17" max="17" width="10.26953125" style="35" bestFit="1" customWidth="1"/>
    <col min="18" max="18" width="9" style="35" bestFit="1" customWidth="1"/>
    <col min="19" max="19" width="10.26953125" style="35" bestFit="1" customWidth="1"/>
    <col min="20" max="21" width="9" style="35" bestFit="1" customWidth="1"/>
    <col min="22" max="22" width="12.81640625" style="35" bestFit="1" customWidth="1"/>
    <col min="23" max="23" width="9" style="35" bestFit="1" customWidth="1"/>
    <col min="24" max="24" width="10.26953125" style="35" bestFit="1" customWidth="1"/>
    <col min="25" max="25" width="9" style="35" bestFit="1" customWidth="1"/>
    <col min="26" max="26" width="10.26953125" style="35" bestFit="1" customWidth="1"/>
    <col min="27" max="28" width="9" style="35" bestFit="1" customWidth="1"/>
    <col min="29" max="29" width="12.81640625" style="35" bestFit="1" customWidth="1"/>
    <col min="30" max="30" width="9" style="35" bestFit="1" customWidth="1"/>
    <col min="31" max="31" width="10.26953125" style="35" bestFit="1" customWidth="1"/>
    <col min="32" max="32" width="10.26953125" style="35" customWidth="1"/>
    <col min="33" max="33" width="10.7265625" style="35" customWidth="1"/>
    <col min="34" max="34" width="12.81640625" style="35" bestFit="1" customWidth="1"/>
    <col min="35" max="35" width="14.1796875" style="36" bestFit="1" customWidth="1"/>
    <col min="36" max="16384" width="11.453125" style="36"/>
  </cols>
  <sheetData>
    <row r="1" spans="1:36" ht="30">
      <c r="A1" s="100" t="s">
        <v>146</v>
      </c>
      <c r="B1" s="100" t="s">
        <v>147</v>
      </c>
      <c r="C1" s="100" t="s">
        <v>223</v>
      </c>
      <c r="D1" s="83">
        <v>46082</v>
      </c>
      <c r="E1" s="83">
        <f>+D1+1</f>
        <v>46083</v>
      </c>
      <c r="F1" s="83">
        <f t="shared" ref="F1:AE1" si="0">+E1+1</f>
        <v>46084</v>
      </c>
      <c r="G1" s="83">
        <f t="shared" si="0"/>
        <v>46085</v>
      </c>
      <c r="H1" s="126">
        <f t="shared" si="0"/>
        <v>46086</v>
      </c>
      <c r="I1" s="126">
        <f t="shared" si="0"/>
        <v>46087</v>
      </c>
      <c r="J1" s="83">
        <f t="shared" si="0"/>
        <v>46088</v>
      </c>
      <c r="K1" s="83">
        <f t="shared" si="0"/>
        <v>46089</v>
      </c>
      <c r="L1" s="83">
        <f t="shared" si="0"/>
        <v>46090</v>
      </c>
      <c r="M1" s="83">
        <f t="shared" si="0"/>
        <v>46091</v>
      </c>
      <c r="N1" s="83">
        <f t="shared" si="0"/>
        <v>46092</v>
      </c>
      <c r="O1" s="126">
        <f t="shared" si="0"/>
        <v>46093</v>
      </c>
      <c r="P1" s="126">
        <f t="shared" si="0"/>
        <v>46094</v>
      </c>
      <c r="Q1" s="83">
        <f t="shared" si="0"/>
        <v>46095</v>
      </c>
      <c r="R1" s="83">
        <f t="shared" si="0"/>
        <v>46096</v>
      </c>
      <c r="S1" s="83">
        <f t="shared" si="0"/>
        <v>46097</v>
      </c>
      <c r="T1" s="83">
        <f t="shared" si="0"/>
        <v>46098</v>
      </c>
      <c r="U1" s="83">
        <f t="shared" si="0"/>
        <v>46099</v>
      </c>
      <c r="V1" s="126">
        <f t="shared" si="0"/>
        <v>46100</v>
      </c>
      <c r="W1" s="126">
        <f t="shared" si="0"/>
        <v>46101</v>
      </c>
      <c r="X1" s="83">
        <f t="shared" si="0"/>
        <v>46102</v>
      </c>
      <c r="Y1" s="83">
        <f t="shared" si="0"/>
        <v>46103</v>
      </c>
      <c r="Z1" s="83">
        <f t="shared" si="0"/>
        <v>46104</v>
      </c>
      <c r="AA1" s="83">
        <f t="shared" si="0"/>
        <v>46105</v>
      </c>
      <c r="AB1" s="83">
        <f t="shared" si="0"/>
        <v>46106</v>
      </c>
      <c r="AC1" s="126">
        <f t="shared" si="0"/>
        <v>46107</v>
      </c>
      <c r="AD1" s="126">
        <f t="shared" si="0"/>
        <v>46108</v>
      </c>
      <c r="AE1" s="83">
        <f t="shared" si="0"/>
        <v>46109</v>
      </c>
      <c r="AF1" s="126">
        <f t="shared" ref="AF1" si="1">+AE1+1</f>
        <v>46110</v>
      </c>
      <c r="AG1" s="83">
        <f t="shared" ref="AG1:AH1" si="2">+AF1+1</f>
        <v>46111</v>
      </c>
      <c r="AH1" s="83">
        <f t="shared" si="2"/>
        <v>46112</v>
      </c>
    </row>
    <row r="2" spans="1:36">
      <c r="A2" s="102"/>
      <c r="B2" s="102"/>
      <c r="C2" s="102"/>
      <c r="D2" s="87" t="str">
        <f>+TEXT(D1,"dddddd")</f>
        <v>domingo</v>
      </c>
      <c r="E2" s="87" t="str">
        <f t="shared" ref="E2:AE2" si="3">+TEXT(E1,"dddddd")</f>
        <v>lunes</v>
      </c>
      <c r="F2" s="87" t="str">
        <f t="shared" si="3"/>
        <v>martes</v>
      </c>
      <c r="G2" s="87" t="str">
        <f t="shared" si="3"/>
        <v>miércoles</v>
      </c>
      <c r="H2" s="122" t="str">
        <f t="shared" si="3"/>
        <v>jueves</v>
      </c>
      <c r="I2" s="122" t="str">
        <f t="shared" si="3"/>
        <v>viernes</v>
      </c>
      <c r="J2" s="87" t="str">
        <f t="shared" si="3"/>
        <v>sábado</v>
      </c>
      <c r="K2" s="87" t="str">
        <f t="shared" si="3"/>
        <v>domingo</v>
      </c>
      <c r="L2" s="87" t="str">
        <f t="shared" si="3"/>
        <v>lunes</v>
      </c>
      <c r="M2" s="87" t="str">
        <f t="shared" si="3"/>
        <v>martes</v>
      </c>
      <c r="N2" s="87" t="str">
        <f t="shared" si="3"/>
        <v>miércoles</v>
      </c>
      <c r="O2" s="122" t="str">
        <f t="shared" si="3"/>
        <v>jueves</v>
      </c>
      <c r="P2" s="122" t="str">
        <f t="shared" si="3"/>
        <v>viernes</v>
      </c>
      <c r="Q2" s="87" t="str">
        <f t="shared" si="3"/>
        <v>sábado</v>
      </c>
      <c r="R2" s="87" t="str">
        <f t="shared" si="3"/>
        <v>domingo</v>
      </c>
      <c r="S2" s="87" t="str">
        <f t="shared" si="3"/>
        <v>lunes</v>
      </c>
      <c r="T2" s="87" t="str">
        <f t="shared" si="3"/>
        <v>martes</v>
      </c>
      <c r="U2" s="87" t="str">
        <f t="shared" si="3"/>
        <v>miércoles</v>
      </c>
      <c r="V2" s="122" t="str">
        <f t="shared" si="3"/>
        <v>jueves</v>
      </c>
      <c r="W2" s="122" t="str">
        <f t="shared" si="3"/>
        <v>viernes</v>
      </c>
      <c r="X2" s="87" t="str">
        <f t="shared" si="3"/>
        <v>sábado</v>
      </c>
      <c r="Y2" s="87" t="str">
        <f t="shared" si="3"/>
        <v>domingo</v>
      </c>
      <c r="Z2" s="87" t="str">
        <f t="shared" si="3"/>
        <v>lunes</v>
      </c>
      <c r="AA2" s="87" t="str">
        <f t="shared" si="3"/>
        <v>martes</v>
      </c>
      <c r="AB2" s="87" t="str">
        <f t="shared" si="3"/>
        <v>miércoles</v>
      </c>
      <c r="AC2" s="122" t="str">
        <f t="shared" si="3"/>
        <v>jueves</v>
      </c>
      <c r="AD2" s="122" t="str">
        <f t="shared" si="3"/>
        <v>viernes</v>
      </c>
      <c r="AE2" s="87" t="str">
        <f t="shared" si="3"/>
        <v>sábado</v>
      </c>
      <c r="AF2" s="122" t="str">
        <f t="shared" ref="AF2:AH2" si="4">+TEXT(AF1,"dddddd")</f>
        <v>domingo</v>
      </c>
      <c r="AG2" s="87" t="str">
        <f t="shared" si="4"/>
        <v>lunes</v>
      </c>
      <c r="AH2" s="87" t="str">
        <f t="shared" si="4"/>
        <v>martes</v>
      </c>
    </row>
    <row r="3" spans="1:36" s="102" customFormat="1" ht="6.75" customHeight="1">
      <c r="D3" s="101"/>
      <c r="E3" s="101"/>
      <c r="F3" s="101"/>
      <c r="G3" s="101"/>
      <c r="H3" s="122"/>
      <c r="I3" s="122"/>
      <c r="J3" s="101"/>
      <c r="K3" s="101"/>
      <c r="L3" s="101"/>
      <c r="M3" s="101"/>
      <c r="N3" s="101"/>
      <c r="O3" s="122"/>
      <c r="P3" s="122"/>
      <c r="Q3" s="101"/>
      <c r="R3" s="101"/>
      <c r="S3" s="101"/>
      <c r="T3" s="101"/>
      <c r="U3" s="101"/>
      <c r="V3" s="122"/>
      <c r="W3" s="122"/>
      <c r="X3" s="101"/>
      <c r="Y3" s="101"/>
      <c r="Z3" s="101"/>
      <c r="AA3" s="101"/>
      <c r="AB3" s="101"/>
      <c r="AC3" s="122"/>
      <c r="AD3" s="122"/>
      <c r="AE3" s="101"/>
      <c r="AF3" s="101"/>
      <c r="AG3" s="101"/>
      <c r="AH3" s="101"/>
    </row>
    <row r="4" spans="1:36" s="105" customFormat="1">
      <c r="A4" s="105" t="s">
        <v>410</v>
      </c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</row>
    <row r="5" spans="1:36">
      <c r="A5" s="122">
        <f>+D1</f>
        <v>46082</v>
      </c>
      <c r="B5" s="123" t="str">
        <f>+TEXT(A5,"dddddd")</f>
        <v>domingo</v>
      </c>
      <c r="C5" s="393">
        <f>+SUM(D5:AH5)</f>
        <v>1</v>
      </c>
      <c r="D5" s="371">
        <v>0.13742972587735219</v>
      </c>
      <c r="E5" s="371">
        <v>0.68070633951917414</v>
      </c>
      <c r="F5" s="371">
        <v>0.16607404781593202</v>
      </c>
      <c r="G5" s="371">
        <v>1.0224789088909874E-2</v>
      </c>
      <c r="H5" s="524">
        <v>5.5650976986316714E-3</v>
      </c>
      <c r="I5" s="371">
        <v>0</v>
      </c>
      <c r="J5" s="521"/>
      <c r="K5" s="521"/>
      <c r="L5" s="521"/>
      <c r="M5" s="521"/>
      <c r="N5" s="521"/>
      <c r="O5" s="5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19"/>
      <c r="AJ5" s="119"/>
    </row>
    <row r="6" spans="1:36">
      <c r="A6" s="122">
        <f>+A5+1</f>
        <v>46083</v>
      </c>
      <c r="B6" s="123" t="str">
        <f t="shared" ref="B6:B29" si="5">+TEXT(A6,"dddddd")</f>
        <v>lunes</v>
      </c>
      <c r="C6" s="393">
        <f t="shared" ref="C6:C32" si="6">+SUM(D6:AH6)</f>
        <v>0.99997856071269486</v>
      </c>
      <c r="D6" s="371"/>
      <c r="E6" s="371">
        <v>0.30350657763505595</v>
      </c>
      <c r="F6" s="371">
        <v>0.55972917038614656</v>
      </c>
      <c r="G6" s="371">
        <v>0.11962874068603058</v>
      </c>
      <c r="H6" s="371">
        <v>8.150864349047519E-3</v>
      </c>
      <c r="I6" s="371">
        <v>3.9529233857111268E-3</v>
      </c>
      <c r="J6" s="371">
        <v>0</v>
      </c>
      <c r="K6" s="371">
        <v>0</v>
      </c>
      <c r="L6" s="371">
        <v>3.7127928667026865E-3</v>
      </c>
      <c r="M6" s="521">
        <v>4.6881834056410103E-4</v>
      </c>
      <c r="N6" s="521">
        <v>6.9074838833076547E-4</v>
      </c>
      <c r="O6" s="521">
        <v>7.1744515760309606E-5</v>
      </c>
      <c r="P6" s="521">
        <v>6.6180159345261981E-5</v>
      </c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19"/>
      <c r="AJ6" s="119"/>
    </row>
    <row r="7" spans="1:36">
      <c r="A7" s="87">
        <f t="shared" ref="A7:A35" si="7">+A6+1</f>
        <v>46084</v>
      </c>
      <c r="B7" s="35" t="str">
        <f t="shared" si="5"/>
        <v>martes</v>
      </c>
      <c r="C7" s="393">
        <f t="shared" si="6"/>
        <v>1.0000428066720937</v>
      </c>
      <c r="D7" s="371"/>
      <c r="E7" s="521">
        <v>0</v>
      </c>
      <c r="F7" s="371">
        <v>0.27449053351515973</v>
      </c>
      <c r="G7" s="371">
        <v>0.59076693857909346</v>
      </c>
      <c r="H7" s="371">
        <v>0.11681193454498315</v>
      </c>
      <c r="I7" s="371">
        <v>1.0152201670601444E-2</v>
      </c>
      <c r="J7" s="371">
        <v>0</v>
      </c>
      <c r="K7" s="371">
        <v>0</v>
      </c>
      <c r="L7" s="371">
        <v>5.8240434693548537E-3</v>
      </c>
      <c r="M7" s="371">
        <v>9.7532569412685276E-4</v>
      </c>
      <c r="N7" s="522">
        <v>9.7902252668047307E-4</v>
      </c>
      <c r="O7" s="521">
        <v>0</v>
      </c>
      <c r="P7" s="521">
        <v>4.2806672093593754E-5</v>
      </c>
      <c r="Q7" s="5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19"/>
      <c r="AJ7" s="119"/>
    </row>
    <row r="8" spans="1:36">
      <c r="A8" s="87">
        <f t="shared" si="7"/>
        <v>46085</v>
      </c>
      <c r="B8" s="35" t="str">
        <f t="shared" si="5"/>
        <v>miércoles</v>
      </c>
      <c r="C8" s="393">
        <f t="shared" si="6"/>
        <v>1.000034308165294</v>
      </c>
      <c r="D8" s="371"/>
      <c r="E8" s="521">
        <v>1.2480318966535884E-6</v>
      </c>
      <c r="F8" s="521">
        <v>0</v>
      </c>
      <c r="G8" s="523">
        <v>0.28698445879076251</v>
      </c>
      <c r="H8" s="371">
        <v>0.57018607815417033</v>
      </c>
      <c r="I8" s="371">
        <v>0.12198952398761082</v>
      </c>
      <c r="J8" s="371">
        <v>0</v>
      </c>
      <c r="K8" s="371">
        <v>0</v>
      </c>
      <c r="L8" s="371">
        <v>1.5790471422772109E-2</v>
      </c>
      <c r="M8" s="371">
        <v>3.1396461758581118E-3</v>
      </c>
      <c r="N8" s="524">
        <v>1.9098214688260118E-3</v>
      </c>
      <c r="O8" s="521">
        <v>0</v>
      </c>
      <c r="P8" s="521">
        <v>3.3060133397652454E-5</v>
      </c>
      <c r="Q8" s="5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19"/>
      <c r="AJ8" s="119"/>
    </row>
    <row r="9" spans="1:36">
      <c r="A9" s="87">
        <f t="shared" si="7"/>
        <v>46086</v>
      </c>
      <c r="B9" s="35" t="str">
        <f t="shared" si="5"/>
        <v>jueves</v>
      </c>
      <c r="C9" s="393">
        <f t="shared" si="6"/>
        <v>1.0000125866597964</v>
      </c>
      <c r="D9" s="521"/>
      <c r="E9" s="521">
        <v>2.1316313328008838E-7</v>
      </c>
      <c r="F9" s="521">
        <v>0</v>
      </c>
      <c r="G9" s="521">
        <v>7.8987410662912971E-6</v>
      </c>
      <c r="H9" s="371">
        <v>0.27200317532491836</v>
      </c>
      <c r="I9" s="371">
        <v>0.58026742693438749</v>
      </c>
      <c r="J9" s="371">
        <v>0</v>
      </c>
      <c r="K9" s="371">
        <v>0</v>
      </c>
      <c r="L9" s="371">
        <v>0.14056925428113995</v>
      </c>
      <c r="M9" s="371">
        <v>2.3102362731872439E-3</v>
      </c>
      <c r="N9" s="371">
        <v>3.5903465786937343E-3</v>
      </c>
      <c r="O9" s="371">
        <v>1.2640353632701268E-3</v>
      </c>
      <c r="P9" s="521">
        <v>0</v>
      </c>
      <c r="Q9" s="521"/>
      <c r="R9" s="521"/>
      <c r="S9" s="5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19"/>
      <c r="AJ9" s="119"/>
    </row>
    <row r="10" spans="1:36">
      <c r="A10" s="87">
        <f t="shared" si="7"/>
        <v>46087</v>
      </c>
      <c r="B10" s="35" t="str">
        <f t="shared" si="5"/>
        <v>viernes</v>
      </c>
      <c r="C10" s="393">
        <f t="shared" si="6"/>
        <v>1.0000112621133077</v>
      </c>
      <c r="D10" s="521"/>
      <c r="E10" s="521">
        <v>3.6853431923756874E-7</v>
      </c>
      <c r="F10" s="521">
        <v>0</v>
      </c>
      <c r="G10" s="521">
        <v>0</v>
      </c>
      <c r="H10" s="521">
        <v>1.089357898849472E-5</v>
      </c>
      <c r="I10" s="371">
        <v>0.22231626687403955</v>
      </c>
      <c r="J10" s="371">
        <v>0</v>
      </c>
      <c r="K10" s="371">
        <v>0</v>
      </c>
      <c r="L10" s="371">
        <v>0.75936881136890533</v>
      </c>
      <c r="M10" s="371">
        <v>1.1022320946050762E-2</v>
      </c>
      <c r="N10" s="371">
        <v>3.650356322310349E-3</v>
      </c>
      <c r="O10" s="524">
        <v>3.6422444886939909E-3</v>
      </c>
      <c r="P10" s="521">
        <v>0</v>
      </c>
      <c r="Q10" s="522"/>
      <c r="R10" s="521"/>
      <c r="S10" s="521"/>
      <c r="T10" s="5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19"/>
      <c r="AJ10" s="119"/>
    </row>
    <row r="11" spans="1:36">
      <c r="A11" s="87">
        <f t="shared" si="7"/>
        <v>46088</v>
      </c>
      <c r="B11" s="35" t="str">
        <f t="shared" si="5"/>
        <v>sábado</v>
      </c>
      <c r="C11" s="393">
        <f t="shared" si="6"/>
        <v>1.0000009557080598</v>
      </c>
      <c r="D11" s="521"/>
      <c r="E11" s="521">
        <v>9.5570805971861039E-7</v>
      </c>
      <c r="F11" s="521">
        <v>0</v>
      </c>
      <c r="G11" s="521">
        <v>0</v>
      </c>
      <c r="H11" s="521">
        <v>0</v>
      </c>
      <c r="I11" s="521">
        <v>0</v>
      </c>
      <c r="J11" s="371">
        <v>0.1685033560420264</v>
      </c>
      <c r="K11" s="371">
        <v>0</v>
      </c>
      <c r="L11" s="371">
        <v>0.8088940916929479</v>
      </c>
      <c r="M11" s="371">
        <v>1.3958913847962318E-2</v>
      </c>
      <c r="N11" s="524">
        <v>8.6436384170633929E-3</v>
      </c>
      <c r="O11" s="371">
        <v>0</v>
      </c>
      <c r="P11" s="371">
        <v>0</v>
      </c>
      <c r="Q11" s="524"/>
      <c r="R11" s="521"/>
      <c r="S11" s="521"/>
      <c r="T11" s="521"/>
      <c r="U11" s="394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19"/>
      <c r="AJ11" s="119"/>
    </row>
    <row r="12" spans="1:36">
      <c r="A12" s="122">
        <f t="shared" si="7"/>
        <v>46089</v>
      </c>
      <c r="B12" s="123" t="str">
        <f t="shared" si="5"/>
        <v>domingo</v>
      </c>
      <c r="C12" s="393">
        <f t="shared" si="6"/>
        <v>1.0000078484361639</v>
      </c>
      <c r="D12" s="394"/>
      <c r="E12" s="521">
        <v>2.1572470643973782E-6</v>
      </c>
      <c r="F12" s="521">
        <v>0</v>
      </c>
      <c r="G12" s="521">
        <v>0</v>
      </c>
      <c r="H12" s="521">
        <v>0</v>
      </c>
      <c r="I12" s="521">
        <v>3.095046003439567E-7</v>
      </c>
      <c r="J12" s="521">
        <v>5.3816844991558196E-6</v>
      </c>
      <c r="K12" s="371">
        <v>0.13742972587735219</v>
      </c>
      <c r="L12" s="371">
        <v>0.68070633951917414</v>
      </c>
      <c r="M12" s="371">
        <v>0.16607404781593202</v>
      </c>
      <c r="N12" s="371">
        <v>1.0224789088909874E-2</v>
      </c>
      <c r="O12" s="524">
        <v>5.5650976986316714E-3</v>
      </c>
      <c r="P12" s="371">
        <v>0</v>
      </c>
      <c r="Q12" s="371"/>
      <c r="R12" s="371"/>
      <c r="S12" s="521"/>
      <c r="T12" s="521"/>
      <c r="U12" s="521"/>
      <c r="V12" s="5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19"/>
      <c r="AJ12" s="119"/>
    </row>
    <row r="13" spans="1:36">
      <c r="A13" s="122">
        <f t="shared" si="7"/>
        <v>46090</v>
      </c>
      <c r="B13" s="123" t="str">
        <f t="shared" si="5"/>
        <v>lunes</v>
      </c>
      <c r="C13" s="393">
        <f t="shared" si="6"/>
        <v>0.99997856071269486</v>
      </c>
      <c r="D13" s="121"/>
      <c r="E13" s="121"/>
      <c r="F13" s="521"/>
      <c r="G13" s="521"/>
      <c r="H13" s="521"/>
      <c r="I13" s="521"/>
      <c r="J13" s="521"/>
      <c r="K13" s="521"/>
      <c r="L13" s="371">
        <v>0.30350657763505595</v>
      </c>
      <c r="M13" s="371">
        <v>0.55972917038614656</v>
      </c>
      <c r="N13" s="371">
        <v>0.11962874068603058</v>
      </c>
      <c r="O13" s="371">
        <v>8.150864349047519E-3</v>
      </c>
      <c r="P13" s="371">
        <v>3.9529233857111268E-3</v>
      </c>
      <c r="Q13" s="371">
        <v>0</v>
      </c>
      <c r="R13" s="371">
        <v>0</v>
      </c>
      <c r="S13" s="371">
        <v>3.7127928667026865E-3</v>
      </c>
      <c r="T13" s="521">
        <v>4.6881834056410103E-4</v>
      </c>
      <c r="U13" s="521">
        <v>6.9074838833076547E-4</v>
      </c>
      <c r="V13" s="521">
        <v>7.1744515760309606E-5</v>
      </c>
      <c r="W13" s="521">
        <v>6.6180159345261981E-5</v>
      </c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19"/>
      <c r="AJ13" s="119"/>
    </row>
    <row r="14" spans="1:36">
      <c r="A14" s="87">
        <f t="shared" si="7"/>
        <v>46091</v>
      </c>
      <c r="B14" s="35" t="str">
        <f t="shared" si="5"/>
        <v>martes</v>
      </c>
      <c r="C14" s="393">
        <f t="shared" si="6"/>
        <v>1.0000428066720937</v>
      </c>
      <c r="D14" s="121"/>
      <c r="E14" s="121"/>
      <c r="F14" s="121"/>
      <c r="G14" s="121"/>
      <c r="H14" s="521"/>
      <c r="I14" s="521"/>
      <c r="J14" s="521"/>
      <c r="K14" s="521"/>
      <c r="L14" s="521">
        <v>0</v>
      </c>
      <c r="M14" s="371">
        <v>0.27449053351515973</v>
      </c>
      <c r="N14" s="371">
        <v>0.59076693857909346</v>
      </c>
      <c r="O14" s="371">
        <v>0.11681193454498315</v>
      </c>
      <c r="P14" s="371">
        <v>1.0152201670601444E-2</v>
      </c>
      <c r="Q14" s="371">
        <v>0</v>
      </c>
      <c r="R14" s="371">
        <v>0</v>
      </c>
      <c r="S14" s="371">
        <v>5.8240434693548537E-3</v>
      </c>
      <c r="T14" s="371">
        <v>9.7532569412685276E-4</v>
      </c>
      <c r="U14" s="522">
        <v>9.7902252668047307E-4</v>
      </c>
      <c r="V14" s="521">
        <v>0</v>
      </c>
      <c r="W14" s="521">
        <v>4.2806672093593754E-5</v>
      </c>
      <c r="X14" s="5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19"/>
      <c r="AJ14" s="119"/>
    </row>
    <row r="15" spans="1:36">
      <c r="A15" s="87">
        <f t="shared" si="7"/>
        <v>46092</v>
      </c>
      <c r="B15" s="35" t="str">
        <f t="shared" si="5"/>
        <v>miércoles</v>
      </c>
      <c r="C15" s="393">
        <f t="shared" si="6"/>
        <v>1.000034308165294</v>
      </c>
      <c r="D15" s="121"/>
      <c r="E15" s="121"/>
      <c r="F15" s="121"/>
      <c r="G15" s="121"/>
      <c r="H15" s="521"/>
      <c r="I15" s="521"/>
      <c r="J15" s="521"/>
      <c r="K15" s="521"/>
      <c r="L15" s="521">
        <v>1.2480318966535884E-6</v>
      </c>
      <c r="M15" s="521">
        <v>0</v>
      </c>
      <c r="N15" s="523">
        <v>0.28698445879076251</v>
      </c>
      <c r="O15" s="371">
        <v>0.57018607815417033</v>
      </c>
      <c r="P15" s="371">
        <v>0.12198952398761082</v>
      </c>
      <c r="Q15" s="371">
        <v>0</v>
      </c>
      <c r="R15" s="371">
        <v>0</v>
      </c>
      <c r="S15" s="371">
        <v>1.5790471422772109E-2</v>
      </c>
      <c r="T15" s="371">
        <v>3.1396461758581118E-3</v>
      </c>
      <c r="U15" s="524">
        <v>1.9098214688260118E-3</v>
      </c>
      <c r="V15" s="521">
        <v>0</v>
      </c>
      <c r="W15" s="521">
        <v>3.3060133397652454E-5</v>
      </c>
      <c r="X15" s="5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19"/>
      <c r="AJ15" s="119"/>
    </row>
    <row r="16" spans="1:36">
      <c r="A16" s="87">
        <f t="shared" si="7"/>
        <v>46093</v>
      </c>
      <c r="B16" s="35" t="str">
        <f t="shared" si="5"/>
        <v>jueves</v>
      </c>
      <c r="C16" s="393">
        <f t="shared" si="6"/>
        <v>1.0000125866597964</v>
      </c>
      <c r="D16" s="121"/>
      <c r="E16" s="121"/>
      <c r="F16" s="121"/>
      <c r="G16" s="121"/>
      <c r="H16" s="121"/>
      <c r="I16" s="521"/>
      <c r="J16" s="521"/>
      <c r="K16" s="521"/>
      <c r="L16" s="521">
        <v>2.1316313328008838E-7</v>
      </c>
      <c r="M16" s="521">
        <v>0</v>
      </c>
      <c r="N16" s="521">
        <v>7.8987410662912971E-6</v>
      </c>
      <c r="O16" s="371">
        <v>0.27200317532491836</v>
      </c>
      <c r="P16" s="371">
        <v>0.58026742693438749</v>
      </c>
      <c r="Q16" s="371">
        <v>0</v>
      </c>
      <c r="R16" s="371">
        <v>0</v>
      </c>
      <c r="S16" s="371">
        <v>0.14056925428113995</v>
      </c>
      <c r="T16" s="371">
        <v>2.3102362731872439E-3</v>
      </c>
      <c r="U16" s="371">
        <v>3.5903465786937343E-3</v>
      </c>
      <c r="V16" s="371">
        <v>1.2640353632701268E-3</v>
      </c>
      <c r="W16" s="521">
        <v>0</v>
      </c>
      <c r="X16" s="521"/>
      <c r="Y16" s="521"/>
      <c r="Z16" s="521"/>
      <c r="AA16" s="121"/>
      <c r="AB16" s="121"/>
      <c r="AC16" s="121"/>
      <c r="AD16" s="121"/>
      <c r="AE16" s="121"/>
      <c r="AF16" s="121"/>
      <c r="AG16" s="121"/>
      <c r="AH16" s="121"/>
      <c r="AI16" s="119"/>
      <c r="AJ16" s="119"/>
    </row>
    <row r="17" spans="1:46">
      <c r="A17" s="87">
        <f t="shared" si="7"/>
        <v>46094</v>
      </c>
      <c r="B17" s="35" t="str">
        <f t="shared" si="5"/>
        <v>viernes</v>
      </c>
      <c r="C17" s="393">
        <f t="shared" si="6"/>
        <v>1.0000112621133077</v>
      </c>
      <c r="D17" s="121"/>
      <c r="E17" s="121"/>
      <c r="F17" s="121"/>
      <c r="G17" s="121"/>
      <c r="H17" s="121"/>
      <c r="I17" s="121"/>
      <c r="J17" s="394"/>
      <c r="K17" s="521"/>
      <c r="L17" s="521">
        <v>3.6853431923756874E-7</v>
      </c>
      <c r="M17" s="521">
        <v>0</v>
      </c>
      <c r="N17" s="521">
        <v>0</v>
      </c>
      <c r="O17" s="521">
        <v>1.089357898849472E-5</v>
      </c>
      <c r="P17" s="371">
        <v>0.22231626687403955</v>
      </c>
      <c r="Q17" s="371">
        <v>0</v>
      </c>
      <c r="R17" s="371">
        <v>0</v>
      </c>
      <c r="S17" s="371">
        <v>0.75936881136890533</v>
      </c>
      <c r="T17" s="371">
        <v>1.1022320946050762E-2</v>
      </c>
      <c r="U17" s="371">
        <v>3.650356322310349E-3</v>
      </c>
      <c r="V17" s="524">
        <v>3.6422444886939909E-3</v>
      </c>
      <c r="W17" s="521">
        <v>0</v>
      </c>
      <c r="X17" s="522"/>
      <c r="Y17" s="521"/>
      <c r="Z17" s="521"/>
      <c r="AA17" s="521"/>
      <c r="AB17" s="121"/>
      <c r="AC17" s="121"/>
      <c r="AD17" s="121"/>
      <c r="AE17" s="121"/>
      <c r="AF17" s="121"/>
      <c r="AG17" s="121"/>
      <c r="AH17" s="121"/>
      <c r="AI17" s="119"/>
      <c r="AJ17" s="119"/>
    </row>
    <row r="18" spans="1:46">
      <c r="A18" s="87">
        <f t="shared" si="7"/>
        <v>46095</v>
      </c>
      <c r="B18" s="35" t="str">
        <f t="shared" si="5"/>
        <v>sábado</v>
      </c>
      <c r="C18" s="393">
        <f t="shared" si="6"/>
        <v>1.0000009557080598</v>
      </c>
      <c r="D18" s="121"/>
      <c r="E18" s="121"/>
      <c r="F18" s="121"/>
      <c r="G18" s="121"/>
      <c r="H18" s="121"/>
      <c r="I18" s="121"/>
      <c r="J18" s="121"/>
      <c r="K18" s="521"/>
      <c r="L18" s="521">
        <v>9.5570805971861039E-7</v>
      </c>
      <c r="M18" s="521">
        <v>0</v>
      </c>
      <c r="N18" s="521">
        <v>0</v>
      </c>
      <c r="O18" s="521">
        <v>0</v>
      </c>
      <c r="P18" s="521">
        <v>0</v>
      </c>
      <c r="Q18" s="371">
        <v>0.1685033560420264</v>
      </c>
      <c r="R18" s="371">
        <v>0</v>
      </c>
      <c r="S18" s="371">
        <v>0.8088940916929479</v>
      </c>
      <c r="T18" s="371">
        <v>1.3958913847962318E-2</v>
      </c>
      <c r="U18" s="524">
        <v>8.6436384170633929E-3</v>
      </c>
      <c r="V18" s="371">
        <v>0</v>
      </c>
      <c r="W18" s="371">
        <v>0</v>
      </c>
      <c r="X18" s="524"/>
      <c r="Y18" s="521"/>
      <c r="Z18" s="521"/>
      <c r="AA18" s="521"/>
      <c r="AB18" s="394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</row>
    <row r="19" spans="1:46">
      <c r="A19" s="122">
        <f t="shared" si="7"/>
        <v>46096</v>
      </c>
      <c r="B19" s="123" t="str">
        <f t="shared" si="5"/>
        <v>domingo</v>
      </c>
      <c r="C19" s="393">
        <f t="shared" si="6"/>
        <v>1.0000078484361639</v>
      </c>
      <c r="D19" s="121"/>
      <c r="E19" s="121"/>
      <c r="F19" s="121"/>
      <c r="G19" s="121"/>
      <c r="H19" s="121"/>
      <c r="I19" s="121"/>
      <c r="J19" s="121"/>
      <c r="K19" s="121"/>
      <c r="L19" s="521">
        <v>2.1572470643973782E-6</v>
      </c>
      <c r="M19" s="521">
        <v>0</v>
      </c>
      <c r="N19" s="521">
        <v>0</v>
      </c>
      <c r="O19" s="521">
        <v>0</v>
      </c>
      <c r="P19" s="521">
        <v>3.095046003439567E-7</v>
      </c>
      <c r="Q19" s="521">
        <v>5.3816844991558196E-6</v>
      </c>
      <c r="R19" s="371">
        <v>0.13742972587735219</v>
      </c>
      <c r="S19" s="371">
        <v>0.68070633951917414</v>
      </c>
      <c r="T19" s="371">
        <v>0.16607404781593202</v>
      </c>
      <c r="U19" s="371">
        <v>1.0224789088909874E-2</v>
      </c>
      <c r="V19" s="524">
        <v>5.5650976986316714E-3</v>
      </c>
      <c r="W19" s="371">
        <v>0</v>
      </c>
      <c r="X19" s="371"/>
      <c r="Y19" s="371"/>
      <c r="Z19" s="521"/>
      <c r="AA19" s="521"/>
      <c r="AB19" s="521"/>
      <c r="AC19" s="521"/>
      <c r="AD19" s="121"/>
      <c r="AE19" s="121"/>
      <c r="AF19" s="121"/>
      <c r="AG19" s="121"/>
      <c r="AH19" s="121"/>
      <c r="AI19" s="121"/>
      <c r="AJ19" s="121" t="str">
        <f>+IF(Tabla_Fec_Proceso!AM22=0,"",Tabla_Fec_Proceso!AM22)</f>
        <v/>
      </c>
      <c r="AK19" s="121" t="str">
        <f>+IF(Tabla_Fec_Proceso!AN22=0,"",Tabla_Fec_Proceso!AN22)</f>
        <v/>
      </c>
      <c r="AL19" s="121"/>
      <c r="AM19" s="121"/>
      <c r="AN19" s="121"/>
      <c r="AO19" s="121"/>
      <c r="AP19" s="121"/>
      <c r="AQ19" s="121"/>
      <c r="AR19" s="121"/>
      <c r="AS19" s="121"/>
      <c r="AT19" s="121"/>
    </row>
    <row r="20" spans="1:46">
      <c r="A20" s="122">
        <f t="shared" si="7"/>
        <v>46097</v>
      </c>
      <c r="B20" s="123" t="str">
        <f t="shared" si="5"/>
        <v>lunes</v>
      </c>
      <c r="C20" s="393">
        <f t="shared" si="6"/>
        <v>0.99997856071269486</v>
      </c>
      <c r="D20" s="121"/>
      <c r="E20" s="121"/>
      <c r="F20" s="121"/>
      <c r="G20" s="121"/>
      <c r="H20" s="121"/>
      <c r="I20" s="121"/>
      <c r="J20" s="121"/>
      <c r="K20" s="121"/>
      <c r="L20" s="121"/>
      <c r="M20" s="521"/>
      <c r="N20" s="521"/>
      <c r="O20" s="521"/>
      <c r="P20" s="521"/>
      <c r="Q20" s="521"/>
      <c r="R20" s="521"/>
      <c r="S20" s="371">
        <v>0.30350657763505595</v>
      </c>
      <c r="T20" s="371">
        <v>0.55972917038614656</v>
      </c>
      <c r="U20" s="371">
        <v>0.11962874068603058</v>
      </c>
      <c r="V20" s="371">
        <v>8.150864349047519E-3</v>
      </c>
      <c r="W20" s="371">
        <v>3.9529233857111268E-3</v>
      </c>
      <c r="X20" s="371">
        <v>0</v>
      </c>
      <c r="Y20" s="371">
        <v>0</v>
      </c>
      <c r="Z20" s="371">
        <v>3.7127928667026865E-3</v>
      </c>
      <c r="AA20" s="521">
        <v>4.6881834056410103E-4</v>
      </c>
      <c r="AB20" s="521">
        <v>6.9074838833076547E-4</v>
      </c>
      <c r="AC20" s="521">
        <v>7.1744515760309606E-5</v>
      </c>
      <c r="AD20" s="521">
        <v>6.6180159345261981E-5</v>
      </c>
      <c r="AE20" s="121"/>
      <c r="AF20" s="121"/>
      <c r="AG20" s="121"/>
      <c r="AH20" s="121"/>
      <c r="AI20" s="121"/>
      <c r="AJ20" s="121" t="str">
        <f>+IF(Tabla_Fec_Proceso!AM23=0,"",Tabla_Fec_Proceso!AM23)</f>
        <v/>
      </c>
      <c r="AK20" s="121" t="str">
        <f>+IF(Tabla_Fec_Proceso!AN23=0,"",Tabla_Fec_Proceso!AN23)</f>
        <v/>
      </c>
      <c r="AL20" s="121"/>
      <c r="AM20" s="121"/>
      <c r="AN20" s="121"/>
      <c r="AO20" s="121"/>
      <c r="AP20" s="121"/>
      <c r="AQ20" s="121"/>
      <c r="AR20" s="121"/>
      <c r="AS20" s="121"/>
      <c r="AT20" s="121"/>
    </row>
    <row r="21" spans="1:46">
      <c r="A21" s="87">
        <f t="shared" si="7"/>
        <v>46098</v>
      </c>
      <c r="B21" s="35" t="str">
        <f t="shared" si="5"/>
        <v>martes</v>
      </c>
      <c r="C21" s="393">
        <f t="shared" si="6"/>
        <v>1.0000428066720937</v>
      </c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521"/>
      <c r="P21" s="521"/>
      <c r="Q21" s="521"/>
      <c r="R21" s="521"/>
      <c r="S21" s="521">
        <v>0</v>
      </c>
      <c r="T21" s="371">
        <v>0.27449053351515973</v>
      </c>
      <c r="U21" s="371">
        <v>0.59076693857909346</v>
      </c>
      <c r="V21" s="371">
        <v>0.11681193454498315</v>
      </c>
      <c r="W21" s="371">
        <v>1.0152201670601444E-2</v>
      </c>
      <c r="X21" s="371">
        <v>0</v>
      </c>
      <c r="Y21" s="371">
        <v>0</v>
      </c>
      <c r="Z21" s="371">
        <v>5.8240434693548537E-3</v>
      </c>
      <c r="AA21" s="371">
        <v>9.7532569412685276E-4</v>
      </c>
      <c r="AB21" s="522">
        <v>9.7902252668047307E-4</v>
      </c>
      <c r="AC21" s="521">
        <v>0</v>
      </c>
      <c r="AD21" s="521">
        <v>4.2806672093593754E-5</v>
      </c>
      <c r="AE21" s="521"/>
      <c r="AF21" s="121"/>
      <c r="AG21" s="121"/>
      <c r="AH21" s="121"/>
      <c r="AI21" s="121"/>
      <c r="AJ21" s="121" t="str">
        <f>+IF(Tabla_Fec_Proceso!AF17=0,"",Tabla_Fec_Proceso!AF17)</f>
        <v/>
      </c>
      <c r="AK21" s="121" t="str">
        <f>+IF(Tabla_Fec_Proceso!AG17=0,"",Tabla_Fec_Proceso!AG17)</f>
        <v/>
      </c>
      <c r="AL21" s="121"/>
      <c r="AM21" s="121"/>
      <c r="AN21" s="121"/>
      <c r="AO21" s="121"/>
      <c r="AP21" s="121"/>
      <c r="AQ21" s="121"/>
      <c r="AR21" s="121"/>
      <c r="AS21" s="121"/>
      <c r="AT21" s="121"/>
    </row>
    <row r="22" spans="1:46">
      <c r="A22" s="87">
        <f t="shared" si="7"/>
        <v>46099</v>
      </c>
      <c r="B22" s="35" t="str">
        <f t="shared" si="5"/>
        <v>miércoles</v>
      </c>
      <c r="C22" s="393">
        <f t="shared" si="6"/>
        <v>1.000034308165294</v>
      </c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521"/>
      <c r="P22" s="521"/>
      <c r="Q22" s="521"/>
      <c r="R22" s="521"/>
      <c r="S22" s="521">
        <v>1.2480318966535884E-6</v>
      </c>
      <c r="T22" s="521">
        <v>0</v>
      </c>
      <c r="U22" s="523">
        <v>0.28698445879076251</v>
      </c>
      <c r="V22" s="371">
        <v>0.57018607815417033</v>
      </c>
      <c r="W22" s="371">
        <v>0.12198952398761082</v>
      </c>
      <c r="X22" s="371">
        <v>0</v>
      </c>
      <c r="Y22" s="371">
        <v>0</v>
      </c>
      <c r="Z22" s="371">
        <v>1.5790471422772109E-2</v>
      </c>
      <c r="AA22" s="371">
        <v>3.1396461758581118E-3</v>
      </c>
      <c r="AB22" s="524">
        <v>1.9098214688260118E-3</v>
      </c>
      <c r="AC22" s="521">
        <v>0</v>
      </c>
      <c r="AD22" s="521">
        <v>3.3060133397652454E-5</v>
      </c>
      <c r="AE22" s="5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</row>
    <row r="23" spans="1:46">
      <c r="A23" s="87">
        <f t="shared" si="7"/>
        <v>46100</v>
      </c>
      <c r="B23" s="35" t="str">
        <f t="shared" si="5"/>
        <v>jueves</v>
      </c>
      <c r="C23" s="393">
        <f t="shared" si="6"/>
        <v>1.0000125866597964</v>
      </c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521"/>
      <c r="Q23" s="521"/>
      <c r="R23" s="521"/>
      <c r="S23" s="521">
        <v>2.1316313328008838E-7</v>
      </c>
      <c r="T23" s="521">
        <v>0</v>
      </c>
      <c r="U23" s="521">
        <v>7.8987410662912971E-6</v>
      </c>
      <c r="V23" s="371">
        <v>0.27200317532491836</v>
      </c>
      <c r="W23" s="371">
        <v>0.58026742693438749</v>
      </c>
      <c r="X23" s="371">
        <v>0</v>
      </c>
      <c r="Y23" s="371">
        <v>0</v>
      </c>
      <c r="Z23" s="371">
        <v>0.14056925428113995</v>
      </c>
      <c r="AA23" s="371">
        <v>2.3102362731872439E-3</v>
      </c>
      <c r="AB23" s="371">
        <v>3.5903465786937343E-3</v>
      </c>
      <c r="AC23" s="371">
        <v>1.2640353632701268E-3</v>
      </c>
      <c r="AD23" s="521">
        <v>0</v>
      </c>
      <c r="AE23" s="521"/>
      <c r="AF23" s="521"/>
      <c r="AG23" s="5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</row>
    <row r="24" spans="1:46">
      <c r="A24" s="87">
        <f t="shared" si="7"/>
        <v>46101</v>
      </c>
      <c r="B24" s="35" t="str">
        <f t="shared" si="5"/>
        <v>viernes</v>
      </c>
      <c r="C24" s="393">
        <f t="shared" si="6"/>
        <v>1.0000112621133077</v>
      </c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394"/>
      <c r="R24" s="521"/>
      <c r="S24" s="521">
        <v>3.6853431923756874E-7</v>
      </c>
      <c r="T24" s="521">
        <v>0</v>
      </c>
      <c r="U24" s="521">
        <v>0</v>
      </c>
      <c r="V24" s="521">
        <v>1.089357898849472E-5</v>
      </c>
      <c r="W24" s="371">
        <v>0.22231626687403955</v>
      </c>
      <c r="X24" s="371">
        <v>0</v>
      </c>
      <c r="Y24" s="371">
        <v>0</v>
      </c>
      <c r="Z24" s="371">
        <v>0.75936881136890533</v>
      </c>
      <c r="AA24" s="371">
        <v>1.1022320946050762E-2</v>
      </c>
      <c r="AB24" s="371">
        <v>3.650356322310349E-3</v>
      </c>
      <c r="AC24" s="524">
        <v>3.6422444886939909E-3</v>
      </c>
      <c r="AD24" s="521">
        <v>0</v>
      </c>
      <c r="AE24" s="522"/>
      <c r="AF24" s="521"/>
      <c r="AG24" s="521"/>
      <c r="AH24" s="5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</row>
    <row r="25" spans="1:46">
      <c r="A25" s="87">
        <f t="shared" si="7"/>
        <v>46102</v>
      </c>
      <c r="B25" s="35" t="str">
        <f t="shared" si="5"/>
        <v>sábado</v>
      </c>
      <c r="C25" s="393">
        <f t="shared" si="6"/>
        <v>1.0000009557080598</v>
      </c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521"/>
      <c r="S25" s="521">
        <v>9.5570805971861039E-7</v>
      </c>
      <c r="T25" s="521">
        <v>0</v>
      </c>
      <c r="U25" s="521">
        <v>0</v>
      </c>
      <c r="V25" s="521">
        <v>0</v>
      </c>
      <c r="W25" s="521">
        <v>0</v>
      </c>
      <c r="X25" s="371">
        <v>0.1685033560420264</v>
      </c>
      <c r="Y25" s="371">
        <v>0</v>
      </c>
      <c r="Z25" s="371">
        <v>0.8088940916929479</v>
      </c>
      <c r="AA25" s="371">
        <v>1.3958913847962318E-2</v>
      </c>
      <c r="AB25" s="524">
        <v>8.6436384170633929E-3</v>
      </c>
      <c r="AC25" s="371">
        <v>0</v>
      </c>
      <c r="AD25" s="371">
        <v>0</v>
      </c>
      <c r="AE25" s="524"/>
      <c r="AF25" s="521"/>
      <c r="AG25" s="521"/>
      <c r="AH25" s="521"/>
      <c r="AI25" s="395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</row>
    <row r="26" spans="1:46">
      <c r="A26" s="122">
        <f t="shared" si="7"/>
        <v>46103</v>
      </c>
      <c r="B26" s="123" t="str">
        <f t="shared" si="5"/>
        <v>domingo</v>
      </c>
      <c r="C26" s="393">
        <f t="shared" si="6"/>
        <v>1.0000078484361639</v>
      </c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521">
        <v>2.1572470643973782E-6</v>
      </c>
      <c r="T26" s="521">
        <v>0</v>
      </c>
      <c r="U26" s="521">
        <v>0</v>
      </c>
      <c r="V26" s="521">
        <v>0</v>
      </c>
      <c r="W26" s="521">
        <v>3.095046003439567E-7</v>
      </c>
      <c r="X26" s="521">
        <v>5.3816844991558196E-6</v>
      </c>
      <c r="Y26" s="371">
        <v>0.13742972587735219</v>
      </c>
      <c r="Z26" s="371">
        <v>0.68070633951917414</v>
      </c>
      <c r="AA26" s="371">
        <v>0.16607404781593202</v>
      </c>
      <c r="AB26" s="371">
        <v>1.0224789088909874E-2</v>
      </c>
      <c r="AC26" s="524">
        <v>5.5650976986316714E-3</v>
      </c>
      <c r="AD26" s="371">
        <v>0</v>
      </c>
      <c r="AE26" s="371"/>
      <c r="AF26" s="371"/>
      <c r="AG26" s="521"/>
      <c r="AH26" s="521"/>
      <c r="AI26" s="521"/>
      <c r="AJ26" s="5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</row>
    <row r="27" spans="1:46">
      <c r="A27" s="122">
        <f t="shared" si="7"/>
        <v>46104</v>
      </c>
      <c r="B27" s="123" t="str">
        <f t="shared" si="5"/>
        <v>lunes</v>
      </c>
      <c r="C27" s="393">
        <f t="shared" si="6"/>
        <v>0.99914988764925861</v>
      </c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394"/>
      <c r="T27" s="521"/>
      <c r="U27" s="521"/>
      <c r="V27" s="521"/>
      <c r="W27" s="521"/>
      <c r="X27" s="521"/>
      <c r="Y27" s="521"/>
      <c r="Z27" s="371">
        <v>0.30350657763505595</v>
      </c>
      <c r="AA27" s="371">
        <v>0.55972917038614656</v>
      </c>
      <c r="AB27" s="371">
        <v>0.11962874068603058</v>
      </c>
      <c r="AC27" s="371">
        <v>8.150864349047519E-3</v>
      </c>
      <c r="AD27" s="371">
        <v>3.9529233857111268E-3</v>
      </c>
      <c r="AE27" s="371">
        <v>0</v>
      </c>
      <c r="AF27" s="371">
        <v>0</v>
      </c>
      <c r="AG27" s="371">
        <v>3.7127928667026865E-3</v>
      </c>
      <c r="AH27" s="521">
        <v>4.6881834056410103E-4</v>
      </c>
      <c r="AI27" s="521"/>
      <c r="AJ27" s="521"/>
      <c r="AK27" s="521"/>
      <c r="AL27" s="121"/>
      <c r="AM27" s="121"/>
      <c r="AN27" s="121"/>
      <c r="AO27" s="121"/>
      <c r="AP27" s="121"/>
      <c r="AQ27" s="121"/>
      <c r="AR27" s="121"/>
      <c r="AS27" s="121"/>
      <c r="AT27" s="121"/>
    </row>
    <row r="28" spans="1:46">
      <c r="A28" s="87">
        <f t="shared" si="7"/>
        <v>46105</v>
      </c>
      <c r="B28" s="35" t="str">
        <f t="shared" si="5"/>
        <v>martes</v>
      </c>
      <c r="C28" s="393">
        <f>+SUM(D28:AH28)</f>
        <v>0.99902097747331953</v>
      </c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521"/>
      <c r="W28" s="521"/>
      <c r="X28" s="521"/>
      <c r="Y28" s="521"/>
      <c r="Z28" s="521">
        <v>0</v>
      </c>
      <c r="AA28" s="371">
        <v>0.27449053351515973</v>
      </c>
      <c r="AB28" s="371">
        <v>0.59076693857909346</v>
      </c>
      <c r="AC28" s="371">
        <v>0.11681193454498315</v>
      </c>
      <c r="AD28" s="371">
        <v>1.0152201670601444E-2</v>
      </c>
      <c r="AE28" s="371">
        <v>0</v>
      </c>
      <c r="AF28" s="371">
        <v>0</v>
      </c>
      <c r="AG28" s="371">
        <v>5.8240434693548537E-3</v>
      </c>
      <c r="AH28" s="371">
        <v>9.7532569412685276E-4</v>
      </c>
      <c r="AI28" s="522"/>
      <c r="AJ28" s="521"/>
      <c r="AK28" s="521"/>
      <c r="AL28" s="521"/>
      <c r="AM28" s="121"/>
      <c r="AN28" s="121"/>
      <c r="AO28" s="121"/>
      <c r="AP28" s="121"/>
      <c r="AQ28" s="121"/>
      <c r="AR28" s="121"/>
      <c r="AS28" s="121"/>
      <c r="AT28" s="121"/>
    </row>
    <row r="29" spans="1:46">
      <c r="A29" s="87">
        <f t="shared" si="7"/>
        <v>46106</v>
      </c>
      <c r="B29" s="35" t="str">
        <f t="shared" si="5"/>
        <v>miércoles</v>
      </c>
      <c r="C29" s="393">
        <f>+SUM(D29:AH29)</f>
        <v>0.99809142656307048</v>
      </c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521"/>
      <c r="W29" s="521"/>
      <c r="X29" s="521"/>
      <c r="Y29" s="521"/>
      <c r="Z29" s="521">
        <v>1.2480318966535884E-6</v>
      </c>
      <c r="AA29" s="521">
        <v>0</v>
      </c>
      <c r="AB29" s="523">
        <v>0.28698445879076251</v>
      </c>
      <c r="AC29" s="371">
        <v>0.57018607815417033</v>
      </c>
      <c r="AD29" s="371">
        <v>0.12198952398761082</v>
      </c>
      <c r="AE29" s="371">
        <v>0</v>
      </c>
      <c r="AF29" s="371">
        <v>0</v>
      </c>
      <c r="AG29" s="371">
        <v>1.5790471422772109E-2</v>
      </c>
      <c r="AH29" s="371">
        <v>3.1396461758581118E-3</v>
      </c>
      <c r="AI29" s="524"/>
      <c r="AJ29" s="521"/>
      <c r="AK29" s="521"/>
      <c r="AL29" s="521"/>
      <c r="AM29" s="121"/>
      <c r="AN29" s="121"/>
      <c r="AO29" s="121"/>
      <c r="AP29" s="121"/>
      <c r="AQ29" s="121"/>
      <c r="AR29" s="121"/>
      <c r="AS29" s="121"/>
      <c r="AT29" s="121"/>
    </row>
    <row r="30" spans="1:46">
      <c r="A30" s="87">
        <f t="shared" si="7"/>
        <v>46107</v>
      </c>
      <c r="B30" s="35" t="str">
        <f>+TEXT(A30,"dddddd")</f>
        <v>jueves</v>
      </c>
      <c r="C30" s="393">
        <f t="shared" si="6"/>
        <v>0.99515820471783267</v>
      </c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521"/>
      <c r="X30" s="521"/>
      <c r="Y30" s="521"/>
      <c r="Z30" s="521">
        <v>2.1316313328008838E-7</v>
      </c>
      <c r="AA30" s="521">
        <v>0</v>
      </c>
      <c r="AB30" s="521">
        <v>7.8987410662912971E-6</v>
      </c>
      <c r="AC30" s="371">
        <v>0.27200317532491836</v>
      </c>
      <c r="AD30" s="371">
        <v>0.58026742693438749</v>
      </c>
      <c r="AE30" s="371">
        <v>0</v>
      </c>
      <c r="AF30" s="371">
        <v>0</v>
      </c>
      <c r="AG30" s="371">
        <v>0.14056925428113995</v>
      </c>
      <c r="AH30" s="371">
        <v>2.3102362731872439E-3</v>
      </c>
      <c r="AI30" s="371"/>
      <c r="AJ30" s="371"/>
      <c r="AK30" s="521"/>
      <c r="AL30" s="521"/>
      <c r="AM30" s="521"/>
      <c r="AN30" s="521"/>
      <c r="AO30" s="121"/>
      <c r="AP30" s="121"/>
      <c r="AQ30" s="121"/>
      <c r="AR30" s="121"/>
      <c r="AS30" s="121"/>
      <c r="AT30" s="121"/>
    </row>
    <row r="31" spans="1:46">
      <c r="A31" s="87">
        <f t="shared" si="7"/>
        <v>46108</v>
      </c>
      <c r="B31" s="35" t="str">
        <f>+TEXT(A31,"dddddd")</f>
        <v>viernes</v>
      </c>
      <c r="C31" s="393">
        <f t="shared" si="6"/>
        <v>0.99271866130230335</v>
      </c>
      <c r="D31" s="87"/>
      <c r="F31" s="468"/>
      <c r="G31" s="87"/>
      <c r="I31" s="468"/>
      <c r="J31" s="87"/>
      <c r="L31" s="468"/>
      <c r="M31" s="87"/>
      <c r="O31" s="468"/>
      <c r="P31" s="87"/>
      <c r="Q31" s="121"/>
      <c r="R31" s="121"/>
      <c r="S31" s="121"/>
      <c r="T31" s="121"/>
      <c r="U31" s="121"/>
      <c r="V31" s="121"/>
      <c r="W31" s="121"/>
      <c r="X31" s="394"/>
      <c r="Y31" s="521"/>
      <c r="Z31" s="521">
        <v>3.6853431923756874E-7</v>
      </c>
      <c r="AA31" s="521">
        <v>0</v>
      </c>
      <c r="AB31" s="521">
        <v>0</v>
      </c>
      <c r="AC31" s="521">
        <v>1.089357898849472E-5</v>
      </c>
      <c r="AD31" s="371">
        <v>0.22231626687403955</v>
      </c>
      <c r="AE31" s="371">
        <v>0</v>
      </c>
      <c r="AF31" s="371">
        <v>0</v>
      </c>
      <c r="AG31" s="371">
        <v>0.75936881136890533</v>
      </c>
      <c r="AH31" s="371">
        <v>1.1022320946050762E-2</v>
      </c>
      <c r="AI31" s="371"/>
      <c r="AJ31" s="524"/>
      <c r="AK31" s="521"/>
      <c r="AL31" s="522"/>
      <c r="AM31" s="521"/>
      <c r="AN31" s="521"/>
      <c r="AO31" s="521"/>
      <c r="AP31" s="121"/>
      <c r="AQ31" s="121"/>
      <c r="AR31" s="121"/>
      <c r="AS31" s="121"/>
      <c r="AT31" s="121"/>
    </row>
    <row r="32" spans="1:46">
      <c r="A32" s="87">
        <f t="shared" si="7"/>
        <v>46109</v>
      </c>
      <c r="B32" s="35" t="str">
        <f>+TEXT(A32,"dddddd")</f>
        <v>sábado</v>
      </c>
      <c r="C32" s="393">
        <f t="shared" si="6"/>
        <v>0.99135731729099641</v>
      </c>
      <c r="D32" s="87"/>
      <c r="F32" s="468"/>
      <c r="G32" s="87"/>
      <c r="I32" s="468"/>
      <c r="J32" s="87"/>
      <c r="L32" s="468"/>
      <c r="M32" s="87"/>
      <c r="O32" s="468"/>
      <c r="P32" s="87"/>
      <c r="Q32" s="121"/>
      <c r="R32" s="121"/>
      <c r="S32" s="121"/>
      <c r="T32" s="121"/>
      <c r="U32" s="121"/>
      <c r="V32" s="121"/>
      <c r="W32" s="121"/>
      <c r="X32" s="121"/>
      <c r="Y32" s="521"/>
      <c r="Z32" s="521">
        <v>9.5570805971861039E-7</v>
      </c>
      <c r="AA32" s="521">
        <v>0</v>
      </c>
      <c r="AB32" s="521">
        <v>0</v>
      </c>
      <c r="AC32" s="521">
        <v>0</v>
      </c>
      <c r="AD32" s="521">
        <v>0</v>
      </c>
      <c r="AE32" s="371">
        <v>0.1685033560420264</v>
      </c>
      <c r="AF32" s="371">
        <v>0</v>
      </c>
      <c r="AG32" s="371">
        <v>0.8088940916929479</v>
      </c>
      <c r="AH32" s="371">
        <v>1.3958913847962318E-2</v>
      </c>
      <c r="AI32" s="524"/>
      <c r="AJ32" s="371"/>
      <c r="AK32" s="371"/>
      <c r="AL32" s="524"/>
      <c r="AM32" s="521"/>
      <c r="AN32" s="521"/>
      <c r="AO32" s="521"/>
      <c r="AP32" s="395"/>
      <c r="AQ32" s="121"/>
      <c r="AR32" s="121"/>
      <c r="AS32" s="121"/>
      <c r="AT32" s="121"/>
    </row>
    <row r="33" spans="1:46">
      <c r="A33" s="87">
        <f t="shared" si="7"/>
        <v>46110</v>
      </c>
      <c r="B33" s="35" t="str">
        <f t="shared" ref="B33:B34" si="8">+TEXT(A33,"dddddd")</f>
        <v>domingo</v>
      </c>
      <c r="C33" s="393">
        <f t="shared" ref="C33:C34" si="9">+SUM(D33:AH33)</f>
        <v>0.9842179616486223</v>
      </c>
      <c r="D33" s="87"/>
      <c r="F33" s="468"/>
      <c r="G33" s="87"/>
      <c r="I33" s="468"/>
      <c r="J33" s="87"/>
      <c r="L33" s="468"/>
      <c r="M33" s="87"/>
      <c r="O33" s="468"/>
      <c r="P33" s="87"/>
      <c r="Q33" s="121"/>
      <c r="R33" s="121"/>
      <c r="S33" s="121"/>
      <c r="T33" s="121"/>
      <c r="U33" s="121"/>
      <c r="V33" s="121"/>
      <c r="W33" s="121"/>
      <c r="X33" s="121"/>
      <c r="Y33" s="121"/>
      <c r="Z33" s="521">
        <v>2.1572470643973782E-6</v>
      </c>
      <c r="AA33" s="521">
        <v>0</v>
      </c>
      <c r="AB33" s="521">
        <v>0</v>
      </c>
      <c r="AC33" s="521">
        <v>0</v>
      </c>
      <c r="AD33" s="521">
        <v>3.095046003439567E-7</v>
      </c>
      <c r="AE33" s="521">
        <v>5.3816844991558196E-6</v>
      </c>
      <c r="AF33" s="371">
        <v>0.13742972587735219</v>
      </c>
      <c r="AG33" s="371">
        <v>0.68070633951917414</v>
      </c>
      <c r="AH33" s="371">
        <v>0.16607404781593202</v>
      </c>
      <c r="AI33" s="371"/>
      <c r="AJ33" s="524"/>
      <c r="AK33" s="371"/>
      <c r="AL33" s="371"/>
      <c r="AM33" s="371"/>
      <c r="AN33" s="521"/>
      <c r="AO33" s="521"/>
      <c r="AP33" s="395"/>
      <c r="AQ33" s="121"/>
      <c r="AR33" s="121"/>
      <c r="AS33" s="121"/>
      <c r="AT33" s="121"/>
    </row>
    <row r="34" spans="1:46">
      <c r="A34" s="87">
        <f t="shared" si="7"/>
        <v>46111</v>
      </c>
      <c r="B34" s="35" t="str">
        <f t="shared" si="8"/>
        <v>lunes</v>
      </c>
      <c r="C34" s="393">
        <f t="shared" si="9"/>
        <v>0.86323574802120251</v>
      </c>
      <c r="D34" s="87"/>
      <c r="F34" s="468"/>
      <c r="G34" s="87"/>
      <c r="I34" s="468"/>
      <c r="J34" s="87"/>
      <c r="L34" s="468"/>
      <c r="M34" s="87"/>
      <c r="O34" s="468"/>
      <c r="P34" s="87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521"/>
      <c r="AB34" s="521"/>
      <c r="AC34" s="521"/>
      <c r="AD34" s="521"/>
      <c r="AE34" s="521"/>
      <c r="AF34" s="521"/>
      <c r="AG34" s="371">
        <v>0.30350657763505595</v>
      </c>
      <c r="AH34" s="371">
        <v>0.55972917038614656</v>
      </c>
      <c r="AI34" s="371"/>
      <c r="AJ34" s="371"/>
      <c r="AK34" s="371"/>
      <c r="AL34" s="371"/>
      <c r="AM34" s="524"/>
      <c r="AN34" s="521"/>
      <c r="AO34" s="521"/>
      <c r="AP34" s="395"/>
      <c r="AQ34" s="121"/>
      <c r="AR34" s="121"/>
      <c r="AS34" s="121"/>
      <c r="AT34" s="121"/>
    </row>
    <row r="35" spans="1:46">
      <c r="A35" s="87">
        <f t="shared" si="7"/>
        <v>46112</v>
      </c>
      <c r="B35" s="35" t="str">
        <f t="shared" ref="B35" si="10">+TEXT(A35,"dddddd")</f>
        <v>martes</v>
      </c>
      <c r="C35" s="393">
        <f t="shared" ref="C35" si="11">+SUM(D35:AH35)</f>
        <v>0.27449053351515973</v>
      </c>
      <c r="D35" s="87"/>
      <c r="F35" s="468"/>
      <c r="G35" s="87"/>
      <c r="I35" s="468"/>
      <c r="J35" s="87"/>
      <c r="L35" s="468"/>
      <c r="M35" s="87"/>
      <c r="O35" s="468"/>
      <c r="P35" s="87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521"/>
      <c r="AD35" s="521"/>
      <c r="AE35" s="521"/>
      <c r="AF35" s="521"/>
      <c r="AG35" s="521">
        <v>0</v>
      </c>
      <c r="AH35" s="371">
        <v>0.27449053351515973</v>
      </c>
      <c r="AI35" s="371"/>
      <c r="AJ35" s="371"/>
      <c r="AK35" s="371"/>
      <c r="AL35" s="524"/>
      <c r="AM35" s="371"/>
      <c r="AN35" s="371"/>
      <c r="AO35" s="521"/>
      <c r="AP35" s="395"/>
      <c r="AQ35" s="121"/>
      <c r="AR35" s="121"/>
      <c r="AS35" s="121"/>
      <c r="AT35" s="121"/>
    </row>
    <row r="36" spans="1:46" s="105" customFormat="1">
      <c r="A36" s="105" t="s">
        <v>223</v>
      </c>
      <c r="D36" s="84"/>
      <c r="E36" s="121"/>
      <c r="F36" s="121"/>
      <c r="G36" s="121"/>
      <c r="H36" s="124"/>
      <c r="I36" s="124"/>
      <c r="J36" s="84"/>
      <c r="K36" s="84"/>
      <c r="L36" s="121"/>
      <c r="M36" s="121"/>
      <c r="N36" s="121"/>
      <c r="O36" s="124"/>
      <c r="P36" s="124"/>
      <c r="Q36" s="84"/>
      <c r="R36" s="84"/>
      <c r="S36" s="121"/>
      <c r="T36" s="121"/>
      <c r="U36" s="121"/>
      <c r="V36" s="124"/>
      <c r="W36" s="124"/>
      <c r="X36" s="84"/>
      <c r="Y36" s="84"/>
      <c r="Z36" s="121"/>
      <c r="AA36" s="121"/>
      <c r="AB36" s="121"/>
      <c r="AC36" s="395"/>
      <c r="AD36" s="395"/>
      <c r="AE36" s="395"/>
      <c r="AF36" s="395"/>
      <c r="AG36" s="395"/>
      <c r="AH36" s="395"/>
      <c r="AI36" s="394"/>
      <c r="AJ36" s="394"/>
      <c r="AK36" s="394"/>
      <c r="AL36" s="394"/>
      <c r="AM36" s="396"/>
      <c r="AN36" s="394"/>
      <c r="AO36" s="121"/>
      <c r="AP36" s="121"/>
      <c r="AQ36" s="121"/>
      <c r="AR36" s="121"/>
      <c r="AS36" s="121"/>
      <c r="AT36" s="121"/>
    </row>
    <row r="37" spans="1:46" ht="13.5" customHeight="1">
      <c r="A37" s="80" t="s">
        <v>146</v>
      </c>
      <c r="B37" s="80" t="s">
        <v>147</v>
      </c>
      <c r="C37" s="80" t="s">
        <v>223</v>
      </c>
      <c r="D37" s="83">
        <f>+D1</f>
        <v>46082</v>
      </c>
      <c r="E37" s="83">
        <f>+D37+1</f>
        <v>46083</v>
      </c>
      <c r="F37" s="83">
        <f t="shared" ref="F37:AE37" si="12">+E37+1</f>
        <v>46084</v>
      </c>
      <c r="G37" s="83">
        <f t="shared" si="12"/>
        <v>46085</v>
      </c>
      <c r="H37" s="126">
        <f t="shared" si="12"/>
        <v>46086</v>
      </c>
      <c r="I37" s="126">
        <f t="shared" si="12"/>
        <v>46087</v>
      </c>
      <c r="J37" s="83">
        <f t="shared" si="12"/>
        <v>46088</v>
      </c>
      <c r="K37" s="83">
        <f t="shared" si="12"/>
        <v>46089</v>
      </c>
      <c r="L37" s="83">
        <f t="shared" si="12"/>
        <v>46090</v>
      </c>
      <c r="M37" s="83">
        <f t="shared" si="12"/>
        <v>46091</v>
      </c>
      <c r="N37" s="83">
        <f t="shared" si="12"/>
        <v>46092</v>
      </c>
      <c r="O37" s="126">
        <f t="shared" si="12"/>
        <v>46093</v>
      </c>
      <c r="P37" s="126">
        <f t="shared" si="12"/>
        <v>46094</v>
      </c>
      <c r="Q37" s="83">
        <f t="shared" si="12"/>
        <v>46095</v>
      </c>
      <c r="R37" s="83">
        <f t="shared" si="12"/>
        <v>46096</v>
      </c>
      <c r="S37" s="83">
        <f t="shared" si="12"/>
        <v>46097</v>
      </c>
      <c r="T37" s="83">
        <f t="shared" si="12"/>
        <v>46098</v>
      </c>
      <c r="U37" s="83">
        <f t="shared" si="12"/>
        <v>46099</v>
      </c>
      <c r="V37" s="126">
        <f t="shared" si="12"/>
        <v>46100</v>
      </c>
      <c r="W37" s="126">
        <f t="shared" si="12"/>
        <v>46101</v>
      </c>
      <c r="X37" s="83">
        <f t="shared" si="12"/>
        <v>46102</v>
      </c>
      <c r="Y37" s="83">
        <f t="shared" si="12"/>
        <v>46103</v>
      </c>
      <c r="Z37" s="83">
        <f t="shared" si="12"/>
        <v>46104</v>
      </c>
      <c r="AA37" s="83">
        <f t="shared" si="12"/>
        <v>46105</v>
      </c>
      <c r="AB37" s="83">
        <f t="shared" si="12"/>
        <v>46106</v>
      </c>
      <c r="AC37" s="126">
        <f t="shared" si="12"/>
        <v>46107</v>
      </c>
      <c r="AD37" s="126">
        <f t="shared" si="12"/>
        <v>46108</v>
      </c>
      <c r="AE37" s="83">
        <f t="shared" si="12"/>
        <v>46109</v>
      </c>
      <c r="AF37" s="83">
        <f t="shared" ref="AF37" si="13">+AE37+1</f>
        <v>46110</v>
      </c>
      <c r="AG37" s="83">
        <f t="shared" ref="AG37" si="14">+AF37+1</f>
        <v>46111</v>
      </c>
      <c r="AH37" s="83">
        <f t="shared" ref="AH37" si="15">+AG37+1</f>
        <v>46112</v>
      </c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</row>
    <row r="38" spans="1:46">
      <c r="D38" s="87" t="str">
        <f t="shared" ref="D38:AE38" si="16">+TEXT(D37,"dddddd")</f>
        <v>domingo</v>
      </c>
      <c r="E38" s="87" t="str">
        <f t="shared" si="16"/>
        <v>lunes</v>
      </c>
      <c r="F38" s="87" t="str">
        <f t="shared" si="16"/>
        <v>martes</v>
      </c>
      <c r="G38" s="87" t="str">
        <f t="shared" si="16"/>
        <v>miércoles</v>
      </c>
      <c r="H38" s="122" t="str">
        <f t="shared" si="16"/>
        <v>jueves</v>
      </c>
      <c r="I38" s="122" t="str">
        <f t="shared" si="16"/>
        <v>viernes</v>
      </c>
      <c r="J38" s="87" t="str">
        <f t="shared" si="16"/>
        <v>sábado</v>
      </c>
      <c r="K38" s="87" t="str">
        <f t="shared" si="16"/>
        <v>domingo</v>
      </c>
      <c r="L38" s="87" t="str">
        <f t="shared" si="16"/>
        <v>lunes</v>
      </c>
      <c r="M38" s="87" t="str">
        <f t="shared" si="16"/>
        <v>martes</v>
      </c>
      <c r="N38" s="87" t="str">
        <f t="shared" si="16"/>
        <v>miércoles</v>
      </c>
      <c r="O38" s="122" t="str">
        <f t="shared" si="16"/>
        <v>jueves</v>
      </c>
      <c r="P38" s="122" t="str">
        <f t="shared" si="16"/>
        <v>viernes</v>
      </c>
      <c r="Q38" s="87" t="str">
        <f t="shared" si="16"/>
        <v>sábado</v>
      </c>
      <c r="R38" s="87" t="str">
        <f t="shared" si="16"/>
        <v>domingo</v>
      </c>
      <c r="S38" s="87" t="str">
        <f t="shared" si="16"/>
        <v>lunes</v>
      </c>
      <c r="T38" s="87" t="str">
        <f t="shared" si="16"/>
        <v>martes</v>
      </c>
      <c r="U38" s="87" t="str">
        <f t="shared" si="16"/>
        <v>miércoles</v>
      </c>
      <c r="V38" s="122" t="str">
        <f t="shared" si="16"/>
        <v>jueves</v>
      </c>
      <c r="W38" s="122" t="str">
        <f t="shared" si="16"/>
        <v>viernes</v>
      </c>
      <c r="X38" s="87" t="str">
        <f t="shared" si="16"/>
        <v>sábado</v>
      </c>
      <c r="Y38" s="87" t="str">
        <f t="shared" si="16"/>
        <v>domingo</v>
      </c>
      <c r="Z38" s="87" t="str">
        <f t="shared" si="16"/>
        <v>lunes</v>
      </c>
      <c r="AA38" s="87" t="str">
        <f t="shared" si="16"/>
        <v>martes</v>
      </c>
      <c r="AB38" s="87" t="str">
        <f t="shared" si="16"/>
        <v>miércoles</v>
      </c>
      <c r="AC38" s="122" t="str">
        <f t="shared" si="16"/>
        <v>jueves</v>
      </c>
      <c r="AD38" s="122" t="str">
        <f t="shared" si="16"/>
        <v>viernes</v>
      </c>
      <c r="AE38" s="87" t="str">
        <f t="shared" si="16"/>
        <v>sábado</v>
      </c>
      <c r="AF38" s="87" t="str">
        <f t="shared" ref="AF38:AH38" si="17">+TEXT(AF37,"dddddd")</f>
        <v>domingo</v>
      </c>
      <c r="AG38" s="87" t="str">
        <f t="shared" si="17"/>
        <v>lunes</v>
      </c>
      <c r="AH38" s="87" t="str">
        <f t="shared" si="17"/>
        <v>martes</v>
      </c>
    </row>
    <row r="39" spans="1:46">
      <c r="A39" s="721" t="s">
        <v>411</v>
      </c>
      <c r="B39" s="721"/>
      <c r="C39" s="721"/>
      <c r="D39" s="213"/>
      <c r="E39" s="213">
        <v>120.74769430000001</v>
      </c>
      <c r="F39" s="519">
        <v>1.3860962694900001</v>
      </c>
      <c r="G39" s="213"/>
      <c r="H39" s="213"/>
      <c r="I39" s="213"/>
      <c r="J39" s="213"/>
      <c r="O39" s="124"/>
      <c r="P39" s="124"/>
      <c r="V39" s="124"/>
      <c r="W39" s="124"/>
      <c r="AC39" s="124"/>
      <c r="AD39" s="124"/>
      <c r="AI39" s="84">
        <f>SUM(D39:J39)</f>
        <v>122.13379056949</v>
      </c>
      <c r="AJ39" s="164"/>
    </row>
    <row r="40" spans="1:46" s="88" customFormat="1">
      <c r="A40" s="122">
        <f>+D1</f>
        <v>46082</v>
      </c>
      <c r="B40" s="123" t="str">
        <f>+TEXT(A40,"dddddd")</f>
        <v>domingo</v>
      </c>
      <c r="C40" s="124">
        <f>+Resumen!C72</f>
        <v>69.450154613859993</v>
      </c>
      <c r="D40" s="125">
        <f t="shared" ref="D40:AD40" si="18">+IF(D5="","",D5*$C40)</f>
        <v>9.5445157107225054</v>
      </c>
      <c r="E40" s="125">
        <f t="shared" si="18"/>
        <v>47.275160526241322</v>
      </c>
      <c r="F40" s="125">
        <f t="shared" si="18"/>
        <v>11.533868298166055</v>
      </c>
      <c r="G40" s="125">
        <f t="shared" si="18"/>
        <v>0.71011318311889937</v>
      </c>
      <c r="H40" s="125">
        <f t="shared" si="18"/>
        <v>0.38649689561120598</v>
      </c>
      <c r="I40" s="125">
        <f t="shared" si="18"/>
        <v>0</v>
      </c>
      <c r="J40" s="125" t="str">
        <f t="shared" si="18"/>
        <v/>
      </c>
      <c r="K40" s="125" t="str">
        <f t="shared" si="18"/>
        <v/>
      </c>
      <c r="L40" s="125" t="str">
        <f t="shared" si="18"/>
        <v/>
      </c>
      <c r="M40" s="125" t="str">
        <f t="shared" si="18"/>
        <v/>
      </c>
      <c r="N40" s="125" t="str">
        <f t="shared" si="18"/>
        <v/>
      </c>
      <c r="O40" s="125" t="str">
        <f t="shared" si="18"/>
        <v/>
      </c>
      <c r="P40" s="125" t="str">
        <f t="shared" si="18"/>
        <v/>
      </c>
      <c r="Q40" s="125" t="str">
        <f t="shared" si="18"/>
        <v/>
      </c>
      <c r="R40" s="125" t="str">
        <f t="shared" si="18"/>
        <v/>
      </c>
      <c r="S40" s="125" t="str">
        <f t="shared" si="18"/>
        <v/>
      </c>
      <c r="T40" s="125" t="str">
        <f t="shared" si="18"/>
        <v/>
      </c>
      <c r="U40" s="125" t="str">
        <f t="shared" si="18"/>
        <v/>
      </c>
      <c r="V40" s="125" t="str">
        <f t="shared" si="18"/>
        <v/>
      </c>
      <c r="W40" s="125" t="str">
        <f t="shared" si="18"/>
        <v/>
      </c>
      <c r="X40" s="125" t="str">
        <f t="shared" si="18"/>
        <v/>
      </c>
      <c r="Y40" s="125" t="str">
        <f t="shared" si="18"/>
        <v/>
      </c>
      <c r="Z40" s="125" t="str">
        <f t="shared" si="18"/>
        <v/>
      </c>
      <c r="AA40" s="125" t="str">
        <f t="shared" si="18"/>
        <v/>
      </c>
      <c r="AB40" s="125" t="str">
        <f t="shared" si="18"/>
        <v/>
      </c>
      <c r="AC40" s="125" t="str">
        <f t="shared" si="18"/>
        <v/>
      </c>
      <c r="AD40" s="125" t="str">
        <f t="shared" si="18"/>
        <v/>
      </c>
      <c r="AE40" s="125" t="str">
        <f t="shared" ref="AE40:AH40" si="19">+IF(AE5="","",AE5*$C40)</f>
        <v/>
      </c>
      <c r="AF40" s="125" t="str">
        <f t="shared" si="19"/>
        <v/>
      </c>
      <c r="AG40" s="125" t="str">
        <f t="shared" si="19"/>
        <v/>
      </c>
      <c r="AH40" s="125" t="str">
        <f t="shared" si="19"/>
        <v/>
      </c>
      <c r="AI40" s="84">
        <f t="shared" ref="AI40:AI69" si="20">+C40*C5</f>
        <v>69.450154613859993</v>
      </c>
      <c r="AJ40" s="164">
        <f>C40-AI40</f>
        <v>0</v>
      </c>
      <c r="AK40" s="88">
        <f>+SUM(D40:AE69)</f>
        <v>1476.971377402544</v>
      </c>
    </row>
    <row r="41" spans="1:46" s="88" customFormat="1">
      <c r="A41" s="122">
        <f>+A40+1</f>
        <v>46083</v>
      </c>
      <c r="B41" s="123" t="str">
        <f t="shared" ref="B41:B67" si="21">+TEXT(A41,"dddddd")</f>
        <v>lunes</v>
      </c>
      <c r="C41" s="124">
        <f>+Resumen!C73</f>
        <v>54.145314768989998</v>
      </c>
      <c r="D41" s="125" t="str">
        <f t="shared" ref="D41:AD41" si="22">+IF(D6="","",D6*$C41)</f>
        <v/>
      </c>
      <c r="E41" s="125">
        <f t="shared" si="22"/>
        <v>16.433459180509004</v>
      </c>
      <c r="F41" s="125">
        <f t="shared" si="22"/>
        <v>30.30671211594354</v>
      </c>
      <c r="G41" s="125">
        <f t="shared" si="22"/>
        <v>6.477335819863006</v>
      </c>
      <c r="H41" s="125">
        <f t="shared" si="22"/>
        <v>0.44133111581851669</v>
      </c>
      <c r="I41" s="125">
        <f t="shared" si="22"/>
        <v>0.21403228097703061</v>
      </c>
      <c r="J41" s="125">
        <f t="shared" si="22"/>
        <v>0</v>
      </c>
      <c r="K41" s="125">
        <f t="shared" si="22"/>
        <v>0</v>
      </c>
      <c r="L41" s="125">
        <f t="shared" si="22"/>
        <v>0.20103033843967769</v>
      </c>
      <c r="M41" s="125">
        <f t="shared" si="22"/>
        <v>2.5384316619318802E-2</v>
      </c>
      <c r="N41" s="125">
        <f t="shared" si="22"/>
        <v>3.7400788912341831E-2</v>
      </c>
      <c r="O41" s="125">
        <f t="shared" si="22"/>
        <v>3.8846293887907272E-3</v>
      </c>
      <c r="P41" s="125">
        <f t="shared" si="22"/>
        <v>3.5833455592111248E-3</v>
      </c>
      <c r="Q41" s="125" t="str">
        <f t="shared" si="22"/>
        <v/>
      </c>
      <c r="R41" s="125" t="str">
        <f t="shared" si="22"/>
        <v/>
      </c>
      <c r="S41" s="125" t="str">
        <f t="shared" si="22"/>
        <v/>
      </c>
      <c r="T41" s="125" t="str">
        <f t="shared" si="22"/>
        <v/>
      </c>
      <c r="U41" s="125" t="str">
        <f t="shared" si="22"/>
        <v/>
      </c>
      <c r="V41" s="125" t="str">
        <f t="shared" si="22"/>
        <v/>
      </c>
      <c r="W41" s="125" t="str">
        <f t="shared" si="22"/>
        <v/>
      </c>
      <c r="X41" s="125" t="str">
        <f t="shared" si="22"/>
        <v/>
      </c>
      <c r="Y41" s="125" t="str">
        <f t="shared" si="22"/>
        <v/>
      </c>
      <c r="Z41" s="125" t="str">
        <f t="shared" si="22"/>
        <v/>
      </c>
      <c r="AA41" s="125" t="str">
        <f t="shared" si="22"/>
        <v/>
      </c>
      <c r="AB41" s="125" t="str">
        <f t="shared" si="22"/>
        <v/>
      </c>
      <c r="AC41" s="125" t="str">
        <f t="shared" si="22"/>
        <v/>
      </c>
      <c r="AD41" s="125" t="str">
        <f t="shared" si="22"/>
        <v/>
      </c>
      <c r="AE41" s="125" t="str">
        <f t="shared" ref="AE41:AH41" si="23">+IF(AE6="","",AE6*$C41)</f>
        <v/>
      </c>
      <c r="AF41" s="125" t="str">
        <f t="shared" si="23"/>
        <v/>
      </c>
      <c r="AG41" s="125" t="str">
        <f t="shared" si="23"/>
        <v/>
      </c>
      <c r="AH41" s="125" t="str">
        <f t="shared" si="23"/>
        <v/>
      </c>
      <c r="AI41" s="84">
        <f t="shared" si="20"/>
        <v>54.144153932030441</v>
      </c>
      <c r="AJ41" s="164">
        <f t="shared" ref="AJ41:AJ67" si="24">C41-AI41</f>
        <v>1.1608369595563772E-3</v>
      </c>
    </row>
    <row r="42" spans="1:46" s="88" customFormat="1">
      <c r="A42" s="87">
        <f t="shared" ref="A42:A70" si="25">+A41+1</f>
        <v>46084</v>
      </c>
      <c r="B42" s="35" t="str">
        <f t="shared" si="21"/>
        <v>martes</v>
      </c>
      <c r="C42" s="124">
        <f>+Resumen!C74</f>
        <v>36.973360684900001</v>
      </c>
      <c r="D42" s="125" t="str">
        <f t="shared" ref="D42:AD42" si="26">+IF(D7="","",D7*$C42)</f>
        <v/>
      </c>
      <c r="E42" s="125">
        <f t="shared" si="26"/>
        <v>0</v>
      </c>
      <c r="F42" s="125">
        <f t="shared" si="26"/>
        <v>10.148837500246632</v>
      </c>
      <c r="G42" s="125">
        <f t="shared" si="26"/>
        <v>21.842639100798987</v>
      </c>
      <c r="H42" s="125">
        <f t="shared" si="26"/>
        <v>4.3189297882325919</v>
      </c>
      <c r="I42" s="125">
        <f t="shared" si="26"/>
        <v>0.37536101411299155</v>
      </c>
      <c r="J42" s="125">
        <f t="shared" si="26"/>
        <v>0</v>
      </c>
      <c r="K42" s="125">
        <f t="shared" si="26"/>
        <v>0</v>
      </c>
      <c r="L42" s="125">
        <f t="shared" si="26"/>
        <v>0.21533445983699334</v>
      </c>
      <c r="M42" s="125">
        <f t="shared" si="26"/>
        <v>3.6061068674202584E-2</v>
      </c>
      <c r="N42" s="125">
        <f t="shared" si="26"/>
        <v>3.6197752997599267E-2</v>
      </c>
      <c r="O42" s="125">
        <f t="shared" si="26"/>
        <v>0</v>
      </c>
      <c r="P42" s="125">
        <f t="shared" si="26"/>
        <v>1.5827065270366853E-3</v>
      </c>
      <c r="Q42" s="125" t="str">
        <f t="shared" si="26"/>
        <v/>
      </c>
      <c r="R42" s="125" t="str">
        <f t="shared" si="26"/>
        <v/>
      </c>
      <c r="S42" s="125" t="str">
        <f t="shared" si="26"/>
        <v/>
      </c>
      <c r="T42" s="125" t="str">
        <f t="shared" si="26"/>
        <v/>
      </c>
      <c r="U42" s="125" t="str">
        <f t="shared" si="26"/>
        <v/>
      </c>
      <c r="V42" s="125" t="str">
        <f t="shared" si="26"/>
        <v/>
      </c>
      <c r="W42" s="125" t="str">
        <f t="shared" si="26"/>
        <v/>
      </c>
      <c r="X42" s="125" t="str">
        <f t="shared" si="26"/>
        <v/>
      </c>
      <c r="Y42" s="125" t="str">
        <f t="shared" si="26"/>
        <v/>
      </c>
      <c r="Z42" s="125" t="str">
        <f t="shared" si="26"/>
        <v/>
      </c>
      <c r="AA42" s="125" t="str">
        <f t="shared" si="26"/>
        <v/>
      </c>
      <c r="AB42" s="125" t="str">
        <f t="shared" si="26"/>
        <v/>
      </c>
      <c r="AC42" s="125" t="str">
        <f t="shared" si="26"/>
        <v/>
      </c>
      <c r="AD42" s="125" t="str">
        <f t="shared" si="26"/>
        <v/>
      </c>
      <c r="AE42" s="125" t="str">
        <f t="shared" ref="AE42:AH42" si="27">+IF(AE7="","",AE7*$C42)</f>
        <v/>
      </c>
      <c r="AF42" s="125" t="str">
        <f t="shared" si="27"/>
        <v/>
      </c>
      <c r="AG42" s="125" t="str">
        <f t="shared" si="27"/>
        <v/>
      </c>
      <c r="AH42" s="125" t="str">
        <f t="shared" si="27"/>
        <v/>
      </c>
      <c r="AI42" s="84">
        <f t="shared" si="20"/>
        <v>36.97494339142704</v>
      </c>
      <c r="AJ42" s="164">
        <f t="shared" si="24"/>
        <v>-1.5827065270386242E-3</v>
      </c>
    </row>
    <row r="43" spans="1:46" s="88" customFormat="1">
      <c r="A43" s="87">
        <f t="shared" si="25"/>
        <v>46085</v>
      </c>
      <c r="B43" s="35" t="str">
        <f t="shared" si="21"/>
        <v>miércoles</v>
      </c>
      <c r="C43" s="124">
        <f>+Resumen!C75</f>
        <v>49.389049673140001</v>
      </c>
      <c r="D43" s="125" t="str">
        <f t="shared" ref="D43:AD43" si="28">+IF(D8="","",D8*$C43)</f>
        <v/>
      </c>
      <c r="E43" s="125">
        <f t="shared" si="28"/>
        <v>6.1639109337487209E-5</v>
      </c>
      <c r="F43" s="125">
        <f t="shared" si="28"/>
        <v>0</v>
      </c>
      <c r="G43" s="125">
        <f t="shared" si="28"/>
        <v>14.17388969063617</v>
      </c>
      <c r="H43" s="125">
        <f t="shared" si="28"/>
        <v>28.160948536889205</v>
      </c>
      <c r="I43" s="125">
        <f t="shared" si="28"/>
        <v>6.0249466598268144</v>
      </c>
      <c r="J43" s="125">
        <f t="shared" si="28"/>
        <v>0</v>
      </c>
      <c r="K43" s="125">
        <f t="shared" si="28"/>
        <v>0</v>
      </c>
      <c r="L43" s="125">
        <f t="shared" si="28"/>
        <v>0.77987637746158933</v>
      </c>
      <c r="M43" s="125">
        <f t="shared" si="28"/>
        <v>0.15506414093554033</v>
      </c>
      <c r="N43" s="125">
        <f t="shared" si="28"/>
        <v>9.4324267390677091E-2</v>
      </c>
      <c r="O43" s="125">
        <f t="shared" si="28"/>
        <v>0</v>
      </c>
      <c r="P43" s="125">
        <f t="shared" si="28"/>
        <v>1.6328085705772917E-3</v>
      </c>
      <c r="Q43" s="125" t="str">
        <f t="shared" si="28"/>
        <v/>
      </c>
      <c r="R43" s="125" t="str">
        <f t="shared" si="28"/>
        <v/>
      </c>
      <c r="S43" s="125" t="str">
        <f t="shared" si="28"/>
        <v/>
      </c>
      <c r="T43" s="125" t="str">
        <f t="shared" si="28"/>
        <v/>
      </c>
      <c r="U43" s="125" t="str">
        <f t="shared" si="28"/>
        <v/>
      </c>
      <c r="V43" s="125" t="str">
        <f t="shared" si="28"/>
        <v/>
      </c>
      <c r="W43" s="125" t="str">
        <f t="shared" si="28"/>
        <v/>
      </c>
      <c r="X43" s="125" t="str">
        <f t="shared" si="28"/>
        <v/>
      </c>
      <c r="Y43" s="125" t="str">
        <f t="shared" si="28"/>
        <v/>
      </c>
      <c r="Z43" s="125" t="str">
        <f t="shared" si="28"/>
        <v/>
      </c>
      <c r="AA43" s="125" t="str">
        <f t="shared" si="28"/>
        <v/>
      </c>
      <c r="AB43" s="125" t="str">
        <f t="shared" si="28"/>
        <v/>
      </c>
      <c r="AC43" s="125" t="str">
        <f t="shared" si="28"/>
        <v/>
      </c>
      <c r="AD43" s="125" t="str">
        <f t="shared" si="28"/>
        <v/>
      </c>
      <c r="AE43" s="125" t="str">
        <f t="shared" ref="AE43:AH43" si="29">+IF(AE8="","",AE8*$C43)</f>
        <v/>
      </c>
      <c r="AF43" s="125" t="str">
        <f t="shared" si="29"/>
        <v/>
      </c>
      <c r="AG43" s="125" t="str">
        <f t="shared" si="29"/>
        <v/>
      </c>
      <c r="AH43" s="125" t="str">
        <f t="shared" si="29"/>
        <v/>
      </c>
      <c r="AI43" s="84">
        <f t="shared" si="20"/>
        <v>49.390744120819903</v>
      </c>
      <c r="AJ43" s="164">
        <f t="shared" si="24"/>
        <v>-1.6944476799025665E-3</v>
      </c>
    </row>
    <row r="44" spans="1:46" s="88" customFormat="1">
      <c r="A44" s="87">
        <f t="shared" si="25"/>
        <v>46086</v>
      </c>
      <c r="B44" s="35" t="str">
        <f t="shared" si="21"/>
        <v>jueves</v>
      </c>
      <c r="C44" s="124">
        <f>+Resumen!C76</f>
        <v>39.947746357020002</v>
      </c>
      <c r="D44" s="125" t="str">
        <f t="shared" ref="D44:AD44" si="30">+IF(D9="","",D9*$C44)</f>
        <v/>
      </c>
      <c r="E44" s="125">
        <f t="shared" si="30"/>
        <v>8.5153867809406196E-6</v>
      </c>
      <c r="F44" s="125">
        <f t="shared" si="30"/>
        <v>0</v>
      </c>
      <c r="G44" s="125">
        <f t="shared" si="30"/>
        <v>3.1553690465598245E-4</v>
      </c>
      <c r="H44" s="125">
        <f t="shared" si="30"/>
        <v>10.86591385618388</v>
      </c>
      <c r="I44" s="125">
        <f t="shared" si="30"/>
        <v>23.180375990415548</v>
      </c>
      <c r="J44" s="125">
        <f t="shared" si="30"/>
        <v>0</v>
      </c>
      <c r="K44" s="125">
        <f t="shared" si="30"/>
        <v>0</v>
      </c>
      <c r="L44" s="125">
        <f t="shared" si="30"/>
        <v>5.6154249156184264</v>
      </c>
      <c r="M44" s="125">
        <f t="shared" si="30"/>
        <v>9.2288732666071183E-2</v>
      </c>
      <c r="N44" s="125">
        <f t="shared" si="30"/>
        <v>0.14342625445945184</v>
      </c>
      <c r="O44" s="125">
        <f t="shared" si="30"/>
        <v>5.0495364078218662E-2</v>
      </c>
      <c r="P44" s="125">
        <f t="shared" si="30"/>
        <v>0</v>
      </c>
      <c r="Q44" s="125" t="str">
        <f t="shared" si="30"/>
        <v/>
      </c>
      <c r="R44" s="125" t="str">
        <f t="shared" si="30"/>
        <v/>
      </c>
      <c r="S44" s="125" t="str">
        <f t="shared" si="30"/>
        <v/>
      </c>
      <c r="T44" s="125" t="str">
        <f t="shared" si="30"/>
        <v/>
      </c>
      <c r="U44" s="125" t="str">
        <f t="shared" si="30"/>
        <v/>
      </c>
      <c r="V44" s="125" t="str">
        <f t="shared" si="30"/>
        <v/>
      </c>
      <c r="W44" s="125" t="str">
        <f t="shared" si="30"/>
        <v/>
      </c>
      <c r="X44" s="125" t="str">
        <f t="shared" si="30"/>
        <v/>
      </c>
      <c r="Y44" s="125" t="str">
        <f t="shared" si="30"/>
        <v/>
      </c>
      <c r="Z44" s="125" t="str">
        <f t="shared" si="30"/>
        <v/>
      </c>
      <c r="AA44" s="125" t="str">
        <f t="shared" si="30"/>
        <v/>
      </c>
      <c r="AB44" s="125" t="str">
        <f t="shared" si="30"/>
        <v/>
      </c>
      <c r="AC44" s="125" t="str">
        <f t="shared" si="30"/>
        <v/>
      </c>
      <c r="AD44" s="125" t="str">
        <f t="shared" si="30"/>
        <v/>
      </c>
      <c r="AE44" s="125" t="str">
        <f t="shared" ref="AE44:AH44" si="31">+IF(AE9="","",AE9*$C44)</f>
        <v/>
      </c>
      <c r="AF44" s="125" t="str">
        <f t="shared" si="31"/>
        <v/>
      </c>
      <c r="AG44" s="125" t="str">
        <f t="shared" si="31"/>
        <v/>
      </c>
      <c r="AH44" s="125" t="str">
        <f t="shared" si="31"/>
        <v/>
      </c>
      <c r="AI44" s="84">
        <f t="shared" si="20"/>
        <v>39.94824916571303</v>
      </c>
      <c r="AJ44" s="164">
        <f t="shared" si="24"/>
        <v>-5.0280869302810061E-4</v>
      </c>
    </row>
    <row r="45" spans="1:46" s="88" customFormat="1">
      <c r="A45" s="87">
        <f t="shared" si="25"/>
        <v>46087</v>
      </c>
      <c r="B45" s="35" t="str">
        <f t="shared" si="21"/>
        <v>viernes</v>
      </c>
      <c r="C45" s="124">
        <f>+Resumen!C77</f>
        <v>61.58556499665</v>
      </c>
      <c r="D45" s="125" t="str">
        <f t="shared" ref="D45:AD45" si="32">+IF(D10="","",D10*$C45)</f>
        <v/>
      </c>
      <c r="E45" s="125">
        <f t="shared" si="32"/>
        <v>2.269639427090145E-5</v>
      </c>
      <c r="F45" s="125">
        <f t="shared" si="32"/>
        <v>0</v>
      </c>
      <c r="G45" s="125">
        <f t="shared" si="32"/>
        <v>0</v>
      </c>
      <c r="H45" s="125">
        <f t="shared" si="32"/>
        <v>6.7088721684208238E-4</v>
      </c>
      <c r="I45" s="125">
        <f t="shared" si="32"/>
        <v>13.691472903383749</v>
      </c>
      <c r="J45" s="125">
        <f t="shared" si="32"/>
        <v>0</v>
      </c>
      <c r="K45" s="125">
        <f t="shared" si="32"/>
        <v>0</v>
      </c>
      <c r="L45" s="125">
        <f t="shared" si="32"/>
        <v>46.766157288988573</v>
      </c>
      <c r="M45" s="125">
        <f t="shared" si="32"/>
        <v>0.67881586303694597</v>
      </c>
      <c r="N45" s="125">
        <f t="shared" si="32"/>
        <v>0.22480925654857625</v>
      </c>
      <c r="O45" s="125">
        <f t="shared" si="32"/>
        <v>0.22430968469215401</v>
      </c>
      <c r="P45" s="125">
        <f t="shared" si="32"/>
        <v>0</v>
      </c>
      <c r="Q45" s="125" t="str">
        <f t="shared" si="32"/>
        <v/>
      </c>
      <c r="R45" s="125" t="str">
        <f t="shared" si="32"/>
        <v/>
      </c>
      <c r="S45" s="125" t="str">
        <f t="shared" si="32"/>
        <v/>
      </c>
      <c r="T45" s="125" t="str">
        <f t="shared" si="32"/>
        <v/>
      </c>
      <c r="U45" s="125" t="str">
        <f t="shared" si="32"/>
        <v/>
      </c>
      <c r="V45" s="125" t="str">
        <f t="shared" si="32"/>
        <v/>
      </c>
      <c r="W45" s="125" t="str">
        <f t="shared" si="32"/>
        <v/>
      </c>
      <c r="X45" s="125" t="str">
        <f t="shared" si="32"/>
        <v/>
      </c>
      <c r="Y45" s="125" t="str">
        <f t="shared" si="32"/>
        <v/>
      </c>
      <c r="Z45" s="125" t="str">
        <f t="shared" si="32"/>
        <v/>
      </c>
      <c r="AA45" s="125" t="str">
        <f t="shared" si="32"/>
        <v/>
      </c>
      <c r="AB45" s="125" t="str">
        <f t="shared" si="32"/>
        <v/>
      </c>
      <c r="AC45" s="125" t="str">
        <f t="shared" si="32"/>
        <v/>
      </c>
      <c r="AD45" s="125" t="str">
        <f t="shared" si="32"/>
        <v/>
      </c>
      <c r="AE45" s="125" t="str">
        <f t="shared" ref="AE45:AH45" si="33">+IF(AE10="","",AE10*$C45)</f>
        <v/>
      </c>
      <c r="AF45" s="125" t="str">
        <f t="shared" si="33"/>
        <v/>
      </c>
      <c r="AG45" s="125" t="str">
        <f t="shared" si="33"/>
        <v/>
      </c>
      <c r="AH45" s="125" t="str">
        <f t="shared" si="33"/>
        <v/>
      </c>
      <c r="AI45" s="84">
        <f t="shared" si="20"/>
        <v>61.586258580261109</v>
      </c>
      <c r="AJ45" s="164">
        <f t="shared" si="24"/>
        <v>-6.93583611109716E-4</v>
      </c>
    </row>
    <row r="46" spans="1:46" s="88" customFormat="1">
      <c r="A46" s="87">
        <f t="shared" si="25"/>
        <v>46088</v>
      </c>
      <c r="B46" s="35" t="str">
        <f t="shared" si="21"/>
        <v>sábado</v>
      </c>
      <c r="C46" s="124">
        <f>+Resumen!C78</f>
        <v>63.431738435360003</v>
      </c>
      <c r="D46" s="125" t="str">
        <f t="shared" ref="D46:AD46" si="34">+IF(D11="","",D11*$C46)</f>
        <v/>
      </c>
      <c r="E46" s="125">
        <f t="shared" si="34"/>
        <v>6.0622223664636315E-5</v>
      </c>
      <c r="F46" s="125">
        <f t="shared" si="34"/>
        <v>0</v>
      </c>
      <c r="G46" s="125">
        <f t="shared" si="34"/>
        <v>0</v>
      </c>
      <c r="H46" s="125">
        <f t="shared" si="34"/>
        <v>0</v>
      </c>
      <c r="I46" s="125">
        <f t="shared" si="34"/>
        <v>0</v>
      </c>
      <c r="J46" s="125">
        <f t="shared" si="34"/>
        <v>10.688460805938158</v>
      </c>
      <c r="K46" s="125">
        <f t="shared" si="34"/>
        <v>0</v>
      </c>
      <c r="L46" s="125">
        <f t="shared" si="34"/>
        <v>51.309558446175181</v>
      </c>
      <c r="M46" s="125">
        <f t="shared" si="34"/>
        <v>0.88543817204567044</v>
      </c>
      <c r="N46" s="125">
        <f t="shared" si="34"/>
        <v>0.54828101120099426</v>
      </c>
      <c r="O46" s="125">
        <f t="shared" si="34"/>
        <v>0</v>
      </c>
      <c r="P46" s="125">
        <f t="shared" si="34"/>
        <v>0</v>
      </c>
      <c r="Q46" s="125" t="str">
        <f t="shared" si="34"/>
        <v/>
      </c>
      <c r="R46" s="125" t="str">
        <f t="shared" si="34"/>
        <v/>
      </c>
      <c r="S46" s="125" t="str">
        <f t="shared" si="34"/>
        <v/>
      </c>
      <c r="T46" s="125" t="str">
        <f t="shared" si="34"/>
        <v/>
      </c>
      <c r="U46" s="125" t="str">
        <f t="shared" si="34"/>
        <v/>
      </c>
      <c r="V46" s="125" t="str">
        <f t="shared" si="34"/>
        <v/>
      </c>
      <c r="W46" s="125" t="str">
        <f t="shared" si="34"/>
        <v/>
      </c>
      <c r="X46" s="125" t="str">
        <f t="shared" si="34"/>
        <v/>
      </c>
      <c r="Y46" s="125" t="str">
        <f t="shared" si="34"/>
        <v/>
      </c>
      <c r="Z46" s="125" t="str">
        <f t="shared" si="34"/>
        <v/>
      </c>
      <c r="AA46" s="125" t="str">
        <f t="shared" si="34"/>
        <v/>
      </c>
      <c r="AB46" s="125" t="str">
        <f t="shared" si="34"/>
        <v/>
      </c>
      <c r="AC46" s="125" t="str">
        <f t="shared" si="34"/>
        <v/>
      </c>
      <c r="AD46" s="125" t="str">
        <f t="shared" si="34"/>
        <v/>
      </c>
      <c r="AE46" s="125" t="str">
        <f t="shared" ref="AE46:AH46" si="35">+IF(AE11="","",AE11*$C46)</f>
        <v/>
      </c>
      <c r="AF46" s="125" t="str">
        <f t="shared" si="35"/>
        <v/>
      </c>
      <c r="AG46" s="125" t="str">
        <f t="shared" si="35"/>
        <v/>
      </c>
      <c r="AH46" s="125" t="str">
        <f t="shared" si="35"/>
        <v/>
      </c>
      <c r="AI46" s="84">
        <f t="shared" si="20"/>
        <v>63.431799057583675</v>
      </c>
      <c r="AJ46" s="164">
        <f t="shared" si="24"/>
        <v>-6.0622223671202846E-5</v>
      </c>
    </row>
    <row r="47" spans="1:46" s="88" customFormat="1">
      <c r="A47" s="122">
        <f t="shared" si="25"/>
        <v>46089</v>
      </c>
      <c r="B47" s="123" t="str">
        <f t="shared" si="21"/>
        <v>domingo</v>
      </c>
      <c r="C47" s="124">
        <f>+Resumen!C79</f>
        <v>55.969330691480003</v>
      </c>
      <c r="D47" s="125" t="str">
        <f t="shared" ref="D47:AD47" si="36">+IF(D12="","",D12*$C47)</f>
        <v/>
      </c>
      <c r="E47" s="125">
        <f t="shared" si="36"/>
        <v>1.2073967433048132E-4</v>
      </c>
      <c r="F47" s="125">
        <f t="shared" si="36"/>
        <v>0</v>
      </c>
      <c r="G47" s="125">
        <f t="shared" si="36"/>
        <v>0</v>
      </c>
      <c r="H47" s="125">
        <f t="shared" si="36"/>
        <v>0</v>
      </c>
      <c r="I47" s="125">
        <f t="shared" si="36"/>
        <v>1.7322765327185267E-5</v>
      </c>
      <c r="J47" s="125">
        <f t="shared" si="36"/>
        <v>3.0120927941046399E-4</v>
      </c>
      <c r="K47" s="125">
        <f t="shared" si="36"/>
        <v>7.691849774468972</v>
      </c>
      <c r="L47" s="125">
        <f t="shared" si="36"/>
        <v>38.098678220335522</v>
      </c>
      <c r="M47" s="125">
        <f t="shared" si="36"/>
        <v>9.2950533014825609</v>
      </c>
      <c r="N47" s="125">
        <f t="shared" si="36"/>
        <v>0.57227460176783329</v>
      </c>
      <c r="O47" s="125">
        <f t="shared" si="36"/>
        <v>0.31147479342511036</v>
      </c>
      <c r="P47" s="125">
        <f t="shared" si="36"/>
        <v>0</v>
      </c>
      <c r="Q47" s="125" t="str">
        <f t="shared" si="36"/>
        <v/>
      </c>
      <c r="R47" s="125" t="str">
        <f t="shared" si="36"/>
        <v/>
      </c>
      <c r="S47" s="125" t="str">
        <f t="shared" si="36"/>
        <v/>
      </c>
      <c r="T47" s="125" t="str">
        <f t="shared" si="36"/>
        <v/>
      </c>
      <c r="U47" s="125" t="str">
        <f t="shared" si="36"/>
        <v/>
      </c>
      <c r="V47" s="125" t="str">
        <f t="shared" si="36"/>
        <v/>
      </c>
      <c r="W47" s="125" t="str">
        <f t="shared" si="36"/>
        <v/>
      </c>
      <c r="X47" s="125" t="str">
        <f t="shared" si="36"/>
        <v/>
      </c>
      <c r="Y47" s="125" t="str">
        <f t="shared" si="36"/>
        <v/>
      </c>
      <c r="Z47" s="125" t="str">
        <f t="shared" si="36"/>
        <v/>
      </c>
      <c r="AA47" s="125" t="str">
        <f t="shared" si="36"/>
        <v/>
      </c>
      <c r="AB47" s="125" t="str">
        <f t="shared" si="36"/>
        <v/>
      </c>
      <c r="AC47" s="125" t="str">
        <f t="shared" si="36"/>
        <v/>
      </c>
      <c r="AD47" s="125" t="str">
        <f t="shared" si="36"/>
        <v/>
      </c>
      <c r="AE47" s="125" t="str">
        <f t="shared" ref="AE47:AH47" si="37">+IF(AE12="","",AE12*$C47)</f>
        <v/>
      </c>
      <c r="AF47" s="125" t="str">
        <f t="shared" si="37"/>
        <v/>
      </c>
      <c r="AG47" s="125" t="str">
        <f t="shared" si="37"/>
        <v/>
      </c>
      <c r="AH47" s="125" t="str">
        <f t="shared" si="37"/>
        <v/>
      </c>
      <c r="AI47" s="84">
        <f t="shared" si="20"/>
        <v>55.96976996319907</v>
      </c>
      <c r="AJ47" s="164">
        <f t="shared" si="24"/>
        <v>-4.3927171906688045E-4</v>
      </c>
    </row>
    <row r="48" spans="1:46" s="88" customFormat="1">
      <c r="A48" s="122">
        <f t="shared" si="25"/>
        <v>46090</v>
      </c>
      <c r="B48" s="123" t="str">
        <f t="shared" si="21"/>
        <v>lunes</v>
      </c>
      <c r="C48" s="124">
        <f>+Resumen!C80</f>
        <v>52.036932866599997</v>
      </c>
      <c r="D48" s="125" t="str">
        <f t="shared" ref="D48:AD48" si="38">+IF(D13="","",D13*$C48)</f>
        <v/>
      </c>
      <c r="E48" s="125" t="str">
        <f t="shared" si="38"/>
        <v/>
      </c>
      <c r="F48" s="125" t="str">
        <f t="shared" si="38"/>
        <v/>
      </c>
      <c r="G48" s="125" t="str">
        <f t="shared" si="38"/>
        <v/>
      </c>
      <c r="H48" s="125" t="str">
        <f t="shared" si="38"/>
        <v/>
      </c>
      <c r="I48" s="125" t="str">
        <f t="shared" si="38"/>
        <v/>
      </c>
      <c r="J48" s="125" t="str">
        <f t="shared" si="38"/>
        <v/>
      </c>
      <c r="K48" s="125" t="str">
        <f t="shared" si="38"/>
        <v/>
      </c>
      <c r="L48" s="125">
        <f t="shared" si="38"/>
        <v>15.793551404966927</v>
      </c>
      <c r="M48" s="125">
        <f t="shared" si="38"/>
        <v>29.126589262861621</v>
      </c>
      <c r="N48" s="125">
        <f t="shared" si="38"/>
        <v>6.2251127479948725</v>
      </c>
      <c r="O48" s="125">
        <f t="shared" si="38"/>
        <v>0.42414598093614903</v>
      </c>
      <c r="P48" s="125">
        <f t="shared" si="38"/>
        <v>0.20569800884906306</v>
      </c>
      <c r="Q48" s="125">
        <f t="shared" si="38"/>
        <v>0</v>
      </c>
      <c r="R48" s="125">
        <f t="shared" si="38"/>
        <v>0</v>
      </c>
      <c r="S48" s="125">
        <f t="shared" si="38"/>
        <v>0.19320235315219905</v>
      </c>
      <c r="T48" s="125">
        <f t="shared" si="38"/>
        <v>2.439586851456494E-2</v>
      </c>
      <c r="U48" s="125">
        <f t="shared" si="38"/>
        <v>3.5944427511280186E-2</v>
      </c>
      <c r="V48" s="125">
        <f t="shared" si="38"/>
        <v>3.7333645501659565E-3</v>
      </c>
      <c r="W48" s="125">
        <f t="shared" si="38"/>
        <v>3.4438125089502883E-3</v>
      </c>
      <c r="X48" s="125" t="str">
        <f t="shared" si="38"/>
        <v/>
      </c>
      <c r="Y48" s="125" t="str">
        <f t="shared" si="38"/>
        <v/>
      </c>
      <c r="Z48" s="125" t="str">
        <f t="shared" si="38"/>
        <v/>
      </c>
      <c r="AA48" s="125" t="str">
        <f t="shared" si="38"/>
        <v/>
      </c>
      <c r="AB48" s="125" t="str">
        <f t="shared" si="38"/>
        <v/>
      </c>
      <c r="AC48" s="125" t="str">
        <f t="shared" si="38"/>
        <v/>
      </c>
      <c r="AD48" s="125" t="str">
        <f t="shared" si="38"/>
        <v/>
      </c>
      <c r="AE48" s="125" t="str">
        <f t="shared" ref="AE48:AH48" si="39">+IF(AE13="","",AE13*$C48)</f>
        <v/>
      </c>
      <c r="AF48" s="125" t="str">
        <f t="shared" si="39"/>
        <v/>
      </c>
      <c r="AG48" s="125" t="str">
        <f t="shared" si="39"/>
        <v/>
      </c>
      <c r="AH48" s="125" t="str">
        <f t="shared" si="39"/>
        <v/>
      </c>
      <c r="AI48" s="84">
        <f t="shared" si="20"/>
        <v>52.03581723184579</v>
      </c>
      <c r="AJ48" s="164">
        <f t="shared" si="24"/>
        <v>1.1156347542069511E-3</v>
      </c>
    </row>
    <row r="49" spans="1:40" s="88" customFormat="1">
      <c r="A49" s="87">
        <f t="shared" si="25"/>
        <v>46091</v>
      </c>
      <c r="B49" s="35" t="str">
        <f t="shared" si="21"/>
        <v>martes</v>
      </c>
      <c r="C49" s="124">
        <f>+Resumen!C81</f>
        <v>57.908774223659996</v>
      </c>
      <c r="D49" s="125" t="str">
        <f t="shared" ref="D49:AD49" si="40">+IF(D14="","",D14*$C49)</f>
        <v/>
      </c>
      <c r="E49" s="125" t="str">
        <f t="shared" si="40"/>
        <v/>
      </c>
      <c r="F49" s="125" t="str">
        <f t="shared" si="40"/>
        <v/>
      </c>
      <c r="G49" s="125" t="str">
        <f t="shared" si="40"/>
        <v/>
      </c>
      <c r="H49" s="125" t="str">
        <f t="shared" si="40"/>
        <v/>
      </c>
      <c r="I49" s="125" t="str">
        <f t="shared" si="40"/>
        <v/>
      </c>
      <c r="J49" s="125" t="str">
        <f t="shared" si="40"/>
        <v/>
      </c>
      <c r="K49" s="125" t="str">
        <f t="shared" si="40"/>
        <v/>
      </c>
      <c r="L49" s="125">
        <f t="shared" si="40"/>
        <v>0</v>
      </c>
      <c r="M49" s="125">
        <f t="shared" si="40"/>
        <v>15.895410331861362</v>
      </c>
      <c r="N49" s="125">
        <f t="shared" si="40"/>
        <v>34.210589264979532</v>
      </c>
      <c r="O49" s="125">
        <f t="shared" si="40"/>
        <v>6.7644359441943784</v>
      </c>
      <c r="P49" s="125">
        <f t="shared" si="40"/>
        <v>0.58790155441592284</v>
      </c>
      <c r="Q49" s="125">
        <f t="shared" si="40"/>
        <v>0</v>
      </c>
      <c r="R49" s="125">
        <f t="shared" si="40"/>
        <v>0</v>
      </c>
      <c r="S49" s="125">
        <f t="shared" si="40"/>
        <v>0.3372632183356517</v>
      </c>
      <c r="T49" s="125">
        <f t="shared" si="40"/>
        <v>5.6479915415726382E-2</v>
      </c>
      <c r="U49" s="125">
        <f t="shared" si="40"/>
        <v>5.6693994457416658E-2</v>
      </c>
      <c r="V49" s="125">
        <f t="shared" si="40"/>
        <v>0</v>
      </c>
      <c r="W49" s="125">
        <f t="shared" si="40"/>
        <v>2.4788819095341677E-3</v>
      </c>
      <c r="X49" s="125" t="str">
        <f t="shared" si="40"/>
        <v/>
      </c>
      <c r="Y49" s="125" t="str">
        <f t="shared" si="40"/>
        <v/>
      </c>
      <c r="Z49" s="125" t="str">
        <f t="shared" si="40"/>
        <v/>
      </c>
      <c r="AA49" s="125" t="str">
        <f t="shared" si="40"/>
        <v/>
      </c>
      <c r="AB49" s="125" t="str">
        <f t="shared" si="40"/>
        <v/>
      </c>
      <c r="AC49" s="125" t="str">
        <f t="shared" si="40"/>
        <v/>
      </c>
      <c r="AD49" s="125" t="str">
        <f t="shared" si="40"/>
        <v/>
      </c>
      <c r="AE49" s="125" t="str">
        <f t="shared" ref="AE49:AH49" si="41">+IF(AE14="","",AE14*$C49)</f>
        <v/>
      </c>
      <c r="AF49" s="125" t="str">
        <f t="shared" si="41"/>
        <v/>
      </c>
      <c r="AG49" s="125" t="str">
        <f t="shared" si="41"/>
        <v/>
      </c>
      <c r="AH49" s="125" t="str">
        <f t="shared" si="41"/>
        <v/>
      </c>
      <c r="AI49" s="84">
        <f t="shared" si="20"/>
        <v>57.911253105569536</v>
      </c>
      <c r="AJ49" s="164">
        <f t="shared" si="24"/>
        <v>-2.4788819095391545E-3</v>
      </c>
    </row>
    <row r="50" spans="1:40" s="88" customFormat="1">
      <c r="A50" s="87">
        <f t="shared" si="25"/>
        <v>46092</v>
      </c>
      <c r="B50" s="35" t="str">
        <f t="shared" si="21"/>
        <v>miércoles</v>
      </c>
      <c r="C50" s="124">
        <f>+Resumen!C82</f>
        <v>52.595859892340002</v>
      </c>
      <c r="D50" s="125" t="str">
        <f t="shared" ref="D50:AD50" si="42">+IF(D15="","",D15*$C50)</f>
        <v/>
      </c>
      <c r="E50" s="125" t="str">
        <f t="shared" si="42"/>
        <v/>
      </c>
      <c r="F50" s="125" t="str">
        <f t="shared" si="42"/>
        <v/>
      </c>
      <c r="G50" s="125" t="str">
        <f t="shared" si="42"/>
        <v/>
      </c>
      <c r="H50" s="125" t="str">
        <f t="shared" si="42"/>
        <v/>
      </c>
      <c r="I50" s="125" t="str">
        <f t="shared" si="42"/>
        <v/>
      </c>
      <c r="J50" s="125" t="str">
        <f t="shared" si="42"/>
        <v/>
      </c>
      <c r="K50" s="125" t="str">
        <f t="shared" si="42"/>
        <v/>
      </c>
      <c r="L50" s="125">
        <f t="shared" si="42"/>
        <v>6.5641310777563491E-5</v>
      </c>
      <c r="M50" s="125">
        <f t="shared" si="42"/>
        <v>0</v>
      </c>
      <c r="N50" s="125">
        <f t="shared" si="42"/>
        <v>15.094194385837968</v>
      </c>
      <c r="O50" s="125">
        <f t="shared" si="42"/>
        <v>29.989427079159569</v>
      </c>
      <c r="P50" s="125">
        <f t="shared" si="42"/>
        <v>6.4161439119856283</v>
      </c>
      <c r="Q50" s="125">
        <f t="shared" si="42"/>
        <v>0</v>
      </c>
      <c r="R50" s="125">
        <f t="shared" si="42"/>
        <v>0</v>
      </c>
      <c r="S50" s="125">
        <f t="shared" si="42"/>
        <v>0.8305134225861206</v>
      </c>
      <c r="T50" s="125">
        <f t="shared" si="42"/>
        <v>0.16513239037695432</v>
      </c>
      <c r="U50" s="125">
        <f t="shared" si="42"/>
        <v>0.1004487023937559</v>
      </c>
      <c r="V50" s="125">
        <f t="shared" si="42"/>
        <v>0</v>
      </c>
      <c r="W50" s="125">
        <f t="shared" si="42"/>
        <v>1.7388261442049988E-3</v>
      </c>
      <c r="X50" s="125" t="str">
        <f t="shared" si="42"/>
        <v/>
      </c>
      <c r="Y50" s="125" t="str">
        <f t="shared" si="42"/>
        <v/>
      </c>
      <c r="Z50" s="125" t="str">
        <f t="shared" si="42"/>
        <v/>
      </c>
      <c r="AA50" s="125" t="str">
        <f t="shared" si="42"/>
        <v/>
      </c>
      <c r="AB50" s="125" t="str">
        <f t="shared" si="42"/>
        <v/>
      </c>
      <c r="AC50" s="125" t="str">
        <f t="shared" si="42"/>
        <v/>
      </c>
      <c r="AD50" s="125" t="str">
        <f t="shared" si="42"/>
        <v/>
      </c>
      <c r="AE50" s="125" t="str">
        <f t="shared" ref="AE50:AH50" si="43">+IF(AE15="","",AE15*$C50)</f>
        <v/>
      </c>
      <c r="AF50" s="125" t="str">
        <f t="shared" si="43"/>
        <v/>
      </c>
      <c r="AG50" s="125" t="str">
        <f t="shared" si="43"/>
        <v/>
      </c>
      <c r="AH50" s="125" t="str">
        <f t="shared" si="43"/>
        <v/>
      </c>
      <c r="AI50" s="84">
        <f t="shared" si="20"/>
        <v>52.597664359794969</v>
      </c>
      <c r="AJ50" s="164">
        <f t="shared" si="24"/>
        <v>-1.8044674549670958E-3</v>
      </c>
    </row>
    <row r="51" spans="1:40" s="88" customFormat="1">
      <c r="A51" s="87">
        <f t="shared" si="25"/>
        <v>46093</v>
      </c>
      <c r="B51" s="35" t="str">
        <f t="shared" si="21"/>
        <v>jueves</v>
      </c>
      <c r="C51" s="124">
        <f>+Resumen!C83</f>
        <v>33.390565760400001</v>
      </c>
      <c r="D51" s="125" t="str">
        <f t="shared" ref="D51:AD51" si="44">+IF(D16="","",D16*$C51)</f>
        <v/>
      </c>
      <c r="E51" s="125" t="str">
        <f t="shared" si="44"/>
        <v/>
      </c>
      <c r="F51" s="125" t="str">
        <f t="shared" si="44"/>
        <v/>
      </c>
      <c r="G51" s="125" t="str">
        <f t="shared" si="44"/>
        <v/>
      </c>
      <c r="H51" s="125" t="str">
        <f t="shared" si="44"/>
        <v/>
      </c>
      <c r="I51" s="125" t="str">
        <f t="shared" si="44"/>
        <v/>
      </c>
      <c r="J51" s="125" t="str">
        <f t="shared" si="44"/>
        <v/>
      </c>
      <c r="K51" s="125" t="str">
        <f t="shared" si="44"/>
        <v/>
      </c>
      <c r="L51" s="125">
        <f t="shared" si="44"/>
        <v>7.1176376194817013E-6</v>
      </c>
      <c r="M51" s="125">
        <f t="shared" si="44"/>
        <v>0</v>
      </c>
      <c r="N51" s="125">
        <f t="shared" si="44"/>
        <v>2.6374343299837157E-4</v>
      </c>
      <c r="O51" s="125">
        <f t="shared" si="44"/>
        <v>9.0823399127242972</v>
      </c>
      <c r="P51" s="125">
        <f t="shared" si="44"/>
        <v>19.375457677670767</v>
      </c>
      <c r="Q51" s="125">
        <f t="shared" si="44"/>
        <v>0</v>
      </c>
      <c r="R51" s="125">
        <f t="shared" si="44"/>
        <v>0</v>
      </c>
      <c r="S51" s="125">
        <f t="shared" si="44"/>
        <v>4.6936869289647927</v>
      </c>
      <c r="T51" s="125">
        <f t="shared" si="44"/>
        <v>7.7140096201920083E-2</v>
      </c>
      <c r="U51" s="125">
        <f t="shared" si="44"/>
        <v>0.11988370353850029</v>
      </c>
      <c r="V51" s="125">
        <f t="shared" si="44"/>
        <v>4.2206855920742276E-2</v>
      </c>
      <c r="W51" s="125">
        <f t="shared" si="44"/>
        <v>0</v>
      </c>
      <c r="X51" s="125" t="str">
        <f t="shared" si="44"/>
        <v/>
      </c>
      <c r="Y51" s="125" t="str">
        <f t="shared" si="44"/>
        <v/>
      </c>
      <c r="Z51" s="125" t="str">
        <f t="shared" si="44"/>
        <v/>
      </c>
      <c r="AA51" s="125" t="str">
        <f t="shared" si="44"/>
        <v/>
      </c>
      <c r="AB51" s="125" t="str">
        <f t="shared" si="44"/>
        <v/>
      </c>
      <c r="AC51" s="125" t="str">
        <f t="shared" si="44"/>
        <v/>
      </c>
      <c r="AD51" s="125" t="str">
        <f t="shared" si="44"/>
        <v/>
      </c>
      <c r="AE51" s="125" t="str">
        <f t="shared" ref="AE51:AH51" si="45">+IF(AE16="","",AE16*$C51)</f>
        <v/>
      </c>
      <c r="AF51" s="125" t="str">
        <f t="shared" si="45"/>
        <v/>
      </c>
      <c r="AG51" s="125" t="str">
        <f t="shared" si="45"/>
        <v/>
      </c>
      <c r="AH51" s="125" t="str">
        <f t="shared" si="45"/>
        <v/>
      </c>
      <c r="AI51" s="84">
        <f t="shared" si="20"/>
        <v>33.39098603609164</v>
      </c>
      <c r="AJ51" s="164">
        <f t="shared" si="24"/>
        <v>-4.2027569163849421E-4</v>
      </c>
    </row>
    <row r="52" spans="1:40" s="88" customFormat="1">
      <c r="A52" s="87">
        <f t="shared" si="25"/>
        <v>46094</v>
      </c>
      <c r="B52" s="35" t="str">
        <f t="shared" si="21"/>
        <v>viernes</v>
      </c>
      <c r="C52" s="124">
        <f>+Resumen!C84</f>
        <v>55.94746848682</v>
      </c>
      <c r="D52" s="125" t="str">
        <f t="shared" ref="D52:AD52" si="46">+IF(D17="","",D17*$C52)</f>
        <v/>
      </c>
      <c r="E52" s="125" t="str">
        <f t="shared" si="46"/>
        <v/>
      </c>
      <c r="F52" s="125" t="str">
        <f t="shared" si="46"/>
        <v/>
      </c>
      <c r="G52" s="125" t="str">
        <f t="shared" si="46"/>
        <v/>
      </c>
      <c r="H52" s="125" t="str">
        <f t="shared" si="46"/>
        <v/>
      </c>
      <c r="I52" s="125" t="str">
        <f t="shared" si="46"/>
        <v/>
      </c>
      <c r="J52" s="125" t="str">
        <f t="shared" si="46"/>
        <v/>
      </c>
      <c r="K52" s="125" t="str">
        <f t="shared" si="46"/>
        <v/>
      </c>
      <c r="L52" s="125">
        <f t="shared" si="46"/>
        <v>2.0618562211855539E-5</v>
      </c>
      <c r="M52" s="125">
        <f t="shared" si="46"/>
        <v>0</v>
      </c>
      <c r="N52" s="125">
        <f t="shared" si="46"/>
        <v>0</v>
      </c>
      <c r="O52" s="125">
        <f t="shared" si="46"/>
        <v>6.094681671674929E-4</v>
      </c>
      <c r="P52" s="125">
        <f t="shared" si="46"/>
        <v>12.438032335042793</v>
      </c>
      <c r="Q52" s="125">
        <f t="shared" si="46"/>
        <v>0</v>
      </c>
      <c r="R52" s="125">
        <f t="shared" si="46"/>
        <v>0</v>
      </c>
      <c r="S52" s="125">
        <f t="shared" si="46"/>
        <v>42.484762643935795</v>
      </c>
      <c r="T52" s="125">
        <f t="shared" si="46"/>
        <v>0.61667095378079106</v>
      </c>
      <c r="U52" s="125">
        <f t="shared" si="46"/>
        <v>0.20422819530812239</v>
      </c>
      <c r="V52" s="125">
        <f t="shared" si="46"/>
        <v>0.20377435875250088</v>
      </c>
      <c r="W52" s="125">
        <f t="shared" si="46"/>
        <v>0</v>
      </c>
      <c r="X52" s="125" t="str">
        <f t="shared" si="46"/>
        <v/>
      </c>
      <c r="Y52" s="125" t="str">
        <f t="shared" si="46"/>
        <v/>
      </c>
      <c r="Z52" s="125" t="str">
        <f t="shared" si="46"/>
        <v/>
      </c>
      <c r="AA52" s="125" t="str">
        <f t="shared" si="46"/>
        <v/>
      </c>
      <c r="AB52" s="125" t="str">
        <f t="shared" si="46"/>
        <v/>
      </c>
      <c r="AC52" s="125" t="str">
        <f t="shared" si="46"/>
        <v/>
      </c>
      <c r="AD52" s="125" t="str">
        <f t="shared" si="46"/>
        <v/>
      </c>
      <c r="AE52" s="125" t="str">
        <f t="shared" ref="AE52:AH52" si="47">+IF(AE17="","",AE17*$C52)</f>
        <v/>
      </c>
      <c r="AF52" s="125" t="str">
        <f t="shared" si="47"/>
        <v/>
      </c>
      <c r="AG52" s="125" t="str">
        <f t="shared" si="47"/>
        <v/>
      </c>
      <c r="AH52" s="125" t="str">
        <f t="shared" si="47"/>
        <v/>
      </c>
      <c r="AI52" s="84">
        <f t="shared" si="20"/>
        <v>55.94809857354938</v>
      </c>
      <c r="AJ52" s="164">
        <f t="shared" si="24"/>
        <v>-6.3008672938025256E-4</v>
      </c>
    </row>
    <row r="53" spans="1:40" s="88" customFormat="1">
      <c r="A53" s="87">
        <f t="shared" si="25"/>
        <v>46095</v>
      </c>
      <c r="B53" s="35" t="str">
        <f t="shared" si="21"/>
        <v>sábado</v>
      </c>
      <c r="C53" s="124">
        <f>+Resumen!C85</f>
        <v>57.3321441505</v>
      </c>
      <c r="D53" s="125" t="str">
        <f t="shared" ref="D53:AD53" si="48">+IF(D18="","",D18*$C53)</f>
        <v/>
      </c>
      <c r="E53" s="125" t="str">
        <f t="shared" si="48"/>
        <v/>
      </c>
      <c r="F53" s="125" t="str">
        <f t="shared" si="48"/>
        <v/>
      </c>
      <c r="G53" s="125" t="str">
        <f t="shared" si="48"/>
        <v/>
      </c>
      <c r="H53" s="125" t="str">
        <f t="shared" si="48"/>
        <v/>
      </c>
      <c r="I53" s="125" t="str">
        <f t="shared" si="48"/>
        <v/>
      </c>
      <c r="J53" s="125" t="str">
        <f t="shared" si="48"/>
        <v/>
      </c>
      <c r="K53" s="125" t="str">
        <f t="shared" si="48"/>
        <v/>
      </c>
      <c r="L53" s="125">
        <f t="shared" si="48"/>
        <v>5.4792792245582031E-5</v>
      </c>
      <c r="M53" s="125">
        <f t="shared" si="48"/>
        <v>0</v>
      </c>
      <c r="N53" s="125">
        <f t="shared" si="48"/>
        <v>0</v>
      </c>
      <c r="O53" s="125">
        <f t="shared" si="48"/>
        <v>0</v>
      </c>
      <c r="P53" s="125">
        <f t="shared" si="48"/>
        <v>0</v>
      </c>
      <c r="Q53" s="125">
        <f t="shared" si="48"/>
        <v>9.6606586984444824</v>
      </c>
      <c r="R53" s="125">
        <f t="shared" si="48"/>
        <v>0</v>
      </c>
      <c r="S53" s="125">
        <f t="shared" si="48"/>
        <v>46.375632667427851</v>
      </c>
      <c r="T53" s="125">
        <f t="shared" si="48"/>
        <v>0.80029446091578627</v>
      </c>
      <c r="U53" s="125">
        <f t="shared" si="48"/>
        <v>0.49555832371187808</v>
      </c>
      <c r="V53" s="125">
        <f t="shared" si="48"/>
        <v>0</v>
      </c>
      <c r="W53" s="125">
        <f t="shared" si="48"/>
        <v>0</v>
      </c>
      <c r="X53" s="125" t="str">
        <f t="shared" si="48"/>
        <v/>
      </c>
      <c r="Y53" s="125" t="str">
        <f t="shared" si="48"/>
        <v/>
      </c>
      <c r="Z53" s="125" t="str">
        <f t="shared" si="48"/>
        <v/>
      </c>
      <c r="AA53" s="125" t="str">
        <f t="shared" si="48"/>
        <v/>
      </c>
      <c r="AB53" s="125" t="str">
        <f t="shared" si="48"/>
        <v/>
      </c>
      <c r="AC53" s="125" t="str">
        <f t="shared" si="48"/>
        <v/>
      </c>
      <c r="AD53" s="125" t="str">
        <f t="shared" si="48"/>
        <v/>
      </c>
      <c r="AE53" s="125" t="str">
        <f t="shared" ref="AE53:AH53" si="49">+IF(AE18="","",AE18*$C53)</f>
        <v/>
      </c>
      <c r="AF53" s="125" t="str">
        <f t="shared" si="49"/>
        <v/>
      </c>
      <c r="AG53" s="125" t="str">
        <f t="shared" si="49"/>
        <v/>
      </c>
      <c r="AH53" s="125" t="str">
        <f t="shared" si="49"/>
        <v/>
      </c>
      <c r="AI53" s="84">
        <f t="shared" si="20"/>
        <v>57.332198943292248</v>
      </c>
      <c r="AJ53" s="164">
        <f t="shared" si="24"/>
        <v>-5.4792792248292699E-5</v>
      </c>
    </row>
    <row r="54" spans="1:40" s="88" customFormat="1">
      <c r="A54" s="122">
        <f t="shared" si="25"/>
        <v>46096</v>
      </c>
      <c r="B54" s="123" t="str">
        <f t="shared" si="21"/>
        <v>domingo</v>
      </c>
      <c r="C54" s="124">
        <f>+Resumen!C86</f>
        <v>64.122386613789999</v>
      </c>
      <c r="D54" s="125" t="str">
        <f t="shared" ref="D54:AD54" si="50">+IF(D19="","",D19*$C54)</f>
        <v/>
      </c>
      <c r="E54" s="125" t="str">
        <f t="shared" si="50"/>
        <v/>
      </c>
      <c r="F54" s="125" t="str">
        <f t="shared" si="50"/>
        <v/>
      </c>
      <c r="G54" s="125" t="str">
        <f t="shared" si="50"/>
        <v/>
      </c>
      <c r="H54" s="125" t="str">
        <f t="shared" si="50"/>
        <v/>
      </c>
      <c r="I54" s="125" t="str">
        <f t="shared" si="50"/>
        <v/>
      </c>
      <c r="J54" s="125" t="str">
        <f t="shared" si="50"/>
        <v/>
      </c>
      <c r="K54" s="125" t="str">
        <f t="shared" si="50"/>
        <v/>
      </c>
      <c r="L54" s="125">
        <f t="shared" si="50"/>
        <v>1.3832783028475221E-4</v>
      </c>
      <c r="M54" s="125">
        <f t="shared" si="50"/>
        <v>0</v>
      </c>
      <c r="N54" s="125">
        <f t="shared" si="50"/>
        <v>0</v>
      </c>
      <c r="O54" s="125">
        <f t="shared" si="50"/>
        <v>0</v>
      </c>
      <c r="P54" s="125">
        <f t="shared" si="50"/>
        <v>1.9846173642001754E-5</v>
      </c>
      <c r="Q54" s="125">
        <f t="shared" si="50"/>
        <v>3.4508645408831028E-4</v>
      </c>
      <c r="R54" s="125">
        <f t="shared" ref="R54:AC54" si="51">+IF(R19="","",R19*$C54)</f>
        <v>8.8123220149347574</v>
      </c>
      <c r="S54" s="125">
        <f t="shared" si="51"/>
        <v>43.648515073106282</v>
      </c>
      <c r="T54" s="125">
        <f t="shared" si="51"/>
        <v>10.64906430057024</v>
      </c>
      <c r="U54" s="125">
        <f t="shared" si="51"/>
        <v>0.65563787900354054</v>
      </c>
      <c r="V54" s="125">
        <f t="shared" si="51"/>
        <v>0.356847346175173</v>
      </c>
      <c r="W54" s="125">
        <f t="shared" si="51"/>
        <v>0</v>
      </c>
      <c r="X54" s="125" t="str">
        <f t="shared" si="51"/>
        <v/>
      </c>
      <c r="Y54" s="125" t="str">
        <f t="shared" si="51"/>
        <v/>
      </c>
      <c r="Z54" s="125" t="str">
        <f t="shared" si="51"/>
        <v/>
      </c>
      <c r="AA54" s="125" t="str">
        <f t="shared" si="51"/>
        <v/>
      </c>
      <c r="AB54" s="125" t="str">
        <f t="shared" si="51"/>
        <v/>
      </c>
      <c r="AC54" s="125" t="str">
        <f t="shared" si="51"/>
        <v/>
      </c>
      <c r="AD54" s="125" t="str">
        <f t="shared" si="50"/>
        <v/>
      </c>
      <c r="AE54" s="125" t="str">
        <f t="shared" ref="AE54:AH54" si="52">+IF(AE19="","",AE19*$C54)</f>
        <v/>
      </c>
      <c r="AF54" s="125" t="str">
        <f t="shared" si="52"/>
        <v/>
      </c>
      <c r="AG54" s="125" t="str">
        <f t="shared" si="52"/>
        <v/>
      </c>
      <c r="AH54" s="125" t="str">
        <f t="shared" si="52"/>
        <v/>
      </c>
      <c r="AI54" s="84">
        <f t="shared" si="20"/>
        <v>64.122889874248017</v>
      </c>
      <c r="AJ54" s="164">
        <f t="shared" si="24"/>
        <v>-5.0326045801796226E-4</v>
      </c>
    </row>
    <row r="55" spans="1:40" s="88" customFormat="1">
      <c r="A55" s="122">
        <f t="shared" si="25"/>
        <v>46097</v>
      </c>
      <c r="B55" s="123" t="str">
        <f t="shared" si="21"/>
        <v>lunes</v>
      </c>
      <c r="C55" s="124">
        <f>+Resumen!C87</f>
        <v>56.954018859919998</v>
      </c>
      <c r="D55" s="125" t="str">
        <f t="shared" ref="D55:AD55" si="53">+IF(D20="","",D20*$C55)</f>
        <v/>
      </c>
      <c r="E55" s="125" t="str">
        <f t="shared" si="53"/>
        <v/>
      </c>
      <c r="F55" s="125" t="str">
        <f t="shared" si="53"/>
        <v/>
      </c>
      <c r="G55" s="125" t="str">
        <f t="shared" si="53"/>
        <v/>
      </c>
      <c r="H55" s="125" t="str">
        <f t="shared" si="53"/>
        <v/>
      </c>
      <c r="I55" s="125" t="str">
        <f t="shared" si="53"/>
        <v/>
      </c>
      <c r="J55" s="125" t="str">
        <f t="shared" si="53"/>
        <v/>
      </c>
      <c r="K55" s="125" t="str">
        <f t="shared" si="53"/>
        <v/>
      </c>
      <c r="L55" s="125" t="str">
        <f t="shared" si="53"/>
        <v/>
      </c>
      <c r="M55" s="125" t="str">
        <f t="shared" si="53"/>
        <v/>
      </c>
      <c r="N55" s="125" t="str">
        <f t="shared" si="53"/>
        <v/>
      </c>
      <c r="O55" s="125" t="str">
        <f t="shared" si="53"/>
        <v/>
      </c>
      <c r="P55" s="125" t="str">
        <f t="shared" si="53"/>
        <v/>
      </c>
      <c r="Q55" s="125" t="str">
        <f t="shared" si="53"/>
        <v/>
      </c>
      <c r="R55" s="125" t="str">
        <f t="shared" si="53"/>
        <v/>
      </c>
      <c r="S55" s="125">
        <f t="shared" si="53"/>
        <v>17.285919346736751</v>
      </c>
      <c r="T55" s="125">
        <f t="shared" si="53"/>
        <v>31.878825726619965</v>
      </c>
      <c r="U55" s="125">
        <f t="shared" si="53"/>
        <v>6.8133375532206646</v>
      </c>
      <c r="V55" s="125">
        <f t="shared" si="53"/>
        <v>0.46422448186030196</v>
      </c>
      <c r="W55" s="125">
        <f t="shared" si="53"/>
        <v>0.22513487306161031</v>
      </c>
      <c r="X55" s="125">
        <f t="shared" si="53"/>
        <v>0</v>
      </c>
      <c r="Y55" s="125">
        <f t="shared" si="53"/>
        <v>0</v>
      </c>
      <c r="Z55" s="125">
        <f t="shared" si="53"/>
        <v>0.21145847495316125</v>
      </c>
      <c r="AA55" s="125">
        <f t="shared" si="53"/>
        <v>2.6701088610364208E-2</v>
      </c>
      <c r="AB55" s="125">
        <f t="shared" si="53"/>
        <v>3.9340896736449762E-2</v>
      </c>
      <c r="AC55" s="125">
        <f t="shared" si="53"/>
        <v>4.0861385037085007E-3</v>
      </c>
      <c r="AD55" s="125">
        <f t="shared" si="53"/>
        <v>3.7692260435025614E-3</v>
      </c>
      <c r="AE55" s="125" t="str">
        <f t="shared" ref="AE55:AH55" si="54">+IF(AE20="","",AE20*$C55)</f>
        <v/>
      </c>
      <c r="AF55" s="125" t="str">
        <f t="shared" si="54"/>
        <v/>
      </c>
      <c r="AG55" s="125" t="str">
        <f t="shared" si="54"/>
        <v/>
      </c>
      <c r="AH55" s="125" t="str">
        <f t="shared" si="54"/>
        <v/>
      </c>
      <c r="AI55" s="84">
        <f t="shared" si="20"/>
        <v>56.952797806346481</v>
      </c>
      <c r="AJ55" s="164">
        <f t="shared" si="24"/>
        <v>1.2210535735164285E-3</v>
      </c>
    </row>
    <row r="56" spans="1:40" s="88" customFormat="1">
      <c r="A56" s="87">
        <f t="shared" si="25"/>
        <v>46098</v>
      </c>
      <c r="B56" s="35" t="str">
        <f t="shared" si="21"/>
        <v>martes</v>
      </c>
      <c r="C56" s="124">
        <f>+Resumen!C88</f>
        <v>54.7826827114</v>
      </c>
      <c r="D56" s="125" t="str">
        <f t="shared" ref="D56:AD56" si="55">+IF(D21="","",D21*$C56)</f>
        <v/>
      </c>
      <c r="E56" s="125" t="str">
        <f t="shared" si="55"/>
        <v/>
      </c>
      <c r="F56" s="125" t="str">
        <f t="shared" si="55"/>
        <v/>
      </c>
      <c r="G56" s="125" t="str">
        <f t="shared" si="55"/>
        <v/>
      </c>
      <c r="H56" s="125" t="str">
        <f t="shared" si="55"/>
        <v/>
      </c>
      <c r="I56" s="125" t="str">
        <f t="shared" si="55"/>
        <v/>
      </c>
      <c r="J56" s="125" t="str">
        <f t="shared" si="55"/>
        <v/>
      </c>
      <c r="K56" s="125" t="str">
        <f t="shared" si="55"/>
        <v/>
      </c>
      <c r="L56" s="125" t="str">
        <f t="shared" si="55"/>
        <v/>
      </c>
      <c r="M56" s="125" t="str">
        <f t="shared" si="55"/>
        <v/>
      </c>
      <c r="N56" s="125" t="str">
        <f t="shared" si="55"/>
        <v/>
      </c>
      <c r="O56" s="125" t="str">
        <f t="shared" si="55"/>
        <v/>
      </c>
      <c r="P56" s="125" t="str">
        <f t="shared" si="55"/>
        <v/>
      </c>
      <c r="Q56" s="125" t="str">
        <f t="shared" si="55"/>
        <v/>
      </c>
      <c r="R56" s="125" t="str">
        <f t="shared" si="55"/>
        <v/>
      </c>
      <c r="S56" s="125">
        <f t="shared" si="55"/>
        <v>0</v>
      </c>
      <c r="T56" s="125">
        <f t="shared" si="55"/>
        <v>15.037327804843903</v>
      </c>
      <c r="U56" s="125">
        <f t="shared" si="55"/>
        <v>32.363797752563606</v>
      </c>
      <c r="V56" s="125">
        <f t="shared" si="55"/>
        <v>6.3992711470826364</v>
      </c>
      <c r="W56" s="125">
        <f t="shared" si="55"/>
        <v>0.55616484294270385</v>
      </c>
      <c r="X56" s="125">
        <f t="shared" si="55"/>
        <v>0</v>
      </c>
      <c r="Y56" s="125">
        <f t="shared" si="55"/>
        <v>0</v>
      </c>
      <c r="Z56" s="125">
        <f t="shared" si="55"/>
        <v>0.31905672547906822</v>
      </c>
      <c r="AA56" s="125">
        <f t="shared" si="55"/>
        <v>5.3430958041627341E-2</v>
      </c>
      <c r="AB56" s="125">
        <f t="shared" si="55"/>
        <v>5.36334804464495E-2</v>
      </c>
      <c r="AC56" s="125">
        <f t="shared" si="55"/>
        <v>0</v>
      </c>
      <c r="AD56" s="125">
        <f t="shared" si="55"/>
        <v>2.3450643352342874E-3</v>
      </c>
      <c r="AE56" s="125" t="str">
        <f t="shared" ref="AE56:AH56" si="56">+IF(AE21="","",AE21*$C56)</f>
        <v/>
      </c>
      <c r="AF56" s="125" t="str">
        <f t="shared" si="56"/>
        <v/>
      </c>
      <c r="AG56" s="125" t="str">
        <f t="shared" si="56"/>
        <v/>
      </c>
      <c r="AH56" s="125" t="str">
        <f t="shared" si="56"/>
        <v/>
      </c>
      <c r="AI56" s="84">
        <f t="shared" si="20"/>
        <v>54.785027775735237</v>
      </c>
      <c r="AJ56" s="164">
        <f t="shared" si="24"/>
        <v>-2.3450643352376233E-3</v>
      </c>
    </row>
    <row r="57" spans="1:40" s="88" customFormat="1">
      <c r="A57" s="87">
        <f t="shared" si="25"/>
        <v>46099</v>
      </c>
      <c r="B57" s="35" t="str">
        <f t="shared" si="21"/>
        <v>miércoles</v>
      </c>
      <c r="C57" s="124">
        <f>+Resumen!C89</f>
        <v>54.563293576760003</v>
      </c>
      <c r="D57" s="125" t="str">
        <f t="shared" ref="D57:AD57" si="57">+IF(D22="","",D22*$C57)</f>
        <v/>
      </c>
      <c r="E57" s="125" t="str">
        <f t="shared" si="57"/>
        <v/>
      </c>
      <c r="F57" s="125" t="str">
        <f t="shared" si="57"/>
        <v/>
      </c>
      <c r="G57" s="125" t="str">
        <f t="shared" si="57"/>
        <v/>
      </c>
      <c r="H57" s="125" t="str">
        <f t="shared" si="57"/>
        <v/>
      </c>
      <c r="I57" s="125" t="str">
        <f t="shared" si="57"/>
        <v/>
      </c>
      <c r="J57" s="125" t="str">
        <f t="shared" si="57"/>
        <v/>
      </c>
      <c r="K57" s="125" t="str">
        <f t="shared" si="57"/>
        <v/>
      </c>
      <c r="L57" s="125" t="str">
        <f t="shared" si="57"/>
        <v/>
      </c>
      <c r="M57" s="125" t="str">
        <f t="shared" si="57"/>
        <v/>
      </c>
      <c r="N57" s="125" t="str">
        <f t="shared" si="57"/>
        <v/>
      </c>
      <c r="O57" s="125" t="str">
        <f t="shared" si="57"/>
        <v/>
      </c>
      <c r="P57" s="125" t="str">
        <f t="shared" si="57"/>
        <v/>
      </c>
      <c r="Q57" s="125" t="str">
        <f t="shared" si="57"/>
        <v/>
      </c>
      <c r="R57" s="125" t="str">
        <f t="shared" si="57"/>
        <v/>
      </c>
      <c r="S57" s="125">
        <f t="shared" si="57"/>
        <v>6.8096730770270353E-5</v>
      </c>
      <c r="T57" s="125">
        <f t="shared" si="57"/>
        <v>0</v>
      </c>
      <c r="U57" s="125">
        <f t="shared" si="57"/>
        <v>15.658817276967957</v>
      </c>
      <c r="V57" s="125">
        <f t="shared" si="57"/>
        <v>31.111230375707418</v>
      </c>
      <c r="W57" s="125">
        <f t="shared" si="57"/>
        <v>6.6561502106252153</v>
      </c>
      <c r="X57" s="125">
        <f t="shared" si="57"/>
        <v>0</v>
      </c>
      <c r="Y57" s="125">
        <f t="shared" si="57"/>
        <v>0</v>
      </c>
      <c r="Z57" s="125">
        <f t="shared" si="57"/>
        <v>0.8615801279561538</v>
      </c>
      <c r="AA57" s="125">
        <f t="shared" si="57"/>
        <v>0.17130943602049803</v>
      </c>
      <c r="AB57" s="125">
        <f t="shared" si="57"/>
        <v>0.10420614948275268</v>
      </c>
      <c r="AC57" s="125">
        <f t="shared" si="57"/>
        <v>0</v>
      </c>
      <c r="AD57" s="125">
        <f t="shared" si="57"/>
        <v>1.803869764262959E-3</v>
      </c>
      <c r="AE57" s="125" t="str">
        <f t="shared" ref="AE57:AH57" si="58">+IF(AE22="","",AE22*$C57)</f>
        <v/>
      </c>
      <c r="AF57" s="125" t="str">
        <f t="shared" si="58"/>
        <v/>
      </c>
      <c r="AG57" s="125" t="str">
        <f t="shared" si="58"/>
        <v/>
      </c>
      <c r="AH57" s="125" t="str">
        <f t="shared" si="58"/>
        <v/>
      </c>
      <c r="AI57" s="84">
        <f t="shared" si="20"/>
        <v>54.56516554325502</v>
      </c>
      <c r="AJ57" s="164">
        <f t="shared" si="24"/>
        <v>-1.8719664950168635E-3</v>
      </c>
    </row>
    <row r="58" spans="1:40" s="88" customFormat="1">
      <c r="A58" s="87">
        <f t="shared" si="25"/>
        <v>46100</v>
      </c>
      <c r="B58" s="35" t="str">
        <f t="shared" si="21"/>
        <v>jueves</v>
      </c>
      <c r="C58" s="124">
        <f>+Resumen!C90</f>
        <v>41.411147659100003</v>
      </c>
      <c r="D58" s="125" t="str">
        <f t="shared" ref="D58:AD58" si="59">+IF(D23="","",D23*$C58)</f>
        <v/>
      </c>
      <c r="E58" s="125" t="str">
        <f t="shared" si="59"/>
        <v/>
      </c>
      <c r="F58" s="125" t="str">
        <f t="shared" si="59"/>
        <v/>
      </c>
      <c r="G58" s="125" t="str">
        <f t="shared" si="59"/>
        <v/>
      </c>
      <c r="H58" s="125" t="str">
        <f t="shared" si="59"/>
        <v/>
      </c>
      <c r="I58" s="125" t="str">
        <f t="shared" si="59"/>
        <v/>
      </c>
      <c r="J58" s="125" t="str">
        <f t="shared" si="59"/>
        <v/>
      </c>
      <c r="K58" s="125" t="str">
        <f t="shared" si="59"/>
        <v/>
      </c>
      <c r="L58" s="125" t="str">
        <f t="shared" si="59"/>
        <v/>
      </c>
      <c r="M58" s="125" t="str">
        <f t="shared" si="59"/>
        <v/>
      </c>
      <c r="N58" s="125" t="str">
        <f t="shared" si="59"/>
        <v/>
      </c>
      <c r="O58" s="125" t="str">
        <f t="shared" si="59"/>
        <v/>
      </c>
      <c r="P58" s="125" t="str">
        <f t="shared" si="59"/>
        <v/>
      </c>
      <c r="Q58" s="125" t="str">
        <f t="shared" si="59"/>
        <v/>
      </c>
      <c r="R58" s="125" t="str">
        <f t="shared" si="59"/>
        <v/>
      </c>
      <c r="S58" s="125">
        <f t="shared" si="59"/>
        <v>8.8273299877381543E-6</v>
      </c>
      <c r="T58" s="125">
        <f t="shared" si="59"/>
        <v>0</v>
      </c>
      <c r="U58" s="125">
        <f t="shared" si="59"/>
        <v>3.2709593261718591E-4</v>
      </c>
      <c r="V58" s="125">
        <f t="shared" si="59"/>
        <v>11.263963657124261</v>
      </c>
      <c r="W58" s="125">
        <f t="shared" si="59"/>
        <v>24.029540098545944</v>
      </c>
      <c r="X58" s="125">
        <f t="shared" si="59"/>
        <v>0</v>
      </c>
      <c r="Y58" s="125">
        <f t="shared" si="59"/>
        <v>0</v>
      </c>
      <c r="Z58" s="125">
        <f t="shared" si="59"/>
        <v>5.8211341453658614</v>
      </c>
      <c r="AA58" s="125">
        <f t="shared" si="59"/>
        <v>9.5669535436365846E-2</v>
      </c>
      <c r="AB58" s="125">
        <f t="shared" si="59"/>
        <v>0.14868037231763073</v>
      </c>
      <c r="AC58" s="125">
        <f t="shared" si="59"/>
        <v>5.2345155074703331E-2</v>
      </c>
      <c r="AD58" s="125">
        <f t="shared" si="59"/>
        <v>0</v>
      </c>
      <c r="AE58" s="125" t="str">
        <f t="shared" ref="AE58:AH58" si="60">+IF(AE23="","",AE23*$C58)</f>
        <v/>
      </c>
      <c r="AF58" s="125" t="str">
        <f t="shared" si="60"/>
        <v/>
      </c>
      <c r="AG58" s="125" t="str">
        <f t="shared" si="60"/>
        <v/>
      </c>
      <c r="AH58" s="125" t="str">
        <f t="shared" si="60"/>
        <v/>
      </c>
      <c r="AI58" s="84">
        <f t="shared" si="20"/>
        <v>41.411668887127369</v>
      </c>
      <c r="AJ58" s="164">
        <f t="shared" si="24"/>
        <v>-5.2122802736676022E-4</v>
      </c>
    </row>
    <row r="59" spans="1:40" s="88" customFormat="1">
      <c r="A59" s="87">
        <f t="shared" si="25"/>
        <v>46101</v>
      </c>
      <c r="B59" s="35" t="str">
        <f t="shared" si="21"/>
        <v>viernes</v>
      </c>
      <c r="C59" s="124">
        <f>+Resumen!C91</f>
        <v>81.913180560040004</v>
      </c>
      <c r="D59" s="125" t="str">
        <f t="shared" ref="D59:AD59" si="61">+IF(D24="","",D24*$C59)</f>
        <v/>
      </c>
      <c r="E59" s="125" t="str">
        <f t="shared" si="61"/>
        <v/>
      </c>
      <c r="F59" s="125" t="str">
        <f t="shared" si="61"/>
        <v/>
      </c>
      <c r="G59" s="125" t="str">
        <f t="shared" si="61"/>
        <v/>
      </c>
      <c r="H59" s="125" t="str">
        <f t="shared" si="61"/>
        <v/>
      </c>
      <c r="I59" s="125" t="str">
        <f t="shared" si="61"/>
        <v/>
      </c>
      <c r="J59" s="125" t="str">
        <f t="shared" si="61"/>
        <v/>
      </c>
      <c r="K59" s="125" t="str">
        <f t="shared" si="61"/>
        <v/>
      </c>
      <c r="L59" s="125" t="str">
        <f t="shared" si="61"/>
        <v/>
      </c>
      <c r="M59" s="125" t="str">
        <f t="shared" si="61"/>
        <v/>
      </c>
      <c r="N59" s="125" t="str">
        <f t="shared" si="61"/>
        <v/>
      </c>
      <c r="O59" s="125" t="str">
        <f t="shared" si="61"/>
        <v/>
      </c>
      <c r="P59" s="125" t="str">
        <f t="shared" si="61"/>
        <v/>
      </c>
      <c r="Q59" s="125" t="str">
        <f t="shared" si="61"/>
        <v/>
      </c>
      <c r="R59" s="125" t="str">
        <f t="shared" si="61"/>
        <v/>
      </c>
      <c r="S59" s="125">
        <f t="shared" si="61"/>
        <v>3.0187818234278392E-5</v>
      </c>
      <c r="T59" s="125">
        <f t="shared" si="61"/>
        <v>0</v>
      </c>
      <c r="U59" s="125">
        <f t="shared" si="61"/>
        <v>0</v>
      </c>
      <c r="V59" s="125">
        <f t="shared" si="61"/>
        <v>8.9232770262962597E-4</v>
      </c>
      <c r="W59" s="125">
        <f t="shared" si="61"/>
        <v>18.21063250988724</v>
      </c>
      <c r="X59" s="125">
        <f t="shared" si="61"/>
        <v>0</v>
      </c>
      <c r="Y59" s="125">
        <f t="shared" si="61"/>
        <v>0</v>
      </c>
      <c r="Z59" s="125">
        <f t="shared" si="61"/>
        <v>62.202314557324101</v>
      </c>
      <c r="AA59" s="125">
        <f t="shared" si="61"/>
        <v>0.90287336584456701</v>
      </c>
      <c r="AB59" s="125">
        <f t="shared" si="61"/>
        <v>0.29901229653789119</v>
      </c>
      <c r="AC59" s="125">
        <f t="shared" si="61"/>
        <v>0.29834783044620145</v>
      </c>
      <c r="AD59" s="125">
        <f t="shared" si="61"/>
        <v>0</v>
      </c>
      <c r="AE59" s="125" t="str">
        <f t="shared" ref="AE59:AH59" si="62">+IF(AE24="","",AE24*$C59)</f>
        <v/>
      </c>
      <c r="AF59" s="125" t="str">
        <f t="shared" si="62"/>
        <v/>
      </c>
      <c r="AG59" s="125" t="str">
        <f t="shared" si="62"/>
        <v/>
      </c>
      <c r="AH59" s="125" t="str">
        <f t="shared" si="62"/>
        <v/>
      </c>
      <c r="AI59" s="84">
        <f t="shared" si="20"/>
        <v>81.91410307556086</v>
      </c>
      <c r="AJ59" s="164">
        <f t="shared" si="24"/>
        <v>-9.2251552085542698E-4</v>
      </c>
    </row>
    <row r="60" spans="1:40" s="88" customFormat="1">
      <c r="A60" s="87">
        <f t="shared" si="25"/>
        <v>46102</v>
      </c>
      <c r="B60" s="35" t="str">
        <f t="shared" si="21"/>
        <v>sábado</v>
      </c>
      <c r="C60" s="124">
        <f>+Resumen!C92</f>
        <v>72.335877275550004</v>
      </c>
      <c r="D60" s="125" t="str">
        <f t="shared" ref="D60:AD60" si="63">+IF(D25="","",D25*$C60)</f>
        <v/>
      </c>
      <c r="E60" s="125" t="str">
        <f t="shared" si="63"/>
        <v/>
      </c>
      <c r="F60" s="125" t="str">
        <f t="shared" si="63"/>
        <v/>
      </c>
      <c r="G60" s="125" t="str">
        <f t="shared" si="63"/>
        <v/>
      </c>
      <c r="H60" s="125" t="str">
        <f t="shared" si="63"/>
        <v/>
      </c>
      <c r="I60" s="125" t="str">
        <f t="shared" si="63"/>
        <v/>
      </c>
      <c r="J60" s="125" t="str">
        <f t="shared" si="63"/>
        <v/>
      </c>
      <c r="K60" s="125" t="str">
        <f t="shared" si="63"/>
        <v/>
      </c>
      <c r="L60" s="125" t="str">
        <f t="shared" si="63"/>
        <v/>
      </c>
      <c r="M60" s="125" t="str">
        <f t="shared" si="63"/>
        <v/>
      </c>
      <c r="N60" s="125" t="str">
        <f t="shared" si="63"/>
        <v/>
      </c>
      <c r="O60" s="125" t="str">
        <f t="shared" si="63"/>
        <v/>
      </c>
      <c r="P60" s="125" t="str">
        <f t="shared" si="63"/>
        <v/>
      </c>
      <c r="Q60" s="125" t="str">
        <f t="shared" si="63"/>
        <v/>
      </c>
      <c r="R60" s="125" t="str">
        <f t="shared" si="63"/>
        <v/>
      </c>
      <c r="S60" s="125">
        <f t="shared" si="63"/>
        <v>6.9131980919059411E-5</v>
      </c>
      <c r="T60" s="125">
        <f t="shared" si="63"/>
        <v>0</v>
      </c>
      <c r="U60" s="125">
        <f t="shared" si="63"/>
        <v>0</v>
      </c>
      <c r="V60" s="125">
        <f t="shared" si="63"/>
        <v>0</v>
      </c>
      <c r="W60" s="125">
        <f t="shared" si="63"/>
        <v>0</v>
      </c>
      <c r="X60" s="125">
        <f t="shared" si="63"/>
        <v>12.188838083174328</v>
      </c>
      <c r="Y60" s="125">
        <f t="shared" si="63"/>
        <v>0</v>
      </c>
      <c r="Z60" s="125">
        <f t="shared" si="63"/>
        <v>58.512063745618569</v>
      </c>
      <c r="AA60" s="125">
        <f t="shared" si="63"/>
        <v>1.0097302790061777</v>
      </c>
      <c r="AB60" s="125">
        <f t="shared" si="63"/>
        <v>0.62524516775092687</v>
      </c>
      <c r="AC60" s="125">
        <f t="shared" si="63"/>
        <v>0</v>
      </c>
      <c r="AD60" s="125">
        <f t="shared" si="63"/>
        <v>0</v>
      </c>
      <c r="AE60" s="125" t="str">
        <f t="shared" ref="AE60:AH60" si="64">+IF(AE25="","",AE25*$C60)</f>
        <v/>
      </c>
      <c r="AF60" s="125" t="str">
        <f t="shared" si="64"/>
        <v/>
      </c>
      <c r="AG60" s="125" t="str">
        <f t="shared" si="64"/>
        <v/>
      </c>
      <c r="AH60" s="125" t="str">
        <f t="shared" si="64"/>
        <v/>
      </c>
      <c r="AI60" s="84">
        <f t="shared" si="20"/>
        <v>72.335946407530926</v>
      </c>
      <c r="AJ60" s="164">
        <f t="shared" si="24"/>
        <v>-6.913198092206585E-5</v>
      </c>
    </row>
    <row r="61" spans="1:40" s="88" customFormat="1">
      <c r="A61" s="122">
        <f t="shared" si="25"/>
        <v>46103</v>
      </c>
      <c r="B61" s="123" t="str">
        <f t="shared" si="21"/>
        <v>domingo</v>
      </c>
      <c r="C61" s="124">
        <f>+Resumen!C93</f>
        <v>69.080742005600001</v>
      </c>
      <c r="D61" s="125" t="str">
        <f t="shared" ref="D61:Q61" si="65">+IF(D26="","",D26*$C61)</f>
        <v/>
      </c>
      <c r="E61" s="125" t="str">
        <f t="shared" si="65"/>
        <v/>
      </c>
      <c r="F61" s="125" t="str">
        <f t="shared" si="65"/>
        <v/>
      </c>
      <c r="G61" s="125" t="str">
        <f t="shared" si="65"/>
        <v/>
      </c>
      <c r="H61" s="125" t="str">
        <f t="shared" si="65"/>
        <v/>
      </c>
      <c r="I61" s="125" t="str">
        <f t="shared" si="65"/>
        <v/>
      </c>
      <c r="J61" s="125" t="str">
        <f t="shared" si="65"/>
        <v/>
      </c>
      <c r="K61" s="125" t="str">
        <f t="shared" si="65"/>
        <v/>
      </c>
      <c r="L61" s="125" t="str">
        <f t="shared" si="65"/>
        <v/>
      </c>
      <c r="M61" s="125" t="str">
        <f t="shared" si="65"/>
        <v/>
      </c>
      <c r="N61" s="125" t="str">
        <f t="shared" si="65"/>
        <v/>
      </c>
      <c r="O61" s="125" t="str">
        <f t="shared" si="65"/>
        <v/>
      </c>
      <c r="P61" s="125" t="str">
        <f t="shared" si="65"/>
        <v/>
      </c>
      <c r="Q61" s="125" t="str">
        <f t="shared" si="65"/>
        <v/>
      </c>
      <c r="R61" s="125" t="str">
        <f t="shared" ref="R61:AC61" si="66">+IF(R26="","",R26*$C61)</f>
        <v/>
      </c>
      <c r="S61" s="125">
        <f t="shared" si="66"/>
        <v>1.4902422789797327E-4</v>
      </c>
      <c r="T61" s="125">
        <f t="shared" si="66"/>
        <v>0</v>
      </c>
      <c r="U61" s="125">
        <f t="shared" si="66"/>
        <v>0</v>
      </c>
      <c r="V61" s="125">
        <f t="shared" si="66"/>
        <v>0</v>
      </c>
      <c r="W61" s="125">
        <f t="shared" si="66"/>
        <v>2.138080744590721E-5</v>
      </c>
      <c r="X61" s="125">
        <f t="shared" si="66"/>
        <v>3.7177075844171986E-4</v>
      </c>
      <c r="Y61" s="125">
        <f t="shared" si="66"/>
        <v>9.4937474372336972</v>
      </c>
      <c r="Z61" s="125">
        <f t="shared" si="66"/>
        <v>47.023699021900427</v>
      </c>
      <c r="AA61" s="125">
        <f t="shared" si="66"/>
        <v>11.472518450998079</v>
      </c>
      <c r="AB61" s="125">
        <f t="shared" si="66"/>
        <v>0.70633601711265692</v>
      </c>
      <c r="AC61" s="125">
        <f t="shared" si="66"/>
        <v>0.3844410783551328</v>
      </c>
      <c r="AD61" s="125">
        <f t="shared" ref="AD61" si="67">+IF(AD26="","",AD26*$C61)</f>
        <v>0</v>
      </c>
      <c r="AE61" s="125" t="str">
        <f t="shared" ref="AE61:AH61" si="68">+IF(AE26="","",AE26*$C61)</f>
        <v/>
      </c>
      <c r="AF61" s="125" t="str">
        <f t="shared" si="68"/>
        <v/>
      </c>
      <c r="AG61" s="125" t="str">
        <f t="shared" si="68"/>
        <v/>
      </c>
      <c r="AH61" s="125" t="str">
        <f t="shared" si="68"/>
        <v/>
      </c>
      <c r="AI61" s="84">
        <f t="shared" si="20"/>
        <v>69.081284181393784</v>
      </c>
      <c r="AJ61" s="164">
        <f t="shared" si="24"/>
        <v>-5.4217579378246228E-4</v>
      </c>
    </row>
    <row r="62" spans="1:40" s="88" customFormat="1">
      <c r="A62" s="122">
        <f t="shared" si="25"/>
        <v>46104</v>
      </c>
      <c r="B62" s="123" t="str">
        <f t="shared" si="21"/>
        <v>lunes</v>
      </c>
      <c r="C62" s="124">
        <f>+Resumen!C94</f>
        <v>69.501410634029995</v>
      </c>
      <c r="D62" s="125" t="str">
        <f t="shared" ref="D62:AC62" si="69">+IF(D27="","",D27*$C62)</f>
        <v/>
      </c>
      <c r="E62" s="125" t="str">
        <f t="shared" si="69"/>
        <v/>
      </c>
      <c r="F62" s="125" t="str">
        <f t="shared" si="69"/>
        <v/>
      </c>
      <c r="G62" s="125" t="str">
        <f t="shared" si="69"/>
        <v/>
      </c>
      <c r="H62" s="125" t="str">
        <f t="shared" si="69"/>
        <v/>
      </c>
      <c r="I62" s="125" t="str">
        <f t="shared" si="69"/>
        <v/>
      </c>
      <c r="J62" s="125" t="str">
        <f t="shared" si="69"/>
        <v/>
      </c>
      <c r="K62" s="125" t="str">
        <f t="shared" si="69"/>
        <v/>
      </c>
      <c r="L62" s="125" t="str">
        <f t="shared" si="69"/>
        <v/>
      </c>
      <c r="M62" s="125" t="str">
        <f t="shared" si="69"/>
        <v/>
      </c>
      <c r="N62" s="125" t="str">
        <f t="shared" si="69"/>
        <v/>
      </c>
      <c r="O62" s="125" t="str">
        <f t="shared" si="69"/>
        <v/>
      </c>
      <c r="P62" s="125" t="str">
        <f t="shared" si="69"/>
        <v/>
      </c>
      <c r="Q62" s="125" t="str">
        <f t="shared" si="69"/>
        <v/>
      </c>
      <c r="R62" s="125" t="str">
        <f t="shared" si="69"/>
        <v/>
      </c>
      <c r="S62" s="125" t="str">
        <f t="shared" si="69"/>
        <v/>
      </c>
      <c r="T62" s="125" t="str">
        <f t="shared" si="69"/>
        <v/>
      </c>
      <c r="U62" s="125" t="str">
        <f t="shared" si="69"/>
        <v/>
      </c>
      <c r="V62" s="125" t="str">
        <f t="shared" si="69"/>
        <v/>
      </c>
      <c r="W62" s="125" t="str">
        <f t="shared" si="69"/>
        <v/>
      </c>
      <c r="X62" s="125" t="str">
        <f t="shared" si="69"/>
        <v/>
      </c>
      <c r="Y62" s="125" t="str">
        <f t="shared" si="69"/>
        <v/>
      </c>
      <c r="Z62" s="125">
        <f t="shared" si="69"/>
        <v>21.094135282343128</v>
      </c>
      <c r="AA62" s="125">
        <f t="shared" si="69"/>
        <v>38.901966914852515</v>
      </c>
      <c r="AB62" s="125">
        <f t="shared" si="69"/>
        <v>8.3143662300517018</v>
      </c>
      <c r="AC62" s="125">
        <f t="shared" si="69"/>
        <v>0.5664965701454272</v>
      </c>
      <c r="AD62" s="125">
        <f t="shared" ref="AD62" si="70">+IF(AD27="","",AD27*$C62)</f>
        <v>0.27473375143516915</v>
      </c>
      <c r="AE62" s="125">
        <f t="shared" ref="AE62:AH62" si="71">+IF(AE27="","",AE27*$C62)</f>
        <v>0</v>
      </c>
      <c r="AF62" s="125">
        <f t="shared" si="71"/>
        <v>0</v>
      </c>
      <c r="AG62" s="125">
        <f t="shared" si="71"/>
        <v>0.25804434162780082</v>
      </c>
      <c r="AH62" s="125">
        <f t="shared" si="71"/>
        <v>3.2583536000310109E-2</v>
      </c>
      <c r="AI62" s="84">
        <f t="shared" si="20"/>
        <v>69.442326626456051</v>
      </c>
      <c r="AJ62" s="164">
        <f t="shared" si="24"/>
        <v>5.9084007573943609E-2</v>
      </c>
    </row>
    <row r="63" spans="1:40" s="88" customFormat="1">
      <c r="A63" s="87">
        <f t="shared" si="25"/>
        <v>46105</v>
      </c>
      <c r="B63" s="35" t="str">
        <f t="shared" si="21"/>
        <v>martes</v>
      </c>
      <c r="C63" s="124">
        <f>+Resumen!C95</f>
        <v>60.136748694799998</v>
      </c>
      <c r="D63" s="125" t="str">
        <f t="shared" ref="D63:AC63" si="72">+IF(D28="","",D28*$C63)</f>
        <v/>
      </c>
      <c r="E63" s="125" t="str">
        <f t="shared" si="72"/>
        <v/>
      </c>
      <c r="F63" s="125" t="str">
        <f t="shared" si="72"/>
        <v/>
      </c>
      <c r="G63" s="125" t="str">
        <f t="shared" si="72"/>
        <v/>
      </c>
      <c r="H63" s="125" t="str">
        <f t="shared" si="72"/>
        <v/>
      </c>
      <c r="I63" s="125" t="str">
        <f t="shared" si="72"/>
        <v/>
      </c>
      <c r="J63" s="125" t="str">
        <f t="shared" si="72"/>
        <v/>
      </c>
      <c r="K63" s="125" t="str">
        <f t="shared" si="72"/>
        <v/>
      </c>
      <c r="L63" s="125" t="str">
        <f t="shared" si="72"/>
        <v/>
      </c>
      <c r="M63" s="125" t="str">
        <f t="shared" si="72"/>
        <v/>
      </c>
      <c r="N63" s="125" t="str">
        <f t="shared" si="72"/>
        <v/>
      </c>
      <c r="O63" s="125" t="str">
        <f t="shared" si="72"/>
        <v/>
      </c>
      <c r="P63" s="125" t="str">
        <f t="shared" si="72"/>
        <v/>
      </c>
      <c r="Q63" s="125" t="str">
        <f t="shared" si="72"/>
        <v/>
      </c>
      <c r="R63" s="125" t="str">
        <f t="shared" si="72"/>
        <v/>
      </c>
      <c r="S63" s="125" t="str">
        <f t="shared" si="72"/>
        <v/>
      </c>
      <c r="T63" s="125" t="str">
        <f t="shared" si="72"/>
        <v/>
      </c>
      <c r="U63" s="125" t="str">
        <f t="shared" si="72"/>
        <v/>
      </c>
      <c r="V63" s="125" t="str">
        <f t="shared" si="72"/>
        <v/>
      </c>
      <c r="W63" s="125" t="str">
        <f t="shared" si="72"/>
        <v/>
      </c>
      <c r="X63" s="125" t="str">
        <f t="shared" si="72"/>
        <v/>
      </c>
      <c r="Y63" s="125" t="str">
        <f t="shared" si="72"/>
        <v/>
      </c>
      <c r="Z63" s="125">
        <f t="shared" si="72"/>
        <v>0</v>
      </c>
      <c r="AA63" s="125">
        <f t="shared" si="72"/>
        <v>16.506968233102736</v>
      </c>
      <c r="AB63" s="125">
        <f t="shared" si="72"/>
        <v>35.526802922527288</v>
      </c>
      <c r="AC63" s="125">
        <f t="shared" si="72"/>
        <v>7.0246899522850779</v>
      </c>
      <c r="AD63" s="125">
        <f t="shared" ref="AD63" si="73">+IF(AD28="","",AD28*$C63)</f>
        <v>0.61052040056388768</v>
      </c>
      <c r="AE63" s="125">
        <f t="shared" ref="AE63:AH63" si="74">+IF(AE28="","",AE28*$C63)</f>
        <v>0</v>
      </c>
      <c r="AF63" s="125">
        <f t="shared" si="74"/>
        <v>0</v>
      </c>
      <c r="AG63" s="125">
        <f t="shared" si="74"/>
        <v>0.35023903850418397</v>
      </c>
      <c r="AH63" s="125">
        <f t="shared" si="74"/>
        <v>5.8652916163287917E-2</v>
      </c>
      <c r="AI63" s="84">
        <f t="shared" si="20"/>
        <v>60.077873463146467</v>
      </c>
      <c r="AJ63" s="164">
        <f t="shared" si="24"/>
        <v>5.8875231653530591E-2</v>
      </c>
    </row>
    <row r="64" spans="1:40" s="88" customFormat="1">
      <c r="A64" s="87">
        <f t="shared" si="25"/>
        <v>46106</v>
      </c>
      <c r="B64" s="35" t="str">
        <f t="shared" si="21"/>
        <v>miércoles</v>
      </c>
      <c r="C64" s="124">
        <f>+Resumen!C96</f>
        <v>54.432363589719998</v>
      </c>
      <c r="D64" s="125" t="str">
        <f t="shared" ref="D64:AC64" si="75">+IF(D29="","",D29*$C64)</f>
        <v/>
      </c>
      <c r="E64" s="125" t="str">
        <f t="shared" si="75"/>
        <v/>
      </c>
      <c r="F64" s="125" t="str">
        <f t="shared" si="75"/>
        <v/>
      </c>
      <c r="G64" s="125" t="str">
        <f t="shared" si="75"/>
        <v/>
      </c>
      <c r="H64" s="125" t="str">
        <f t="shared" si="75"/>
        <v/>
      </c>
      <c r="I64" s="125" t="str">
        <f t="shared" si="75"/>
        <v/>
      </c>
      <c r="J64" s="125" t="str">
        <f t="shared" si="75"/>
        <v/>
      </c>
      <c r="K64" s="125" t="str">
        <f t="shared" si="75"/>
        <v/>
      </c>
      <c r="L64" s="125" t="str">
        <f t="shared" si="75"/>
        <v/>
      </c>
      <c r="M64" s="125" t="str">
        <f t="shared" si="75"/>
        <v/>
      </c>
      <c r="N64" s="125" t="str">
        <f t="shared" si="75"/>
        <v/>
      </c>
      <c r="O64" s="125" t="str">
        <f t="shared" si="75"/>
        <v/>
      </c>
      <c r="P64" s="125" t="str">
        <f t="shared" si="75"/>
        <v/>
      </c>
      <c r="Q64" s="125" t="str">
        <f t="shared" si="75"/>
        <v/>
      </c>
      <c r="R64" s="125" t="str">
        <f t="shared" si="75"/>
        <v/>
      </c>
      <c r="S64" s="125" t="str">
        <f t="shared" si="75"/>
        <v/>
      </c>
      <c r="T64" s="125" t="str">
        <f t="shared" si="75"/>
        <v/>
      </c>
      <c r="U64" s="125" t="str">
        <f t="shared" si="75"/>
        <v/>
      </c>
      <c r="V64" s="125" t="str">
        <f t="shared" si="75"/>
        <v/>
      </c>
      <c r="W64" s="125" t="str">
        <f t="shared" si="75"/>
        <v/>
      </c>
      <c r="X64" s="125" t="str">
        <f t="shared" si="75"/>
        <v/>
      </c>
      <c r="Y64" s="125" t="str">
        <f t="shared" si="75"/>
        <v/>
      </c>
      <c r="Z64" s="125">
        <f t="shared" si="75"/>
        <v>6.7933325970215977E-5</v>
      </c>
      <c r="AA64" s="125">
        <f t="shared" si="75"/>
        <v>0</v>
      </c>
      <c r="AB64" s="125">
        <f t="shared" si="75"/>
        <v>15.621242405497801</v>
      </c>
      <c r="AC64" s="125">
        <f t="shared" si="75"/>
        <v>31.036575919884303</v>
      </c>
      <c r="AD64" s="125">
        <f t="shared" ref="AD64" si="76">+IF(AD29="","",AD29*$C64)</f>
        <v>6.6401781238305011</v>
      </c>
      <c r="AE64" s="125">
        <f t="shared" ref="AE64:AH64" si="77">+IF(AE29="","",AE29*$C64)</f>
        <v>0</v>
      </c>
      <c r="AF64" s="125">
        <f t="shared" si="77"/>
        <v>0</v>
      </c>
      <c r="AG64" s="125">
        <f t="shared" si="77"/>
        <v>0.85951268173741469</v>
      </c>
      <c r="AH64" s="125">
        <f t="shared" si="77"/>
        <v>0.17089836218738272</v>
      </c>
      <c r="AI64" s="84">
        <f t="shared" si="20"/>
        <v>54.32847542646337</v>
      </c>
      <c r="AJ64" s="164">
        <f>C64-AI64</f>
        <v>0.10388816325662731</v>
      </c>
      <c r="AK64" s="84"/>
      <c r="AL64" s="84"/>
      <c r="AM64" s="84"/>
      <c r="AN64" s="84"/>
    </row>
    <row r="65" spans="1:40" s="88" customFormat="1">
      <c r="A65" s="87">
        <f t="shared" si="25"/>
        <v>46107</v>
      </c>
      <c r="B65" s="35" t="str">
        <f t="shared" si="21"/>
        <v>jueves</v>
      </c>
      <c r="C65" s="124">
        <f>+Resumen!C97</f>
        <v>43.044570582989998</v>
      </c>
      <c r="D65" s="125" t="str">
        <f t="shared" ref="D65:AC65" si="78">+IF(D30="","",D30*$C65)</f>
        <v/>
      </c>
      <c r="E65" s="125" t="str">
        <f t="shared" si="78"/>
        <v/>
      </c>
      <c r="F65" s="125" t="str">
        <f t="shared" si="78"/>
        <v/>
      </c>
      <c r="G65" s="125" t="str">
        <f t="shared" si="78"/>
        <v/>
      </c>
      <c r="H65" s="125" t="str">
        <f t="shared" si="78"/>
        <v/>
      </c>
      <c r="I65" s="125" t="str">
        <f t="shared" si="78"/>
        <v/>
      </c>
      <c r="J65" s="125" t="str">
        <f t="shared" si="78"/>
        <v/>
      </c>
      <c r="K65" s="125" t="str">
        <f t="shared" si="78"/>
        <v/>
      </c>
      <c r="L65" s="125" t="str">
        <f t="shared" si="78"/>
        <v/>
      </c>
      <c r="M65" s="125" t="str">
        <f t="shared" si="78"/>
        <v/>
      </c>
      <c r="N65" s="125" t="str">
        <f t="shared" si="78"/>
        <v/>
      </c>
      <c r="O65" s="125" t="str">
        <f t="shared" si="78"/>
        <v/>
      </c>
      <c r="P65" s="125" t="str">
        <f t="shared" si="78"/>
        <v/>
      </c>
      <c r="Q65" s="125" t="str">
        <f t="shared" si="78"/>
        <v/>
      </c>
      <c r="R65" s="125" t="str">
        <f t="shared" si="78"/>
        <v/>
      </c>
      <c r="S65" s="125" t="str">
        <f t="shared" si="78"/>
        <v/>
      </c>
      <c r="T65" s="125" t="str">
        <f t="shared" si="78"/>
        <v/>
      </c>
      <c r="U65" s="125" t="str">
        <f t="shared" si="78"/>
        <v/>
      </c>
      <c r="V65" s="125" t="str">
        <f t="shared" si="78"/>
        <v/>
      </c>
      <c r="W65" s="125" t="str">
        <f t="shared" si="78"/>
        <v/>
      </c>
      <c r="X65" s="125" t="str">
        <f t="shared" si="78"/>
        <v/>
      </c>
      <c r="Y65" s="125" t="str">
        <f t="shared" si="78"/>
        <v/>
      </c>
      <c r="Z65" s="125">
        <f t="shared" si="78"/>
        <v>9.1755155361660685E-6</v>
      </c>
      <c r="AA65" s="125">
        <f t="shared" si="78"/>
        <v>0</v>
      </c>
      <c r="AB65" s="125">
        <f t="shared" si="78"/>
        <v>3.3999791734473742E-4</v>
      </c>
      <c r="AC65" s="125">
        <f t="shared" si="78"/>
        <v>11.708259879070852</v>
      </c>
      <c r="AD65" s="125">
        <f t="shared" ref="AD65" si="79">+IF(AD30="","",AD30*$C65)</f>
        <v>24.977362215687233</v>
      </c>
      <c r="AE65" s="125">
        <f t="shared" ref="AE65:AH65" si="80">+IF(AE30="","",AE30*$C65)</f>
        <v>0</v>
      </c>
      <c r="AF65" s="125">
        <f t="shared" si="80"/>
        <v>0</v>
      </c>
      <c r="AG65" s="125">
        <f t="shared" si="80"/>
        <v>6.0507431877027971</v>
      </c>
      <c r="AH65" s="125">
        <f t="shared" si="80"/>
        <v>9.9443128324592081E-2</v>
      </c>
      <c r="AI65" s="84">
        <f t="shared" si="20"/>
        <v>42.836157584218356</v>
      </c>
      <c r="AJ65" s="164">
        <f>C65-AI65</f>
        <v>0.20841299877164232</v>
      </c>
      <c r="AK65" s="84"/>
      <c r="AL65" s="84"/>
      <c r="AM65" s="84"/>
      <c r="AN65" s="84"/>
    </row>
    <row r="66" spans="1:40" s="88" customFormat="1">
      <c r="A66" s="87">
        <f t="shared" si="25"/>
        <v>46108</v>
      </c>
      <c r="B66" s="35" t="str">
        <f t="shared" si="21"/>
        <v>viernes</v>
      </c>
      <c r="C66" s="124">
        <f>+Resumen!C98</f>
        <v>57.044620271299998</v>
      </c>
      <c r="D66" s="125" t="str">
        <f t="shared" ref="D66:AC66" si="81">+IF(D31="","",D31*$C66)</f>
        <v/>
      </c>
      <c r="E66" s="125" t="str">
        <f t="shared" si="81"/>
        <v/>
      </c>
      <c r="F66" s="125" t="str">
        <f t="shared" si="81"/>
        <v/>
      </c>
      <c r="G66" s="125" t="str">
        <f t="shared" si="81"/>
        <v/>
      </c>
      <c r="H66" s="125" t="str">
        <f t="shared" si="81"/>
        <v/>
      </c>
      <c r="I66" s="125" t="str">
        <f t="shared" si="81"/>
        <v/>
      </c>
      <c r="J66" s="125" t="str">
        <f t="shared" si="81"/>
        <v/>
      </c>
      <c r="K66" s="125" t="str">
        <f t="shared" si="81"/>
        <v/>
      </c>
      <c r="L66" s="125" t="str">
        <f t="shared" si="81"/>
        <v/>
      </c>
      <c r="M66" s="125" t="str">
        <f t="shared" si="81"/>
        <v/>
      </c>
      <c r="N66" s="125" t="str">
        <f t="shared" si="81"/>
        <v/>
      </c>
      <c r="O66" s="125" t="str">
        <f t="shared" si="81"/>
        <v/>
      </c>
      <c r="P66" s="125" t="str">
        <f t="shared" si="81"/>
        <v/>
      </c>
      <c r="Q66" s="125" t="str">
        <f t="shared" si="81"/>
        <v/>
      </c>
      <c r="R66" s="125" t="str">
        <f t="shared" si="81"/>
        <v/>
      </c>
      <c r="S66" s="125" t="str">
        <f t="shared" si="81"/>
        <v/>
      </c>
      <c r="T66" s="125" t="str">
        <f t="shared" si="81"/>
        <v/>
      </c>
      <c r="U66" s="125" t="str">
        <f t="shared" si="81"/>
        <v/>
      </c>
      <c r="V66" s="125" t="str">
        <f t="shared" si="81"/>
        <v/>
      </c>
      <c r="W66" s="125" t="str">
        <f t="shared" si="81"/>
        <v/>
      </c>
      <c r="X66" s="125" t="str">
        <f t="shared" si="81"/>
        <v/>
      </c>
      <c r="Y66" s="125" t="str">
        <f t="shared" si="81"/>
        <v/>
      </c>
      <c r="Z66" s="125">
        <f t="shared" si="81"/>
        <v>2.1022900297849159E-5</v>
      </c>
      <c r="AA66" s="125">
        <f t="shared" si="81"/>
        <v>0</v>
      </c>
      <c r="AB66" s="125">
        <f t="shared" si="81"/>
        <v>0</v>
      </c>
      <c r="AC66" s="125">
        <f t="shared" si="81"/>
        <v>6.2142007679409368E-4</v>
      </c>
      <c r="AD66" s="125">
        <f t="shared" ref="AD66" si="82">+IF(AD31="","",AD31*$C66)</f>
        <v>12.681947023962577</v>
      </c>
      <c r="AE66" s="125">
        <f t="shared" ref="AE66:AH66" si="83">+IF(AE31="","",AE31*$C66)</f>
        <v>0</v>
      </c>
      <c r="AF66" s="125">
        <f t="shared" si="83"/>
        <v>0</v>
      </c>
      <c r="AG66" s="125">
        <f t="shared" si="83"/>
        <v>43.317905490407639</v>
      </c>
      <c r="AH66" s="125">
        <f t="shared" si="83"/>
        <v>0.62876411287586187</v>
      </c>
      <c r="AI66" s="84">
        <f t="shared" si="20"/>
        <v>56.629259070223171</v>
      </c>
      <c r="AJ66" s="164">
        <f t="shared" si="24"/>
        <v>0.41536120107682706</v>
      </c>
      <c r="AK66" s="84"/>
      <c r="AL66" s="84"/>
      <c r="AM66" s="84"/>
      <c r="AN66" s="84"/>
    </row>
    <row r="67" spans="1:40" s="88" customFormat="1">
      <c r="A67" s="87">
        <f t="shared" si="25"/>
        <v>46109</v>
      </c>
      <c r="B67" s="35" t="str">
        <f t="shared" si="21"/>
        <v>sábado</v>
      </c>
      <c r="C67" s="124">
        <f>+Resumen!C99</f>
        <v>60.548065702640002</v>
      </c>
      <c r="D67" s="125" t="str">
        <f t="shared" ref="D67:AC67" si="84">+IF(D32="","",D32*$C67)</f>
        <v/>
      </c>
      <c r="E67" s="125" t="str">
        <f t="shared" si="84"/>
        <v/>
      </c>
      <c r="F67" s="125" t="str">
        <f t="shared" si="84"/>
        <v/>
      </c>
      <c r="G67" s="125" t="str">
        <f t="shared" si="84"/>
        <v/>
      </c>
      <c r="H67" s="125" t="str">
        <f t="shared" si="84"/>
        <v/>
      </c>
      <c r="I67" s="125" t="str">
        <f t="shared" si="84"/>
        <v/>
      </c>
      <c r="J67" s="125" t="str">
        <f t="shared" si="84"/>
        <v/>
      </c>
      <c r="K67" s="125" t="str">
        <f t="shared" si="84"/>
        <v/>
      </c>
      <c r="L67" s="125" t="str">
        <f t="shared" si="84"/>
        <v/>
      </c>
      <c r="M67" s="125" t="str">
        <f t="shared" si="84"/>
        <v/>
      </c>
      <c r="N67" s="125" t="str">
        <f t="shared" si="84"/>
        <v/>
      </c>
      <c r="O67" s="125" t="str">
        <f t="shared" si="84"/>
        <v/>
      </c>
      <c r="P67" s="125" t="str">
        <f t="shared" si="84"/>
        <v/>
      </c>
      <c r="Q67" s="125" t="str">
        <f t="shared" si="84"/>
        <v/>
      </c>
      <c r="R67" s="125" t="str">
        <f t="shared" si="84"/>
        <v/>
      </c>
      <c r="S67" s="125" t="str">
        <f t="shared" si="84"/>
        <v/>
      </c>
      <c r="T67" s="125" t="str">
        <f t="shared" si="84"/>
        <v/>
      </c>
      <c r="U67" s="125" t="str">
        <f t="shared" si="84"/>
        <v/>
      </c>
      <c r="V67" s="125" t="str">
        <f t="shared" si="84"/>
        <v/>
      </c>
      <c r="W67" s="125" t="str">
        <f t="shared" si="84"/>
        <v/>
      </c>
      <c r="X67" s="125" t="str">
        <f t="shared" si="84"/>
        <v/>
      </c>
      <c r="Y67" s="125" t="str">
        <f t="shared" si="84"/>
        <v/>
      </c>
      <c r="Z67" s="125">
        <f t="shared" si="84"/>
        <v>5.7866274392385019E-5</v>
      </c>
      <c r="AA67" s="125">
        <f t="shared" si="84"/>
        <v>0</v>
      </c>
      <c r="AB67" s="125">
        <f t="shared" si="84"/>
        <v>0</v>
      </c>
      <c r="AC67" s="125">
        <f t="shared" si="84"/>
        <v>0</v>
      </c>
      <c r="AD67" s="125">
        <f t="shared" ref="AD67" si="85">+IF(AD32="","",AD32*$C67)</f>
        <v>0</v>
      </c>
      <c r="AE67" s="125">
        <f t="shared" ref="AE67:AH67" si="86">+IF(AE32="","",AE32*$C67)</f>
        <v>10.202552272747957</v>
      </c>
      <c r="AF67" s="125">
        <f t="shared" si="86"/>
        <v>0</v>
      </c>
      <c r="AG67" s="125">
        <f t="shared" si="86"/>
        <v>48.976972610301914</v>
      </c>
      <c r="AH67" s="125">
        <f t="shared" si="86"/>
        <v>0.84518523280391378</v>
      </c>
      <c r="AI67" s="84">
        <f t="shared" si="20"/>
        <v>60.024767982128182</v>
      </c>
      <c r="AJ67" s="164">
        <f t="shared" si="24"/>
        <v>0.52329772051182033</v>
      </c>
      <c r="AK67" s="84"/>
      <c r="AL67" s="84"/>
      <c r="AM67" s="84"/>
      <c r="AN67" s="84"/>
    </row>
    <row r="68" spans="1:40" s="88" customFormat="1" ht="15" customHeight="1">
      <c r="A68" s="87">
        <f t="shared" si="25"/>
        <v>46110</v>
      </c>
      <c r="B68" s="35" t="str">
        <f t="shared" ref="B68:B69" si="87">+TEXT(A68,"dddddd")</f>
        <v>domingo</v>
      </c>
      <c r="C68" s="124">
        <f>+Resumen!C100</f>
        <v>62.083999965929998</v>
      </c>
      <c r="D68" s="125" t="str">
        <f t="shared" ref="D68:AH68" si="88">+IF(D33="","",D33*$C68)</f>
        <v/>
      </c>
      <c r="E68" s="125" t="str">
        <f t="shared" si="88"/>
        <v/>
      </c>
      <c r="F68" s="125" t="str">
        <f t="shared" si="88"/>
        <v/>
      </c>
      <c r="G68" s="125" t="str">
        <f t="shared" si="88"/>
        <v/>
      </c>
      <c r="H68" s="125" t="str">
        <f t="shared" si="88"/>
        <v/>
      </c>
      <c r="I68" s="125" t="str">
        <f t="shared" si="88"/>
        <v/>
      </c>
      <c r="J68" s="125" t="str">
        <f t="shared" si="88"/>
        <v/>
      </c>
      <c r="K68" s="125" t="str">
        <f t="shared" si="88"/>
        <v/>
      </c>
      <c r="L68" s="125" t="str">
        <f t="shared" si="88"/>
        <v/>
      </c>
      <c r="M68" s="125" t="str">
        <f t="shared" si="88"/>
        <v/>
      </c>
      <c r="N68" s="125" t="str">
        <f t="shared" si="88"/>
        <v/>
      </c>
      <c r="O68" s="125" t="str">
        <f t="shared" si="88"/>
        <v/>
      </c>
      <c r="P68" s="125" t="str">
        <f t="shared" si="88"/>
        <v/>
      </c>
      <c r="Q68" s="125" t="str">
        <f t="shared" si="88"/>
        <v/>
      </c>
      <c r="R68" s="125" t="str">
        <f t="shared" si="88"/>
        <v/>
      </c>
      <c r="S68" s="125" t="str">
        <f t="shared" si="88"/>
        <v/>
      </c>
      <c r="T68" s="125" t="str">
        <f t="shared" si="88"/>
        <v/>
      </c>
      <c r="U68" s="125" t="str">
        <f t="shared" si="88"/>
        <v/>
      </c>
      <c r="V68" s="125" t="str">
        <f t="shared" si="88"/>
        <v/>
      </c>
      <c r="W68" s="125" t="str">
        <f t="shared" si="88"/>
        <v/>
      </c>
      <c r="X68" s="125" t="str">
        <f t="shared" si="88"/>
        <v/>
      </c>
      <c r="Y68" s="125" t="str">
        <f t="shared" si="88"/>
        <v/>
      </c>
      <c r="Z68" s="125">
        <f t="shared" si="88"/>
        <v>1.3393052667254942E-4</v>
      </c>
      <c r="AA68" s="125">
        <f t="shared" si="88"/>
        <v>0</v>
      </c>
      <c r="AB68" s="125">
        <f t="shared" si="88"/>
        <v>0</v>
      </c>
      <c r="AC68" s="125">
        <f t="shared" si="88"/>
        <v>0</v>
      </c>
      <c r="AD68" s="125">
        <f t="shared" si="88"/>
        <v>1.9215283597209384E-5</v>
      </c>
      <c r="AE68" s="125">
        <f t="shared" si="88"/>
        <v>3.341165002622359E-4</v>
      </c>
      <c r="AF68" s="125">
        <f t="shared" si="88"/>
        <v>8.5321870966873021</v>
      </c>
      <c r="AG68" s="125">
        <f t="shared" si="88"/>
        <v>42.260972359516742</v>
      </c>
      <c r="AH68" s="125">
        <f t="shared" si="88"/>
        <v>10.310541178946179</v>
      </c>
      <c r="AI68" s="84">
        <f t="shared" si="20"/>
        <v>61.104187897460761</v>
      </c>
      <c r="AJ68" s="164"/>
      <c r="AK68" s="84"/>
      <c r="AL68" s="84"/>
      <c r="AM68" s="84"/>
      <c r="AN68" s="84"/>
    </row>
    <row r="69" spans="1:40" s="88" customFormat="1">
      <c r="A69" s="87">
        <f t="shared" si="25"/>
        <v>46111</v>
      </c>
      <c r="B69" s="35" t="str">
        <f t="shared" si="87"/>
        <v>lunes</v>
      </c>
      <c r="C69" s="124">
        <f>+Resumen!C101</f>
        <v>73.339175272600002</v>
      </c>
      <c r="D69" s="125" t="str">
        <f t="shared" ref="D69:AH70" si="89">+IF(D34="","",D34*$C69)</f>
        <v/>
      </c>
      <c r="E69" s="125" t="str">
        <f t="shared" si="89"/>
        <v/>
      </c>
      <c r="F69" s="125" t="str">
        <f t="shared" si="89"/>
        <v/>
      </c>
      <c r="G69" s="125" t="str">
        <f t="shared" si="89"/>
        <v/>
      </c>
      <c r="H69" s="125" t="str">
        <f t="shared" si="89"/>
        <v/>
      </c>
      <c r="I69" s="125" t="str">
        <f t="shared" si="89"/>
        <v/>
      </c>
      <c r="J69" s="125" t="str">
        <f t="shared" si="89"/>
        <v/>
      </c>
      <c r="K69" s="125" t="str">
        <f t="shared" si="89"/>
        <v/>
      </c>
      <c r="L69" s="125" t="str">
        <f t="shared" si="89"/>
        <v/>
      </c>
      <c r="M69" s="125" t="str">
        <f t="shared" si="89"/>
        <v/>
      </c>
      <c r="N69" s="125" t="str">
        <f t="shared" si="89"/>
        <v/>
      </c>
      <c r="O69" s="125" t="str">
        <f t="shared" si="89"/>
        <v/>
      </c>
      <c r="P69" s="125" t="str">
        <f t="shared" si="89"/>
        <v/>
      </c>
      <c r="Q69" s="125" t="str">
        <f t="shared" si="89"/>
        <v/>
      </c>
      <c r="R69" s="125" t="str">
        <f t="shared" si="89"/>
        <v/>
      </c>
      <c r="S69" s="125" t="str">
        <f t="shared" si="89"/>
        <v/>
      </c>
      <c r="T69" s="125" t="str">
        <f t="shared" si="89"/>
        <v/>
      </c>
      <c r="U69" s="125" t="str">
        <f t="shared" si="89"/>
        <v/>
      </c>
      <c r="V69" s="125" t="str">
        <f t="shared" si="89"/>
        <v/>
      </c>
      <c r="W69" s="125" t="str">
        <f t="shared" si="89"/>
        <v/>
      </c>
      <c r="X69" s="125" t="str">
        <f t="shared" si="89"/>
        <v/>
      </c>
      <c r="Y69" s="125" t="str">
        <f t="shared" si="89"/>
        <v/>
      </c>
      <c r="Z69" s="125" t="str">
        <f t="shared" si="89"/>
        <v/>
      </c>
      <c r="AA69" s="125" t="str">
        <f t="shared" si="89"/>
        <v/>
      </c>
      <c r="AB69" s="125" t="str">
        <f t="shared" si="89"/>
        <v/>
      </c>
      <c r="AC69" s="125" t="str">
        <f t="shared" si="89"/>
        <v/>
      </c>
      <c r="AD69" s="125" t="str">
        <f t="shared" si="89"/>
        <v/>
      </c>
      <c r="AE69" s="125" t="str">
        <f t="shared" si="89"/>
        <v/>
      </c>
      <c r="AF69" s="125" t="str">
        <f t="shared" si="89"/>
        <v/>
      </c>
      <c r="AG69" s="125">
        <f t="shared" si="89"/>
        <v>22.258922093564347</v>
      </c>
      <c r="AH69" s="125">
        <f t="shared" si="89"/>
        <v>41.050075732136591</v>
      </c>
      <c r="AI69" s="84">
        <f t="shared" si="20"/>
        <v>63.308997825700942</v>
      </c>
      <c r="AJ69" s="164"/>
      <c r="AK69" s="84"/>
      <c r="AL69" s="84"/>
      <c r="AM69" s="84"/>
      <c r="AN69" s="84"/>
    </row>
    <row r="70" spans="1:40" s="88" customFormat="1">
      <c r="A70" s="87">
        <f t="shared" si="25"/>
        <v>46112</v>
      </c>
      <c r="B70" s="35" t="str">
        <f t="shared" ref="B70" si="90">+TEXT(A70,"dddddd")</f>
        <v>martes</v>
      </c>
      <c r="C70" s="124" t="e">
        <f>+Resumen!#REF!</f>
        <v>#REF!</v>
      </c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  <c r="AB70" s="125"/>
      <c r="AC70" s="125"/>
      <c r="AD70" s="125" t="str">
        <f t="shared" si="89"/>
        <v/>
      </c>
      <c r="AE70" s="125" t="str">
        <f t="shared" si="89"/>
        <v/>
      </c>
      <c r="AF70" s="125" t="str">
        <f t="shared" si="89"/>
        <v/>
      </c>
      <c r="AG70" s="125" t="e">
        <f t="shared" si="89"/>
        <v>#REF!</v>
      </c>
      <c r="AH70" s="125" t="e">
        <f t="shared" si="89"/>
        <v>#REF!</v>
      </c>
      <c r="AI70" s="84" t="e">
        <f t="shared" ref="AI70" si="91">+C70*C35</f>
        <v>#REF!</v>
      </c>
      <c r="AJ70" s="164"/>
      <c r="AK70" s="84"/>
      <c r="AL70" s="84"/>
      <c r="AM70" s="84"/>
      <c r="AN70" s="84"/>
    </row>
    <row r="71" spans="1:40">
      <c r="C71" s="36" t="s">
        <v>15</v>
      </c>
      <c r="D71" s="84">
        <f>+SUM(D39:D70)</f>
        <v>9.5445157107225054</v>
      </c>
      <c r="E71" s="84">
        <f>+SUM(E39:E70)</f>
        <v>184.4565882195387</v>
      </c>
      <c r="F71" s="84">
        <f>+SUM(F39:F70)</f>
        <v>53.375514183846221</v>
      </c>
      <c r="G71" s="84">
        <f t="shared" ref="G71:AH71" si="92">+SUM(G39:G70)</f>
        <v>43.204293331321715</v>
      </c>
      <c r="H71" s="84">
        <f t="shared" si="92"/>
        <v>44.174291079952241</v>
      </c>
      <c r="I71" s="84">
        <f t="shared" si="92"/>
        <v>43.486206171481463</v>
      </c>
      <c r="J71" s="84">
        <f t="shared" si="92"/>
        <v>10.688762015217568</v>
      </c>
      <c r="K71" s="84">
        <f t="shared" si="92"/>
        <v>7.691849774468972</v>
      </c>
      <c r="L71" s="84">
        <f t="shared" si="92"/>
        <v>158.77989794995602</v>
      </c>
      <c r="M71" s="84">
        <f t="shared" si="92"/>
        <v>56.190105190183296</v>
      </c>
      <c r="N71" s="84">
        <f>+SUM(N39:N70)</f>
        <v>57.186874075522837</v>
      </c>
      <c r="O71" s="84">
        <f t="shared" si="92"/>
        <v>46.851122856765841</v>
      </c>
      <c r="P71" s="84">
        <f t="shared" si="92"/>
        <v>39.030052194794642</v>
      </c>
      <c r="Q71" s="84">
        <f t="shared" si="92"/>
        <v>9.6610037848985701</v>
      </c>
      <c r="R71" s="84">
        <f t="shared" si="92"/>
        <v>8.8123220149347574</v>
      </c>
      <c r="S71" s="84">
        <f t="shared" si="92"/>
        <v>155.84982092233327</v>
      </c>
      <c r="T71" s="84">
        <f t="shared" si="92"/>
        <v>59.305331517239857</v>
      </c>
      <c r="U71" s="84">
        <f t="shared" si="92"/>
        <v>56.504674904609338</v>
      </c>
      <c r="V71" s="84">
        <f t="shared" si="92"/>
        <v>49.846143914875825</v>
      </c>
      <c r="W71" s="84">
        <f t="shared" si="92"/>
        <v>49.685305436432849</v>
      </c>
      <c r="X71" s="84">
        <f t="shared" si="92"/>
        <v>12.18920985393277</v>
      </c>
      <c r="Y71" s="84">
        <f t="shared" si="92"/>
        <v>9.4937474372336972</v>
      </c>
      <c r="Z71" s="84">
        <f t="shared" si="92"/>
        <v>196.04573200948334</v>
      </c>
      <c r="AA71" s="84">
        <f t="shared" si="92"/>
        <v>69.141168261912938</v>
      </c>
      <c r="AB71" s="84">
        <f t="shared" si="92"/>
        <v>61.439205936378897</v>
      </c>
      <c r="AC71" s="84">
        <f t="shared" si="92"/>
        <v>51.075863943842201</v>
      </c>
      <c r="AD71" s="84">
        <f t="shared" si="92"/>
        <v>45.192678890905967</v>
      </c>
      <c r="AE71" s="84">
        <f t="shared" si="92"/>
        <v>10.202886389248219</v>
      </c>
      <c r="AF71" s="84">
        <f t="shared" si="92"/>
        <v>8.5321870966873021</v>
      </c>
      <c r="AG71" s="84" t="e">
        <f t="shared" si="92"/>
        <v>#REF!</v>
      </c>
      <c r="AH71" s="84" t="e">
        <f t="shared" si="92"/>
        <v>#REF!</v>
      </c>
      <c r="AI71" s="183" t="e">
        <f>+SUM(D71:AH71)</f>
        <v>#REF!</v>
      </c>
    </row>
    <row r="72" spans="1:40" s="105" customFormat="1">
      <c r="A72" s="105" t="s">
        <v>412</v>
      </c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</row>
    <row r="73" spans="1:40" ht="13.5" customHeight="1">
      <c r="A73" s="80" t="s">
        <v>146</v>
      </c>
      <c r="B73" s="80" t="s">
        <v>147</v>
      </c>
      <c r="C73" s="80" t="s">
        <v>223</v>
      </c>
      <c r="D73" s="83">
        <f>+D37</f>
        <v>46082</v>
      </c>
      <c r="E73" s="83">
        <f>+D73+1</f>
        <v>46083</v>
      </c>
      <c r="F73" s="83">
        <f t="shared" ref="F73:AE73" si="93">+E73+1</f>
        <v>46084</v>
      </c>
      <c r="G73" s="83">
        <f t="shared" si="93"/>
        <v>46085</v>
      </c>
      <c r="H73" s="126">
        <f t="shared" si="93"/>
        <v>46086</v>
      </c>
      <c r="I73" s="126">
        <f t="shared" si="93"/>
        <v>46087</v>
      </c>
      <c r="J73" s="83">
        <f t="shared" si="93"/>
        <v>46088</v>
      </c>
      <c r="K73" s="83">
        <f t="shared" si="93"/>
        <v>46089</v>
      </c>
      <c r="L73" s="83">
        <f t="shared" si="93"/>
        <v>46090</v>
      </c>
      <c r="M73" s="83">
        <f t="shared" si="93"/>
        <v>46091</v>
      </c>
      <c r="N73" s="83">
        <f t="shared" si="93"/>
        <v>46092</v>
      </c>
      <c r="O73" s="126">
        <f t="shared" si="93"/>
        <v>46093</v>
      </c>
      <c r="P73" s="126">
        <f t="shared" si="93"/>
        <v>46094</v>
      </c>
      <c r="Q73" s="83">
        <f t="shared" si="93"/>
        <v>46095</v>
      </c>
      <c r="R73" s="83">
        <f t="shared" si="93"/>
        <v>46096</v>
      </c>
      <c r="S73" s="83">
        <f t="shared" si="93"/>
        <v>46097</v>
      </c>
      <c r="T73" s="83">
        <f t="shared" si="93"/>
        <v>46098</v>
      </c>
      <c r="U73" s="83">
        <f t="shared" si="93"/>
        <v>46099</v>
      </c>
      <c r="V73" s="126">
        <f t="shared" si="93"/>
        <v>46100</v>
      </c>
      <c r="W73" s="126">
        <f t="shared" si="93"/>
        <v>46101</v>
      </c>
      <c r="X73" s="83">
        <f t="shared" si="93"/>
        <v>46102</v>
      </c>
      <c r="Y73" s="83">
        <f t="shared" si="93"/>
        <v>46103</v>
      </c>
      <c r="Z73" s="83">
        <f t="shared" si="93"/>
        <v>46104</v>
      </c>
      <c r="AA73" s="83">
        <f t="shared" si="93"/>
        <v>46105</v>
      </c>
      <c r="AB73" s="83">
        <f t="shared" si="93"/>
        <v>46106</v>
      </c>
      <c r="AC73" s="126">
        <f t="shared" si="93"/>
        <v>46107</v>
      </c>
      <c r="AD73" s="126">
        <f t="shared" si="93"/>
        <v>46108</v>
      </c>
      <c r="AE73" s="83">
        <f t="shared" si="93"/>
        <v>46109</v>
      </c>
      <c r="AF73" s="126">
        <f t="shared" ref="AF73" si="94">+AE73+1</f>
        <v>46110</v>
      </c>
      <c r="AG73" s="83">
        <f t="shared" ref="AG73" si="95">+AF73+1</f>
        <v>46111</v>
      </c>
      <c r="AH73" s="126">
        <f t="shared" ref="AH73" si="96">+AG73+1</f>
        <v>46112</v>
      </c>
      <c r="AI73" s="83"/>
    </row>
    <row r="74" spans="1:40">
      <c r="D74" s="87" t="str">
        <f t="shared" ref="D74:AE74" si="97">+TEXT(D73,"dddddd")</f>
        <v>domingo</v>
      </c>
      <c r="E74" s="87" t="str">
        <f t="shared" si="97"/>
        <v>lunes</v>
      </c>
      <c r="F74" s="87" t="str">
        <f t="shared" si="97"/>
        <v>martes</v>
      </c>
      <c r="G74" s="87" t="str">
        <f t="shared" si="97"/>
        <v>miércoles</v>
      </c>
      <c r="H74" s="122" t="str">
        <f t="shared" si="97"/>
        <v>jueves</v>
      </c>
      <c r="I74" s="122" t="str">
        <f t="shared" si="97"/>
        <v>viernes</v>
      </c>
      <c r="J74" s="87" t="str">
        <f t="shared" si="97"/>
        <v>sábado</v>
      </c>
      <c r="K74" s="87" t="str">
        <f t="shared" si="97"/>
        <v>domingo</v>
      </c>
      <c r="L74" s="87" t="str">
        <f t="shared" si="97"/>
        <v>lunes</v>
      </c>
      <c r="M74" s="87" t="str">
        <f t="shared" si="97"/>
        <v>martes</v>
      </c>
      <c r="N74" s="87" t="str">
        <f t="shared" si="97"/>
        <v>miércoles</v>
      </c>
      <c r="O74" s="122" t="str">
        <f t="shared" si="97"/>
        <v>jueves</v>
      </c>
      <c r="P74" s="122" t="str">
        <f t="shared" si="97"/>
        <v>viernes</v>
      </c>
      <c r="Q74" s="87" t="str">
        <f t="shared" si="97"/>
        <v>sábado</v>
      </c>
      <c r="R74" s="87" t="str">
        <f t="shared" si="97"/>
        <v>domingo</v>
      </c>
      <c r="S74" s="87" t="str">
        <f t="shared" si="97"/>
        <v>lunes</v>
      </c>
      <c r="T74" s="87" t="str">
        <f t="shared" si="97"/>
        <v>martes</v>
      </c>
      <c r="U74" s="87" t="str">
        <f t="shared" si="97"/>
        <v>miércoles</v>
      </c>
      <c r="V74" s="122" t="str">
        <f t="shared" si="97"/>
        <v>jueves</v>
      </c>
      <c r="W74" s="122" t="str">
        <f t="shared" si="97"/>
        <v>viernes</v>
      </c>
      <c r="X74" s="87" t="str">
        <f t="shared" si="97"/>
        <v>sábado</v>
      </c>
      <c r="Y74" s="87" t="str">
        <f t="shared" si="97"/>
        <v>domingo</v>
      </c>
      <c r="Z74" s="87" t="str">
        <f t="shared" si="97"/>
        <v>lunes</v>
      </c>
      <c r="AA74" s="87" t="str">
        <f t="shared" si="97"/>
        <v>martes</v>
      </c>
      <c r="AB74" s="87" t="str">
        <f t="shared" si="97"/>
        <v>miércoles</v>
      </c>
      <c r="AC74" s="122" t="str">
        <f t="shared" si="97"/>
        <v>jueves</v>
      </c>
      <c r="AD74" s="122" t="str">
        <f t="shared" si="97"/>
        <v>viernes</v>
      </c>
      <c r="AE74" s="87" t="str">
        <f t="shared" si="97"/>
        <v>sábado</v>
      </c>
      <c r="AF74" s="122" t="str">
        <f t="shared" ref="AF74:AH74" si="98">+TEXT(AF73,"dddddd")</f>
        <v>domingo</v>
      </c>
      <c r="AG74" s="87" t="str">
        <f t="shared" si="98"/>
        <v>lunes</v>
      </c>
      <c r="AH74" s="122" t="str">
        <f t="shared" si="98"/>
        <v>martes</v>
      </c>
      <c r="AI74" s="87"/>
    </row>
    <row r="75" spans="1:40">
      <c r="A75" s="721" t="s">
        <v>411</v>
      </c>
      <c r="B75" s="721"/>
      <c r="C75" s="721"/>
      <c r="D75" s="125">
        <f t="shared" ref="D75" si="99">+D39</f>
        <v>0</v>
      </c>
      <c r="E75" s="125">
        <f>+E39</f>
        <v>120.74769430000001</v>
      </c>
      <c r="F75" s="125">
        <f>+F39</f>
        <v>1.3860962694900001</v>
      </c>
      <c r="G75" s="125">
        <f>+G39</f>
        <v>0</v>
      </c>
      <c r="H75" s="125">
        <f>+H39</f>
        <v>0</v>
      </c>
      <c r="I75" s="125">
        <f>+I39</f>
        <v>0</v>
      </c>
      <c r="O75" s="133"/>
      <c r="P75" s="133"/>
      <c r="V75" s="133"/>
      <c r="W75" s="133"/>
      <c r="AC75" s="133"/>
      <c r="AD75" s="133"/>
    </row>
    <row r="76" spans="1:40" s="88" customFormat="1">
      <c r="A76" s="122">
        <f>+A40</f>
        <v>46082</v>
      </c>
      <c r="B76" s="123" t="str">
        <f t="shared" ref="B76:B103" si="100">+TEXT(A76,"dddddd")</f>
        <v>domingo</v>
      </c>
      <c r="C76" s="125"/>
      <c r="D76" s="125">
        <f>+D40</f>
        <v>9.5445157107225054</v>
      </c>
      <c r="E76" s="125">
        <f t="shared" ref="D76:E103" si="101">+E40</f>
        <v>47.275160526241322</v>
      </c>
      <c r="F76" s="125">
        <f t="shared" ref="F76:AE76" si="102">+F40</f>
        <v>11.533868298166055</v>
      </c>
      <c r="G76" s="125">
        <f t="shared" si="102"/>
        <v>0.71011318311889937</v>
      </c>
      <c r="H76" s="125">
        <f t="shared" si="102"/>
        <v>0.38649689561120598</v>
      </c>
      <c r="I76" s="125">
        <f t="shared" si="102"/>
        <v>0</v>
      </c>
      <c r="J76" s="125" t="str">
        <f t="shared" si="102"/>
        <v/>
      </c>
      <c r="K76" s="125" t="str">
        <f t="shared" si="102"/>
        <v/>
      </c>
      <c r="L76" s="125" t="str">
        <f t="shared" si="102"/>
        <v/>
      </c>
      <c r="M76" s="125" t="str">
        <f t="shared" si="102"/>
        <v/>
      </c>
      <c r="N76" s="125" t="str">
        <f t="shared" si="102"/>
        <v/>
      </c>
      <c r="O76" s="125" t="str">
        <f t="shared" si="102"/>
        <v/>
      </c>
      <c r="P76" s="125" t="str">
        <f t="shared" si="102"/>
        <v/>
      </c>
      <c r="Q76" s="125" t="str">
        <f t="shared" si="102"/>
        <v/>
      </c>
      <c r="R76" s="125" t="str">
        <f t="shared" si="102"/>
        <v/>
      </c>
      <c r="S76" s="125" t="str">
        <f t="shared" si="102"/>
        <v/>
      </c>
      <c r="T76" s="125" t="str">
        <f t="shared" si="102"/>
        <v/>
      </c>
      <c r="U76" s="125" t="str">
        <f t="shared" si="102"/>
        <v/>
      </c>
      <c r="V76" s="125" t="str">
        <f t="shared" si="102"/>
        <v/>
      </c>
      <c r="W76" s="125" t="str">
        <f t="shared" si="102"/>
        <v/>
      </c>
      <c r="X76" s="125" t="str">
        <f t="shared" si="102"/>
        <v/>
      </c>
      <c r="Y76" s="125" t="str">
        <f t="shared" si="102"/>
        <v/>
      </c>
      <c r="Z76" s="125" t="str">
        <f t="shared" si="102"/>
        <v/>
      </c>
      <c r="AA76" s="125" t="str">
        <f t="shared" si="102"/>
        <v/>
      </c>
      <c r="AB76" s="125" t="str">
        <f t="shared" si="102"/>
        <v/>
      </c>
      <c r="AC76" s="125" t="str">
        <f t="shared" si="102"/>
        <v/>
      </c>
      <c r="AD76" s="125" t="str">
        <f t="shared" si="102"/>
        <v/>
      </c>
      <c r="AE76" s="125" t="str">
        <f t="shared" si="102"/>
        <v/>
      </c>
      <c r="AF76" s="125" t="str">
        <f t="shared" ref="AF76:AH76" si="103">+AF40</f>
        <v/>
      </c>
      <c r="AG76" s="125" t="str">
        <f t="shared" si="103"/>
        <v/>
      </c>
      <c r="AH76" s="125" t="str">
        <f t="shared" si="103"/>
        <v/>
      </c>
    </row>
    <row r="77" spans="1:40" s="88" customFormat="1">
      <c r="A77" s="122">
        <f>+A76+1</f>
        <v>46083</v>
      </c>
      <c r="B77" s="123" t="str">
        <f t="shared" si="100"/>
        <v>lunes</v>
      </c>
      <c r="C77" s="125"/>
      <c r="D77" s="125" t="str">
        <f t="shared" si="101"/>
        <v/>
      </c>
      <c r="E77" s="125">
        <f t="shared" si="101"/>
        <v>16.433459180509004</v>
      </c>
      <c r="F77" s="125">
        <f t="shared" ref="F77:AE77" si="104">+F41</f>
        <v>30.30671211594354</v>
      </c>
      <c r="G77" s="125">
        <f t="shared" si="104"/>
        <v>6.477335819863006</v>
      </c>
      <c r="H77" s="125">
        <f t="shared" si="104"/>
        <v>0.44133111581851669</v>
      </c>
      <c r="I77" s="125">
        <f t="shared" si="104"/>
        <v>0.21403228097703061</v>
      </c>
      <c r="J77" s="125">
        <f t="shared" si="104"/>
        <v>0</v>
      </c>
      <c r="K77" s="125">
        <f t="shared" si="104"/>
        <v>0</v>
      </c>
      <c r="L77" s="125">
        <f t="shared" si="104"/>
        <v>0.20103033843967769</v>
      </c>
      <c r="M77" s="125">
        <f t="shared" si="104"/>
        <v>2.5384316619318802E-2</v>
      </c>
      <c r="N77" s="125">
        <f t="shared" si="104"/>
        <v>3.7400788912341831E-2</v>
      </c>
      <c r="O77" s="125">
        <f t="shared" si="104"/>
        <v>3.8846293887907272E-3</v>
      </c>
      <c r="P77" s="125">
        <f t="shared" si="104"/>
        <v>3.5833455592111248E-3</v>
      </c>
      <c r="Q77" s="125" t="str">
        <f t="shared" si="104"/>
        <v/>
      </c>
      <c r="R77" s="125" t="str">
        <f t="shared" si="104"/>
        <v/>
      </c>
      <c r="S77" s="125" t="str">
        <f t="shared" si="104"/>
        <v/>
      </c>
      <c r="T77" s="125" t="str">
        <f t="shared" si="104"/>
        <v/>
      </c>
      <c r="U77" s="125" t="str">
        <f t="shared" si="104"/>
        <v/>
      </c>
      <c r="V77" s="125" t="str">
        <f t="shared" si="104"/>
        <v/>
      </c>
      <c r="W77" s="125" t="str">
        <f t="shared" si="104"/>
        <v/>
      </c>
      <c r="X77" s="125" t="str">
        <f t="shared" si="104"/>
        <v/>
      </c>
      <c r="Y77" s="125" t="str">
        <f t="shared" si="104"/>
        <v/>
      </c>
      <c r="Z77" s="125" t="str">
        <f t="shared" si="104"/>
        <v/>
      </c>
      <c r="AA77" s="125" t="str">
        <f t="shared" si="104"/>
        <v/>
      </c>
      <c r="AB77" s="125" t="str">
        <f t="shared" si="104"/>
        <v/>
      </c>
      <c r="AC77" s="125" t="str">
        <f t="shared" si="104"/>
        <v/>
      </c>
      <c r="AD77" s="125" t="str">
        <f t="shared" si="104"/>
        <v/>
      </c>
      <c r="AE77" s="125" t="str">
        <f t="shared" si="104"/>
        <v/>
      </c>
      <c r="AF77" s="125" t="str">
        <f t="shared" ref="AF77:AH77" si="105">+AF41</f>
        <v/>
      </c>
      <c r="AG77" s="125" t="str">
        <f t="shared" si="105"/>
        <v/>
      </c>
      <c r="AH77" s="125" t="str">
        <f t="shared" si="105"/>
        <v/>
      </c>
    </row>
    <row r="78" spans="1:40" s="88" customFormat="1">
      <c r="A78" s="87">
        <f t="shared" ref="A78:A106" si="106">+A77+1</f>
        <v>46084</v>
      </c>
      <c r="B78" s="35" t="str">
        <f t="shared" si="100"/>
        <v>martes</v>
      </c>
      <c r="C78" s="121"/>
      <c r="D78" s="125" t="str">
        <f t="shared" si="101"/>
        <v/>
      </c>
      <c r="E78" s="125">
        <f t="shared" si="101"/>
        <v>0</v>
      </c>
      <c r="F78" s="125">
        <f t="shared" ref="F78:AE78" si="107">+F42</f>
        <v>10.148837500246632</v>
      </c>
      <c r="G78" s="125">
        <f t="shared" si="107"/>
        <v>21.842639100798987</v>
      </c>
      <c r="H78" s="125">
        <f t="shared" si="107"/>
        <v>4.3189297882325919</v>
      </c>
      <c r="I78" s="125">
        <f t="shared" si="107"/>
        <v>0.37536101411299155</v>
      </c>
      <c r="J78" s="125">
        <f t="shared" si="107"/>
        <v>0</v>
      </c>
      <c r="K78" s="125">
        <f t="shared" si="107"/>
        <v>0</v>
      </c>
      <c r="L78" s="125">
        <f t="shared" si="107"/>
        <v>0.21533445983699334</v>
      </c>
      <c r="M78" s="125">
        <f t="shared" si="107"/>
        <v>3.6061068674202584E-2</v>
      </c>
      <c r="N78" s="125">
        <f t="shared" si="107"/>
        <v>3.6197752997599267E-2</v>
      </c>
      <c r="O78" s="125">
        <f t="shared" si="107"/>
        <v>0</v>
      </c>
      <c r="P78" s="125">
        <f t="shared" si="107"/>
        <v>1.5827065270366853E-3</v>
      </c>
      <c r="Q78" s="125" t="str">
        <f t="shared" si="107"/>
        <v/>
      </c>
      <c r="R78" s="125" t="str">
        <f t="shared" si="107"/>
        <v/>
      </c>
      <c r="S78" s="125" t="str">
        <f t="shared" si="107"/>
        <v/>
      </c>
      <c r="T78" s="125" t="str">
        <f t="shared" si="107"/>
        <v/>
      </c>
      <c r="U78" s="125" t="str">
        <f t="shared" si="107"/>
        <v/>
      </c>
      <c r="V78" s="125" t="str">
        <f t="shared" si="107"/>
        <v/>
      </c>
      <c r="W78" s="125" t="str">
        <f t="shared" si="107"/>
        <v/>
      </c>
      <c r="X78" s="125" t="str">
        <f t="shared" si="107"/>
        <v/>
      </c>
      <c r="Y78" s="125" t="str">
        <f t="shared" si="107"/>
        <v/>
      </c>
      <c r="Z78" s="125" t="str">
        <f t="shared" si="107"/>
        <v/>
      </c>
      <c r="AA78" s="125" t="str">
        <f t="shared" si="107"/>
        <v/>
      </c>
      <c r="AB78" s="125" t="str">
        <f t="shared" si="107"/>
        <v/>
      </c>
      <c r="AC78" s="125" t="str">
        <f t="shared" si="107"/>
        <v/>
      </c>
      <c r="AD78" s="125" t="str">
        <f t="shared" si="107"/>
        <v/>
      </c>
      <c r="AE78" s="125" t="str">
        <f t="shared" si="107"/>
        <v/>
      </c>
      <c r="AF78" s="125" t="str">
        <f t="shared" ref="AF78:AH78" si="108">+AF42</f>
        <v/>
      </c>
      <c r="AG78" s="125" t="str">
        <f t="shared" si="108"/>
        <v/>
      </c>
      <c r="AH78" s="125" t="str">
        <f t="shared" si="108"/>
        <v/>
      </c>
    </row>
    <row r="79" spans="1:40" s="88" customFormat="1">
      <c r="A79" s="87">
        <f t="shared" si="106"/>
        <v>46085</v>
      </c>
      <c r="B79" s="35" t="str">
        <f t="shared" si="100"/>
        <v>miércoles</v>
      </c>
      <c r="C79" s="121"/>
      <c r="D79" s="125" t="str">
        <f t="shared" si="101"/>
        <v/>
      </c>
      <c r="E79" s="125">
        <f t="shared" si="101"/>
        <v>6.1639109337487209E-5</v>
      </c>
      <c r="F79" s="125">
        <f t="shared" ref="F79:AE79" si="109">+F43</f>
        <v>0</v>
      </c>
      <c r="G79" s="125">
        <f t="shared" si="109"/>
        <v>14.17388969063617</v>
      </c>
      <c r="H79" s="125">
        <f t="shared" si="109"/>
        <v>28.160948536889205</v>
      </c>
      <c r="I79" s="125">
        <f t="shared" si="109"/>
        <v>6.0249466598268144</v>
      </c>
      <c r="J79" s="125">
        <f t="shared" si="109"/>
        <v>0</v>
      </c>
      <c r="K79" s="125">
        <f t="shared" si="109"/>
        <v>0</v>
      </c>
      <c r="L79" s="125">
        <f t="shared" si="109"/>
        <v>0.77987637746158933</v>
      </c>
      <c r="M79" s="125">
        <f t="shared" si="109"/>
        <v>0.15506414093554033</v>
      </c>
      <c r="N79" s="125">
        <f t="shared" si="109"/>
        <v>9.4324267390677091E-2</v>
      </c>
      <c r="O79" s="125">
        <f t="shared" si="109"/>
        <v>0</v>
      </c>
      <c r="P79" s="125">
        <f t="shared" si="109"/>
        <v>1.6328085705772917E-3</v>
      </c>
      <c r="Q79" s="125" t="str">
        <f t="shared" si="109"/>
        <v/>
      </c>
      <c r="R79" s="125" t="str">
        <f t="shared" si="109"/>
        <v/>
      </c>
      <c r="S79" s="125" t="str">
        <f t="shared" si="109"/>
        <v/>
      </c>
      <c r="T79" s="125" t="str">
        <f t="shared" si="109"/>
        <v/>
      </c>
      <c r="U79" s="125" t="str">
        <f t="shared" si="109"/>
        <v/>
      </c>
      <c r="V79" s="125" t="str">
        <f t="shared" si="109"/>
        <v/>
      </c>
      <c r="W79" s="125" t="str">
        <f t="shared" si="109"/>
        <v/>
      </c>
      <c r="X79" s="125" t="str">
        <f t="shared" si="109"/>
        <v/>
      </c>
      <c r="Y79" s="125" t="str">
        <f t="shared" si="109"/>
        <v/>
      </c>
      <c r="Z79" s="125" t="str">
        <f t="shared" si="109"/>
        <v/>
      </c>
      <c r="AA79" s="125" t="str">
        <f t="shared" si="109"/>
        <v/>
      </c>
      <c r="AB79" s="125" t="str">
        <f t="shared" si="109"/>
        <v/>
      </c>
      <c r="AC79" s="125" t="str">
        <f t="shared" si="109"/>
        <v/>
      </c>
      <c r="AD79" s="125" t="str">
        <f t="shared" si="109"/>
        <v/>
      </c>
      <c r="AE79" s="125" t="str">
        <f t="shared" si="109"/>
        <v/>
      </c>
      <c r="AF79" s="125" t="str">
        <f t="shared" ref="AF79:AH79" si="110">+AF43</f>
        <v/>
      </c>
      <c r="AG79" s="125" t="str">
        <f t="shared" si="110"/>
        <v/>
      </c>
      <c r="AH79" s="125" t="str">
        <f t="shared" si="110"/>
        <v/>
      </c>
    </row>
    <row r="80" spans="1:40" s="88" customFormat="1">
      <c r="A80" s="87">
        <f t="shared" si="106"/>
        <v>46086</v>
      </c>
      <c r="B80" s="35" t="str">
        <f t="shared" si="100"/>
        <v>jueves</v>
      </c>
      <c r="C80" s="121"/>
      <c r="D80" s="125" t="str">
        <f t="shared" si="101"/>
        <v/>
      </c>
      <c r="E80" s="125">
        <f t="shared" si="101"/>
        <v>8.5153867809406196E-6</v>
      </c>
      <c r="F80" s="125">
        <f t="shared" ref="F80:AE80" si="111">+F44</f>
        <v>0</v>
      </c>
      <c r="G80" s="125">
        <f t="shared" si="111"/>
        <v>3.1553690465598245E-4</v>
      </c>
      <c r="H80" s="125">
        <f t="shared" si="111"/>
        <v>10.86591385618388</v>
      </c>
      <c r="I80" s="125">
        <f t="shared" si="111"/>
        <v>23.180375990415548</v>
      </c>
      <c r="J80" s="125">
        <f t="shared" si="111"/>
        <v>0</v>
      </c>
      <c r="K80" s="125">
        <f t="shared" si="111"/>
        <v>0</v>
      </c>
      <c r="L80" s="125">
        <f t="shared" si="111"/>
        <v>5.6154249156184264</v>
      </c>
      <c r="M80" s="125">
        <f t="shared" si="111"/>
        <v>9.2288732666071183E-2</v>
      </c>
      <c r="N80" s="125">
        <f t="shared" si="111"/>
        <v>0.14342625445945184</v>
      </c>
      <c r="O80" s="125">
        <f t="shared" si="111"/>
        <v>5.0495364078218662E-2</v>
      </c>
      <c r="P80" s="125">
        <f t="shared" si="111"/>
        <v>0</v>
      </c>
      <c r="Q80" s="125" t="str">
        <f t="shared" si="111"/>
        <v/>
      </c>
      <c r="R80" s="125" t="str">
        <f t="shared" si="111"/>
        <v/>
      </c>
      <c r="S80" s="125" t="str">
        <f t="shared" si="111"/>
        <v/>
      </c>
      <c r="T80" s="125" t="str">
        <f t="shared" si="111"/>
        <v/>
      </c>
      <c r="U80" s="125" t="str">
        <f t="shared" si="111"/>
        <v/>
      </c>
      <c r="V80" s="125" t="str">
        <f t="shared" si="111"/>
        <v/>
      </c>
      <c r="W80" s="125" t="str">
        <f t="shared" si="111"/>
        <v/>
      </c>
      <c r="X80" s="125" t="str">
        <f t="shared" si="111"/>
        <v/>
      </c>
      <c r="Y80" s="125" t="str">
        <f t="shared" si="111"/>
        <v/>
      </c>
      <c r="Z80" s="125" t="str">
        <f t="shared" si="111"/>
        <v/>
      </c>
      <c r="AA80" s="125" t="str">
        <f t="shared" si="111"/>
        <v/>
      </c>
      <c r="AB80" s="125" t="str">
        <f t="shared" si="111"/>
        <v/>
      </c>
      <c r="AC80" s="125" t="str">
        <f t="shared" si="111"/>
        <v/>
      </c>
      <c r="AD80" s="125" t="str">
        <f t="shared" si="111"/>
        <v/>
      </c>
      <c r="AE80" s="125" t="str">
        <f t="shared" si="111"/>
        <v/>
      </c>
      <c r="AF80" s="125" t="str">
        <f t="shared" ref="AF80:AH80" si="112">+AF44</f>
        <v/>
      </c>
      <c r="AG80" s="125" t="str">
        <f t="shared" si="112"/>
        <v/>
      </c>
      <c r="AH80" s="125" t="str">
        <f t="shared" si="112"/>
        <v/>
      </c>
    </row>
    <row r="81" spans="1:34" s="88" customFormat="1">
      <c r="A81" s="87">
        <f t="shared" si="106"/>
        <v>46087</v>
      </c>
      <c r="B81" s="35" t="str">
        <f t="shared" si="100"/>
        <v>viernes</v>
      </c>
      <c r="C81" s="121"/>
      <c r="D81" s="125" t="str">
        <f t="shared" si="101"/>
        <v/>
      </c>
      <c r="E81" s="125">
        <f t="shared" si="101"/>
        <v>2.269639427090145E-5</v>
      </c>
      <c r="F81" s="125">
        <f t="shared" ref="F81:AE81" si="113">+F45</f>
        <v>0</v>
      </c>
      <c r="G81" s="125">
        <f t="shared" si="113"/>
        <v>0</v>
      </c>
      <c r="H81" s="125">
        <f t="shared" si="113"/>
        <v>6.7088721684208238E-4</v>
      </c>
      <c r="I81" s="125">
        <f t="shared" si="113"/>
        <v>13.691472903383749</v>
      </c>
      <c r="J81" s="125">
        <f t="shared" si="113"/>
        <v>0</v>
      </c>
      <c r="K81" s="125">
        <f t="shared" si="113"/>
        <v>0</v>
      </c>
      <c r="L81" s="125">
        <f t="shared" si="113"/>
        <v>46.766157288988573</v>
      </c>
      <c r="M81" s="125">
        <f t="shared" si="113"/>
        <v>0.67881586303694597</v>
      </c>
      <c r="N81" s="125">
        <f t="shared" si="113"/>
        <v>0.22480925654857625</v>
      </c>
      <c r="O81" s="125">
        <f t="shared" si="113"/>
        <v>0.22430968469215401</v>
      </c>
      <c r="P81" s="125">
        <f t="shared" si="113"/>
        <v>0</v>
      </c>
      <c r="Q81" s="125" t="str">
        <f t="shared" si="113"/>
        <v/>
      </c>
      <c r="R81" s="125" t="str">
        <f t="shared" si="113"/>
        <v/>
      </c>
      <c r="S81" s="125" t="str">
        <f t="shared" si="113"/>
        <v/>
      </c>
      <c r="T81" s="125" t="str">
        <f t="shared" si="113"/>
        <v/>
      </c>
      <c r="U81" s="125" t="str">
        <f t="shared" si="113"/>
        <v/>
      </c>
      <c r="V81" s="125" t="str">
        <f t="shared" si="113"/>
        <v/>
      </c>
      <c r="W81" s="125" t="str">
        <f t="shared" si="113"/>
        <v/>
      </c>
      <c r="X81" s="125" t="str">
        <f t="shared" si="113"/>
        <v/>
      </c>
      <c r="Y81" s="125" t="str">
        <f t="shared" si="113"/>
        <v/>
      </c>
      <c r="Z81" s="125" t="str">
        <f t="shared" si="113"/>
        <v/>
      </c>
      <c r="AA81" s="125" t="str">
        <f t="shared" si="113"/>
        <v/>
      </c>
      <c r="AB81" s="125" t="str">
        <f t="shared" si="113"/>
        <v/>
      </c>
      <c r="AC81" s="125" t="str">
        <f t="shared" si="113"/>
        <v/>
      </c>
      <c r="AD81" s="125" t="str">
        <f t="shared" si="113"/>
        <v/>
      </c>
      <c r="AE81" s="125" t="str">
        <f t="shared" si="113"/>
        <v/>
      </c>
      <c r="AF81" s="125" t="str">
        <f t="shared" ref="AF81:AH81" si="114">+AF45</f>
        <v/>
      </c>
      <c r="AG81" s="125" t="str">
        <f t="shared" si="114"/>
        <v/>
      </c>
      <c r="AH81" s="125" t="str">
        <f t="shared" si="114"/>
        <v/>
      </c>
    </row>
    <row r="82" spans="1:34" s="88" customFormat="1">
      <c r="A82" s="87">
        <f t="shared" si="106"/>
        <v>46088</v>
      </c>
      <c r="B82" s="35" t="str">
        <f t="shared" si="100"/>
        <v>sábado</v>
      </c>
      <c r="C82" s="121"/>
      <c r="D82" s="125" t="str">
        <f>+D46</f>
        <v/>
      </c>
      <c r="E82" s="125">
        <f t="shared" si="101"/>
        <v>6.0622223664636315E-5</v>
      </c>
      <c r="F82" s="125">
        <f t="shared" ref="F82:AE82" si="115">+F46</f>
        <v>0</v>
      </c>
      <c r="G82" s="125">
        <f t="shared" si="115"/>
        <v>0</v>
      </c>
      <c r="H82" s="125">
        <f t="shared" si="115"/>
        <v>0</v>
      </c>
      <c r="I82" s="125">
        <f t="shared" si="115"/>
        <v>0</v>
      </c>
      <c r="J82" s="125">
        <f t="shared" si="115"/>
        <v>10.688460805938158</v>
      </c>
      <c r="K82" s="125">
        <f t="shared" si="115"/>
        <v>0</v>
      </c>
      <c r="L82" s="125">
        <f t="shared" si="115"/>
        <v>51.309558446175181</v>
      </c>
      <c r="M82" s="125">
        <f t="shared" si="115"/>
        <v>0.88543817204567044</v>
      </c>
      <c r="N82" s="125">
        <f t="shared" si="115"/>
        <v>0.54828101120099426</v>
      </c>
      <c r="O82" s="125">
        <f t="shared" si="115"/>
        <v>0</v>
      </c>
      <c r="P82" s="125">
        <f t="shared" si="115"/>
        <v>0</v>
      </c>
      <c r="Q82" s="125" t="str">
        <f t="shared" si="115"/>
        <v/>
      </c>
      <c r="R82" s="125" t="str">
        <f t="shared" si="115"/>
        <v/>
      </c>
      <c r="S82" s="125" t="str">
        <f t="shared" si="115"/>
        <v/>
      </c>
      <c r="T82" s="125" t="str">
        <f t="shared" si="115"/>
        <v/>
      </c>
      <c r="U82" s="125" t="str">
        <f t="shared" si="115"/>
        <v/>
      </c>
      <c r="V82" s="125" t="str">
        <f t="shared" si="115"/>
        <v/>
      </c>
      <c r="W82" s="125" t="str">
        <f t="shared" si="115"/>
        <v/>
      </c>
      <c r="X82" s="125" t="str">
        <f t="shared" si="115"/>
        <v/>
      </c>
      <c r="Y82" s="125" t="str">
        <f t="shared" si="115"/>
        <v/>
      </c>
      <c r="Z82" s="125" t="str">
        <f t="shared" si="115"/>
        <v/>
      </c>
      <c r="AA82" s="125" t="str">
        <f t="shared" si="115"/>
        <v/>
      </c>
      <c r="AB82" s="125" t="str">
        <f t="shared" si="115"/>
        <v/>
      </c>
      <c r="AC82" s="125" t="str">
        <f t="shared" si="115"/>
        <v/>
      </c>
      <c r="AD82" s="125" t="str">
        <f t="shared" si="115"/>
        <v/>
      </c>
      <c r="AE82" s="125" t="str">
        <f t="shared" si="115"/>
        <v/>
      </c>
      <c r="AF82" s="125" t="str">
        <f t="shared" ref="AF82:AH82" si="116">+AF46</f>
        <v/>
      </c>
      <c r="AG82" s="125" t="str">
        <f t="shared" si="116"/>
        <v/>
      </c>
      <c r="AH82" s="125" t="str">
        <f t="shared" si="116"/>
        <v/>
      </c>
    </row>
    <row r="83" spans="1:34" s="88" customFormat="1">
      <c r="A83" s="122">
        <f t="shared" si="106"/>
        <v>46089</v>
      </c>
      <c r="B83" s="123" t="str">
        <f t="shared" si="100"/>
        <v>domingo</v>
      </c>
      <c r="C83" s="125"/>
      <c r="D83" s="125" t="str">
        <f t="shared" si="101"/>
        <v/>
      </c>
      <c r="E83" s="125">
        <f t="shared" si="101"/>
        <v>1.2073967433048132E-4</v>
      </c>
      <c r="F83" s="125">
        <f t="shared" ref="F83:AE83" si="117">+F47</f>
        <v>0</v>
      </c>
      <c r="G83" s="125">
        <f t="shared" si="117"/>
        <v>0</v>
      </c>
      <c r="H83" s="125">
        <f t="shared" si="117"/>
        <v>0</v>
      </c>
      <c r="I83" s="125">
        <f t="shared" si="117"/>
        <v>1.7322765327185267E-5</v>
      </c>
      <c r="J83" s="125">
        <f t="shared" si="117"/>
        <v>3.0120927941046399E-4</v>
      </c>
      <c r="K83" s="125">
        <f t="shared" si="117"/>
        <v>7.691849774468972</v>
      </c>
      <c r="L83" s="125">
        <f t="shared" si="117"/>
        <v>38.098678220335522</v>
      </c>
      <c r="M83" s="125">
        <f t="shared" si="117"/>
        <v>9.2950533014825609</v>
      </c>
      <c r="N83" s="125">
        <f t="shared" si="117"/>
        <v>0.57227460176783329</v>
      </c>
      <c r="O83" s="125">
        <f t="shared" si="117"/>
        <v>0.31147479342511036</v>
      </c>
      <c r="P83" s="125">
        <f t="shared" si="117"/>
        <v>0</v>
      </c>
      <c r="Q83" s="125" t="str">
        <f t="shared" si="117"/>
        <v/>
      </c>
      <c r="R83" s="125" t="str">
        <f t="shared" si="117"/>
        <v/>
      </c>
      <c r="S83" s="125" t="str">
        <f t="shared" si="117"/>
        <v/>
      </c>
      <c r="T83" s="125" t="str">
        <f t="shared" si="117"/>
        <v/>
      </c>
      <c r="U83" s="125" t="str">
        <f t="shared" si="117"/>
        <v/>
      </c>
      <c r="V83" s="125" t="str">
        <f t="shared" si="117"/>
        <v/>
      </c>
      <c r="W83" s="125" t="str">
        <f t="shared" si="117"/>
        <v/>
      </c>
      <c r="X83" s="125" t="str">
        <f t="shared" si="117"/>
        <v/>
      </c>
      <c r="Y83" s="125" t="str">
        <f t="shared" si="117"/>
        <v/>
      </c>
      <c r="Z83" s="125" t="str">
        <f t="shared" si="117"/>
        <v/>
      </c>
      <c r="AA83" s="125" t="str">
        <f t="shared" si="117"/>
        <v/>
      </c>
      <c r="AB83" s="125" t="str">
        <f t="shared" si="117"/>
        <v/>
      </c>
      <c r="AC83" s="125" t="str">
        <f t="shared" si="117"/>
        <v/>
      </c>
      <c r="AD83" s="125" t="str">
        <f t="shared" si="117"/>
        <v/>
      </c>
      <c r="AE83" s="125" t="str">
        <f t="shared" si="117"/>
        <v/>
      </c>
      <c r="AF83" s="125" t="str">
        <f t="shared" ref="AF83:AH83" si="118">+AF47</f>
        <v/>
      </c>
      <c r="AG83" s="125" t="str">
        <f t="shared" si="118"/>
        <v/>
      </c>
      <c r="AH83" s="125" t="str">
        <f t="shared" si="118"/>
        <v/>
      </c>
    </row>
    <row r="84" spans="1:34" s="88" customFormat="1">
      <c r="A84" s="122">
        <f t="shared" si="106"/>
        <v>46090</v>
      </c>
      <c r="B84" s="123" t="str">
        <f t="shared" si="100"/>
        <v>lunes</v>
      </c>
      <c r="C84" s="125"/>
      <c r="D84" s="125" t="str">
        <f t="shared" si="101"/>
        <v/>
      </c>
      <c r="E84" s="125" t="str">
        <f t="shared" si="101"/>
        <v/>
      </c>
      <c r="F84" s="125" t="str">
        <f t="shared" ref="F84:AE84" si="119">+F48</f>
        <v/>
      </c>
      <c r="G84" s="125" t="str">
        <f t="shared" si="119"/>
        <v/>
      </c>
      <c r="H84" s="125" t="str">
        <f t="shared" si="119"/>
        <v/>
      </c>
      <c r="I84" s="125" t="str">
        <f t="shared" si="119"/>
        <v/>
      </c>
      <c r="J84" s="125" t="str">
        <f t="shared" si="119"/>
        <v/>
      </c>
      <c r="K84" s="125" t="str">
        <f t="shared" si="119"/>
        <v/>
      </c>
      <c r="L84" s="125">
        <f t="shared" si="119"/>
        <v>15.793551404966927</v>
      </c>
      <c r="M84" s="125">
        <f t="shared" si="119"/>
        <v>29.126589262861621</v>
      </c>
      <c r="N84" s="125">
        <f t="shared" si="119"/>
        <v>6.2251127479948725</v>
      </c>
      <c r="O84" s="125">
        <f t="shared" si="119"/>
        <v>0.42414598093614903</v>
      </c>
      <c r="P84" s="125">
        <f t="shared" si="119"/>
        <v>0.20569800884906306</v>
      </c>
      <c r="Q84" s="125">
        <f t="shared" si="119"/>
        <v>0</v>
      </c>
      <c r="R84" s="125">
        <f t="shared" si="119"/>
        <v>0</v>
      </c>
      <c r="S84" s="125">
        <f t="shared" si="119"/>
        <v>0.19320235315219905</v>
      </c>
      <c r="T84" s="125">
        <f t="shared" si="119"/>
        <v>2.439586851456494E-2</v>
      </c>
      <c r="U84" s="125">
        <f t="shared" si="119"/>
        <v>3.5944427511280186E-2</v>
      </c>
      <c r="V84" s="125">
        <f t="shared" si="119"/>
        <v>3.7333645501659565E-3</v>
      </c>
      <c r="W84" s="125">
        <f t="shared" si="119"/>
        <v>3.4438125089502883E-3</v>
      </c>
      <c r="X84" s="125" t="str">
        <f t="shared" si="119"/>
        <v/>
      </c>
      <c r="Y84" s="125" t="str">
        <f t="shared" si="119"/>
        <v/>
      </c>
      <c r="Z84" s="125" t="str">
        <f t="shared" si="119"/>
        <v/>
      </c>
      <c r="AA84" s="125" t="str">
        <f t="shared" si="119"/>
        <v/>
      </c>
      <c r="AB84" s="125" t="str">
        <f t="shared" si="119"/>
        <v/>
      </c>
      <c r="AC84" s="125" t="str">
        <f t="shared" si="119"/>
        <v/>
      </c>
      <c r="AD84" s="125" t="str">
        <f t="shared" si="119"/>
        <v/>
      </c>
      <c r="AE84" s="125" t="str">
        <f t="shared" si="119"/>
        <v/>
      </c>
      <c r="AF84" s="125" t="str">
        <f t="shared" ref="AF84:AH84" si="120">+AF48</f>
        <v/>
      </c>
      <c r="AG84" s="125" t="str">
        <f t="shared" si="120"/>
        <v/>
      </c>
      <c r="AH84" s="125" t="str">
        <f t="shared" si="120"/>
        <v/>
      </c>
    </row>
    <row r="85" spans="1:34" s="88" customFormat="1">
      <c r="A85" s="87">
        <f t="shared" si="106"/>
        <v>46091</v>
      </c>
      <c r="B85" s="35" t="str">
        <f t="shared" si="100"/>
        <v>martes</v>
      </c>
      <c r="C85" s="121"/>
      <c r="D85" s="125" t="str">
        <f t="shared" si="101"/>
        <v/>
      </c>
      <c r="E85" s="125" t="str">
        <f t="shared" si="101"/>
        <v/>
      </c>
      <c r="F85" s="125" t="str">
        <f t="shared" ref="F85:AE85" si="121">+F49</f>
        <v/>
      </c>
      <c r="G85" s="125" t="str">
        <f t="shared" si="121"/>
        <v/>
      </c>
      <c r="H85" s="125" t="str">
        <f t="shared" si="121"/>
        <v/>
      </c>
      <c r="I85" s="125" t="str">
        <f t="shared" si="121"/>
        <v/>
      </c>
      <c r="J85" s="125" t="str">
        <f t="shared" si="121"/>
        <v/>
      </c>
      <c r="K85" s="125" t="str">
        <f t="shared" si="121"/>
        <v/>
      </c>
      <c r="L85" s="125">
        <f t="shared" si="121"/>
        <v>0</v>
      </c>
      <c r="M85" s="125">
        <f t="shared" si="121"/>
        <v>15.895410331861362</v>
      </c>
      <c r="N85" s="125">
        <f t="shared" si="121"/>
        <v>34.210589264979532</v>
      </c>
      <c r="O85" s="125">
        <f t="shared" si="121"/>
        <v>6.7644359441943784</v>
      </c>
      <c r="P85" s="125">
        <f t="shared" si="121"/>
        <v>0.58790155441592284</v>
      </c>
      <c r="Q85" s="125">
        <f t="shared" si="121"/>
        <v>0</v>
      </c>
      <c r="R85" s="125">
        <f t="shared" si="121"/>
        <v>0</v>
      </c>
      <c r="S85" s="125">
        <f t="shared" si="121"/>
        <v>0.3372632183356517</v>
      </c>
      <c r="T85" s="125">
        <f t="shared" si="121"/>
        <v>5.6479915415726382E-2</v>
      </c>
      <c r="U85" s="125">
        <f t="shared" si="121"/>
        <v>5.6693994457416658E-2</v>
      </c>
      <c r="V85" s="125">
        <f t="shared" si="121"/>
        <v>0</v>
      </c>
      <c r="W85" s="125">
        <f t="shared" si="121"/>
        <v>2.4788819095341677E-3</v>
      </c>
      <c r="X85" s="125" t="str">
        <f t="shared" si="121"/>
        <v/>
      </c>
      <c r="Y85" s="125" t="str">
        <f t="shared" si="121"/>
        <v/>
      </c>
      <c r="Z85" s="125" t="str">
        <f t="shared" si="121"/>
        <v/>
      </c>
      <c r="AA85" s="125" t="str">
        <f t="shared" si="121"/>
        <v/>
      </c>
      <c r="AB85" s="125" t="str">
        <f t="shared" si="121"/>
        <v/>
      </c>
      <c r="AC85" s="125" t="str">
        <f t="shared" si="121"/>
        <v/>
      </c>
      <c r="AD85" s="125" t="str">
        <f t="shared" si="121"/>
        <v/>
      </c>
      <c r="AE85" s="125" t="str">
        <f t="shared" si="121"/>
        <v/>
      </c>
      <c r="AF85" s="125" t="str">
        <f t="shared" ref="AF85:AH85" si="122">+AF49</f>
        <v/>
      </c>
      <c r="AG85" s="125" t="str">
        <f t="shared" si="122"/>
        <v/>
      </c>
      <c r="AH85" s="125" t="str">
        <f t="shared" si="122"/>
        <v/>
      </c>
    </row>
    <row r="86" spans="1:34" s="88" customFormat="1">
      <c r="A86" s="87">
        <f t="shared" si="106"/>
        <v>46092</v>
      </c>
      <c r="B86" s="35" t="str">
        <f t="shared" si="100"/>
        <v>miércoles</v>
      </c>
      <c r="C86" s="121"/>
      <c r="D86" s="125" t="str">
        <f t="shared" si="101"/>
        <v/>
      </c>
      <c r="E86" s="125" t="str">
        <f t="shared" si="101"/>
        <v/>
      </c>
      <c r="F86" s="125" t="str">
        <f t="shared" ref="F86:AE86" si="123">+F50</f>
        <v/>
      </c>
      <c r="G86" s="125" t="str">
        <f t="shared" si="123"/>
        <v/>
      </c>
      <c r="H86" s="125" t="str">
        <f t="shared" si="123"/>
        <v/>
      </c>
      <c r="I86" s="125" t="str">
        <f t="shared" si="123"/>
        <v/>
      </c>
      <c r="J86" s="125" t="str">
        <f t="shared" si="123"/>
        <v/>
      </c>
      <c r="K86" s="125" t="str">
        <f t="shared" si="123"/>
        <v/>
      </c>
      <c r="L86" s="125">
        <f t="shared" si="123"/>
        <v>6.5641310777563491E-5</v>
      </c>
      <c r="M86" s="125">
        <f t="shared" si="123"/>
        <v>0</v>
      </c>
      <c r="N86" s="125">
        <f t="shared" si="123"/>
        <v>15.094194385837968</v>
      </c>
      <c r="O86" s="125">
        <f t="shared" si="123"/>
        <v>29.989427079159569</v>
      </c>
      <c r="P86" s="125">
        <f t="shared" si="123"/>
        <v>6.4161439119856283</v>
      </c>
      <c r="Q86" s="125">
        <f t="shared" si="123"/>
        <v>0</v>
      </c>
      <c r="R86" s="125">
        <f t="shared" si="123"/>
        <v>0</v>
      </c>
      <c r="S86" s="125">
        <f t="shared" si="123"/>
        <v>0.8305134225861206</v>
      </c>
      <c r="T86" s="125">
        <f t="shared" si="123"/>
        <v>0.16513239037695432</v>
      </c>
      <c r="U86" s="125">
        <f t="shared" si="123"/>
        <v>0.1004487023937559</v>
      </c>
      <c r="V86" s="125">
        <f t="shared" si="123"/>
        <v>0</v>
      </c>
      <c r="W86" s="125">
        <f t="shared" si="123"/>
        <v>1.7388261442049988E-3</v>
      </c>
      <c r="X86" s="125" t="str">
        <f t="shared" si="123"/>
        <v/>
      </c>
      <c r="Y86" s="125" t="str">
        <f t="shared" si="123"/>
        <v/>
      </c>
      <c r="Z86" s="125" t="str">
        <f t="shared" si="123"/>
        <v/>
      </c>
      <c r="AA86" s="125" t="str">
        <f t="shared" si="123"/>
        <v/>
      </c>
      <c r="AB86" s="125" t="str">
        <f t="shared" si="123"/>
        <v/>
      </c>
      <c r="AC86" s="125" t="str">
        <f t="shared" si="123"/>
        <v/>
      </c>
      <c r="AD86" s="125" t="str">
        <f t="shared" si="123"/>
        <v/>
      </c>
      <c r="AE86" s="125" t="str">
        <f t="shared" si="123"/>
        <v/>
      </c>
      <c r="AF86" s="125" t="str">
        <f t="shared" ref="AF86:AH86" si="124">+AF50</f>
        <v/>
      </c>
      <c r="AG86" s="125" t="str">
        <f t="shared" si="124"/>
        <v/>
      </c>
      <c r="AH86" s="125" t="str">
        <f t="shared" si="124"/>
        <v/>
      </c>
    </row>
    <row r="87" spans="1:34" s="88" customFormat="1">
      <c r="A87" s="87">
        <f t="shared" si="106"/>
        <v>46093</v>
      </c>
      <c r="B87" s="35" t="str">
        <f t="shared" si="100"/>
        <v>jueves</v>
      </c>
      <c r="C87" s="121"/>
      <c r="D87" s="125" t="str">
        <f t="shared" si="101"/>
        <v/>
      </c>
      <c r="E87" s="125" t="str">
        <f t="shared" si="101"/>
        <v/>
      </c>
      <c r="F87" s="125" t="str">
        <f t="shared" ref="F87:AE87" si="125">+F51</f>
        <v/>
      </c>
      <c r="G87" s="125" t="str">
        <f t="shared" si="125"/>
        <v/>
      </c>
      <c r="H87" s="125" t="str">
        <f t="shared" si="125"/>
        <v/>
      </c>
      <c r="I87" s="125" t="str">
        <f t="shared" si="125"/>
        <v/>
      </c>
      <c r="J87" s="125" t="str">
        <f t="shared" si="125"/>
        <v/>
      </c>
      <c r="K87" s="125" t="str">
        <f t="shared" si="125"/>
        <v/>
      </c>
      <c r="L87" s="125">
        <f t="shared" si="125"/>
        <v>7.1176376194817013E-6</v>
      </c>
      <c r="M87" s="125">
        <f t="shared" si="125"/>
        <v>0</v>
      </c>
      <c r="N87" s="125">
        <f t="shared" si="125"/>
        <v>2.6374343299837157E-4</v>
      </c>
      <c r="O87" s="125">
        <f t="shared" si="125"/>
        <v>9.0823399127242972</v>
      </c>
      <c r="P87" s="125">
        <f t="shared" si="125"/>
        <v>19.375457677670767</v>
      </c>
      <c r="Q87" s="125">
        <f t="shared" si="125"/>
        <v>0</v>
      </c>
      <c r="R87" s="125">
        <f t="shared" si="125"/>
        <v>0</v>
      </c>
      <c r="S87" s="125">
        <f t="shared" si="125"/>
        <v>4.6936869289647927</v>
      </c>
      <c r="T87" s="125">
        <f t="shared" si="125"/>
        <v>7.7140096201920083E-2</v>
      </c>
      <c r="U87" s="125">
        <f t="shared" si="125"/>
        <v>0.11988370353850029</v>
      </c>
      <c r="V87" s="125">
        <f t="shared" si="125"/>
        <v>4.2206855920742276E-2</v>
      </c>
      <c r="W87" s="125">
        <f t="shared" si="125"/>
        <v>0</v>
      </c>
      <c r="X87" s="125" t="str">
        <f t="shared" si="125"/>
        <v/>
      </c>
      <c r="Y87" s="125" t="str">
        <f t="shared" si="125"/>
        <v/>
      </c>
      <c r="Z87" s="125" t="str">
        <f t="shared" si="125"/>
        <v/>
      </c>
      <c r="AA87" s="125" t="str">
        <f t="shared" si="125"/>
        <v/>
      </c>
      <c r="AB87" s="125" t="str">
        <f t="shared" si="125"/>
        <v/>
      </c>
      <c r="AC87" s="125" t="str">
        <f t="shared" si="125"/>
        <v/>
      </c>
      <c r="AD87" s="125" t="str">
        <f t="shared" si="125"/>
        <v/>
      </c>
      <c r="AE87" s="125" t="str">
        <f t="shared" si="125"/>
        <v/>
      </c>
      <c r="AF87" s="125" t="str">
        <f t="shared" ref="AF87:AH87" si="126">+AF51</f>
        <v/>
      </c>
      <c r="AG87" s="125" t="str">
        <f t="shared" si="126"/>
        <v/>
      </c>
      <c r="AH87" s="125" t="str">
        <f t="shared" si="126"/>
        <v/>
      </c>
    </row>
    <row r="88" spans="1:34" s="88" customFormat="1">
      <c r="A88" s="87">
        <f t="shared" si="106"/>
        <v>46094</v>
      </c>
      <c r="B88" s="35" t="str">
        <f t="shared" si="100"/>
        <v>viernes</v>
      </c>
      <c r="C88" s="121"/>
      <c r="D88" s="125" t="str">
        <f t="shared" si="101"/>
        <v/>
      </c>
      <c r="E88" s="125" t="str">
        <f t="shared" si="101"/>
        <v/>
      </c>
      <c r="F88" s="125" t="str">
        <f t="shared" ref="F88:AE88" si="127">+F52</f>
        <v/>
      </c>
      <c r="G88" s="125" t="str">
        <f t="shared" si="127"/>
        <v/>
      </c>
      <c r="H88" s="125" t="str">
        <f t="shared" si="127"/>
        <v/>
      </c>
      <c r="I88" s="125" t="str">
        <f t="shared" si="127"/>
        <v/>
      </c>
      <c r="J88" s="125" t="str">
        <f t="shared" si="127"/>
        <v/>
      </c>
      <c r="K88" s="125" t="str">
        <f t="shared" si="127"/>
        <v/>
      </c>
      <c r="L88" s="125">
        <f t="shared" si="127"/>
        <v>2.0618562211855539E-5</v>
      </c>
      <c r="M88" s="125">
        <f t="shared" si="127"/>
        <v>0</v>
      </c>
      <c r="N88" s="125">
        <f t="shared" si="127"/>
        <v>0</v>
      </c>
      <c r="O88" s="125">
        <f t="shared" si="127"/>
        <v>6.094681671674929E-4</v>
      </c>
      <c r="P88" s="125">
        <f t="shared" si="127"/>
        <v>12.438032335042793</v>
      </c>
      <c r="Q88" s="125">
        <f t="shared" si="127"/>
        <v>0</v>
      </c>
      <c r="R88" s="125">
        <f t="shared" si="127"/>
        <v>0</v>
      </c>
      <c r="S88" s="125">
        <f t="shared" si="127"/>
        <v>42.484762643935795</v>
      </c>
      <c r="T88" s="125">
        <f t="shared" si="127"/>
        <v>0.61667095378079106</v>
      </c>
      <c r="U88" s="125">
        <f t="shared" si="127"/>
        <v>0.20422819530812239</v>
      </c>
      <c r="V88" s="125">
        <f t="shared" si="127"/>
        <v>0.20377435875250088</v>
      </c>
      <c r="W88" s="125">
        <f t="shared" si="127"/>
        <v>0</v>
      </c>
      <c r="X88" s="125" t="str">
        <f t="shared" si="127"/>
        <v/>
      </c>
      <c r="Y88" s="125" t="str">
        <f t="shared" si="127"/>
        <v/>
      </c>
      <c r="Z88" s="125" t="str">
        <f t="shared" si="127"/>
        <v/>
      </c>
      <c r="AA88" s="125" t="str">
        <f t="shared" si="127"/>
        <v/>
      </c>
      <c r="AB88" s="125" t="str">
        <f t="shared" si="127"/>
        <v/>
      </c>
      <c r="AC88" s="125" t="str">
        <f t="shared" si="127"/>
        <v/>
      </c>
      <c r="AD88" s="125" t="str">
        <f t="shared" si="127"/>
        <v/>
      </c>
      <c r="AE88" s="125" t="str">
        <f t="shared" si="127"/>
        <v/>
      </c>
      <c r="AF88" s="125" t="str">
        <f t="shared" ref="AF88:AH88" si="128">+AF52</f>
        <v/>
      </c>
      <c r="AG88" s="125" t="str">
        <f t="shared" si="128"/>
        <v/>
      </c>
      <c r="AH88" s="125" t="str">
        <f t="shared" si="128"/>
        <v/>
      </c>
    </row>
    <row r="89" spans="1:34" s="88" customFormat="1">
      <c r="A89" s="87">
        <f t="shared" si="106"/>
        <v>46095</v>
      </c>
      <c r="B89" s="35" t="str">
        <f t="shared" si="100"/>
        <v>sábado</v>
      </c>
      <c r="C89" s="121"/>
      <c r="D89" s="125" t="str">
        <f t="shared" si="101"/>
        <v/>
      </c>
      <c r="E89" s="125" t="str">
        <f t="shared" si="101"/>
        <v/>
      </c>
      <c r="F89" s="125" t="str">
        <f t="shared" ref="F89:AE89" si="129">+F53</f>
        <v/>
      </c>
      <c r="G89" s="125" t="str">
        <f t="shared" si="129"/>
        <v/>
      </c>
      <c r="H89" s="125" t="str">
        <f t="shared" si="129"/>
        <v/>
      </c>
      <c r="I89" s="125" t="str">
        <f t="shared" si="129"/>
        <v/>
      </c>
      <c r="J89" s="125" t="str">
        <f t="shared" si="129"/>
        <v/>
      </c>
      <c r="K89" s="125" t="str">
        <f t="shared" si="129"/>
        <v/>
      </c>
      <c r="L89" s="125">
        <f t="shared" si="129"/>
        <v>5.4792792245582031E-5</v>
      </c>
      <c r="M89" s="125">
        <f t="shared" si="129"/>
        <v>0</v>
      </c>
      <c r="N89" s="125">
        <f t="shared" si="129"/>
        <v>0</v>
      </c>
      <c r="O89" s="125">
        <f t="shared" si="129"/>
        <v>0</v>
      </c>
      <c r="P89" s="125">
        <f t="shared" si="129"/>
        <v>0</v>
      </c>
      <c r="Q89" s="125">
        <f t="shared" si="129"/>
        <v>9.6606586984444824</v>
      </c>
      <c r="R89" s="125">
        <f t="shared" si="129"/>
        <v>0</v>
      </c>
      <c r="S89" s="125">
        <f t="shared" si="129"/>
        <v>46.375632667427851</v>
      </c>
      <c r="T89" s="125">
        <f t="shared" si="129"/>
        <v>0.80029446091578627</v>
      </c>
      <c r="U89" s="125">
        <f t="shared" si="129"/>
        <v>0.49555832371187808</v>
      </c>
      <c r="V89" s="125">
        <f t="shared" si="129"/>
        <v>0</v>
      </c>
      <c r="W89" s="125">
        <f t="shared" si="129"/>
        <v>0</v>
      </c>
      <c r="X89" s="125" t="str">
        <f t="shared" si="129"/>
        <v/>
      </c>
      <c r="Y89" s="125" t="str">
        <f t="shared" si="129"/>
        <v/>
      </c>
      <c r="Z89" s="125" t="str">
        <f t="shared" si="129"/>
        <v/>
      </c>
      <c r="AA89" s="125" t="str">
        <f t="shared" si="129"/>
        <v/>
      </c>
      <c r="AB89" s="125" t="str">
        <f t="shared" si="129"/>
        <v/>
      </c>
      <c r="AC89" s="125" t="str">
        <f t="shared" si="129"/>
        <v/>
      </c>
      <c r="AD89" s="125" t="str">
        <f t="shared" si="129"/>
        <v/>
      </c>
      <c r="AE89" s="125" t="str">
        <f t="shared" si="129"/>
        <v/>
      </c>
      <c r="AF89" s="125" t="str">
        <f t="shared" ref="AF89:AH89" si="130">+AF53</f>
        <v/>
      </c>
      <c r="AG89" s="125" t="str">
        <f t="shared" si="130"/>
        <v/>
      </c>
      <c r="AH89" s="125" t="str">
        <f t="shared" si="130"/>
        <v/>
      </c>
    </row>
    <row r="90" spans="1:34" s="88" customFormat="1">
      <c r="A90" s="122">
        <f t="shared" si="106"/>
        <v>46096</v>
      </c>
      <c r="B90" s="123" t="str">
        <f t="shared" si="100"/>
        <v>domingo</v>
      </c>
      <c r="C90" s="125"/>
      <c r="D90" s="125" t="str">
        <f t="shared" si="101"/>
        <v/>
      </c>
      <c r="E90" s="125" t="str">
        <f t="shared" si="101"/>
        <v/>
      </c>
      <c r="F90" s="125" t="str">
        <f t="shared" ref="F90:AE90" si="131">+F54</f>
        <v/>
      </c>
      <c r="G90" s="125" t="str">
        <f t="shared" si="131"/>
        <v/>
      </c>
      <c r="H90" s="125" t="str">
        <f t="shared" si="131"/>
        <v/>
      </c>
      <c r="I90" s="125" t="str">
        <f t="shared" si="131"/>
        <v/>
      </c>
      <c r="J90" s="125" t="str">
        <f t="shared" si="131"/>
        <v/>
      </c>
      <c r="K90" s="125" t="str">
        <f t="shared" si="131"/>
        <v/>
      </c>
      <c r="L90" s="125">
        <f t="shared" si="131"/>
        <v>1.3832783028475221E-4</v>
      </c>
      <c r="M90" s="125">
        <f t="shared" si="131"/>
        <v>0</v>
      </c>
      <c r="N90" s="125">
        <f t="shared" si="131"/>
        <v>0</v>
      </c>
      <c r="O90" s="125">
        <f t="shared" si="131"/>
        <v>0</v>
      </c>
      <c r="P90" s="125">
        <f t="shared" si="131"/>
        <v>1.9846173642001754E-5</v>
      </c>
      <c r="Q90" s="125">
        <f t="shared" si="131"/>
        <v>3.4508645408831028E-4</v>
      </c>
      <c r="R90" s="125">
        <f t="shared" si="131"/>
        <v>8.8123220149347574</v>
      </c>
      <c r="S90" s="125">
        <f t="shared" si="131"/>
        <v>43.648515073106282</v>
      </c>
      <c r="T90" s="125">
        <f t="shared" si="131"/>
        <v>10.64906430057024</v>
      </c>
      <c r="U90" s="125">
        <f t="shared" si="131"/>
        <v>0.65563787900354054</v>
      </c>
      <c r="V90" s="125">
        <f t="shared" si="131"/>
        <v>0.356847346175173</v>
      </c>
      <c r="W90" s="125">
        <f t="shared" si="131"/>
        <v>0</v>
      </c>
      <c r="X90" s="125" t="str">
        <f t="shared" si="131"/>
        <v/>
      </c>
      <c r="Y90" s="125" t="str">
        <f t="shared" si="131"/>
        <v/>
      </c>
      <c r="Z90" s="125" t="str">
        <f t="shared" si="131"/>
        <v/>
      </c>
      <c r="AA90" s="125" t="str">
        <f t="shared" si="131"/>
        <v/>
      </c>
      <c r="AB90" s="125" t="str">
        <f t="shared" si="131"/>
        <v/>
      </c>
      <c r="AC90" s="125" t="str">
        <f t="shared" si="131"/>
        <v/>
      </c>
      <c r="AD90" s="125" t="str">
        <f t="shared" si="131"/>
        <v/>
      </c>
      <c r="AE90" s="125" t="str">
        <f t="shared" si="131"/>
        <v/>
      </c>
      <c r="AF90" s="125" t="str">
        <f t="shared" ref="AF90:AH90" si="132">+AF54</f>
        <v/>
      </c>
      <c r="AG90" s="125" t="str">
        <f t="shared" si="132"/>
        <v/>
      </c>
      <c r="AH90" s="125" t="str">
        <f t="shared" si="132"/>
        <v/>
      </c>
    </row>
    <row r="91" spans="1:34" s="88" customFormat="1">
      <c r="A91" s="122">
        <f t="shared" si="106"/>
        <v>46097</v>
      </c>
      <c r="B91" s="123" t="str">
        <f t="shared" si="100"/>
        <v>lunes</v>
      </c>
      <c r="C91" s="125"/>
      <c r="D91" s="125" t="str">
        <f t="shared" si="101"/>
        <v/>
      </c>
      <c r="E91" s="125" t="str">
        <f t="shared" si="101"/>
        <v/>
      </c>
      <c r="F91" s="125" t="str">
        <f t="shared" ref="F91:AE91" si="133">+F55</f>
        <v/>
      </c>
      <c r="G91" s="125" t="str">
        <f t="shared" si="133"/>
        <v/>
      </c>
      <c r="H91" s="125" t="str">
        <f t="shared" si="133"/>
        <v/>
      </c>
      <c r="I91" s="125" t="str">
        <f t="shared" si="133"/>
        <v/>
      </c>
      <c r="J91" s="125" t="str">
        <f t="shared" si="133"/>
        <v/>
      </c>
      <c r="K91" s="125" t="str">
        <f t="shared" si="133"/>
        <v/>
      </c>
      <c r="L91" s="125" t="str">
        <f t="shared" si="133"/>
        <v/>
      </c>
      <c r="M91" s="125" t="str">
        <f t="shared" si="133"/>
        <v/>
      </c>
      <c r="N91" s="125" t="str">
        <f t="shared" si="133"/>
        <v/>
      </c>
      <c r="O91" s="125" t="str">
        <f t="shared" si="133"/>
        <v/>
      </c>
      <c r="P91" s="125" t="str">
        <f t="shared" si="133"/>
        <v/>
      </c>
      <c r="Q91" s="125" t="str">
        <f t="shared" si="133"/>
        <v/>
      </c>
      <c r="R91" s="125" t="str">
        <f t="shared" si="133"/>
        <v/>
      </c>
      <c r="S91" s="125">
        <f t="shared" si="133"/>
        <v>17.285919346736751</v>
      </c>
      <c r="T91" s="125">
        <f t="shared" si="133"/>
        <v>31.878825726619965</v>
      </c>
      <c r="U91" s="125">
        <f t="shared" si="133"/>
        <v>6.8133375532206646</v>
      </c>
      <c r="V91" s="125">
        <f t="shared" si="133"/>
        <v>0.46422448186030196</v>
      </c>
      <c r="W91" s="125">
        <f t="shared" si="133"/>
        <v>0.22513487306161031</v>
      </c>
      <c r="X91" s="125">
        <f t="shared" si="133"/>
        <v>0</v>
      </c>
      <c r="Y91" s="125">
        <f t="shared" si="133"/>
        <v>0</v>
      </c>
      <c r="Z91" s="125">
        <f t="shared" si="133"/>
        <v>0.21145847495316125</v>
      </c>
      <c r="AA91" s="125">
        <f t="shared" si="133"/>
        <v>2.6701088610364208E-2</v>
      </c>
      <c r="AB91" s="125">
        <f t="shared" si="133"/>
        <v>3.9340896736449762E-2</v>
      </c>
      <c r="AC91" s="125">
        <f t="shared" si="133"/>
        <v>4.0861385037085007E-3</v>
      </c>
      <c r="AD91" s="125">
        <f t="shared" si="133"/>
        <v>3.7692260435025614E-3</v>
      </c>
      <c r="AE91" s="125" t="str">
        <f t="shared" si="133"/>
        <v/>
      </c>
      <c r="AF91" s="125" t="str">
        <f t="shared" ref="AF91:AH91" si="134">+AF55</f>
        <v/>
      </c>
      <c r="AG91" s="125" t="str">
        <f t="shared" si="134"/>
        <v/>
      </c>
      <c r="AH91" s="125" t="str">
        <f t="shared" si="134"/>
        <v/>
      </c>
    </row>
    <row r="92" spans="1:34" s="88" customFormat="1">
      <c r="A92" s="87">
        <f t="shared" si="106"/>
        <v>46098</v>
      </c>
      <c r="B92" s="35" t="str">
        <f t="shared" si="100"/>
        <v>martes</v>
      </c>
      <c r="C92" s="121"/>
      <c r="D92" s="125" t="str">
        <f t="shared" si="101"/>
        <v/>
      </c>
      <c r="E92" s="125" t="str">
        <f t="shared" si="101"/>
        <v/>
      </c>
      <c r="F92" s="125" t="str">
        <f t="shared" ref="F92:AE92" si="135">+F56</f>
        <v/>
      </c>
      <c r="G92" s="125" t="str">
        <f t="shared" si="135"/>
        <v/>
      </c>
      <c r="H92" s="125" t="str">
        <f t="shared" si="135"/>
        <v/>
      </c>
      <c r="I92" s="125" t="str">
        <f t="shared" si="135"/>
        <v/>
      </c>
      <c r="J92" s="125" t="str">
        <f t="shared" si="135"/>
        <v/>
      </c>
      <c r="K92" s="125" t="str">
        <f t="shared" si="135"/>
        <v/>
      </c>
      <c r="L92" s="125" t="str">
        <f t="shared" si="135"/>
        <v/>
      </c>
      <c r="M92" s="125" t="str">
        <f t="shared" si="135"/>
        <v/>
      </c>
      <c r="N92" s="125" t="str">
        <f t="shared" si="135"/>
        <v/>
      </c>
      <c r="O92" s="125" t="str">
        <f t="shared" si="135"/>
        <v/>
      </c>
      <c r="P92" s="125" t="str">
        <f t="shared" si="135"/>
        <v/>
      </c>
      <c r="Q92" s="125" t="str">
        <f t="shared" si="135"/>
        <v/>
      </c>
      <c r="R92" s="125" t="str">
        <f t="shared" si="135"/>
        <v/>
      </c>
      <c r="S92" s="125">
        <f t="shared" si="135"/>
        <v>0</v>
      </c>
      <c r="T92" s="125">
        <f t="shared" si="135"/>
        <v>15.037327804843903</v>
      </c>
      <c r="U92" s="125">
        <f t="shared" si="135"/>
        <v>32.363797752563606</v>
      </c>
      <c r="V92" s="125">
        <f t="shared" si="135"/>
        <v>6.3992711470826364</v>
      </c>
      <c r="W92" s="125">
        <f t="shared" si="135"/>
        <v>0.55616484294270385</v>
      </c>
      <c r="X92" s="125">
        <f t="shared" si="135"/>
        <v>0</v>
      </c>
      <c r="Y92" s="125">
        <f t="shared" si="135"/>
        <v>0</v>
      </c>
      <c r="Z92" s="125">
        <f t="shared" si="135"/>
        <v>0.31905672547906822</v>
      </c>
      <c r="AA92" s="125">
        <f t="shared" si="135"/>
        <v>5.3430958041627341E-2</v>
      </c>
      <c r="AB92" s="125">
        <f t="shared" si="135"/>
        <v>5.36334804464495E-2</v>
      </c>
      <c r="AC92" s="125">
        <f t="shared" si="135"/>
        <v>0</v>
      </c>
      <c r="AD92" s="125">
        <f t="shared" si="135"/>
        <v>2.3450643352342874E-3</v>
      </c>
      <c r="AE92" s="125" t="str">
        <f t="shared" si="135"/>
        <v/>
      </c>
      <c r="AF92" s="125" t="str">
        <f t="shared" ref="AF92:AH92" si="136">+AF56</f>
        <v/>
      </c>
      <c r="AG92" s="125" t="str">
        <f t="shared" si="136"/>
        <v/>
      </c>
      <c r="AH92" s="125" t="str">
        <f t="shared" si="136"/>
        <v/>
      </c>
    </row>
    <row r="93" spans="1:34" s="88" customFormat="1">
      <c r="A93" s="87">
        <f t="shared" si="106"/>
        <v>46099</v>
      </c>
      <c r="B93" s="35" t="str">
        <f t="shared" si="100"/>
        <v>miércoles</v>
      </c>
      <c r="C93" s="121"/>
      <c r="D93" s="125" t="str">
        <f t="shared" si="101"/>
        <v/>
      </c>
      <c r="E93" s="125" t="str">
        <f t="shared" si="101"/>
        <v/>
      </c>
      <c r="F93" s="125" t="str">
        <f t="shared" ref="F93:AE93" si="137">+F57</f>
        <v/>
      </c>
      <c r="G93" s="125" t="str">
        <f t="shared" si="137"/>
        <v/>
      </c>
      <c r="H93" s="125" t="str">
        <f t="shared" si="137"/>
        <v/>
      </c>
      <c r="I93" s="125" t="str">
        <f t="shared" si="137"/>
        <v/>
      </c>
      <c r="J93" s="125" t="str">
        <f t="shared" si="137"/>
        <v/>
      </c>
      <c r="K93" s="125" t="str">
        <f t="shared" si="137"/>
        <v/>
      </c>
      <c r="L93" s="125" t="str">
        <f t="shared" si="137"/>
        <v/>
      </c>
      <c r="M93" s="125" t="str">
        <f t="shared" si="137"/>
        <v/>
      </c>
      <c r="N93" s="125" t="str">
        <f t="shared" si="137"/>
        <v/>
      </c>
      <c r="O93" s="125" t="str">
        <f t="shared" si="137"/>
        <v/>
      </c>
      <c r="P93" s="125" t="str">
        <f t="shared" si="137"/>
        <v/>
      </c>
      <c r="Q93" s="125" t="str">
        <f t="shared" si="137"/>
        <v/>
      </c>
      <c r="R93" s="125" t="str">
        <f t="shared" si="137"/>
        <v/>
      </c>
      <c r="S93" s="125">
        <f t="shared" si="137"/>
        <v>6.8096730770270353E-5</v>
      </c>
      <c r="T93" s="125">
        <f t="shared" si="137"/>
        <v>0</v>
      </c>
      <c r="U93" s="125">
        <f t="shared" si="137"/>
        <v>15.658817276967957</v>
      </c>
      <c r="V93" s="125">
        <f t="shared" si="137"/>
        <v>31.111230375707418</v>
      </c>
      <c r="W93" s="125">
        <f t="shared" si="137"/>
        <v>6.6561502106252153</v>
      </c>
      <c r="X93" s="125">
        <f t="shared" si="137"/>
        <v>0</v>
      </c>
      <c r="Y93" s="125">
        <f t="shared" si="137"/>
        <v>0</v>
      </c>
      <c r="Z93" s="125">
        <f t="shared" si="137"/>
        <v>0.8615801279561538</v>
      </c>
      <c r="AA93" s="125">
        <f t="shared" si="137"/>
        <v>0.17130943602049803</v>
      </c>
      <c r="AB93" s="125">
        <f t="shared" si="137"/>
        <v>0.10420614948275268</v>
      </c>
      <c r="AC93" s="125">
        <f t="shared" si="137"/>
        <v>0</v>
      </c>
      <c r="AD93" s="125">
        <f t="shared" si="137"/>
        <v>1.803869764262959E-3</v>
      </c>
      <c r="AE93" s="125" t="str">
        <f t="shared" si="137"/>
        <v/>
      </c>
      <c r="AF93" s="125" t="str">
        <f t="shared" ref="AF93:AH93" si="138">+AF57</f>
        <v/>
      </c>
      <c r="AG93" s="125" t="str">
        <f t="shared" si="138"/>
        <v/>
      </c>
      <c r="AH93" s="125" t="str">
        <f t="shared" si="138"/>
        <v/>
      </c>
    </row>
    <row r="94" spans="1:34" s="88" customFormat="1">
      <c r="A94" s="87">
        <f t="shared" si="106"/>
        <v>46100</v>
      </c>
      <c r="B94" s="35" t="str">
        <f t="shared" si="100"/>
        <v>jueves</v>
      </c>
      <c r="C94" s="121"/>
      <c r="D94" s="125" t="str">
        <f t="shared" si="101"/>
        <v/>
      </c>
      <c r="E94" s="125" t="str">
        <f t="shared" si="101"/>
        <v/>
      </c>
      <c r="F94" s="125" t="str">
        <f t="shared" ref="F94:AE94" si="139">+F58</f>
        <v/>
      </c>
      <c r="G94" s="125" t="str">
        <f t="shared" si="139"/>
        <v/>
      </c>
      <c r="H94" s="125" t="str">
        <f t="shared" si="139"/>
        <v/>
      </c>
      <c r="I94" s="125" t="str">
        <f t="shared" si="139"/>
        <v/>
      </c>
      <c r="J94" s="125" t="str">
        <f t="shared" si="139"/>
        <v/>
      </c>
      <c r="K94" s="125" t="str">
        <f t="shared" si="139"/>
        <v/>
      </c>
      <c r="L94" s="125" t="str">
        <f t="shared" si="139"/>
        <v/>
      </c>
      <c r="M94" s="125" t="str">
        <f t="shared" si="139"/>
        <v/>
      </c>
      <c r="N94" s="125" t="str">
        <f t="shared" si="139"/>
        <v/>
      </c>
      <c r="O94" s="125" t="str">
        <f t="shared" si="139"/>
        <v/>
      </c>
      <c r="P94" s="125" t="str">
        <f t="shared" si="139"/>
        <v/>
      </c>
      <c r="Q94" s="125" t="str">
        <f t="shared" si="139"/>
        <v/>
      </c>
      <c r="R94" s="125" t="str">
        <f t="shared" si="139"/>
        <v/>
      </c>
      <c r="S94" s="125">
        <f t="shared" si="139"/>
        <v>8.8273299877381543E-6</v>
      </c>
      <c r="T94" s="125">
        <f t="shared" si="139"/>
        <v>0</v>
      </c>
      <c r="U94" s="125">
        <f t="shared" si="139"/>
        <v>3.2709593261718591E-4</v>
      </c>
      <c r="V94" s="125">
        <f t="shared" si="139"/>
        <v>11.263963657124261</v>
      </c>
      <c r="W94" s="125">
        <f t="shared" si="139"/>
        <v>24.029540098545944</v>
      </c>
      <c r="X94" s="125">
        <f t="shared" si="139"/>
        <v>0</v>
      </c>
      <c r="Y94" s="125">
        <f t="shared" si="139"/>
        <v>0</v>
      </c>
      <c r="Z94" s="125">
        <f t="shared" si="139"/>
        <v>5.8211341453658614</v>
      </c>
      <c r="AA94" s="125">
        <f t="shared" si="139"/>
        <v>9.5669535436365846E-2</v>
      </c>
      <c r="AB94" s="125">
        <f t="shared" si="139"/>
        <v>0.14868037231763073</v>
      </c>
      <c r="AC94" s="125">
        <f t="shared" si="139"/>
        <v>5.2345155074703331E-2</v>
      </c>
      <c r="AD94" s="125">
        <f t="shared" si="139"/>
        <v>0</v>
      </c>
      <c r="AE94" s="125" t="str">
        <f t="shared" si="139"/>
        <v/>
      </c>
      <c r="AF94" s="125" t="str">
        <f t="shared" ref="AF94:AH94" si="140">+AF58</f>
        <v/>
      </c>
      <c r="AG94" s="125" t="str">
        <f t="shared" si="140"/>
        <v/>
      </c>
      <c r="AH94" s="125" t="str">
        <f t="shared" si="140"/>
        <v/>
      </c>
    </row>
    <row r="95" spans="1:34" s="88" customFormat="1">
      <c r="A95" s="87">
        <f>+A94+1</f>
        <v>46101</v>
      </c>
      <c r="B95" s="35" t="str">
        <f t="shared" si="100"/>
        <v>viernes</v>
      </c>
      <c r="C95" s="121"/>
      <c r="D95" s="125" t="str">
        <f t="shared" si="101"/>
        <v/>
      </c>
      <c r="E95" s="125" t="str">
        <f t="shared" si="101"/>
        <v/>
      </c>
      <c r="F95" s="125" t="str">
        <f t="shared" ref="F95:AE95" si="141">+F59</f>
        <v/>
      </c>
      <c r="G95" s="125" t="str">
        <f t="shared" si="141"/>
        <v/>
      </c>
      <c r="H95" s="125" t="str">
        <f t="shared" si="141"/>
        <v/>
      </c>
      <c r="I95" s="125" t="str">
        <f t="shared" si="141"/>
        <v/>
      </c>
      <c r="J95" s="125" t="str">
        <f t="shared" si="141"/>
        <v/>
      </c>
      <c r="K95" s="125" t="str">
        <f t="shared" si="141"/>
        <v/>
      </c>
      <c r="L95" s="125" t="str">
        <f t="shared" si="141"/>
        <v/>
      </c>
      <c r="M95" s="125" t="str">
        <f t="shared" si="141"/>
        <v/>
      </c>
      <c r="N95" s="125" t="str">
        <f t="shared" si="141"/>
        <v/>
      </c>
      <c r="O95" s="125" t="str">
        <f t="shared" si="141"/>
        <v/>
      </c>
      <c r="P95" s="125" t="str">
        <f t="shared" si="141"/>
        <v/>
      </c>
      <c r="Q95" s="125" t="str">
        <f t="shared" si="141"/>
        <v/>
      </c>
      <c r="R95" s="125" t="str">
        <f t="shared" si="141"/>
        <v/>
      </c>
      <c r="S95" s="125">
        <f t="shared" si="141"/>
        <v>3.0187818234278392E-5</v>
      </c>
      <c r="T95" s="125">
        <f t="shared" si="141"/>
        <v>0</v>
      </c>
      <c r="U95" s="125">
        <f t="shared" si="141"/>
        <v>0</v>
      </c>
      <c r="V95" s="125">
        <f t="shared" si="141"/>
        <v>8.9232770262962597E-4</v>
      </c>
      <c r="W95" s="125">
        <f t="shared" si="141"/>
        <v>18.21063250988724</v>
      </c>
      <c r="X95" s="125">
        <f t="shared" si="141"/>
        <v>0</v>
      </c>
      <c r="Y95" s="125">
        <f t="shared" si="141"/>
        <v>0</v>
      </c>
      <c r="Z95" s="125">
        <f t="shared" si="141"/>
        <v>62.202314557324101</v>
      </c>
      <c r="AA95" s="125">
        <f t="shared" si="141"/>
        <v>0.90287336584456701</v>
      </c>
      <c r="AB95" s="125">
        <f t="shared" si="141"/>
        <v>0.29901229653789119</v>
      </c>
      <c r="AC95" s="125">
        <f t="shared" si="141"/>
        <v>0.29834783044620145</v>
      </c>
      <c r="AD95" s="125">
        <f t="shared" si="141"/>
        <v>0</v>
      </c>
      <c r="AE95" s="125" t="str">
        <f t="shared" si="141"/>
        <v/>
      </c>
      <c r="AF95" s="125" t="str">
        <f t="shared" ref="AF95:AH95" si="142">+AF59</f>
        <v/>
      </c>
      <c r="AG95" s="125" t="str">
        <f t="shared" si="142"/>
        <v/>
      </c>
      <c r="AH95" s="125" t="str">
        <f t="shared" si="142"/>
        <v/>
      </c>
    </row>
    <row r="96" spans="1:34" s="88" customFormat="1">
      <c r="A96" s="87">
        <f t="shared" si="106"/>
        <v>46102</v>
      </c>
      <c r="B96" s="35" t="str">
        <f t="shared" si="100"/>
        <v>sábado</v>
      </c>
      <c r="C96" s="121"/>
      <c r="D96" s="125" t="str">
        <f t="shared" si="101"/>
        <v/>
      </c>
      <c r="E96" s="125" t="str">
        <f t="shared" si="101"/>
        <v/>
      </c>
      <c r="F96" s="125" t="str">
        <f t="shared" ref="F96:AE96" si="143">+F60</f>
        <v/>
      </c>
      <c r="G96" s="125" t="str">
        <f t="shared" si="143"/>
        <v/>
      </c>
      <c r="H96" s="125" t="str">
        <f t="shared" si="143"/>
        <v/>
      </c>
      <c r="I96" s="125" t="str">
        <f t="shared" si="143"/>
        <v/>
      </c>
      <c r="J96" s="125" t="str">
        <f t="shared" si="143"/>
        <v/>
      </c>
      <c r="K96" s="125" t="str">
        <f t="shared" si="143"/>
        <v/>
      </c>
      <c r="L96" s="125" t="str">
        <f t="shared" si="143"/>
        <v/>
      </c>
      <c r="M96" s="125" t="str">
        <f t="shared" si="143"/>
        <v/>
      </c>
      <c r="N96" s="125" t="str">
        <f t="shared" si="143"/>
        <v/>
      </c>
      <c r="O96" s="125" t="str">
        <f t="shared" si="143"/>
        <v/>
      </c>
      <c r="P96" s="125" t="str">
        <f t="shared" si="143"/>
        <v/>
      </c>
      <c r="Q96" s="125" t="str">
        <f t="shared" si="143"/>
        <v/>
      </c>
      <c r="R96" s="125" t="str">
        <f t="shared" si="143"/>
        <v/>
      </c>
      <c r="S96" s="125">
        <f t="shared" si="143"/>
        <v>6.9131980919059411E-5</v>
      </c>
      <c r="T96" s="125">
        <f t="shared" si="143"/>
        <v>0</v>
      </c>
      <c r="U96" s="125">
        <f t="shared" si="143"/>
        <v>0</v>
      </c>
      <c r="V96" s="125">
        <f t="shared" si="143"/>
        <v>0</v>
      </c>
      <c r="W96" s="125">
        <f t="shared" si="143"/>
        <v>0</v>
      </c>
      <c r="X96" s="125">
        <f t="shared" si="143"/>
        <v>12.188838083174328</v>
      </c>
      <c r="Y96" s="125">
        <f t="shared" si="143"/>
        <v>0</v>
      </c>
      <c r="Z96" s="125">
        <f t="shared" si="143"/>
        <v>58.512063745618569</v>
      </c>
      <c r="AA96" s="125">
        <f t="shared" si="143"/>
        <v>1.0097302790061777</v>
      </c>
      <c r="AB96" s="125">
        <f t="shared" si="143"/>
        <v>0.62524516775092687</v>
      </c>
      <c r="AC96" s="125">
        <f t="shared" si="143"/>
        <v>0</v>
      </c>
      <c r="AD96" s="125">
        <f t="shared" si="143"/>
        <v>0</v>
      </c>
      <c r="AE96" s="125" t="str">
        <f t="shared" si="143"/>
        <v/>
      </c>
      <c r="AF96" s="125" t="str">
        <f t="shared" ref="AF96:AH96" si="144">+AF60</f>
        <v/>
      </c>
      <c r="AG96" s="125" t="str">
        <f t="shared" si="144"/>
        <v/>
      </c>
      <c r="AH96" s="125" t="str">
        <f t="shared" si="144"/>
        <v/>
      </c>
    </row>
    <row r="97" spans="1:40" s="88" customFormat="1">
      <c r="A97" s="122">
        <f t="shared" si="106"/>
        <v>46103</v>
      </c>
      <c r="B97" s="123" t="str">
        <f t="shared" si="100"/>
        <v>domingo</v>
      </c>
      <c r="C97" s="125"/>
      <c r="D97" s="125" t="str">
        <f t="shared" si="101"/>
        <v/>
      </c>
      <c r="E97" s="125" t="str">
        <f t="shared" si="101"/>
        <v/>
      </c>
      <c r="F97" s="125" t="str">
        <f t="shared" ref="F97:AE97" si="145">+F61</f>
        <v/>
      </c>
      <c r="G97" s="125" t="str">
        <f t="shared" si="145"/>
        <v/>
      </c>
      <c r="H97" s="125" t="str">
        <f t="shared" si="145"/>
        <v/>
      </c>
      <c r="I97" s="125" t="str">
        <f t="shared" si="145"/>
        <v/>
      </c>
      <c r="J97" s="125" t="str">
        <f t="shared" si="145"/>
        <v/>
      </c>
      <c r="K97" s="125" t="str">
        <f t="shared" si="145"/>
        <v/>
      </c>
      <c r="L97" s="125" t="str">
        <f t="shared" si="145"/>
        <v/>
      </c>
      <c r="M97" s="125" t="str">
        <f t="shared" si="145"/>
        <v/>
      </c>
      <c r="N97" s="125" t="str">
        <f t="shared" si="145"/>
        <v/>
      </c>
      <c r="O97" s="125" t="str">
        <f t="shared" si="145"/>
        <v/>
      </c>
      <c r="P97" s="125" t="str">
        <f t="shared" si="145"/>
        <v/>
      </c>
      <c r="Q97" s="125" t="str">
        <f t="shared" si="145"/>
        <v/>
      </c>
      <c r="R97" s="125" t="str">
        <f t="shared" si="145"/>
        <v/>
      </c>
      <c r="S97" s="125">
        <f t="shared" si="145"/>
        <v>1.4902422789797327E-4</v>
      </c>
      <c r="T97" s="125">
        <f t="shared" si="145"/>
        <v>0</v>
      </c>
      <c r="U97" s="125">
        <f t="shared" si="145"/>
        <v>0</v>
      </c>
      <c r="V97" s="125">
        <f t="shared" si="145"/>
        <v>0</v>
      </c>
      <c r="W97" s="125">
        <f t="shared" si="145"/>
        <v>2.138080744590721E-5</v>
      </c>
      <c r="X97" s="125">
        <f t="shared" si="145"/>
        <v>3.7177075844171986E-4</v>
      </c>
      <c r="Y97" s="125">
        <f t="shared" si="145"/>
        <v>9.4937474372336972</v>
      </c>
      <c r="Z97" s="125">
        <f t="shared" si="145"/>
        <v>47.023699021900427</v>
      </c>
      <c r="AA97" s="125">
        <f t="shared" si="145"/>
        <v>11.472518450998079</v>
      </c>
      <c r="AB97" s="125">
        <f t="shared" si="145"/>
        <v>0.70633601711265692</v>
      </c>
      <c r="AC97" s="125">
        <f t="shared" si="145"/>
        <v>0.3844410783551328</v>
      </c>
      <c r="AD97" s="125">
        <f t="shared" si="145"/>
        <v>0</v>
      </c>
      <c r="AE97" s="125" t="str">
        <f t="shared" si="145"/>
        <v/>
      </c>
      <c r="AF97" s="125" t="str">
        <f t="shared" ref="AF97:AH97" si="146">+AF61</f>
        <v/>
      </c>
      <c r="AG97" s="125" t="str">
        <f t="shared" si="146"/>
        <v/>
      </c>
      <c r="AH97" s="125" t="str">
        <f t="shared" si="146"/>
        <v/>
      </c>
    </row>
    <row r="98" spans="1:40" s="88" customFormat="1">
      <c r="A98" s="122">
        <f t="shared" si="106"/>
        <v>46104</v>
      </c>
      <c r="B98" s="123" t="str">
        <f t="shared" si="100"/>
        <v>lunes</v>
      </c>
      <c r="C98" s="125"/>
      <c r="D98" s="125" t="str">
        <f t="shared" si="101"/>
        <v/>
      </c>
      <c r="E98" s="125" t="str">
        <f t="shared" si="101"/>
        <v/>
      </c>
      <c r="F98" s="125" t="str">
        <f t="shared" ref="F98:AE98" si="147">+F62</f>
        <v/>
      </c>
      <c r="G98" s="125" t="str">
        <f t="shared" si="147"/>
        <v/>
      </c>
      <c r="H98" s="125" t="str">
        <f t="shared" si="147"/>
        <v/>
      </c>
      <c r="I98" s="125" t="str">
        <f t="shared" si="147"/>
        <v/>
      </c>
      <c r="J98" s="125" t="str">
        <f t="shared" si="147"/>
        <v/>
      </c>
      <c r="K98" s="125" t="str">
        <f t="shared" si="147"/>
        <v/>
      </c>
      <c r="L98" s="125" t="str">
        <f t="shared" si="147"/>
        <v/>
      </c>
      <c r="M98" s="125" t="str">
        <f t="shared" si="147"/>
        <v/>
      </c>
      <c r="N98" s="125" t="str">
        <f t="shared" si="147"/>
        <v/>
      </c>
      <c r="O98" s="125" t="str">
        <f t="shared" si="147"/>
        <v/>
      </c>
      <c r="P98" s="125" t="str">
        <f t="shared" si="147"/>
        <v/>
      </c>
      <c r="Q98" s="125" t="str">
        <f t="shared" si="147"/>
        <v/>
      </c>
      <c r="R98" s="125" t="str">
        <f t="shared" si="147"/>
        <v/>
      </c>
      <c r="S98" s="125" t="str">
        <f t="shared" si="147"/>
        <v/>
      </c>
      <c r="T98" s="125" t="str">
        <f t="shared" si="147"/>
        <v/>
      </c>
      <c r="U98" s="125" t="str">
        <f t="shared" si="147"/>
        <v/>
      </c>
      <c r="V98" s="125" t="str">
        <f t="shared" si="147"/>
        <v/>
      </c>
      <c r="W98" s="125" t="str">
        <f t="shared" si="147"/>
        <v/>
      </c>
      <c r="X98" s="125" t="str">
        <f t="shared" si="147"/>
        <v/>
      </c>
      <c r="Y98" s="125" t="str">
        <f t="shared" si="147"/>
        <v/>
      </c>
      <c r="Z98" s="125">
        <f t="shared" si="147"/>
        <v>21.094135282343128</v>
      </c>
      <c r="AA98" s="125">
        <f t="shared" si="147"/>
        <v>38.901966914852515</v>
      </c>
      <c r="AB98" s="125">
        <f t="shared" si="147"/>
        <v>8.3143662300517018</v>
      </c>
      <c r="AC98" s="125">
        <f t="shared" si="147"/>
        <v>0.5664965701454272</v>
      </c>
      <c r="AD98" s="125">
        <f t="shared" si="147"/>
        <v>0.27473375143516915</v>
      </c>
      <c r="AE98" s="125">
        <f t="shared" si="147"/>
        <v>0</v>
      </c>
      <c r="AF98" s="125">
        <f t="shared" ref="AF98:AH98" si="148">+AF62</f>
        <v>0</v>
      </c>
      <c r="AG98" s="125">
        <f t="shared" si="148"/>
        <v>0.25804434162780082</v>
      </c>
      <c r="AH98" s="125">
        <f t="shared" si="148"/>
        <v>3.2583536000310109E-2</v>
      </c>
    </row>
    <row r="99" spans="1:40" s="88" customFormat="1">
      <c r="A99" s="87">
        <f t="shared" si="106"/>
        <v>46105</v>
      </c>
      <c r="B99" s="35" t="str">
        <f t="shared" si="100"/>
        <v>martes</v>
      </c>
      <c r="C99" s="121"/>
      <c r="D99" s="125" t="str">
        <f t="shared" si="101"/>
        <v/>
      </c>
      <c r="E99" s="125" t="str">
        <f t="shared" si="101"/>
        <v/>
      </c>
      <c r="F99" s="125" t="str">
        <f t="shared" ref="F99:AE99" si="149">+F63</f>
        <v/>
      </c>
      <c r="G99" s="125" t="str">
        <f t="shared" si="149"/>
        <v/>
      </c>
      <c r="H99" s="125" t="str">
        <f t="shared" si="149"/>
        <v/>
      </c>
      <c r="I99" s="125" t="str">
        <f t="shared" si="149"/>
        <v/>
      </c>
      <c r="J99" s="125" t="str">
        <f t="shared" si="149"/>
        <v/>
      </c>
      <c r="K99" s="125" t="str">
        <f t="shared" si="149"/>
        <v/>
      </c>
      <c r="L99" s="125" t="str">
        <f t="shared" si="149"/>
        <v/>
      </c>
      <c r="M99" s="125" t="str">
        <f t="shared" si="149"/>
        <v/>
      </c>
      <c r="N99" s="125" t="str">
        <f t="shared" si="149"/>
        <v/>
      </c>
      <c r="O99" s="125" t="str">
        <f t="shared" si="149"/>
        <v/>
      </c>
      <c r="P99" s="125" t="str">
        <f t="shared" si="149"/>
        <v/>
      </c>
      <c r="Q99" s="125" t="str">
        <f t="shared" si="149"/>
        <v/>
      </c>
      <c r="R99" s="125" t="str">
        <f t="shared" si="149"/>
        <v/>
      </c>
      <c r="S99" s="125" t="str">
        <f t="shared" si="149"/>
        <v/>
      </c>
      <c r="T99" s="125" t="str">
        <f t="shared" si="149"/>
        <v/>
      </c>
      <c r="U99" s="125" t="str">
        <f t="shared" si="149"/>
        <v/>
      </c>
      <c r="V99" s="125" t="str">
        <f t="shared" si="149"/>
        <v/>
      </c>
      <c r="W99" s="125" t="str">
        <f t="shared" si="149"/>
        <v/>
      </c>
      <c r="X99" s="125" t="str">
        <f t="shared" si="149"/>
        <v/>
      </c>
      <c r="Y99" s="125" t="str">
        <f t="shared" si="149"/>
        <v/>
      </c>
      <c r="Z99" s="125">
        <f t="shared" si="149"/>
        <v>0</v>
      </c>
      <c r="AA99" s="125">
        <f t="shared" si="149"/>
        <v>16.506968233102736</v>
      </c>
      <c r="AB99" s="125">
        <f t="shared" si="149"/>
        <v>35.526802922527288</v>
      </c>
      <c r="AC99" s="125">
        <f t="shared" si="149"/>
        <v>7.0246899522850779</v>
      </c>
      <c r="AD99" s="125">
        <f t="shared" si="149"/>
        <v>0.61052040056388768</v>
      </c>
      <c r="AE99" s="125">
        <f t="shared" si="149"/>
        <v>0</v>
      </c>
      <c r="AF99" s="125">
        <f t="shared" ref="AF99:AH99" si="150">+AF63</f>
        <v>0</v>
      </c>
      <c r="AG99" s="125">
        <f t="shared" si="150"/>
        <v>0.35023903850418397</v>
      </c>
      <c r="AH99" s="125">
        <f t="shared" si="150"/>
        <v>5.8652916163287917E-2</v>
      </c>
    </row>
    <row r="100" spans="1:40" s="88" customFormat="1">
      <c r="A100" s="87">
        <f t="shared" si="106"/>
        <v>46106</v>
      </c>
      <c r="B100" s="35" t="str">
        <f t="shared" si="100"/>
        <v>miércoles</v>
      </c>
      <c r="C100" s="121"/>
      <c r="D100" s="125" t="str">
        <f t="shared" si="101"/>
        <v/>
      </c>
      <c r="E100" s="125" t="str">
        <f t="shared" si="101"/>
        <v/>
      </c>
      <c r="F100" s="125" t="str">
        <f t="shared" ref="F100:AE100" si="151">+F64</f>
        <v/>
      </c>
      <c r="G100" s="125" t="str">
        <f t="shared" si="151"/>
        <v/>
      </c>
      <c r="H100" s="125" t="str">
        <f t="shared" si="151"/>
        <v/>
      </c>
      <c r="I100" s="125" t="str">
        <f t="shared" si="151"/>
        <v/>
      </c>
      <c r="J100" s="125" t="str">
        <f t="shared" si="151"/>
        <v/>
      </c>
      <c r="K100" s="125" t="str">
        <f t="shared" si="151"/>
        <v/>
      </c>
      <c r="L100" s="125" t="str">
        <f t="shared" si="151"/>
        <v/>
      </c>
      <c r="M100" s="125" t="str">
        <f t="shared" si="151"/>
        <v/>
      </c>
      <c r="N100" s="125" t="str">
        <f t="shared" si="151"/>
        <v/>
      </c>
      <c r="O100" s="125" t="str">
        <f t="shared" si="151"/>
        <v/>
      </c>
      <c r="P100" s="125" t="str">
        <f t="shared" si="151"/>
        <v/>
      </c>
      <c r="Q100" s="125" t="str">
        <f t="shared" si="151"/>
        <v/>
      </c>
      <c r="R100" s="125" t="str">
        <f t="shared" si="151"/>
        <v/>
      </c>
      <c r="S100" s="125" t="str">
        <f t="shared" si="151"/>
        <v/>
      </c>
      <c r="T100" s="125" t="str">
        <f t="shared" si="151"/>
        <v/>
      </c>
      <c r="U100" s="125" t="str">
        <f t="shared" si="151"/>
        <v/>
      </c>
      <c r="V100" s="125" t="str">
        <f t="shared" si="151"/>
        <v/>
      </c>
      <c r="W100" s="125" t="str">
        <f t="shared" si="151"/>
        <v/>
      </c>
      <c r="X100" s="125" t="str">
        <f t="shared" si="151"/>
        <v/>
      </c>
      <c r="Y100" s="125" t="str">
        <f t="shared" si="151"/>
        <v/>
      </c>
      <c r="Z100" s="125">
        <f t="shared" si="151"/>
        <v>6.7933325970215977E-5</v>
      </c>
      <c r="AA100" s="125">
        <f t="shared" si="151"/>
        <v>0</v>
      </c>
      <c r="AB100" s="125">
        <f t="shared" si="151"/>
        <v>15.621242405497801</v>
      </c>
      <c r="AC100" s="125">
        <f t="shared" si="151"/>
        <v>31.036575919884303</v>
      </c>
      <c r="AD100" s="125">
        <f t="shared" si="151"/>
        <v>6.6401781238305011</v>
      </c>
      <c r="AE100" s="125">
        <f t="shared" si="151"/>
        <v>0</v>
      </c>
      <c r="AF100" s="125">
        <f t="shared" ref="AF100:AH100" si="152">+AF64</f>
        <v>0</v>
      </c>
      <c r="AG100" s="125">
        <f t="shared" si="152"/>
        <v>0.85951268173741469</v>
      </c>
      <c r="AH100" s="125">
        <f t="shared" si="152"/>
        <v>0.17089836218738272</v>
      </c>
      <c r="AI100" s="84"/>
      <c r="AJ100" s="84"/>
      <c r="AK100" s="84"/>
      <c r="AL100" s="84"/>
      <c r="AM100" s="84"/>
      <c r="AN100" s="84">
        <f>+AN64</f>
        <v>0</v>
      </c>
    </row>
    <row r="101" spans="1:40" s="88" customFormat="1">
      <c r="A101" s="87">
        <f t="shared" si="106"/>
        <v>46107</v>
      </c>
      <c r="B101" s="35" t="str">
        <f t="shared" si="100"/>
        <v>jueves</v>
      </c>
      <c r="C101" s="121"/>
      <c r="D101" s="125" t="str">
        <f t="shared" si="101"/>
        <v/>
      </c>
      <c r="E101" s="125" t="str">
        <f t="shared" si="101"/>
        <v/>
      </c>
      <c r="F101" s="125" t="str">
        <f t="shared" ref="F101:AE101" si="153">+F65</f>
        <v/>
      </c>
      <c r="G101" s="125" t="str">
        <f t="shared" si="153"/>
        <v/>
      </c>
      <c r="H101" s="125" t="str">
        <f t="shared" si="153"/>
        <v/>
      </c>
      <c r="I101" s="125" t="str">
        <f t="shared" si="153"/>
        <v/>
      </c>
      <c r="J101" s="125" t="str">
        <f t="shared" si="153"/>
        <v/>
      </c>
      <c r="K101" s="125" t="str">
        <f t="shared" si="153"/>
        <v/>
      </c>
      <c r="L101" s="125" t="str">
        <f t="shared" si="153"/>
        <v/>
      </c>
      <c r="M101" s="125" t="str">
        <f t="shared" si="153"/>
        <v/>
      </c>
      <c r="N101" s="125" t="str">
        <f t="shared" si="153"/>
        <v/>
      </c>
      <c r="O101" s="125" t="str">
        <f t="shared" si="153"/>
        <v/>
      </c>
      <c r="P101" s="125" t="str">
        <f t="shared" si="153"/>
        <v/>
      </c>
      <c r="Q101" s="125" t="str">
        <f t="shared" si="153"/>
        <v/>
      </c>
      <c r="R101" s="125" t="str">
        <f t="shared" si="153"/>
        <v/>
      </c>
      <c r="S101" s="125" t="str">
        <f t="shared" si="153"/>
        <v/>
      </c>
      <c r="T101" s="125" t="str">
        <f t="shared" si="153"/>
        <v/>
      </c>
      <c r="U101" s="125" t="str">
        <f t="shared" si="153"/>
        <v/>
      </c>
      <c r="V101" s="125" t="str">
        <f t="shared" si="153"/>
        <v/>
      </c>
      <c r="W101" s="125" t="str">
        <f t="shared" si="153"/>
        <v/>
      </c>
      <c r="X101" s="125" t="str">
        <f t="shared" si="153"/>
        <v/>
      </c>
      <c r="Y101" s="125" t="str">
        <f t="shared" si="153"/>
        <v/>
      </c>
      <c r="Z101" s="125">
        <f t="shared" si="153"/>
        <v>9.1755155361660685E-6</v>
      </c>
      <c r="AA101" s="125">
        <f t="shared" si="153"/>
        <v>0</v>
      </c>
      <c r="AB101" s="125">
        <f t="shared" si="153"/>
        <v>3.3999791734473742E-4</v>
      </c>
      <c r="AC101" s="125">
        <f t="shared" si="153"/>
        <v>11.708259879070852</v>
      </c>
      <c r="AD101" s="125">
        <f t="shared" si="153"/>
        <v>24.977362215687233</v>
      </c>
      <c r="AE101" s="125">
        <f t="shared" si="153"/>
        <v>0</v>
      </c>
      <c r="AF101" s="125">
        <f t="shared" ref="AF101:AH101" si="154">+AF65</f>
        <v>0</v>
      </c>
      <c r="AG101" s="125">
        <f t="shared" si="154"/>
        <v>6.0507431877027971</v>
      </c>
      <c r="AH101" s="125">
        <f t="shared" si="154"/>
        <v>9.9443128324592081E-2</v>
      </c>
      <c r="AI101" s="84"/>
      <c r="AJ101" s="84"/>
      <c r="AK101" s="84"/>
      <c r="AL101" s="84"/>
      <c r="AM101" s="84"/>
      <c r="AN101" s="84">
        <f>+AN65</f>
        <v>0</v>
      </c>
    </row>
    <row r="102" spans="1:40" s="88" customFormat="1">
      <c r="A102" s="87">
        <f t="shared" si="106"/>
        <v>46108</v>
      </c>
      <c r="B102" s="35" t="str">
        <f t="shared" si="100"/>
        <v>viernes</v>
      </c>
      <c r="C102" s="121"/>
      <c r="D102" s="125" t="str">
        <f t="shared" si="101"/>
        <v/>
      </c>
      <c r="E102" s="125" t="str">
        <f t="shared" si="101"/>
        <v/>
      </c>
      <c r="F102" s="125" t="str">
        <f t="shared" ref="F102:AE102" si="155">+F66</f>
        <v/>
      </c>
      <c r="G102" s="125" t="str">
        <f t="shared" si="155"/>
        <v/>
      </c>
      <c r="H102" s="125" t="str">
        <f t="shared" si="155"/>
        <v/>
      </c>
      <c r="I102" s="125" t="str">
        <f t="shared" si="155"/>
        <v/>
      </c>
      <c r="J102" s="125" t="str">
        <f t="shared" si="155"/>
        <v/>
      </c>
      <c r="K102" s="125" t="str">
        <f t="shared" si="155"/>
        <v/>
      </c>
      <c r="L102" s="125" t="str">
        <f t="shared" si="155"/>
        <v/>
      </c>
      <c r="M102" s="125" t="str">
        <f t="shared" si="155"/>
        <v/>
      </c>
      <c r="N102" s="125" t="str">
        <f t="shared" si="155"/>
        <v/>
      </c>
      <c r="O102" s="125" t="str">
        <f t="shared" si="155"/>
        <v/>
      </c>
      <c r="P102" s="125" t="str">
        <f t="shared" si="155"/>
        <v/>
      </c>
      <c r="Q102" s="125" t="str">
        <f t="shared" si="155"/>
        <v/>
      </c>
      <c r="R102" s="125" t="str">
        <f t="shared" si="155"/>
        <v/>
      </c>
      <c r="S102" s="125" t="str">
        <f t="shared" si="155"/>
        <v/>
      </c>
      <c r="T102" s="125" t="str">
        <f t="shared" si="155"/>
        <v/>
      </c>
      <c r="U102" s="125" t="str">
        <f t="shared" si="155"/>
        <v/>
      </c>
      <c r="V102" s="125" t="str">
        <f t="shared" si="155"/>
        <v/>
      </c>
      <c r="W102" s="125" t="str">
        <f t="shared" si="155"/>
        <v/>
      </c>
      <c r="X102" s="125" t="str">
        <f t="shared" si="155"/>
        <v/>
      </c>
      <c r="Y102" s="125" t="str">
        <f t="shared" si="155"/>
        <v/>
      </c>
      <c r="Z102" s="125">
        <f t="shared" si="155"/>
        <v>2.1022900297849159E-5</v>
      </c>
      <c r="AA102" s="125">
        <f t="shared" si="155"/>
        <v>0</v>
      </c>
      <c r="AB102" s="125">
        <f t="shared" si="155"/>
        <v>0</v>
      </c>
      <c r="AC102" s="125">
        <f t="shared" si="155"/>
        <v>6.2142007679409368E-4</v>
      </c>
      <c r="AD102" s="125">
        <f t="shared" si="155"/>
        <v>12.681947023962577</v>
      </c>
      <c r="AE102" s="125">
        <f t="shared" si="155"/>
        <v>0</v>
      </c>
      <c r="AF102" s="125">
        <f t="shared" ref="AF102:AH102" si="156">+AF66</f>
        <v>0</v>
      </c>
      <c r="AG102" s="125">
        <f t="shared" si="156"/>
        <v>43.317905490407639</v>
      </c>
      <c r="AH102" s="125">
        <f t="shared" si="156"/>
        <v>0.62876411287586187</v>
      </c>
      <c r="AI102" s="84"/>
      <c r="AJ102" s="84"/>
      <c r="AK102" s="84"/>
      <c r="AL102" s="84"/>
      <c r="AM102" s="84"/>
      <c r="AN102" s="84">
        <f>+AN66</f>
        <v>0</v>
      </c>
    </row>
    <row r="103" spans="1:40" s="88" customFormat="1">
      <c r="A103" s="87">
        <f t="shared" si="106"/>
        <v>46109</v>
      </c>
      <c r="B103" s="35" t="str">
        <f t="shared" si="100"/>
        <v>sábado</v>
      </c>
      <c r="C103" s="121"/>
      <c r="D103" s="125" t="str">
        <f t="shared" si="101"/>
        <v/>
      </c>
      <c r="E103" s="125" t="str">
        <f t="shared" si="101"/>
        <v/>
      </c>
      <c r="F103" s="125" t="str">
        <f t="shared" ref="F103:AE103" si="157">+F67</f>
        <v/>
      </c>
      <c r="G103" s="125" t="str">
        <f t="shared" si="157"/>
        <v/>
      </c>
      <c r="H103" s="125" t="str">
        <f t="shared" si="157"/>
        <v/>
      </c>
      <c r="I103" s="125" t="str">
        <f t="shared" si="157"/>
        <v/>
      </c>
      <c r="J103" s="125" t="str">
        <f t="shared" si="157"/>
        <v/>
      </c>
      <c r="K103" s="125" t="str">
        <f t="shared" si="157"/>
        <v/>
      </c>
      <c r="L103" s="125" t="str">
        <f t="shared" si="157"/>
        <v/>
      </c>
      <c r="M103" s="125" t="str">
        <f t="shared" si="157"/>
        <v/>
      </c>
      <c r="N103" s="125" t="str">
        <f t="shared" si="157"/>
        <v/>
      </c>
      <c r="O103" s="125" t="str">
        <f t="shared" si="157"/>
        <v/>
      </c>
      <c r="P103" s="125" t="str">
        <f t="shared" si="157"/>
        <v/>
      </c>
      <c r="Q103" s="125" t="str">
        <f t="shared" si="157"/>
        <v/>
      </c>
      <c r="R103" s="125" t="str">
        <f t="shared" si="157"/>
        <v/>
      </c>
      <c r="S103" s="125" t="str">
        <f t="shared" si="157"/>
        <v/>
      </c>
      <c r="T103" s="125" t="str">
        <f t="shared" si="157"/>
        <v/>
      </c>
      <c r="U103" s="125" t="str">
        <f t="shared" si="157"/>
        <v/>
      </c>
      <c r="V103" s="125" t="str">
        <f t="shared" si="157"/>
        <v/>
      </c>
      <c r="W103" s="125" t="str">
        <f t="shared" si="157"/>
        <v/>
      </c>
      <c r="X103" s="125" t="str">
        <f t="shared" si="157"/>
        <v/>
      </c>
      <c r="Y103" s="125" t="str">
        <f t="shared" si="157"/>
        <v/>
      </c>
      <c r="Z103" s="125">
        <f t="shared" si="157"/>
        <v>5.7866274392385019E-5</v>
      </c>
      <c r="AA103" s="125">
        <f t="shared" si="157"/>
        <v>0</v>
      </c>
      <c r="AB103" s="125">
        <f t="shared" si="157"/>
        <v>0</v>
      </c>
      <c r="AC103" s="125">
        <f t="shared" si="157"/>
        <v>0</v>
      </c>
      <c r="AD103" s="125">
        <f t="shared" si="157"/>
        <v>0</v>
      </c>
      <c r="AE103" s="125">
        <f t="shared" si="157"/>
        <v>10.202552272747957</v>
      </c>
      <c r="AF103" s="125">
        <f t="shared" ref="AF103:AH103" si="158">+AF67</f>
        <v>0</v>
      </c>
      <c r="AG103" s="125">
        <f t="shared" si="158"/>
        <v>48.976972610301914</v>
      </c>
      <c r="AH103" s="125">
        <f t="shared" si="158"/>
        <v>0.84518523280391378</v>
      </c>
      <c r="AI103" s="84"/>
      <c r="AJ103" s="84"/>
      <c r="AK103" s="84"/>
      <c r="AL103" s="84"/>
      <c r="AM103" s="84"/>
      <c r="AN103" s="84">
        <f>+AN67</f>
        <v>0</v>
      </c>
    </row>
    <row r="104" spans="1:40" s="88" customFormat="1">
      <c r="A104" s="87">
        <f t="shared" si="106"/>
        <v>46110</v>
      </c>
      <c r="B104" s="35" t="str">
        <f t="shared" ref="B104:B105" si="159">+TEXT(A104,"dddddd")</f>
        <v>domingo</v>
      </c>
      <c r="C104" s="121"/>
      <c r="D104" s="125" t="str">
        <f t="shared" ref="D104:AH104" si="160">+D68</f>
        <v/>
      </c>
      <c r="E104" s="125" t="str">
        <f t="shared" si="160"/>
        <v/>
      </c>
      <c r="F104" s="125" t="str">
        <f t="shared" si="160"/>
        <v/>
      </c>
      <c r="G104" s="125" t="str">
        <f t="shared" si="160"/>
        <v/>
      </c>
      <c r="H104" s="125" t="str">
        <f t="shared" si="160"/>
        <v/>
      </c>
      <c r="I104" s="125" t="str">
        <f t="shared" si="160"/>
        <v/>
      </c>
      <c r="J104" s="125" t="str">
        <f t="shared" si="160"/>
        <v/>
      </c>
      <c r="K104" s="125" t="str">
        <f t="shared" si="160"/>
        <v/>
      </c>
      <c r="L104" s="125" t="str">
        <f t="shared" si="160"/>
        <v/>
      </c>
      <c r="M104" s="125" t="str">
        <f t="shared" si="160"/>
        <v/>
      </c>
      <c r="N104" s="125" t="str">
        <f t="shared" si="160"/>
        <v/>
      </c>
      <c r="O104" s="125" t="str">
        <f t="shared" si="160"/>
        <v/>
      </c>
      <c r="P104" s="125" t="str">
        <f t="shared" si="160"/>
        <v/>
      </c>
      <c r="Q104" s="125" t="str">
        <f t="shared" si="160"/>
        <v/>
      </c>
      <c r="R104" s="125" t="str">
        <f t="shared" si="160"/>
        <v/>
      </c>
      <c r="S104" s="125" t="str">
        <f t="shared" si="160"/>
        <v/>
      </c>
      <c r="T104" s="125" t="str">
        <f t="shared" si="160"/>
        <v/>
      </c>
      <c r="U104" s="125" t="str">
        <f t="shared" si="160"/>
        <v/>
      </c>
      <c r="V104" s="125" t="str">
        <f t="shared" si="160"/>
        <v/>
      </c>
      <c r="W104" s="125" t="str">
        <f t="shared" si="160"/>
        <v/>
      </c>
      <c r="X104" s="125" t="str">
        <f t="shared" si="160"/>
        <v/>
      </c>
      <c r="Y104" s="125" t="str">
        <f t="shared" si="160"/>
        <v/>
      </c>
      <c r="Z104" s="125">
        <f t="shared" si="160"/>
        <v>1.3393052667254942E-4</v>
      </c>
      <c r="AA104" s="125">
        <f t="shared" si="160"/>
        <v>0</v>
      </c>
      <c r="AB104" s="125">
        <f t="shared" si="160"/>
        <v>0</v>
      </c>
      <c r="AC104" s="125">
        <f t="shared" si="160"/>
        <v>0</v>
      </c>
      <c r="AD104" s="125">
        <f t="shared" si="160"/>
        <v>1.9215283597209384E-5</v>
      </c>
      <c r="AE104" s="125">
        <f t="shared" si="160"/>
        <v>3.341165002622359E-4</v>
      </c>
      <c r="AF104" s="125">
        <f t="shared" si="160"/>
        <v>8.5321870966873021</v>
      </c>
      <c r="AG104" s="125">
        <f t="shared" si="160"/>
        <v>42.260972359516742</v>
      </c>
      <c r="AH104" s="125">
        <f t="shared" si="160"/>
        <v>10.310541178946179</v>
      </c>
      <c r="AI104" s="84"/>
      <c r="AJ104" s="84"/>
      <c r="AK104" s="84"/>
      <c r="AL104" s="84"/>
      <c r="AM104" s="84"/>
      <c r="AN104" s="84"/>
    </row>
    <row r="105" spans="1:40" s="88" customFormat="1">
      <c r="A105" s="87">
        <f t="shared" si="106"/>
        <v>46111</v>
      </c>
      <c r="B105" s="35" t="str">
        <f t="shared" si="159"/>
        <v>lunes</v>
      </c>
      <c r="C105" s="121"/>
      <c r="D105" s="125" t="str">
        <f t="shared" ref="D105:AH106" si="161">+D69</f>
        <v/>
      </c>
      <c r="E105" s="125" t="str">
        <f t="shared" si="161"/>
        <v/>
      </c>
      <c r="F105" s="125" t="str">
        <f t="shared" si="161"/>
        <v/>
      </c>
      <c r="G105" s="125" t="str">
        <f t="shared" si="161"/>
        <v/>
      </c>
      <c r="H105" s="125" t="str">
        <f t="shared" si="161"/>
        <v/>
      </c>
      <c r="I105" s="125" t="str">
        <f t="shared" si="161"/>
        <v/>
      </c>
      <c r="J105" s="125" t="str">
        <f t="shared" si="161"/>
        <v/>
      </c>
      <c r="K105" s="125" t="str">
        <f t="shared" si="161"/>
        <v/>
      </c>
      <c r="L105" s="125" t="str">
        <f t="shared" si="161"/>
        <v/>
      </c>
      <c r="M105" s="125" t="str">
        <f t="shared" si="161"/>
        <v/>
      </c>
      <c r="N105" s="125" t="str">
        <f t="shared" si="161"/>
        <v/>
      </c>
      <c r="O105" s="125" t="str">
        <f t="shared" si="161"/>
        <v/>
      </c>
      <c r="P105" s="125" t="str">
        <f t="shared" si="161"/>
        <v/>
      </c>
      <c r="Q105" s="125" t="str">
        <f t="shared" si="161"/>
        <v/>
      </c>
      <c r="R105" s="125" t="str">
        <f t="shared" si="161"/>
        <v/>
      </c>
      <c r="S105" s="125" t="str">
        <f t="shared" si="161"/>
        <v/>
      </c>
      <c r="T105" s="125" t="str">
        <f t="shared" si="161"/>
        <v/>
      </c>
      <c r="U105" s="125" t="str">
        <f t="shared" si="161"/>
        <v/>
      </c>
      <c r="V105" s="125" t="str">
        <f t="shared" si="161"/>
        <v/>
      </c>
      <c r="W105" s="125" t="str">
        <f t="shared" si="161"/>
        <v/>
      </c>
      <c r="X105" s="125" t="str">
        <f t="shared" si="161"/>
        <v/>
      </c>
      <c r="Y105" s="125" t="str">
        <f t="shared" si="161"/>
        <v/>
      </c>
      <c r="Z105" s="125" t="str">
        <f t="shared" si="161"/>
        <v/>
      </c>
      <c r="AA105" s="125" t="str">
        <f t="shared" si="161"/>
        <v/>
      </c>
      <c r="AB105" s="125" t="str">
        <f t="shared" si="161"/>
        <v/>
      </c>
      <c r="AC105" s="125" t="str">
        <f t="shared" si="161"/>
        <v/>
      </c>
      <c r="AD105" s="125" t="str">
        <f t="shared" si="161"/>
        <v/>
      </c>
      <c r="AE105" s="125" t="str">
        <f t="shared" si="161"/>
        <v/>
      </c>
      <c r="AF105" s="125" t="str">
        <f t="shared" si="161"/>
        <v/>
      </c>
      <c r="AG105" s="125">
        <f t="shared" si="161"/>
        <v>22.258922093564347</v>
      </c>
      <c r="AH105" s="125">
        <f t="shared" si="161"/>
        <v>41.050075732136591</v>
      </c>
      <c r="AI105" s="84"/>
      <c r="AJ105" s="84"/>
      <c r="AK105" s="84"/>
      <c r="AL105" s="84"/>
      <c r="AM105" s="84"/>
      <c r="AN105" s="84"/>
    </row>
    <row r="106" spans="1:40" s="88" customFormat="1">
      <c r="A106" s="87">
        <f t="shared" si="106"/>
        <v>46112</v>
      </c>
      <c r="B106" s="35" t="str">
        <f t="shared" ref="B106" si="162">+TEXT(A106,"dddddd")</f>
        <v>martes</v>
      </c>
      <c r="C106" s="121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  <c r="AB106" s="125"/>
      <c r="AC106" s="125"/>
      <c r="AD106" s="125" t="str">
        <f t="shared" si="161"/>
        <v/>
      </c>
      <c r="AE106" s="125" t="str">
        <f t="shared" si="161"/>
        <v/>
      </c>
      <c r="AF106" s="125" t="str">
        <f t="shared" si="161"/>
        <v/>
      </c>
      <c r="AG106" s="125" t="e">
        <f t="shared" si="161"/>
        <v>#REF!</v>
      </c>
      <c r="AH106" s="125" t="e">
        <f t="shared" si="161"/>
        <v>#REF!</v>
      </c>
      <c r="AI106" s="84"/>
      <c r="AJ106" s="84"/>
      <c r="AK106" s="84"/>
      <c r="AL106" s="84"/>
      <c r="AM106" s="84"/>
      <c r="AN106" s="84"/>
    </row>
    <row r="107" spans="1:40">
      <c r="C107" s="120"/>
      <c r="D107" s="84">
        <f>+SUM(D75:D106)</f>
        <v>9.5445157107225054</v>
      </c>
      <c r="E107" s="84">
        <f t="shared" ref="E107:AD107" si="163">+SUM(E75:E106)</f>
        <v>184.4565882195387</v>
      </c>
      <c r="F107" s="84">
        <f t="shared" si="163"/>
        <v>53.375514183846221</v>
      </c>
      <c r="G107" s="84">
        <f t="shared" si="163"/>
        <v>43.204293331321715</v>
      </c>
      <c r="H107" s="84">
        <f t="shared" si="163"/>
        <v>44.174291079952241</v>
      </c>
      <c r="I107" s="84">
        <f t="shared" si="163"/>
        <v>43.486206171481463</v>
      </c>
      <c r="J107" s="84">
        <f t="shared" si="163"/>
        <v>10.688762015217568</v>
      </c>
      <c r="K107" s="84">
        <f t="shared" si="163"/>
        <v>7.691849774468972</v>
      </c>
      <c r="L107" s="84">
        <f t="shared" si="163"/>
        <v>158.77989794995602</v>
      </c>
      <c r="M107" s="84">
        <f t="shared" si="163"/>
        <v>56.190105190183296</v>
      </c>
      <c r="N107" s="84">
        <f t="shared" si="163"/>
        <v>57.186874075522837</v>
      </c>
      <c r="O107" s="84">
        <f t="shared" si="163"/>
        <v>46.851122856765841</v>
      </c>
      <c r="P107" s="84">
        <f t="shared" si="163"/>
        <v>39.030052194794642</v>
      </c>
      <c r="Q107" s="84">
        <f t="shared" si="163"/>
        <v>9.6610037848985701</v>
      </c>
      <c r="R107" s="84">
        <f t="shared" si="163"/>
        <v>8.8123220149347574</v>
      </c>
      <c r="S107" s="84">
        <f t="shared" si="163"/>
        <v>155.84982092233327</v>
      </c>
      <c r="T107" s="84">
        <f t="shared" si="163"/>
        <v>59.305331517239857</v>
      </c>
      <c r="U107" s="84">
        <f t="shared" si="163"/>
        <v>56.504674904609338</v>
      </c>
      <c r="V107" s="84">
        <f t="shared" si="163"/>
        <v>49.846143914875825</v>
      </c>
      <c r="W107" s="84">
        <f t="shared" si="163"/>
        <v>49.685305436432849</v>
      </c>
      <c r="X107" s="84">
        <f t="shared" si="163"/>
        <v>12.18920985393277</v>
      </c>
      <c r="Y107" s="84">
        <f t="shared" si="163"/>
        <v>9.4937474372336972</v>
      </c>
      <c r="Z107" s="84">
        <f t="shared" si="163"/>
        <v>196.04573200948334</v>
      </c>
      <c r="AA107" s="84">
        <f t="shared" si="163"/>
        <v>69.141168261912938</v>
      </c>
      <c r="AB107" s="84">
        <f t="shared" si="163"/>
        <v>61.439205936378897</v>
      </c>
      <c r="AC107" s="84">
        <f t="shared" si="163"/>
        <v>51.075863943842201</v>
      </c>
      <c r="AD107" s="84">
        <f t="shared" si="163"/>
        <v>45.192678890905967</v>
      </c>
      <c r="AE107" s="84">
        <f>+SUM(AE75:AE106)</f>
        <v>10.202886389248219</v>
      </c>
      <c r="AF107" s="84">
        <f t="shared" ref="AF107:AH107" si="164">+SUM(AF75:AF106)</f>
        <v>8.5321870966873021</v>
      </c>
      <c r="AG107" s="84" t="e">
        <f t="shared" si="164"/>
        <v>#REF!</v>
      </c>
      <c r="AH107" s="84" t="e">
        <f t="shared" si="164"/>
        <v>#REF!</v>
      </c>
      <c r="AI107" s="459" t="e">
        <f>+SUM(D107:AH107)</f>
        <v>#REF!</v>
      </c>
    </row>
    <row r="112" spans="1:40">
      <c r="E112" s="182"/>
    </row>
    <row r="113" spans="5:5">
      <c r="E113" s="182"/>
    </row>
    <row r="114" spans="5:5">
      <c r="E114" s="182"/>
    </row>
    <row r="115" spans="5:5">
      <c r="E115" s="182"/>
    </row>
    <row r="116" spans="5:5">
      <c r="E116" s="182"/>
    </row>
    <row r="117" spans="5:5">
      <c r="E117" s="182"/>
    </row>
  </sheetData>
  <mergeCells count="2">
    <mergeCell ref="A39:C39"/>
    <mergeCell ref="A75:C75"/>
  </mergeCells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9"/>
  <dimension ref="A1:AM76"/>
  <sheetViews>
    <sheetView showGridLines="0" zoomScale="85" zoomScaleNormal="85" workbookViewId="0">
      <selection activeCell="G1" sqref="G1"/>
    </sheetView>
  </sheetViews>
  <sheetFormatPr baseColWidth="10" defaultColWidth="11.453125" defaultRowHeight="14.5" outlineLevelCol="1"/>
  <cols>
    <col min="1" max="1" width="12" style="5" bestFit="1" customWidth="1" outlineLevel="1"/>
    <col min="2" max="2" width="12.81640625" style="5" bestFit="1" customWidth="1" outlineLevel="1"/>
    <col min="3" max="3" width="24.26953125" style="5" customWidth="1" outlineLevel="1"/>
    <col min="4" max="4" width="26.26953125" style="5" customWidth="1" outlineLevel="1"/>
    <col min="5" max="5" width="19.1796875" bestFit="1" customWidth="1" outlineLevel="1"/>
    <col min="6" max="6" width="13" customWidth="1" outlineLevel="1"/>
    <col min="7" max="7" width="16.26953125" bestFit="1" customWidth="1" outlineLevel="1"/>
    <col min="8" max="8" width="16.26953125" customWidth="1" outlineLevel="1"/>
    <col min="9" max="9" width="23.453125" bestFit="1" customWidth="1" outlineLevel="1"/>
    <col min="10" max="10" width="16.26953125" customWidth="1" outlineLevel="1"/>
    <col min="11" max="11" width="16.26953125" style="137" customWidth="1" outlineLevel="1"/>
    <col min="12" max="12" width="13.54296875" style="137" bestFit="1" customWidth="1" outlineLevel="1"/>
  </cols>
  <sheetData>
    <row r="1" spans="1:39">
      <c r="A1" s="5" t="s">
        <v>103</v>
      </c>
      <c r="B1" s="5" t="s">
        <v>413</v>
      </c>
      <c r="C1" s="5" t="s">
        <v>414</v>
      </c>
      <c r="D1" s="5" t="s">
        <v>447</v>
      </c>
      <c r="E1" s="5" t="s">
        <v>415</v>
      </c>
      <c r="G1">
        <f>+COUNT(A2:A32)</f>
        <v>31</v>
      </c>
      <c r="H1" s="185"/>
      <c r="I1" t="s">
        <v>416</v>
      </c>
      <c r="J1" s="722" t="s">
        <v>417</v>
      </c>
      <c r="K1" s="722"/>
    </row>
    <row r="2" spans="1:39">
      <c r="A2" s="186">
        <v>46082</v>
      </c>
      <c r="B2" s="5" t="str">
        <f>+TEXT(WEEKDAY(A2),"DDDDD")</f>
        <v>domingo</v>
      </c>
      <c r="C2" s="187">
        <f>IFERROR(+Resumen!C72,0)</f>
        <v>69.450154613859993</v>
      </c>
      <c r="D2" s="187">
        <f>+'Fecha Proceso'!D107</f>
        <v>9.5445157107225054</v>
      </c>
      <c r="E2" s="187">
        <v>9.5553197067000006</v>
      </c>
      <c r="F2" s="187">
        <f t="shared" ref="F2:F31" si="0">E2-D2</f>
        <v>1.0803995977495262E-2</v>
      </c>
      <c r="I2" s="137">
        <v>1852844693.4289401</v>
      </c>
      <c r="J2" s="137">
        <f>+K2/1000000</f>
        <v>1415.11066591688</v>
      </c>
      <c r="K2" s="137">
        <v>1415110665.9168799</v>
      </c>
      <c r="L2" s="16">
        <f t="shared" ref="L2:L30" si="1">+G2/K2-1</f>
        <v>-1</v>
      </c>
    </row>
    <row r="3" spans="1:39">
      <c r="A3" s="186">
        <f>+A2+1</f>
        <v>46083</v>
      </c>
      <c r="B3" s="5" t="str">
        <f t="shared" ref="B3:B32" si="2">+TEXT(WEEKDAY(A3),"DDDDD")</f>
        <v>lunes</v>
      </c>
      <c r="C3" s="187">
        <f>IFERROR(+Resumen!C73,0)</f>
        <v>54.145314768989998</v>
      </c>
      <c r="D3" s="187">
        <f>+'Fecha Proceso'!E107</f>
        <v>184.4565882195387</v>
      </c>
      <c r="E3" s="375">
        <v>184.86573361773998</v>
      </c>
      <c r="F3" s="187">
        <f t="shared" si="0"/>
        <v>0.40914539820127516</v>
      </c>
      <c r="G3" s="182"/>
      <c r="H3" s="156">
        <v>1.6762686837</v>
      </c>
      <c r="I3" s="137">
        <v>1856551261.6484663</v>
      </c>
      <c r="J3" s="137">
        <f t="shared" ref="J3:J30" si="3">+K3/1000000</f>
        <v>1435.55061529469</v>
      </c>
      <c r="K3" s="137">
        <v>1435550615.2946901</v>
      </c>
      <c r="L3" s="16">
        <f t="shared" si="1"/>
        <v>-1</v>
      </c>
    </row>
    <row r="4" spans="1:39">
      <c r="A4" s="186">
        <f t="shared" ref="A4:A32" si="4">+A3+1</f>
        <v>46084</v>
      </c>
      <c r="B4" s="5" t="str">
        <f t="shared" si="2"/>
        <v>martes</v>
      </c>
      <c r="C4" s="187">
        <f>IFERROR(+Resumen!C74,0)</f>
        <v>36.973360684900001</v>
      </c>
      <c r="D4" s="187">
        <f>+'Fecha Proceso'!F107</f>
        <v>53.375514183846221</v>
      </c>
      <c r="E4" s="375">
        <v>65.058314707660003</v>
      </c>
      <c r="F4" s="187">
        <f t="shared" si="0"/>
        <v>11.682800523813782</v>
      </c>
      <c r="G4" s="182"/>
      <c r="H4" s="156">
        <v>69.232543424650004</v>
      </c>
      <c r="I4" s="137">
        <v>1826205410.5059891</v>
      </c>
      <c r="J4" s="137">
        <f t="shared" si="3"/>
        <v>1422.2479142994</v>
      </c>
      <c r="K4" s="137">
        <v>1422247914.2994001</v>
      </c>
      <c r="L4" s="16">
        <f t="shared" si="1"/>
        <v>-1</v>
      </c>
    </row>
    <row r="5" spans="1:39">
      <c r="A5" s="186">
        <f t="shared" si="4"/>
        <v>46085</v>
      </c>
      <c r="B5" s="5" t="str">
        <f t="shared" si="2"/>
        <v>miércoles</v>
      </c>
      <c r="C5" s="187">
        <f>IFERROR(+Resumen!C75,0)</f>
        <v>49.389049673140001</v>
      </c>
      <c r="D5" s="187">
        <f>+'Fecha Proceso'!G107</f>
        <v>43.204293331321715</v>
      </c>
      <c r="E5" s="375">
        <v>60.84205663945</v>
      </c>
      <c r="F5" s="187">
        <f t="shared" si="0"/>
        <v>17.637763308128285</v>
      </c>
      <c r="G5" s="182"/>
      <c r="H5" s="156">
        <v>25.810177500049999</v>
      </c>
      <c r="I5" s="137">
        <v>1803331745.4020903</v>
      </c>
      <c r="J5" s="137">
        <f t="shared" si="3"/>
        <v>1423.8091352741101</v>
      </c>
      <c r="K5" s="137">
        <v>1423809135.2741101</v>
      </c>
      <c r="L5" s="16">
        <f t="shared" si="1"/>
        <v>-1</v>
      </c>
    </row>
    <row r="6" spans="1:39">
      <c r="A6" s="186">
        <f t="shared" si="4"/>
        <v>46086</v>
      </c>
      <c r="B6" s="5" t="str">
        <f t="shared" si="2"/>
        <v>jueves</v>
      </c>
      <c r="C6" s="187">
        <f>IFERROR(+Resumen!C76,0)</f>
        <v>39.947746357020002</v>
      </c>
      <c r="D6" s="187">
        <f>+'Fecha Proceso'!H107</f>
        <v>44.174291079952241</v>
      </c>
      <c r="E6" s="187">
        <v>62.363382268220001</v>
      </c>
      <c r="F6" s="187">
        <f t="shared" si="0"/>
        <v>18.18909118826776</v>
      </c>
      <c r="I6" s="137">
        <v>1834948520.2841566</v>
      </c>
      <c r="J6" s="137">
        <f t="shared" si="3"/>
        <v>1418.8044290646901</v>
      </c>
      <c r="K6" s="137">
        <v>1418804429.0646901</v>
      </c>
      <c r="L6" s="16">
        <f t="shared" si="1"/>
        <v>-1</v>
      </c>
    </row>
    <row r="7" spans="1:39">
      <c r="A7" s="186">
        <f t="shared" si="4"/>
        <v>46087</v>
      </c>
      <c r="B7" s="5" t="str">
        <f t="shared" si="2"/>
        <v>viernes</v>
      </c>
      <c r="C7" s="187">
        <f>IFERROR(+Resumen!C77,0)</f>
        <v>61.58556499665</v>
      </c>
      <c r="D7" s="187">
        <f>+'Fecha Proceso'!I107</f>
        <v>43.486206171481463</v>
      </c>
      <c r="E7" s="375">
        <v>57.680370511909999</v>
      </c>
      <c r="F7" s="187">
        <f t="shared" si="0"/>
        <v>14.194164340428536</v>
      </c>
      <c r="G7" s="182"/>
      <c r="H7" s="156">
        <v>24.73167331458</v>
      </c>
      <c r="I7" s="137">
        <v>1857355534.6537309</v>
      </c>
      <c r="J7" s="137">
        <f t="shared" si="3"/>
        <v>1417.89708424575</v>
      </c>
      <c r="K7" s="137">
        <v>1417897084.24575</v>
      </c>
      <c r="L7" s="16">
        <f t="shared" si="1"/>
        <v>-1</v>
      </c>
      <c r="AM7" s="187"/>
    </row>
    <row r="8" spans="1:39">
      <c r="A8" s="186">
        <f t="shared" si="4"/>
        <v>46088</v>
      </c>
      <c r="B8" s="5" t="str">
        <f t="shared" si="2"/>
        <v>sábado</v>
      </c>
      <c r="C8" s="187">
        <f>IFERROR(+Resumen!C78,0)</f>
        <v>63.431738435360003</v>
      </c>
      <c r="D8" s="187">
        <f>+'Fecha Proceso'!J107</f>
        <v>10.688762015217568</v>
      </c>
      <c r="E8" s="375">
        <v>10.336995813330001</v>
      </c>
      <c r="F8" s="187">
        <f t="shared" si="0"/>
        <v>-0.35176620188756758</v>
      </c>
      <c r="G8" s="182"/>
      <c r="H8" s="188">
        <v>26.35831400388</v>
      </c>
      <c r="I8" s="137">
        <v>1855464679.6540799</v>
      </c>
      <c r="J8" s="137">
        <f t="shared" si="3"/>
        <v>1417.89708424575</v>
      </c>
      <c r="K8" s="137">
        <v>1417897084.24575</v>
      </c>
      <c r="L8" s="16">
        <f t="shared" si="1"/>
        <v>-1</v>
      </c>
    </row>
    <row r="9" spans="1:39">
      <c r="A9" s="186">
        <f t="shared" si="4"/>
        <v>46089</v>
      </c>
      <c r="B9" s="5" t="str">
        <f t="shared" si="2"/>
        <v>domingo</v>
      </c>
      <c r="C9" s="187">
        <f>IFERROR(+Resumen!C79,0)</f>
        <v>55.969330691480003</v>
      </c>
      <c r="D9" s="187">
        <f>+'Fecha Proceso'!K107</f>
        <v>7.691849774468972</v>
      </c>
      <c r="E9" s="375">
        <v>5.69359800328</v>
      </c>
      <c r="F9" s="187">
        <f t="shared" si="0"/>
        <v>-1.998251771188972</v>
      </c>
      <c r="G9" s="182"/>
      <c r="H9" s="188">
        <v>2.5292033629800001</v>
      </c>
      <c r="I9" s="137">
        <v>1850189016.9468212</v>
      </c>
      <c r="J9" s="137">
        <f t="shared" si="3"/>
        <v>1417.89708424575</v>
      </c>
      <c r="K9" s="137">
        <v>1417897084.24575</v>
      </c>
      <c r="L9" s="16">
        <f t="shared" si="1"/>
        <v>-1</v>
      </c>
    </row>
    <row r="10" spans="1:39">
      <c r="A10" s="186">
        <f t="shared" si="4"/>
        <v>46090</v>
      </c>
      <c r="B10" s="5" t="str">
        <f t="shared" si="2"/>
        <v>lunes</v>
      </c>
      <c r="C10" s="187">
        <f>IFERROR(+Resumen!C80,0)</f>
        <v>52.036932866599997</v>
      </c>
      <c r="D10" s="187">
        <f>+'Fecha Proceso'!L107</f>
        <v>158.77989794995602</v>
      </c>
      <c r="E10" s="187">
        <v>137.82663516790001</v>
      </c>
      <c r="F10" s="187">
        <f t="shared" si="0"/>
        <v>-20.953262782056015</v>
      </c>
      <c r="G10" s="187"/>
    </row>
    <row r="11" spans="1:39">
      <c r="A11" s="186">
        <f t="shared" si="4"/>
        <v>46091</v>
      </c>
      <c r="B11" s="5" t="str">
        <f t="shared" si="2"/>
        <v>martes</v>
      </c>
      <c r="C11" s="187">
        <f>IFERROR(+Resumen!C81,0)</f>
        <v>57.908774223659996</v>
      </c>
      <c r="D11" s="187">
        <f>+'Fecha Proceso'!M107</f>
        <v>56.190105190183296</v>
      </c>
      <c r="E11" s="375">
        <v>55.900101279799998</v>
      </c>
      <c r="F11" s="187">
        <f t="shared" si="0"/>
        <v>-0.29000391038329809</v>
      </c>
      <c r="G11" s="161"/>
      <c r="H11" s="188">
        <v>69.599663329270001</v>
      </c>
      <c r="I11" s="137">
        <v>1832347206.1973894</v>
      </c>
      <c r="J11" s="137">
        <f t="shared" si="3"/>
        <v>1407.9362353373599</v>
      </c>
      <c r="K11" s="137">
        <v>1407936235.3373599</v>
      </c>
      <c r="L11" s="16">
        <f t="shared" si="1"/>
        <v>-1</v>
      </c>
    </row>
    <row r="12" spans="1:39">
      <c r="A12" s="186">
        <f t="shared" si="4"/>
        <v>46092</v>
      </c>
      <c r="B12" s="5" t="str">
        <f t="shared" si="2"/>
        <v>miércoles</v>
      </c>
      <c r="C12" s="187">
        <f>IFERROR(+Resumen!C82,0)</f>
        <v>52.595859892340002</v>
      </c>
      <c r="D12" s="187">
        <f>+'Fecha Proceso'!N107</f>
        <v>57.186874075522837</v>
      </c>
      <c r="E12" s="575">
        <f t="shared" ref="E12:E32" si="5">+D12</f>
        <v>57.186874075522837</v>
      </c>
      <c r="F12" s="187">
        <f t="shared" si="0"/>
        <v>0</v>
      </c>
      <c r="G12" s="161"/>
      <c r="H12" s="188">
        <v>22.885523016530001</v>
      </c>
      <c r="I12" s="161">
        <v>1820033715.80266</v>
      </c>
      <c r="J12" s="137">
        <f t="shared" si="3"/>
        <v>1407.5301580160201</v>
      </c>
      <c r="K12" s="137">
        <v>1407530158.0160201</v>
      </c>
      <c r="L12" s="16">
        <f t="shared" si="1"/>
        <v>-1</v>
      </c>
    </row>
    <row r="13" spans="1:39">
      <c r="A13" s="186">
        <f t="shared" si="4"/>
        <v>46093</v>
      </c>
      <c r="B13" s="5" t="str">
        <f t="shared" si="2"/>
        <v>jueves</v>
      </c>
      <c r="C13" s="187">
        <f>IFERROR(+Resumen!C83,0)</f>
        <v>33.390565760400001</v>
      </c>
      <c r="D13" s="187">
        <f>+'Fecha Proceso'!O107</f>
        <v>46.851122856765841</v>
      </c>
      <c r="E13" s="575">
        <f t="shared" si="5"/>
        <v>46.851122856765841</v>
      </c>
      <c r="F13" s="187">
        <f t="shared" si="0"/>
        <v>0</v>
      </c>
      <c r="G13" s="161"/>
      <c r="H13" s="188">
        <v>28.587387903269999</v>
      </c>
      <c r="I13" s="161">
        <v>1835356196.24505</v>
      </c>
      <c r="J13" s="137">
        <f t="shared" si="3"/>
        <v>1397.01925690595</v>
      </c>
      <c r="K13" s="137">
        <v>1397019256.9059501</v>
      </c>
      <c r="L13" s="16">
        <f t="shared" si="1"/>
        <v>-1</v>
      </c>
    </row>
    <row r="14" spans="1:39">
      <c r="A14" s="186">
        <f t="shared" si="4"/>
        <v>46094</v>
      </c>
      <c r="B14" s="5" t="str">
        <f t="shared" si="2"/>
        <v>viernes</v>
      </c>
      <c r="C14" s="187">
        <f>IFERROR(+Resumen!C84,0)</f>
        <v>55.94746848682</v>
      </c>
      <c r="D14" s="187">
        <f>+'Fecha Proceso'!P107</f>
        <v>39.030052194794642</v>
      </c>
      <c r="E14" s="575">
        <f t="shared" si="5"/>
        <v>39.030052194794642</v>
      </c>
      <c r="F14" s="187">
        <f t="shared" si="0"/>
        <v>0</v>
      </c>
      <c r="G14" s="161"/>
      <c r="H14" s="161">
        <v>25.06050441068</v>
      </c>
      <c r="I14" s="161">
        <v>1831258137.236167</v>
      </c>
      <c r="J14" s="137">
        <f t="shared" si="3"/>
        <v>1390.8853272612</v>
      </c>
      <c r="K14" s="137">
        <v>1390885327.2612</v>
      </c>
      <c r="L14" s="16">
        <f t="shared" si="1"/>
        <v>-1</v>
      </c>
      <c r="AM14" s="187"/>
    </row>
    <row r="15" spans="1:39">
      <c r="A15" s="186">
        <f t="shared" si="4"/>
        <v>46095</v>
      </c>
      <c r="B15" s="5" t="str">
        <f t="shared" si="2"/>
        <v>sábado</v>
      </c>
      <c r="C15" s="187">
        <f>IFERROR(+Resumen!C85,0)</f>
        <v>57.3321441505</v>
      </c>
      <c r="D15" s="187">
        <f>+'Fecha Proceso'!Q107</f>
        <v>9.6610037848985701</v>
      </c>
      <c r="E15" s="575">
        <f t="shared" si="5"/>
        <v>9.6610037848985701</v>
      </c>
      <c r="F15" s="187">
        <f t="shared" si="0"/>
        <v>0</v>
      </c>
      <c r="G15" s="161"/>
      <c r="H15" s="161">
        <v>28.219396704480001</v>
      </c>
      <c r="I15" s="161">
        <v>1832350647.4643822</v>
      </c>
      <c r="J15" s="137">
        <f t="shared" si="3"/>
        <v>1390.8853272612</v>
      </c>
      <c r="K15" s="137">
        <v>1390885327.2612</v>
      </c>
      <c r="L15" s="16">
        <f t="shared" si="1"/>
        <v>-1</v>
      </c>
    </row>
    <row r="16" spans="1:39">
      <c r="A16" s="186">
        <f t="shared" si="4"/>
        <v>46096</v>
      </c>
      <c r="B16" s="5" t="str">
        <f t="shared" si="2"/>
        <v>domingo</v>
      </c>
      <c r="C16" s="187">
        <f>IFERROR(+Resumen!C86,0)</f>
        <v>64.122386613789999</v>
      </c>
      <c r="D16" s="187">
        <f>+'Fecha Proceso'!R107</f>
        <v>8.8123220149347574</v>
      </c>
      <c r="E16" s="575">
        <f t="shared" si="5"/>
        <v>8.8123220149347574</v>
      </c>
      <c r="F16" s="187">
        <f t="shared" si="0"/>
        <v>0</v>
      </c>
      <c r="K16" s="187"/>
      <c r="L16" s="187"/>
    </row>
    <row r="17" spans="1:39">
      <c r="A17" s="186">
        <f t="shared" si="4"/>
        <v>46097</v>
      </c>
      <c r="B17" s="5" t="str">
        <f t="shared" si="2"/>
        <v>lunes</v>
      </c>
      <c r="C17" s="187">
        <f>IFERROR(+Resumen!C87,0)</f>
        <v>56.954018859919998</v>
      </c>
      <c r="D17" s="187">
        <f>+'Fecha Proceso'!S107</f>
        <v>155.84982092233327</v>
      </c>
      <c r="E17" s="575">
        <f t="shared" si="5"/>
        <v>155.84982092233327</v>
      </c>
      <c r="F17" s="187">
        <f t="shared" si="0"/>
        <v>0</v>
      </c>
      <c r="G17" s="161"/>
      <c r="H17" s="161">
        <v>1.58340178015</v>
      </c>
      <c r="I17" s="161">
        <v>1800669798.8156199</v>
      </c>
      <c r="J17" s="137">
        <f t="shared" si="3"/>
        <v>1351.9260227744801</v>
      </c>
      <c r="K17" s="137">
        <v>1351926022.7744801</v>
      </c>
      <c r="L17" s="16">
        <f t="shared" si="1"/>
        <v>-1</v>
      </c>
    </row>
    <row r="18" spans="1:39">
      <c r="A18" s="186">
        <f t="shared" si="4"/>
        <v>46098</v>
      </c>
      <c r="B18" s="5" t="str">
        <f t="shared" si="2"/>
        <v>martes</v>
      </c>
      <c r="C18" s="187">
        <f>IFERROR(+Resumen!C88,0)</f>
        <v>54.7826827114</v>
      </c>
      <c r="D18" s="187">
        <f>+'Fecha Proceso'!T107</f>
        <v>59.305331517239857</v>
      </c>
      <c r="E18" s="575">
        <f t="shared" si="5"/>
        <v>59.305331517239857</v>
      </c>
      <c r="F18" s="187">
        <f t="shared" si="0"/>
        <v>0</v>
      </c>
      <c r="G18" s="161"/>
      <c r="H18" s="161">
        <v>74.258209622099997</v>
      </c>
      <c r="I18" s="161">
        <v>1790710383.2351501</v>
      </c>
      <c r="J18" s="137">
        <f t="shared" si="3"/>
        <v>1347.22175053772</v>
      </c>
      <c r="K18" s="137">
        <v>1347221750.53772</v>
      </c>
      <c r="L18" s="16">
        <f t="shared" si="1"/>
        <v>-1</v>
      </c>
    </row>
    <row r="19" spans="1:39">
      <c r="A19" s="186">
        <f t="shared" si="4"/>
        <v>46099</v>
      </c>
      <c r="B19" s="5" t="str">
        <f t="shared" si="2"/>
        <v>miércoles</v>
      </c>
      <c r="C19" s="187">
        <f>IFERROR(+Resumen!C89,0)</f>
        <v>54.563293576760003</v>
      </c>
      <c r="D19" s="187">
        <f>+'Fecha Proceso'!U107</f>
        <v>56.504674904609338</v>
      </c>
      <c r="E19" s="575">
        <f t="shared" si="5"/>
        <v>56.504674904609338</v>
      </c>
      <c r="F19" s="187">
        <f t="shared" si="0"/>
        <v>0</v>
      </c>
      <c r="G19" s="161"/>
      <c r="H19" s="161">
        <v>25.485190014819999</v>
      </c>
      <c r="I19" s="161">
        <v>1779509670.4529274</v>
      </c>
      <c r="J19" s="137">
        <f t="shared" si="3"/>
        <v>1346.0933529992001</v>
      </c>
      <c r="K19" s="137">
        <v>1346093352.9992001</v>
      </c>
      <c r="L19" s="16">
        <f t="shared" si="1"/>
        <v>-1</v>
      </c>
    </row>
    <row r="20" spans="1:39">
      <c r="A20" s="186">
        <f t="shared" si="4"/>
        <v>46100</v>
      </c>
      <c r="B20" s="5" t="str">
        <f t="shared" si="2"/>
        <v>jueves</v>
      </c>
      <c r="C20" s="187">
        <f>IFERROR(+Resumen!C90,0)</f>
        <v>41.411147659100003</v>
      </c>
      <c r="D20" s="187">
        <f>+'Fecha Proceso'!V107</f>
        <v>49.846143914875825</v>
      </c>
      <c r="E20" s="575">
        <f t="shared" si="5"/>
        <v>49.846143914875825</v>
      </c>
      <c r="F20" s="187">
        <f t="shared" si="0"/>
        <v>0</v>
      </c>
      <c r="G20" s="161"/>
      <c r="H20" s="161">
        <v>29.392847846359999</v>
      </c>
      <c r="I20" s="161">
        <v>1816246853.7055037</v>
      </c>
      <c r="J20" s="137">
        <f t="shared" si="3"/>
        <v>1346.8980683247501</v>
      </c>
      <c r="K20" s="137">
        <v>1346898068.3247499</v>
      </c>
      <c r="L20" s="16">
        <f t="shared" si="1"/>
        <v>-1</v>
      </c>
    </row>
    <row r="21" spans="1:39">
      <c r="A21" s="186">
        <f t="shared" si="4"/>
        <v>46101</v>
      </c>
      <c r="B21" s="5" t="str">
        <f t="shared" si="2"/>
        <v>viernes</v>
      </c>
      <c r="C21" s="187">
        <f>IFERROR(+Resumen!C91,0)</f>
        <v>81.913180560040004</v>
      </c>
      <c r="D21" s="187">
        <f>+'Fecha Proceso'!W107</f>
        <v>49.685305436432849</v>
      </c>
      <c r="E21" s="575">
        <f t="shared" si="5"/>
        <v>49.685305436432849</v>
      </c>
      <c r="F21" s="187">
        <f t="shared" si="0"/>
        <v>0</v>
      </c>
      <c r="G21" s="161"/>
      <c r="H21" s="161">
        <v>27.49504816979</v>
      </c>
      <c r="I21" s="161">
        <v>1834287179.6456664</v>
      </c>
      <c r="J21" s="137">
        <f t="shared" si="3"/>
        <v>1339.17876247908</v>
      </c>
      <c r="K21" s="137">
        <v>1339178762.47908</v>
      </c>
      <c r="L21" s="16">
        <f t="shared" si="1"/>
        <v>-1</v>
      </c>
      <c r="AM21" s="187"/>
    </row>
    <row r="22" spans="1:39">
      <c r="A22" s="186">
        <f t="shared" si="4"/>
        <v>46102</v>
      </c>
      <c r="B22" s="5" t="str">
        <f t="shared" si="2"/>
        <v>sábado</v>
      </c>
      <c r="C22" s="187">
        <f>IFERROR(+Resumen!C92,0)</f>
        <v>72.335877275550004</v>
      </c>
      <c r="D22" s="187">
        <f>+'Fecha Proceso'!X107</f>
        <v>12.18920985393277</v>
      </c>
      <c r="E22" s="575">
        <f t="shared" si="5"/>
        <v>12.18920985393277</v>
      </c>
      <c r="F22" s="187">
        <f t="shared" si="0"/>
        <v>0</v>
      </c>
      <c r="G22" s="187"/>
      <c r="J22" s="187"/>
      <c r="K22" s="187"/>
      <c r="L22" s="187"/>
    </row>
    <row r="23" spans="1:39">
      <c r="A23" s="186">
        <f t="shared" si="4"/>
        <v>46103</v>
      </c>
      <c r="B23" s="5" t="str">
        <f t="shared" si="2"/>
        <v>domingo</v>
      </c>
      <c r="C23" s="187">
        <f>IFERROR(+Resumen!C93,0)</f>
        <v>69.080742005600001</v>
      </c>
      <c r="D23" s="187">
        <f>+'Fecha Proceso'!Y107</f>
        <v>9.4937474372336972</v>
      </c>
      <c r="E23" s="575">
        <f t="shared" si="5"/>
        <v>9.4937474372336972</v>
      </c>
      <c r="F23" s="187">
        <f t="shared" si="0"/>
        <v>0</v>
      </c>
      <c r="G23" s="161"/>
      <c r="H23" s="161">
        <v>3.2764214062399999</v>
      </c>
      <c r="I23" s="161">
        <v>1841514042.9448431</v>
      </c>
      <c r="J23" s="137">
        <f t="shared" si="3"/>
        <v>1339.17876247908</v>
      </c>
      <c r="K23" s="137">
        <v>1339178762.47908</v>
      </c>
      <c r="L23" s="16">
        <f t="shared" si="1"/>
        <v>-1</v>
      </c>
    </row>
    <row r="24" spans="1:39">
      <c r="A24" s="186">
        <f t="shared" si="4"/>
        <v>46104</v>
      </c>
      <c r="B24" s="5" t="str">
        <f t="shared" si="2"/>
        <v>lunes</v>
      </c>
      <c r="C24" s="187">
        <f>IFERROR(+Resumen!C94,0)</f>
        <v>69.501410634029995</v>
      </c>
      <c r="D24" s="187">
        <f>+'Fecha Proceso'!Z107</f>
        <v>196.04573200948334</v>
      </c>
      <c r="E24" s="575">
        <f t="shared" si="5"/>
        <v>196.04573200948334</v>
      </c>
      <c r="F24" s="187">
        <f t="shared" si="0"/>
        <v>0</v>
      </c>
      <c r="G24" s="161"/>
      <c r="H24" s="161">
        <v>1.5315851627999999</v>
      </c>
      <c r="I24" s="161">
        <v>1839067907.4496231</v>
      </c>
      <c r="J24" s="137">
        <f t="shared" si="3"/>
        <v>1358.6235400005801</v>
      </c>
      <c r="K24" s="137">
        <v>1358623540.0005801</v>
      </c>
      <c r="L24" s="16">
        <f t="shared" si="1"/>
        <v>-1</v>
      </c>
    </row>
    <row r="25" spans="1:39">
      <c r="A25" s="186">
        <f t="shared" si="4"/>
        <v>46105</v>
      </c>
      <c r="B25" s="5" t="str">
        <f t="shared" si="2"/>
        <v>martes</v>
      </c>
      <c r="C25" s="187">
        <f>IFERROR(+Resumen!C95,0)</f>
        <v>60.136748694799998</v>
      </c>
      <c r="D25" s="187">
        <f>+'Fecha Proceso'!AA107</f>
        <v>69.141168261912938</v>
      </c>
      <c r="E25" s="575">
        <f t="shared" si="5"/>
        <v>69.141168261912938</v>
      </c>
      <c r="F25" s="187">
        <f t="shared" si="0"/>
        <v>0</v>
      </c>
      <c r="G25" s="161"/>
      <c r="H25" s="161">
        <v>73.130916588849999</v>
      </c>
      <c r="I25" s="161">
        <v>1833166359.4095447</v>
      </c>
      <c r="J25" s="137">
        <f t="shared" si="3"/>
        <v>1365.3310018591401</v>
      </c>
      <c r="K25" s="137">
        <v>1365331001.8591402</v>
      </c>
      <c r="L25" s="16">
        <f t="shared" si="1"/>
        <v>-1</v>
      </c>
    </row>
    <row r="26" spans="1:39">
      <c r="A26" s="186">
        <f t="shared" si="4"/>
        <v>46106</v>
      </c>
      <c r="B26" s="5" t="str">
        <f t="shared" si="2"/>
        <v>miércoles</v>
      </c>
      <c r="C26" s="187">
        <f>IFERROR(+Resumen!C96,0)</f>
        <v>54.432363589719998</v>
      </c>
      <c r="D26" s="187">
        <f>+'Fecha Proceso'!AB107</f>
        <v>61.439205936378897</v>
      </c>
      <c r="E26" s="575">
        <f t="shared" si="5"/>
        <v>61.439205936378897</v>
      </c>
      <c r="F26" s="187">
        <f t="shared" si="0"/>
        <v>0</v>
      </c>
      <c r="G26" s="161"/>
      <c r="H26" s="161">
        <v>27.613341708789999</v>
      </c>
      <c r="I26" s="161">
        <v>1828132574.3408003</v>
      </c>
      <c r="J26" s="137">
        <f t="shared" si="3"/>
        <v>1372.7869909769199</v>
      </c>
      <c r="K26" s="137">
        <v>1372786990.9769199</v>
      </c>
      <c r="L26" s="16">
        <f t="shared" si="1"/>
        <v>-1</v>
      </c>
    </row>
    <row r="27" spans="1:39">
      <c r="A27" s="186">
        <f t="shared" si="4"/>
        <v>46107</v>
      </c>
      <c r="B27" s="5" t="str">
        <f t="shared" si="2"/>
        <v>jueves</v>
      </c>
      <c r="C27" s="187">
        <f>IFERROR(+Resumen!C97,0)</f>
        <v>43.044570582989998</v>
      </c>
      <c r="D27" s="187">
        <f>+'Fecha Proceso'!AC107</f>
        <v>51.075863943842201</v>
      </c>
      <c r="E27" s="575">
        <f t="shared" si="5"/>
        <v>51.075863943842201</v>
      </c>
      <c r="F27" s="187">
        <f t="shared" si="0"/>
        <v>0</v>
      </c>
      <c r="I27" s="161">
        <v>1885066049.0204175</v>
      </c>
      <c r="J27" s="137">
        <f t="shared" si="3"/>
        <v>1377.9366708550999</v>
      </c>
      <c r="K27" s="137">
        <v>1377936670.8550999</v>
      </c>
      <c r="L27" s="16">
        <f>+D30/K27-1</f>
        <v>-0.99999999380799764</v>
      </c>
    </row>
    <row r="28" spans="1:39">
      <c r="A28" s="186">
        <f t="shared" si="4"/>
        <v>46108</v>
      </c>
      <c r="B28" s="5" t="str">
        <f t="shared" si="2"/>
        <v>viernes</v>
      </c>
      <c r="C28" s="187">
        <f>IFERROR(+Resumen!C98,0)</f>
        <v>57.044620271299998</v>
      </c>
      <c r="D28" s="187">
        <f>+'Fecha Proceso'!AD107</f>
        <v>45.192678890905967</v>
      </c>
      <c r="E28" s="575">
        <f t="shared" si="5"/>
        <v>45.192678890905967</v>
      </c>
      <c r="F28" s="375">
        <f t="shared" si="0"/>
        <v>0</v>
      </c>
      <c r="G28" s="161"/>
      <c r="H28" s="161">
        <v>16.640234204750001</v>
      </c>
      <c r="I28" s="161">
        <v>1903007022.2748735</v>
      </c>
      <c r="J28" s="137">
        <f t="shared" si="3"/>
        <v>1377.9366708550999</v>
      </c>
      <c r="K28" s="137">
        <v>1377936670.8550999</v>
      </c>
      <c r="L28" s="16">
        <f t="shared" si="1"/>
        <v>-1</v>
      </c>
      <c r="AM28" s="187"/>
    </row>
    <row r="29" spans="1:39">
      <c r="A29" s="186">
        <f t="shared" si="4"/>
        <v>46109</v>
      </c>
      <c r="B29" s="5" t="str">
        <f t="shared" si="2"/>
        <v>sábado</v>
      </c>
      <c r="C29" s="187">
        <f>IFERROR(+Resumen!C99,0)</f>
        <v>60.548065702640002</v>
      </c>
      <c r="D29" s="187">
        <f>+'Fecha Proceso'!AE107</f>
        <v>10.202886389248219</v>
      </c>
      <c r="E29" s="575">
        <f t="shared" si="5"/>
        <v>10.202886389248219</v>
      </c>
      <c r="F29" s="375">
        <f t="shared" si="0"/>
        <v>0</v>
      </c>
      <c r="G29" s="161"/>
      <c r="H29" s="161"/>
      <c r="I29" s="161">
        <v>1918004159.682447</v>
      </c>
      <c r="J29" s="137">
        <f t="shared" si="3"/>
        <v>1377.9366708550999</v>
      </c>
      <c r="K29" s="137">
        <v>1377936670.8550999</v>
      </c>
      <c r="L29" s="16">
        <f t="shared" si="1"/>
        <v>-1</v>
      </c>
    </row>
    <row r="30" spans="1:39">
      <c r="A30" s="186">
        <f t="shared" si="4"/>
        <v>46110</v>
      </c>
      <c r="B30" s="5" t="str">
        <f t="shared" si="2"/>
        <v>domingo</v>
      </c>
      <c r="C30" s="187">
        <f>IFERROR(+Resumen!C100,0)</f>
        <v>62.083999965929998</v>
      </c>
      <c r="D30" s="187">
        <f>+'Fecha Proceso'!AF107</f>
        <v>8.5321870966873021</v>
      </c>
      <c r="E30" s="575">
        <f t="shared" si="5"/>
        <v>8.5321870966873021</v>
      </c>
      <c r="F30" s="375">
        <f t="shared" si="0"/>
        <v>0</v>
      </c>
      <c r="G30" s="161"/>
      <c r="H30" s="161"/>
      <c r="I30" s="161">
        <v>1918004159.682447</v>
      </c>
      <c r="J30" s="137">
        <f t="shared" si="3"/>
        <v>1377.9366708550999</v>
      </c>
      <c r="K30" s="137">
        <v>1377936670.8550999</v>
      </c>
      <c r="L30" s="16">
        <f t="shared" si="1"/>
        <v>-1</v>
      </c>
    </row>
    <row r="31" spans="1:39">
      <c r="A31" s="186">
        <f t="shared" si="4"/>
        <v>46111</v>
      </c>
      <c r="B31" s="5" t="str">
        <f t="shared" si="2"/>
        <v>lunes</v>
      </c>
      <c r="C31" s="187">
        <f>IFERROR(+Resumen!C101,0)</f>
        <v>73.339175272600002</v>
      </c>
      <c r="D31" s="187" t="e">
        <f>+'Fecha Proceso'!AG107</f>
        <v>#REF!</v>
      </c>
      <c r="E31" s="575" t="e">
        <f t="shared" si="5"/>
        <v>#REF!</v>
      </c>
      <c r="F31" s="375" t="e">
        <f t="shared" si="0"/>
        <v>#REF!</v>
      </c>
      <c r="G31" s="161"/>
      <c r="H31" s="161"/>
      <c r="I31" s="161"/>
      <c r="J31" s="137"/>
      <c r="L31" s="16"/>
    </row>
    <row r="32" spans="1:39">
      <c r="A32" s="186">
        <f t="shared" si="4"/>
        <v>46112</v>
      </c>
      <c r="B32" s="5" t="str">
        <f t="shared" si="2"/>
        <v>martes</v>
      </c>
      <c r="C32" s="187">
        <f>IFERROR(+Resumen!#REF!,0)</f>
        <v>0</v>
      </c>
      <c r="D32" s="187" t="e">
        <f>+'Fecha Proceso'!AH107</f>
        <v>#REF!</v>
      </c>
      <c r="E32" s="575" t="e">
        <f t="shared" si="5"/>
        <v>#REF!</v>
      </c>
      <c r="F32" s="375" t="e">
        <f t="shared" ref="F32" si="6">E32-D32</f>
        <v>#REF!</v>
      </c>
      <c r="G32" s="161"/>
      <c r="H32" s="161"/>
      <c r="I32" s="161"/>
      <c r="J32" s="137"/>
      <c r="L32" s="16"/>
    </row>
    <row r="33" spans="3:12">
      <c r="C33" s="312">
        <f>SUM(C2:C32)</f>
        <v>1715.3982895778897</v>
      </c>
      <c r="D33" s="312" t="e">
        <f>SUM(D2:D32)</f>
        <v>#REF!</v>
      </c>
      <c r="E33" s="312" t="e">
        <f>SUM(E2:E32)</f>
        <v>#REF!</v>
      </c>
      <c r="F33" s="312" t="e">
        <f>SUM(F2:F32)</f>
        <v>#REF!</v>
      </c>
      <c r="I33" s="161"/>
    </row>
    <row r="34" spans="3:12">
      <c r="C34" s="723" t="s">
        <v>418</v>
      </c>
      <c r="D34" s="723"/>
      <c r="E34" s="723" t="s">
        <v>419</v>
      </c>
      <c r="F34" s="723"/>
      <c r="G34" s="723"/>
      <c r="H34" s="5"/>
      <c r="I34" s="5" t="s">
        <v>420</v>
      </c>
      <c r="J34" s="723" t="s">
        <v>421</v>
      </c>
      <c r="K34" s="723"/>
    </row>
    <row r="35" spans="3:12">
      <c r="C35" s="189">
        <v>2052094.0947200002</v>
      </c>
      <c r="D35" s="187">
        <f>+C35/1000000</f>
        <v>2.0520940947200002</v>
      </c>
      <c r="E35" s="190">
        <f>+G35/1000000</f>
        <v>48.941756009722234</v>
      </c>
      <c r="F35" s="190"/>
      <c r="G35" s="137">
        <v>48941756.009722233</v>
      </c>
      <c r="H35" s="190">
        <f>I35/1000000</f>
        <v>34.748121126381875</v>
      </c>
      <c r="I35" s="137">
        <v>34748121.126381874</v>
      </c>
      <c r="J35" s="190">
        <f>+K35/1000000</f>
        <v>2.0520940947198869</v>
      </c>
      <c r="K35" s="137">
        <v>2052094.0947198868</v>
      </c>
    </row>
    <row r="36" spans="3:12">
      <c r="C36" s="189">
        <v>68077186.425270006</v>
      </c>
      <c r="D36" s="187">
        <f t="shared" ref="D36:D65" si="7">+C36/1000000</f>
        <v>68.07718642527</v>
      </c>
      <c r="E36" s="190">
        <f t="shared" ref="E36:E65" si="8">+G36/1000000</f>
        <v>28.596808049299003</v>
      </c>
      <c r="F36" s="190"/>
      <c r="G36" s="137">
        <v>28596808.049299002</v>
      </c>
      <c r="H36" s="190">
        <f t="shared" ref="H36:H65" si="9">I36/1000000</f>
        <v>25.29250348749423</v>
      </c>
      <c r="I36" s="137">
        <v>25292503.48749423</v>
      </c>
      <c r="J36" s="190">
        <f t="shared" ref="J36:J65" si="10">+K36/1000000</f>
        <v>47.637237047459841</v>
      </c>
      <c r="K36" s="137">
        <v>47637237.047459841</v>
      </c>
      <c r="L36" s="16">
        <f>+G36/K36-1</f>
        <v>-0.39969633375653824</v>
      </c>
    </row>
    <row r="37" spans="3:12">
      <c r="C37" s="189">
        <v>18311442.43572</v>
      </c>
      <c r="D37" s="187">
        <f t="shared" si="7"/>
        <v>18.31144243572</v>
      </c>
      <c r="E37" s="190">
        <f t="shared" si="8"/>
        <v>36.159413204508546</v>
      </c>
      <c r="F37" s="190"/>
      <c r="G37" s="137">
        <v>36159413.204508543</v>
      </c>
      <c r="H37" s="190">
        <f t="shared" si="9"/>
        <v>2.7468945050489904</v>
      </c>
      <c r="I37" s="137">
        <v>2746894.5050489902</v>
      </c>
      <c r="J37" s="190">
        <f t="shared" si="10"/>
        <v>31.614143431010007</v>
      </c>
      <c r="K37" s="137">
        <v>31614143.431010008</v>
      </c>
      <c r="L37" s="16">
        <f t="shared" ref="L37:L65" si="11">+G37/K37-1</f>
        <v>0.14377330144710254</v>
      </c>
    </row>
    <row r="38" spans="3:12">
      <c r="C38" s="189">
        <v>21292384.787949998</v>
      </c>
      <c r="D38" s="187">
        <f t="shared" si="7"/>
        <v>21.292384787949999</v>
      </c>
      <c r="E38" s="190">
        <f t="shared" si="8"/>
        <v>26.663052363803388</v>
      </c>
      <c r="F38" s="190"/>
      <c r="G38" s="137">
        <v>26663052.363803387</v>
      </c>
      <c r="H38" s="190">
        <f t="shared" si="9"/>
        <v>1.5480194191188812</v>
      </c>
      <c r="I38" s="137">
        <v>1548019.4191188812</v>
      </c>
      <c r="J38" s="190">
        <f t="shared" si="10"/>
        <v>19.731163813240052</v>
      </c>
      <c r="K38" s="137">
        <v>19731163.813240051</v>
      </c>
      <c r="L38" s="16">
        <f t="shared" si="11"/>
        <v>0.35131676043923377</v>
      </c>
    </row>
    <row r="39" spans="3:12">
      <c r="C39" s="189">
        <v>17937565.913079999</v>
      </c>
      <c r="D39" s="187">
        <f t="shared" si="7"/>
        <v>17.93756591308</v>
      </c>
      <c r="E39" s="190">
        <f t="shared" si="8"/>
        <v>44.105812554981235</v>
      </c>
      <c r="F39" s="190"/>
      <c r="G39" s="137">
        <v>44105812.554981232</v>
      </c>
      <c r="H39" s="190">
        <f t="shared" si="9"/>
        <v>78.827554634369605</v>
      </c>
      <c r="I39" s="137">
        <v>78827554.634369612</v>
      </c>
      <c r="J39" s="190">
        <f t="shared" si="10"/>
        <v>22.942272122499944</v>
      </c>
      <c r="K39" s="137">
        <v>22942272.122499943</v>
      </c>
      <c r="L39" s="16">
        <f t="shared" si="11"/>
        <v>0.92246924452289902</v>
      </c>
    </row>
    <row r="40" spans="3:12">
      <c r="C40" s="189">
        <v>20741000.07598</v>
      </c>
      <c r="D40" s="187">
        <f t="shared" si="7"/>
        <v>20.741000075980001</v>
      </c>
      <c r="E40" s="190">
        <f t="shared" si="8"/>
        <v>2.5791304890360833</v>
      </c>
      <c r="F40" s="190"/>
      <c r="G40" s="137">
        <v>2579130.4890360832</v>
      </c>
      <c r="H40" s="190">
        <f t="shared" si="9"/>
        <v>31.115982112729551</v>
      </c>
      <c r="I40" s="137">
        <v>31115982.112729549</v>
      </c>
      <c r="J40" s="190">
        <f t="shared" si="10"/>
        <v>21.648344894920111</v>
      </c>
      <c r="K40" s="137">
        <v>21648344.894920111</v>
      </c>
      <c r="L40" s="16">
        <f t="shared" si="11"/>
        <v>-0.88086246308643723</v>
      </c>
    </row>
    <row r="41" spans="3:12">
      <c r="C41" s="189">
        <v>2057126.8366500002</v>
      </c>
      <c r="D41" s="187">
        <f t="shared" si="7"/>
        <v>2.0571268366500002</v>
      </c>
      <c r="E41" s="190">
        <f t="shared" si="8"/>
        <v>1.2797583823375702</v>
      </c>
      <c r="F41" s="190"/>
      <c r="G41" s="137">
        <v>1279758.3823375702</v>
      </c>
      <c r="H41" s="190">
        <f t="shared" si="9"/>
        <v>38.20182934409857</v>
      </c>
      <c r="I41" s="137">
        <v>38201829.344098568</v>
      </c>
      <c r="J41" s="190">
        <f t="shared" si="10"/>
        <v>2.0571268366498949</v>
      </c>
      <c r="K41" s="137">
        <v>2057126.8366498947</v>
      </c>
      <c r="L41" s="16">
        <f t="shared" si="11"/>
        <v>-0.37789038598042746</v>
      </c>
    </row>
    <row r="42" spans="3:12">
      <c r="C42" s="189">
        <v>890127.61490000004</v>
      </c>
      <c r="D42" s="187">
        <f t="shared" si="7"/>
        <v>0.89012761490000003</v>
      </c>
      <c r="E42" s="190">
        <f t="shared" si="8"/>
        <v>63.222815775629044</v>
      </c>
      <c r="F42" s="190"/>
      <c r="G42" s="137">
        <v>63222815.775629044</v>
      </c>
      <c r="H42" s="190">
        <f t="shared" si="9"/>
        <v>20.450106331822873</v>
      </c>
      <c r="I42" s="137">
        <v>20450106.331822872</v>
      </c>
      <c r="J42" s="190">
        <f t="shared" si="10"/>
        <v>0.89012761490011216</v>
      </c>
      <c r="K42" s="137">
        <v>890127.61490011215</v>
      </c>
      <c r="L42" s="16">
        <f t="shared" si="11"/>
        <v>70.026687316878437</v>
      </c>
    </row>
    <row r="43" spans="3:12">
      <c r="C43" s="189">
        <v>45049482.190980002</v>
      </c>
      <c r="D43" s="187">
        <f t="shared" si="7"/>
        <v>45.049482190980001</v>
      </c>
      <c r="E43" s="190">
        <f t="shared" si="8"/>
        <v>23.573058848380089</v>
      </c>
      <c r="F43" s="190"/>
      <c r="G43" s="137">
        <v>23573058.848380089</v>
      </c>
      <c r="H43" s="190">
        <f t="shared" si="9"/>
        <v>16.509722839534284</v>
      </c>
      <c r="I43" s="137">
        <v>16509722.839534283</v>
      </c>
      <c r="J43" s="190">
        <f t="shared" si="10"/>
        <v>53.372259376590016</v>
      </c>
      <c r="K43" s="137">
        <v>53372259.376590014</v>
      </c>
      <c r="L43" s="16">
        <f t="shared" si="11"/>
        <v>-0.55832750714091683</v>
      </c>
    </row>
    <row r="44" spans="3:12">
      <c r="C44" s="189">
        <v>18913711.395339999</v>
      </c>
      <c r="D44" s="187">
        <f t="shared" si="7"/>
        <v>18.913711395339998</v>
      </c>
      <c r="E44" s="190">
        <f t="shared" si="8"/>
        <v>25.080776576474666</v>
      </c>
      <c r="F44" s="190"/>
      <c r="G44" s="137">
        <v>25080776.576474667</v>
      </c>
      <c r="H44" s="190">
        <f t="shared" si="9"/>
        <v>2.6166704168620107</v>
      </c>
      <c r="I44" s="137">
        <v>2616670.416862011</v>
      </c>
      <c r="J44" s="190">
        <f t="shared" si="10"/>
        <v>20.551783118119957</v>
      </c>
      <c r="K44" s="137">
        <v>20551783.118119955</v>
      </c>
      <c r="L44" s="16">
        <f t="shared" si="11"/>
        <v>0.22036985464106129</v>
      </c>
    </row>
    <row r="45" spans="3:12">
      <c r="C45" s="189">
        <v>19651116.120620001</v>
      </c>
      <c r="D45" s="187">
        <f t="shared" si="7"/>
        <v>19.651116120619999</v>
      </c>
      <c r="E45" s="190">
        <f t="shared" si="8"/>
        <v>35.680592645289167</v>
      </c>
      <c r="F45" s="190"/>
      <c r="G45" s="137">
        <v>35680592.645289168</v>
      </c>
      <c r="H45" s="190">
        <f t="shared" si="9"/>
        <v>1.4462830279431342</v>
      </c>
      <c r="I45" s="137">
        <v>1446283.0279431343</v>
      </c>
      <c r="J45" s="190">
        <f t="shared" si="10"/>
        <v>20.057193441959857</v>
      </c>
      <c r="K45" s="137">
        <v>20057193.441959858</v>
      </c>
      <c r="L45" s="16">
        <f t="shared" si="11"/>
        <v>0.77894244020427084</v>
      </c>
    </row>
    <row r="46" spans="3:12">
      <c r="C46" s="189">
        <v>18897926.24216</v>
      </c>
      <c r="D46" s="187">
        <f t="shared" si="7"/>
        <v>18.89792624216</v>
      </c>
      <c r="E46" s="190">
        <f t="shared" si="8"/>
        <v>31.9486039634393</v>
      </c>
      <c r="F46" s="190"/>
      <c r="G46" s="137">
        <v>31948603.963439301</v>
      </c>
      <c r="H46" s="190">
        <f t="shared" si="9"/>
        <v>66.824070179426911</v>
      </c>
      <c r="I46" s="137">
        <v>66824070.179426908</v>
      </c>
      <c r="J46" s="190">
        <f t="shared" si="10"/>
        <v>29.408827352230073</v>
      </c>
      <c r="K46" s="137">
        <v>29408827.352230072</v>
      </c>
      <c r="L46" s="16">
        <f t="shared" si="11"/>
        <v>8.6361029659233868E-2</v>
      </c>
    </row>
    <row r="47" spans="3:12">
      <c r="C47" s="189">
        <v>20198900.290169999</v>
      </c>
      <c r="D47" s="187">
        <f t="shared" si="7"/>
        <v>20.198900290169998</v>
      </c>
      <c r="E47" s="190">
        <f t="shared" si="8"/>
        <v>3.1132167701957125</v>
      </c>
      <c r="F47" s="190"/>
      <c r="G47" s="137">
        <v>3113216.7701957123</v>
      </c>
      <c r="H47" s="190">
        <f t="shared" si="9"/>
        <v>34.966667244908571</v>
      </c>
      <c r="I47" s="137">
        <v>34966667.244908571</v>
      </c>
      <c r="J47" s="190">
        <f t="shared" si="10"/>
        <v>26.332829934920074</v>
      </c>
      <c r="K47" s="137">
        <v>26332829.934920073</v>
      </c>
      <c r="L47" s="16">
        <f t="shared" si="11"/>
        <v>-0.8817743182981157</v>
      </c>
    </row>
    <row r="48" spans="3:12">
      <c r="C48" s="189">
        <v>2565990.2966</v>
      </c>
      <c r="D48" s="187">
        <f t="shared" si="7"/>
        <v>2.5659902965999999</v>
      </c>
      <c r="E48" s="190">
        <f t="shared" si="8"/>
        <v>1.6160063044565767</v>
      </c>
      <c r="F48" s="190"/>
      <c r="G48" s="137">
        <v>1616006.3044565767</v>
      </c>
      <c r="H48" s="190">
        <f t="shared" si="9"/>
        <v>23.924165529320717</v>
      </c>
      <c r="I48" s="137">
        <v>23924165.529320717</v>
      </c>
      <c r="J48" s="190">
        <f t="shared" si="10"/>
        <v>2.5659902966001034</v>
      </c>
      <c r="K48" s="137">
        <v>2565990.2966001034</v>
      </c>
      <c r="L48" s="16">
        <f t="shared" si="11"/>
        <v>-0.37022119428987732</v>
      </c>
    </row>
    <row r="49" spans="3:12">
      <c r="C49" s="189">
        <v>1331952.3832</v>
      </c>
      <c r="D49" s="187">
        <f t="shared" si="7"/>
        <v>1.3319523832</v>
      </c>
      <c r="E49" s="190">
        <f t="shared" si="8"/>
        <v>98.773490014680192</v>
      </c>
      <c r="F49" s="190"/>
      <c r="G49" s="137">
        <v>98773490.014680192</v>
      </c>
      <c r="H49" s="190">
        <f t="shared" si="9"/>
        <v>36.958995580402373</v>
      </c>
      <c r="I49" s="137">
        <v>36958995.580402374</v>
      </c>
      <c r="J49" s="190">
        <f t="shared" si="10"/>
        <v>1.3319523831999303</v>
      </c>
      <c r="K49" s="137">
        <v>1331952.3831999302</v>
      </c>
      <c r="L49" s="16">
        <f t="shared" si="11"/>
        <v>73.156922770304462</v>
      </c>
    </row>
    <row r="50" spans="3:12">
      <c r="C50" s="189">
        <v>51561334.183130004</v>
      </c>
      <c r="D50" s="187">
        <f t="shared" si="7"/>
        <v>51.56133418313</v>
      </c>
      <c r="E50" s="190">
        <f t="shared" si="8"/>
        <v>26.601775068581386</v>
      </c>
      <c r="F50" s="190"/>
      <c r="G50" s="137">
        <v>26601775.068581387</v>
      </c>
      <c r="H50" s="190">
        <f t="shared" si="9"/>
        <v>42.404747124199865</v>
      </c>
      <c r="I50" s="137">
        <v>42404747.124199867</v>
      </c>
      <c r="J50" s="190">
        <f t="shared" si="10"/>
        <v>90.520638669849873</v>
      </c>
      <c r="K50" s="137">
        <v>90520638.669849873</v>
      </c>
      <c r="L50" s="16">
        <f t="shared" si="11"/>
        <v>-0.70612475276931774</v>
      </c>
    </row>
    <row r="51" spans="3:12">
      <c r="C51" s="189">
        <v>19674836.657760002</v>
      </c>
      <c r="D51" s="187">
        <f t="shared" si="7"/>
        <v>19.67483665776</v>
      </c>
      <c r="E51" s="190">
        <f t="shared" si="8"/>
        <v>23.505708950788147</v>
      </c>
      <c r="F51" s="190"/>
      <c r="G51" s="137">
        <v>23505708.950788148</v>
      </c>
      <c r="H51" s="190">
        <f t="shared" si="9"/>
        <v>2.6745517348515988</v>
      </c>
      <c r="I51" s="191">
        <v>2674551.7348515987</v>
      </c>
      <c r="J51" s="190">
        <f t="shared" si="10"/>
        <v>24.379108894520044</v>
      </c>
      <c r="K51" s="137">
        <v>24379108.894520044</v>
      </c>
      <c r="L51" s="16">
        <f t="shared" si="11"/>
        <v>-3.5825753414974959E-2</v>
      </c>
    </row>
    <row r="52" spans="3:12">
      <c r="C52" s="189">
        <v>20413331.788819999</v>
      </c>
      <c r="D52" s="187">
        <f t="shared" si="7"/>
        <v>20.413331788819999</v>
      </c>
      <c r="E52" s="190">
        <f t="shared" si="8"/>
        <v>20.381977856216498</v>
      </c>
      <c r="F52" s="190"/>
      <c r="G52" s="137">
        <v>20381977.856216498</v>
      </c>
      <c r="H52" s="190">
        <f t="shared" si="9"/>
        <v>1.5791774349815846</v>
      </c>
      <c r="I52" s="137">
        <v>1579177.4349815845</v>
      </c>
      <c r="J52" s="190">
        <f t="shared" si="10"/>
        <v>21.541729327339887</v>
      </c>
      <c r="K52" s="137">
        <v>21541729.327339888</v>
      </c>
      <c r="L52" s="16">
        <f t="shared" si="11"/>
        <v>-5.3837435866928351E-2</v>
      </c>
    </row>
    <row r="53" spans="3:12">
      <c r="C53" s="189">
        <v>19483711.60912</v>
      </c>
      <c r="D53" s="187">
        <f t="shared" si="7"/>
        <v>19.48371160912</v>
      </c>
      <c r="E53" s="190">
        <f t="shared" si="8"/>
        <v>30.437064618895914</v>
      </c>
      <c r="F53" s="190"/>
      <c r="G53" s="137">
        <v>30437064.618895914</v>
      </c>
      <c r="H53" s="190">
        <f t="shared" si="9"/>
        <v>40.495095467179539</v>
      </c>
      <c r="I53" s="137">
        <v>40495095.467179537</v>
      </c>
      <c r="J53" s="190">
        <f t="shared" si="10"/>
        <v>18.678996283570051</v>
      </c>
      <c r="K53" s="137">
        <v>18678996.283570051</v>
      </c>
      <c r="L53" s="16">
        <f t="shared" si="11"/>
        <v>0.62948073637490887</v>
      </c>
    </row>
    <row r="54" spans="3:12">
      <c r="C54" s="189">
        <v>20174641.489070002</v>
      </c>
      <c r="D54" s="187">
        <f t="shared" si="7"/>
        <v>20.174641489070002</v>
      </c>
      <c r="E54" s="190">
        <f t="shared" si="8"/>
        <v>2.349369374534684</v>
      </c>
      <c r="F54" s="190"/>
      <c r="G54" s="137">
        <v>2349369.3745346838</v>
      </c>
      <c r="H54" s="190">
        <f t="shared" si="9"/>
        <v>31.777858851044179</v>
      </c>
      <c r="I54" s="137">
        <v>31777858.851044178</v>
      </c>
      <c r="J54" s="190">
        <f t="shared" si="10"/>
        <v>27.893947334739924</v>
      </c>
      <c r="K54" s="137">
        <v>27893947.334739923</v>
      </c>
      <c r="L54" s="16">
        <f t="shared" si="11"/>
        <v>-0.91577494047933794</v>
      </c>
    </row>
    <row r="55" spans="3:12">
      <c r="C55" s="189">
        <v>2153071.8032</v>
      </c>
      <c r="D55" s="187">
        <f t="shared" si="7"/>
        <v>2.1530718032</v>
      </c>
      <c r="E55" s="190">
        <f t="shared" si="8"/>
        <v>1.3600936284376581</v>
      </c>
      <c r="F55" s="190"/>
      <c r="G55" s="137">
        <v>1360093.6284376581</v>
      </c>
      <c r="H55" s="190">
        <f t="shared" si="9"/>
        <v>24.114074402338026</v>
      </c>
      <c r="I55" s="137">
        <v>24114074.402338028</v>
      </c>
      <c r="J55" s="190">
        <f t="shared" si="10"/>
        <v>2.1530718032000067</v>
      </c>
      <c r="K55" s="137">
        <v>2153071.8032000065</v>
      </c>
      <c r="L55" s="16">
        <f t="shared" si="11"/>
        <v>-0.36830084978298605</v>
      </c>
    </row>
    <row r="56" spans="3:12">
      <c r="C56" s="189">
        <v>1246453.31332</v>
      </c>
      <c r="D56" s="187">
        <f t="shared" si="7"/>
        <v>1.24645331332</v>
      </c>
      <c r="E56" s="190">
        <f t="shared" si="8"/>
        <v>34.90712256104198</v>
      </c>
      <c r="F56" s="190"/>
      <c r="G56" s="137">
        <v>34907122.561041981</v>
      </c>
      <c r="H56" s="190">
        <f t="shared" si="9"/>
        <v>0</v>
      </c>
      <c r="I56" s="137"/>
      <c r="J56" s="190">
        <f t="shared" si="10"/>
        <v>1.2464533133199216</v>
      </c>
      <c r="K56" s="137">
        <v>1246453.3133199215</v>
      </c>
      <c r="L56" s="16">
        <f t="shared" si="11"/>
        <v>27.005158466839848</v>
      </c>
    </row>
    <row r="57" spans="3:12">
      <c r="C57" s="189">
        <v>51435294.692479998</v>
      </c>
      <c r="D57" s="187">
        <f t="shared" si="7"/>
        <v>51.435294692479999</v>
      </c>
      <c r="E57" s="190">
        <f t="shared" si="8"/>
        <v>14.804491390184225</v>
      </c>
      <c r="F57" s="190"/>
      <c r="G57" s="137">
        <v>14804491.390184226</v>
      </c>
      <c r="H57" s="190">
        <f t="shared" si="9"/>
        <v>0</v>
      </c>
      <c r="I57" s="137"/>
      <c r="J57" s="190">
        <f t="shared" si="10"/>
        <v>31.990517170979977</v>
      </c>
      <c r="K57" s="137">
        <v>31990517.170979977</v>
      </c>
      <c r="L57" s="16">
        <f t="shared" si="11"/>
        <v>-0.53722250531122895</v>
      </c>
    </row>
    <row r="58" spans="3:12">
      <c r="C58" s="189">
        <v>20274989.09307</v>
      </c>
      <c r="D58" s="187">
        <f t="shared" si="7"/>
        <v>20.274989093070001</v>
      </c>
      <c r="E58" s="190">
        <f t="shared" si="8"/>
        <v>14.210844521127708</v>
      </c>
      <c r="F58" s="190"/>
      <c r="G58" s="137">
        <v>14210844.521127708</v>
      </c>
      <c r="H58" s="190">
        <f t="shared" si="9"/>
        <v>0</v>
      </c>
      <c r="I58" s="137"/>
      <c r="J58" s="190">
        <f t="shared" si="10"/>
        <v>13.567527234509946</v>
      </c>
      <c r="K58" s="137">
        <v>13567527.234509945</v>
      </c>
      <c r="L58" s="16">
        <f t="shared" si="11"/>
        <v>4.7415956901965206E-2</v>
      </c>
    </row>
    <row r="59" spans="3:12">
      <c r="C59" s="189">
        <v>20479470.639990002</v>
      </c>
      <c r="D59" s="187">
        <f t="shared" si="7"/>
        <v>20.479470639990002</v>
      </c>
      <c r="E59" s="190">
        <f t="shared" si="8"/>
        <v>16.076569431039328</v>
      </c>
      <c r="F59" s="190"/>
      <c r="G59" s="137">
        <v>16076569.43103933</v>
      </c>
      <c r="H59" s="190">
        <f t="shared" si="9"/>
        <v>0</v>
      </c>
      <c r="I59" s="137"/>
      <c r="J59" s="190">
        <f t="shared" si="10"/>
        <v>13.023481522210359</v>
      </c>
      <c r="K59" s="137">
        <v>13023481.52221036</v>
      </c>
      <c r="L59" s="16">
        <f t="shared" si="11"/>
        <v>0.23442947291952665</v>
      </c>
    </row>
    <row r="60" spans="3:12">
      <c r="C60" s="189">
        <v>19882998.831489999</v>
      </c>
      <c r="D60" s="187">
        <f t="shared" si="7"/>
        <v>19.882998831489999</v>
      </c>
      <c r="E60" s="190">
        <f t="shared" si="8"/>
        <v>3.5657894247723587</v>
      </c>
      <c r="F60" s="190"/>
      <c r="G60" s="137">
        <v>3565789.4247723585</v>
      </c>
      <c r="H60" s="190">
        <f t="shared" si="9"/>
        <v>0</v>
      </c>
      <c r="I60" s="137"/>
      <c r="J60" s="190">
        <f t="shared" si="10"/>
        <v>14.733318953310013</v>
      </c>
      <c r="K60" s="137">
        <v>14733318.953310013</v>
      </c>
      <c r="L60" s="16">
        <f t="shared" si="11"/>
        <v>-0.75797785712286758</v>
      </c>
    </row>
    <row r="61" spans="3:12">
      <c r="C61" s="189">
        <v>3267855.9403400002</v>
      </c>
      <c r="D61" s="187">
        <f t="shared" si="7"/>
        <v>3.26785594034</v>
      </c>
      <c r="E61" s="190">
        <f t="shared" si="8"/>
        <v>1.7565734072078847</v>
      </c>
      <c r="F61" s="190"/>
      <c r="G61" s="137">
        <v>1756573.4072078846</v>
      </c>
      <c r="H61" s="190">
        <f t="shared" si="9"/>
        <v>0</v>
      </c>
      <c r="I61" s="137"/>
      <c r="J61" s="190">
        <f t="shared" si="10"/>
        <v>3.2678559403400422</v>
      </c>
      <c r="K61" s="137">
        <v>3267855.9403400421</v>
      </c>
      <c r="L61" s="16">
        <f t="shared" si="11"/>
        <v>-0.46246914206839196</v>
      </c>
    </row>
    <row r="62" spans="3:12">
      <c r="C62" s="189">
        <v>1609805.89698</v>
      </c>
      <c r="D62" s="187">
        <f t="shared" si="7"/>
        <v>1.60980589698</v>
      </c>
      <c r="E62" s="190">
        <f t="shared" si="8"/>
        <v>1.6365519810121147</v>
      </c>
      <c r="F62" s="190"/>
      <c r="G62" s="137">
        <v>1636551.9810121148</v>
      </c>
      <c r="H62" s="190">
        <f t="shared" si="9"/>
        <v>0</v>
      </c>
      <c r="I62" s="137"/>
      <c r="J62" s="190">
        <f t="shared" si="10"/>
        <v>1.6098058969800473</v>
      </c>
      <c r="K62" s="137">
        <v>1609805.8969800472</v>
      </c>
      <c r="L62" s="16">
        <f t="shared" si="11"/>
        <v>1.6614477610153111E-2</v>
      </c>
    </row>
    <row r="63" spans="3:12">
      <c r="C63" s="189">
        <v>1499812.65738</v>
      </c>
      <c r="D63" s="187">
        <f t="shared" si="7"/>
        <v>1.4998126573799999</v>
      </c>
      <c r="E63" s="190">
        <f t="shared" si="8"/>
        <v>37.020519128319386</v>
      </c>
      <c r="F63" s="190"/>
      <c r="G63" s="137">
        <v>37020519.128319383</v>
      </c>
      <c r="H63" s="190">
        <f t="shared" si="9"/>
        <v>0</v>
      </c>
      <c r="I63" s="137"/>
      <c r="J63" s="190">
        <f t="shared" si="10"/>
        <v>1.4998126573801041</v>
      </c>
      <c r="K63" s="137">
        <v>1499812.6573801041</v>
      </c>
      <c r="L63" s="16">
        <f t="shared" si="11"/>
        <v>23.683428924374727</v>
      </c>
    </row>
    <row r="64" spans="3:12">
      <c r="C64" s="189">
        <v>69718423.097800002</v>
      </c>
      <c r="D64" s="187">
        <f t="shared" si="7"/>
        <v>69.718423097799999</v>
      </c>
      <c r="E64" s="190">
        <f t="shared" si="8"/>
        <v>23.145219451092636</v>
      </c>
      <c r="F64" s="190"/>
      <c r="G64" s="137">
        <v>23145219.451092634</v>
      </c>
      <c r="H64" s="190">
        <f t="shared" si="9"/>
        <v>0</v>
      </c>
      <c r="I64" s="137"/>
      <c r="J64" s="190">
        <f t="shared" si="10"/>
        <v>33.927332474399805</v>
      </c>
      <c r="K64" s="137">
        <v>33927332.474399805</v>
      </c>
      <c r="L64" s="16">
        <f t="shared" si="11"/>
        <v>-0.3178001993361228</v>
      </c>
    </row>
    <row r="65" spans="1:12">
      <c r="C65" s="5">
        <v>22381777.134130001</v>
      </c>
      <c r="D65" s="187">
        <f t="shared" si="7"/>
        <v>22.381777134130001</v>
      </c>
      <c r="E65" s="190">
        <f t="shared" si="8"/>
        <v>23.721149103129815</v>
      </c>
      <c r="G65" s="137">
        <v>23721149.103129815</v>
      </c>
      <c r="H65" s="190">
        <f t="shared" si="9"/>
        <v>0</v>
      </c>
      <c r="I65" s="137"/>
      <c r="J65" s="190">
        <f t="shared" si="10"/>
        <v>21.211359916059973</v>
      </c>
      <c r="K65" s="137">
        <v>21211359.916059971</v>
      </c>
      <c r="L65" s="16">
        <f t="shared" si="11"/>
        <v>0.11832287967399879</v>
      </c>
    </row>
    <row r="76" spans="1:12">
      <c r="A76"/>
      <c r="B76"/>
      <c r="C76"/>
      <c r="D76"/>
    </row>
  </sheetData>
  <mergeCells count="4">
    <mergeCell ref="J1:K1"/>
    <mergeCell ref="C34:D34"/>
    <mergeCell ref="E34:G34"/>
    <mergeCell ref="J34:K34"/>
  </mergeCells>
  <pageMargins left="0.7" right="0.7" top="0.75" bottom="0.75" header="0.3" footer="0.3"/>
  <pageSetup orientation="portrait" horizontalDpi="300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E5D5B-8B62-4DA4-866C-56D091142FC5}">
  <dimension ref="A1:AM75"/>
  <sheetViews>
    <sheetView showGridLines="0" topLeftCell="A22" zoomScale="85" zoomScaleNormal="85" workbookViewId="0">
      <selection activeCell="E2" sqref="E2:E31"/>
    </sheetView>
  </sheetViews>
  <sheetFormatPr baseColWidth="10" defaultColWidth="11.453125" defaultRowHeight="14.5" outlineLevelCol="1"/>
  <cols>
    <col min="1" max="1" width="12" style="5" bestFit="1" customWidth="1" outlineLevel="1"/>
    <col min="2" max="2" width="12.81640625" style="5" bestFit="1" customWidth="1" outlineLevel="1"/>
    <col min="3" max="3" width="24.26953125" style="5" customWidth="1" outlineLevel="1"/>
    <col min="4" max="4" width="26.26953125" style="5" customWidth="1" outlineLevel="1"/>
    <col min="5" max="5" width="19.1796875" bestFit="1" customWidth="1" outlineLevel="1"/>
    <col min="6" max="6" width="13.453125" bestFit="1" customWidth="1" outlineLevel="1"/>
    <col min="7" max="7" width="16.26953125" bestFit="1" customWidth="1" outlineLevel="1"/>
    <col min="8" max="8" width="16.26953125" customWidth="1" outlineLevel="1"/>
    <col min="9" max="9" width="23.453125" bestFit="1" customWidth="1" outlineLevel="1"/>
    <col min="10" max="10" width="16.26953125" customWidth="1" outlineLevel="1"/>
    <col min="11" max="11" width="16.26953125" style="137" customWidth="1" outlineLevel="1"/>
    <col min="12" max="12" width="13.54296875" style="137" bestFit="1" customWidth="1" outlineLevel="1"/>
  </cols>
  <sheetData>
    <row r="1" spans="1:39">
      <c r="A1" s="5" t="s">
        <v>103</v>
      </c>
      <c r="B1" s="5" t="s">
        <v>413</v>
      </c>
      <c r="C1" s="5" t="s">
        <v>446</v>
      </c>
      <c r="D1" s="5" t="s">
        <v>447</v>
      </c>
      <c r="E1" s="5" t="s">
        <v>415</v>
      </c>
      <c r="F1" s="5" t="s">
        <v>448</v>
      </c>
      <c r="G1" t="s">
        <v>449</v>
      </c>
      <c r="H1">
        <f>+COUNT(A2:A32)</f>
        <v>30</v>
      </c>
      <c r="I1" t="s">
        <v>416</v>
      </c>
      <c r="J1" s="722" t="s">
        <v>417</v>
      </c>
      <c r="K1" s="722"/>
    </row>
    <row r="2" spans="1:39">
      <c r="A2" s="186">
        <v>46113</v>
      </c>
      <c r="B2" s="5" t="str">
        <f>+TEXT(WEEKDAY(A2),"DDDDD")</f>
        <v>miércoles</v>
      </c>
      <c r="C2" s="187">
        <f>IFERROR(+Resumen!C72,0)</f>
        <v>69.450154613859993</v>
      </c>
      <c r="D2" s="187">
        <f>+'Fecha Proceso - Propuestado'!D104</f>
        <v>66.463990854269809</v>
      </c>
      <c r="E2" s="575">
        <v>70.428004133599998</v>
      </c>
      <c r="F2" s="187">
        <v>19.6147332</v>
      </c>
      <c r="G2" s="187">
        <v>7.8822231164799996</v>
      </c>
      <c r="I2" s="137">
        <v>1852844693.4289401</v>
      </c>
      <c r="J2" s="137">
        <f>+K2/1000000</f>
        <v>1415.11066591688</v>
      </c>
      <c r="K2" s="137">
        <v>1415110665.9168799</v>
      </c>
      <c r="L2" s="16">
        <f t="shared" ref="L2:L30" si="0">+G2/K2-1</f>
        <v>-0.9999999944299599</v>
      </c>
    </row>
    <row r="3" spans="1:39">
      <c r="A3" s="186">
        <f>+A2+1</f>
        <v>46114</v>
      </c>
      <c r="B3" s="5" t="str">
        <f t="shared" ref="B3:B31" si="1">+TEXT(WEEKDAY(A3),"DDDDD")</f>
        <v>jueves</v>
      </c>
      <c r="C3" s="187">
        <f>IFERROR(+Resumen!C73,0)</f>
        <v>54.145314768989998</v>
      </c>
      <c r="D3" s="187">
        <f>+'Fecha Proceso - Propuestado'!E104</f>
        <v>54.691049827463189</v>
      </c>
      <c r="E3" s="575">
        <v>10.787250748120002</v>
      </c>
      <c r="F3" s="187">
        <v>148.86146094</v>
      </c>
      <c r="G3" s="375">
        <v>160.59397101899</v>
      </c>
      <c r="H3" s="156">
        <v>1.6762686837</v>
      </c>
      <c r="I3" s="137">
        <v>1856551261.6484663</v>
      </c>
      <c r="J3" s="137">
        <f t="shared" ref="J3:J30" si="2">+K3/1000000</f>
        <v>1435.55061529469</v>
      </c>
      <c r="K3" s="137">
        <v>1435550615.2946901</v>
      </c>
      <c r="L3" s="16">
        <f t="shared" si="0"/>
        <v>-0.9999998881307498</v>
      </c>
    </row>
    <row r="4" spans="1:39">
      <c r="A4" s="186">
        <f t="shared" ref="A4:A31" si="3">+A3+1</f>
        <v>46115</v>
      </c>
      <c r="B4" s="5" t="str">
        <f t="shared" si="1"/>
        <v>viernes</v>
      </c>
      <c r="C4" s="187">
        <f>IFERROR(+Resumen!C74,0)</f>
        <v>36.973360684900001</v>
      </c>
      <c r="D4" s="187">
        <f>+'Fecha Proceso - Propuestado'!F104</f>
        <v>49.505622672881849</v>
      </c>
      <c r="E4" s="575">
        <v>8.0502084999600001</v>
      </c>
      <c r="F4" s="187">
        <v>56.032304229999994</v>
      </c>
      <c r="G4" s="375">
        <v>56.032304228060006</v>
      </c>
      <c r="H4" s="156">
        <v>69.232543424650004</v>
      </c>
      <c r="I4" s="137">
        <v>1826205410.5059891</v>
      </c>
      <c r="J4" s="137">
        <f t="shared" si="2"/>
        <v>1422.2479142994</v>
      </c>
      <c r="K4" s="137">
        <v>1422247914.2994001</v>
      </c>
      <c r="L4" s="16">
        <f t="shared" si="0"/>
        <v>-0.99999996060299778</v>
      </c>
    </row>
    <row r="5" spans="1:39">
      <c r="A5" s="186">
        <f t="shared" si="3"/>
        <v>46116</v>
      </c>
      <c r="B5" s="5" t="str">
        <f t="shared" si="1"/>
        <v>sábado</v>
      </c>
      <c r="C5" s="187">
        <f>IFERROR(+Resumen!C75,0)</f>
        <v>49.389049673140001</v>
      </c>
      <c r="D5" s="187">
        <f>+'Fecha Proceso - Propuestado'!G104</f>
        <v>10.000961066721317</v>
      </c>
      <c r="E5" s="575">
        <v>12.69941252393</v>
      </c>
      <c r="F5" s="187">
        <v>55.461259210000001</v>
      </c>
      <c r="G5" s="375">
        <v>55.461259206259996</v>
      </c>
      <c r="H5" s="156">
        <v>25.810177500049999</v>
      </c>
      <c r="I5" s="137">
        <v>1803331745.4020903</v>
      </c>
      <c r="J5" s="137">
        <f t="shared" si="2"/>
        <v>1423.8091352741101</v>
      </c>
      <c r="K5" s="137">
        <v>1423809135.2741101</v>
      </c>
      <c r="L5" s="16">
        <f t="shared" si="0"/>
        <v>-0.99999996104726552</v>
      </c>
    </row>
    <row r="6" spans="1:39">
      <c r="A6" s="186">
        <f t="shared" si="3"/>
        <v>46117</v>
      </c>
      <c r="B6" s="5" t="str">
        <f t="shared" si="1"/>
        <v>domingo</v>
      </c>
      <c r="C6" s="187">
        <f>IFERROR(+Resumen!C76,0)</f>
        <v>39.947746357020002</v>
      </c>
      <c r="D6" s="187">
        <f>+'Fecha Proceso - Propuestado'!H104</f>
        <v>6.4622255701534925</v>
      </c>
      <c r="E6" s="575">
        <v>8.6619602775000004</v>
      </c>
      <c r="F6" s="187">
        <v>59.080512520000006</v>
      </c>
      <c r="G6" s="187">
        <v>59.080512520809997</v>
      </c>
      <c r="I6" s="137">
        <v>1834948520.2841566</v>
      </c>
      <c r="J6" s="137">
        <f t="shared" si="2"/>
        <v>1418.8044290646901</v>
      </c>
      <c r="K6" s="137">
        <v>1418804429.0646901</v>
      </c>
      <c r="L6" s="16">
        <f t="shared" si="0"/>
        <v>-0.99999995835894551</v>
      </c>
    </row>
    <row r="7" spans="1:39">
      <c r="A7" s="186">
        <f t="shared" si="3"/>
        <v>46118</v>
      </c>
      <c r="B7" s="5" t="str">
        <f t="shared" si="1"/>
        <v>lunes</v>
      </c>
      <c r="C7" s="187">
        <f>IFERROR(+Resumen!C77,0)</f>
        <v>61.58556499665</v>
      </c>
      <c r="D7" s="187">
        <f>+'Fecha Proceso - Propuestado'!I104</f>
        <v>120.40300852926845</v>
      </c>
      <c r="E7" s="575">
        <v>162.12057974266</v>
      </c>
      <c r="F7" s="187">
        <v>52.412228799999994</v>
      </c>
      <c r="G7" s="375">
        <v>52.412228796450002</v>
      </c>
      <c r="H7" s="156">
        <v>24.73167331458</v>
      </c>
      <c r="I7" s="137">
        <v>1857355534.6537309</v>
      </c>
      <c r="J7" s="137">
        <f t="shared" si="2"/>
        <v>1417.89708424575</v>
      </c>
      <c r="K7" s="137">
        <v>1417897084.24575</v>
      </c>
      <c r="L7" s="16">
        <f t="shared" si="0"/>
        <v>-0.99999996303523764</v>
      </c>
      <c r="AM7" s="187"/>
    </row>
    <row r="8" spans="1:39">
      <c r="A8" s="186">
        <f t="shared" si="3"/>
        <v>46119</v>
      </c>
      <c r="B8" s="5" t="str">
        <f t="shared" si="1"/>
        <v>martes</v>
      </c>
      <c r="C8" s="187">
        <f>IFERROR(+Resumen!C78,0)</f>
        <v>63.431738435360003</v>
      </c>
      <c r="D8" s="187">
        <f>+'Fecha Proceso - Propuestado'!J104</f>
        <v>58.986822615230381</v>
      </c>
      <c r="E8" s="575">
        <v>104.1800365022</v>
      </c>
      <c r="F8" s="187">
        <v>8.7938319499999995</v>
      </c>
      <c r="G8" s="375">
        <v>8.7938319495999995</v>
      </c>
      <c r="H8" s="188">
        <v>26.35831400388</v>
      </c>
      <c r="I8" s="137">
        <v>1855464679.6540799</v>
      </c>
      <c r="J8" s="137">
        <f t="shared" si="2"/>
        <v>1417.89708424575</v>
      </c>
      <c r="K8" s="137">
        <v>1417897084.24575</v>
      </c>
      <c r="L8" s="16">
        <f t="shared" si="0"/>
        <v>-0.99999999379797588</v>
      </c>
    </row>
    <row r="9" spans="1:39">
      <c r="A9" s="186">
        <f t="shared" si="3"/>
        <v>46120</v>
      </c>
      <c r="B9" s="5" t="str">
        <f t="shared" si="1"/>
        <v>miércoles</v>
      </c>
      <c r="C9" s="187">
        <f>IFERROR(+Resumen!C79,0)</f>
        <v>55.969330691480003</v>
      </c>
      <c r="D9" s="187">
        <f>+'Fecha Proceso - Propuestado'!K104</f>
        <v>61.05977196651353</v>
      </c>
      <c r="E9" s="575">
        <v>61.406520915430001</v>
      </c>
      <c r="F9" s="187">
        <v>5.2622407400000002</v>
      </c>
      <c r="G9" s="375">
        <v>5.2622407388000001</v>
      </c>
      <c r="H9" s="188">
        <v>2.5292033629800001</v>
      </c>
      <c r="I9" s="137">
        <v>1850189016.9468212</v>
      </c>
      <c r="J9" s="137">
        <f t="shared" si="2"/>
        <v>1417.89708424575</v>
      </c>
      <c r="K9" s="137">
        <v>1417897084.24575</v>
      </c>
      <c r="L9" s="16">
        <f t="shared" si="0"/>
        <v>-0.99999999628870051</v>
      </c>
    </row>
    <row r="10" spans="1:39">
      <c r="A10" s="186">
        <f t="shared" si="3"/>
        <v>46121</v>
      </c>
      <c r="B10" s="5" t="str">
        <f t="shared" si="1"/>
        <v>jueves</v>
      </c>
      <c r="C10" s="187">
        <f>IFERROR(+Resumen!C80,0)</f>
        <v>52.036932866599997</v>
      </c>
      <c r="D10" s="187">
        <f>+'Fecha Proceso - Propuestado'!L104</f>
        <v>61.232814515738262</v>
      </c>
      <c r="E10" s="575">
        <v>54.547639863139999</v>
      </c>
      <c r="F10" s="187">
        <v>126.42285951000001</v>
      </c>
      <c r="G10" s="187">
        <v>126.42285951328</v>
      </c>
    </row>
    <row r="11" spans="1:39">
      <c r="A11" s="186">
        <f t="shared" si="3"/>
        <v>46122</v>
      </c>
      <c r="B11" s="5" t="str">
        <f t="shared" si="1"/>
        <v>viernes</v>
      </c>
      <c r="C11" s="187">
        <f>IFERROR(+Resumen!C81,0)</f>
        <v>57.908774223659996</v>
      </c>
      <c r="D11" s="187">
        <f>+'Fecha Proceso - Propuestado'!M104</f>
        <v>54.07691448213339</v>
      </c>
      <c r="E11" s="575">
        <v>53.459968541789998</v>
      </c>
      <c r="F11" s="187">
        <v>51.073291689999998</v>
      </c>
      <c r="G11" s="375">
        <v>51.073291685770002</v>
      </c>
      <c r="H11" s="188">
        <v>69.599663329270001</v>
      </c>
      <c r="I11" s="137">
        <v>1832347206.1973894</v>
      </c>
      <c r="J11" s="137">
        <f t="shared" si="2"/>
        <v>1407.9362353373599</v>
      </c>
      <c r="K11" s="137">
        <v>1407936235.3373599</v>
      </c>
      <c r="L11" s="16">
        <f t="shared" si="0"/>
        <v>-0.99999996372471256</v>
      </c>
    </row>
    <row r="12" spans="1:39">
      <c r="A12" s="186">
        <f t="shared" si="3"/>
        <v>46123</v>
      </c>
      <c r="B12" s="5" t="str">
        <f t="shared" si="1"/>
        <v>sábado</v>
      </c>
      <c r="C12" s="187">
        <f>IFERROR(+Resumen!C82,0)</f>
        <v>52.595859892340002</v>
      </c>
      <c r="D12" s="576">
        <f>+'Fecha Proceso - Propuestado'!N104</f>
        <v>10.652614034811185</v>
      </c>
      <c r="E12" s="575">
        <v>12.02524675492</v>
      </c>
      <c r="F12" s="187">
        <v>55.608723850000004</v>
      </c>
      <c r="G12" s="375">
        <v>55.608723852380002</v>
      </c>
      <c r="H12" s="188">
        <v>22.885523016530001</v>
      </c>
      <c r="I12" s="161">
        <v>1820033715.80266</v>
      </c>
      <c r="J12" s="137">
        <f t="shared" si="2"/>
        <v>1407.5301580160201</v>
      </c>
      <c r="K12" s="137">
        <v>1407530158.0160201</v>
      </c>
      <c r="L12" s="16">
        <f t="shared" si="0"/>
        <v>-0.99999996049198414</v>
      </c>
    </row>
    <row r="13" spans="1:39">
      <c r="A13" s="186">
        <f t="shared" si="3"/>
        <v>46124</v>
      </c>
      <c r="B13" s="5" t="str">
        <f t="shared" si="1"/>
        <v>domingo</v>
      </c>
      <c r="C13" s="187">
        <f>IFERROR(+Resumen!C83,0)</f>
        <v>33.390565760400001</v>
      </c>
      <c r="D13" s="576">
        <f>+'Fecha Proceso - Propuestado'!O104</f>
        <v>5.4014903852224467</v>
      </c>
      <c r="E13" s="575">
        <v>5.9461887467999999</v>
      </c>
      <c r="F13" s="187">
        <v>54.402307520000001</v>
      </c>
      <c r="G13" s="375">
        <v>54.402307520809998</v>
      </c>
      <c r="H13" s="188">
        <v>28.587387903269999</v>
      </c>
      <c r="I13" s="161">
        <v>1835356196.24505</v>
      </c>
      <c r="J13" s="137">
        <f t="shared" si="2"/>
        <v>1397.01925690595</v>
      </c>
      <c r="K13" s="137">
        <v>1397019256.9059501</v>
      </c>
      <c r="L13" s="16">
        <f t="shared" si="0"/>
        <v>-0.99999996105829803</v>
      </c>
    </row>
    <row r="14" spans="1:39">
      <c r="A14" s="186">
        <f t="shared" si="3"/>
        <v>46125</v>
      </c>
      <c r="B14" s="5" t="str">
        <f t="shared" si="1"/>
        <v>lunes</v>
      </c>
      <c r="C14" s="187">
        <f>IFERROR(+Resumen!C84,0)</f>
        <v>55.94746848682</v>
      </c>
      <c r="D14" s="576">
        <f>+'Fecha Proceso - Propuestado'!P104</f>
        <v>123.31029180826519</v>
      </c>
      <c r="E14" s="575">
        <v>130.15225536398998</v>
      </c>
      <c r="F14" s="187">
        <v>57.149883299999999</v>
      </c>
      <c r="G14" s="375">
        <v>57.149883298909998</v>
      </c>
      <c r="H14" s="161">
        <v>25.06050441068</v>
      </c>
      <c r="I14" s="161">
        <v>1831258137.236167</v>
      </c>
      <c r="J14" s="137">
        <f t="shared" si="2"/>
        <v>1390.8853272612</v>
      </c>
      <c r="K14" s="137">
        <v>1390885327.2612</v>
      </c>
      <c r="L14" s="16">
        <f t="shared" si="0"/>
        <v>-0.99999995891114657</v>
      </c>
      <c r="AM14" s="187"/>
    </row>
    <row r="15" spans="1:39">
      <c r="A15" s="186">
        <f t="shared" si="3"/>
        <v>46126</v>
      </c>
      <c r="B15" s="5" t="str">
        <f t="shared" si="1"/>
        <v>martes</v>
      </c>
      <c r="C15" s="187">
        <f>IFERROR(+Resumen!C85,0)</f>
        <v>57.3321441505</v>
      </c>
      <c r="D15" s="576">
        <f>+'Fecha Proceso - Propuestado'!Q104</f>
        <v>53.579883194209884</v>
      </c>
      <c r="E15" s="575">
        <v>56.64403934952</v>
      </c>
      <c r="F15" s="187">
        <v>9.8934055000000001</v>
      </c>
      <c r="G15" s="375">
        <v>9.8934054992499991</v>
      </c>
      <c r="H15" s="161">
        <v>28.219396704480001</v>
      </c>
      <c r="I15" s="161">
        <v>1832350647.4643822</v>
      </c>
      <c r="J15" s="137">
        <f t="shared" si="2"/>
        <v>1390.8853272612</v>
      </c>
      <c r="K15" s="137">
        <v>1390885327.2612</v>
      </c>
      <c r="L15" s="16">
        <f t="shared" si="0"/>
        <v>-0.99999999288697261</v>
      </c>
    </row>
    <row r="16" spans="1:39">
      <c r="A16" s="186">
        <f t="shared" si="3"/>
        <v>46127</v>
      </c>
      <c r="B16" s="5" t="str">
        <f t="shared" si="1"/>
        <v>miércoles</v>
      </c>
      <c r="C16" s="187">
        <f>IFERROR(+Resumen!C86,0)</f>
        <v>64.122386613789999</v>
      </c>
      <c r="D16" s="576">
        <f>+'Fecha Proceso - Propuestado'!R104</f>
        <v>60.571801729117212</v>
      </c>
      <c r="E16" s="576">
        <v>57.989002539040001</v>
      </c>
      <c r="F16" s="187">
        <v>7.0113320899999998</v>
      </c>
      <c r="G16" s="187">
        <v>7.0113320897799998</v>
      </c>
      <c r="K16" s="187"/>
      <c r="L16" s="187"/>
    </row>
    <row r="17" spans="1:39">
      <c r="A17" s="186">
        <f t="shared" si="3"/>
        <v>46128</v>
      </c>
      <c r="B17" s="5" t="str">
        <f t="shared" si="1"/>
        <v>jueves</v>
      </c>
      <c r="C17" s="187">
        <f>IFERROR(+Resumen!C87,0)</f>
        <v>56.954018859919998</v>
      </c>
      <c r="D17" s="576">
        <f>+'Fecha Proceso - Propuestado'!S104</f>
        <v>65.915400802507406</v>
      </c>
      <c r="E17" s="575">
        <v>60.57184565811</v>
      </c>
      <c r="F17" s="187">
        <v>136.04305733000001</v>
      </c>
      <c r="G17" s="375">
        <v>136.04305733433</v>
      </c>
      <c r="H17" s="161">
        <v>1.58340178015</v>
      </c>
      <c r="I17" s="161">
        <v>1800669798.8156199</v>
      </c>
      <c r="J17" s="137">
        <f t="shared" si="2"/>
        <v>1351.9260227744801</v>
      </c>
      <c r="K17" s="137">
        <v>1351926022.7744801</v>
      </c>
      <c r="L17" s="16">
        <f t="shared" si="0"/>
        <v>-0.99999989937093081</v>
      </c>
    </row>
    <row r="18" spans="1:39">
      <c r="A18" s="186">
        <f t="shared" si="3"/>
        <v>46129</v>
      </c>
      <c r="B18" s="5" t="str">
        <f t="shared" si="1"/>
        <v>viernes</v>
      </c>
      <c r="C18" s="187">
        <f>IFERROR(+Resumen!C88,0)</f>
        <v>54.7826827114</v>
      </c>
      <c r="D18" s="576">
        <f>+'Fecha Proceso - Propuestado'!T104</f>
        <v>56.906782282990193</v>
      </c>
      <c r="E18" s="575">
        <v>54.556368077979997</v>
      </c>
      <c r="F18" s="576">
        <v>56.353396368938284</v>
      </c>
      <c r="G18" s="375">
        <v>46.74080894275</v>
      </c>
      <c r="H18" s="161">
        <v>74.258209622099997</v>
      </c>
      <c r="I18" s="161">
        <v>1790710383.2351501</v>
      </c>
      <c r="J18" s="137">
        <f t="shared" si="2"/>
        <v>1347.22175053772</v>
      </c>
      <c r="K18" s="137">
        <v>1347221750.53772</v>
      </c>
      <c r="L18" s="16">
        <f t="shared" si="0"/>
        <v>-0.99999996530577917</v>
      </c>
    </row>
    <row r="19" spans="1:39">
      <c r="A19" s="186">
        <f t="shared" si="3"/>
        <v>46130</v>
      </c>
      <c r="B19" s="5" t="str">
        <f t="shared" si="1"/>
        <v>sábado</v>
      </c>
      <c r="C19" s="187">
        <f>IFERROR(+Resumen!C89,0)</f>
        <v>54.563293576760003</v>
      </c>
      <c r="D19" s="576">
        <f>+'Fecha Proceso - Propuestado'!U104</f>
        <v>11.051215962002889</v>
      </c>
      <c r="E19" s="575">
        <v>12.8373055307</v>
      </c>
      <c r="F19" s="576">
        <v>58.445056475180351</v>
      </c>
      <c r="G19" s="375">
        <v>66.095742039789997</v>
      </c>
      <c r="H19" s="161">
        <v>25.485190014819999</v>
      </c>
      <c r="I19" s="161">
        <v>1779509670.4529274</v>
      </c>
      <c r="J19" s="137">
        <f t="shared" si="2"/>
        <v>1346.0933529992001</v>
      </c>
      <c r="K19" s="137">
        <v>1346093352.9992001</v>
      </c>
      <c r="L19" s="16">
        <f t="shared" si="0"/>
        <v>-0.99999995089809934</v>
      </c>
    </row>
    <row r="20" spans="1:39">
      <c r="A20" s="186">
        <f t="shared" si="3"/>
        <v>46131</v>
      </c>
      <c r="B20" s="5" t="str">
        <f t="shared" si="1"/>
        <v>domingo</v>
      </c>
      <c r="C20" s="187">
        <f>IFERROR(+Resumen!C90,0)</f>
        <v>41.411147659100003</v>
      </c>
      <c r="D20" s="576">
        <f>+'Fecha Proceso - Propuestado'!V104</f>
        <v>6.6989555530962086</v>
      </c>
      <c r="E20" s="575">
        <v>7.9153569450600001</v>
      </c>
      <c r="F20" s="576">
        <v>64.54103058695307</v>
      </c>
      <c r="G20" s="575">
        <v>55.686390962350004</v>
      </c>
      <c r="H20" s="161">
        <v>29.392847846359999</v>
      </c>
      <c r="I20" s="161">
        <v>1816246853.7055037</v>
      </c>
      <c r="J20" s="137">
        <f t="shared" si="2"/>
        <v>1346.8980683247501</v>
      </c>
      <c r="K20" s="137">
        <v>1346898068.3247499</v>
      </c>
      <c r="L20" s="16">
        <f t="shared" si="0"/>
        <v>-0.99999995865582392</v>
      </c>
    </row>
    <row r="21" spans="1:39">
      <c r="A21" s="186">
        <f t="shared" si="3"/>
        <v>46132</v>
      </c>
      <c r="B21" s="5" t="str">
        <f t="shared" si="1"/>
        <v>lunes</v>
      </c>
      <c r="C21" s="187">
        <f>IFERROR(+Resumen!C91,0)</f>
        <v>81.913180560040004</v>
      </c>
      <c r="D21" s="576">
        <f>+'Fecha Proceso - Propuestado'!W104</f>
        <v>137.09497734064016</v>
      </c>
      <c r="E21" s="575">
        <v>112.33511530218</v>
      </c>
      <c r="F21" s="576">
        <v>61.014435882284182</v>
      </c>
      <c r="G21" s="575">
        <v>57.606284927209998</v>
      </c>
      <c r="H21" s="161">
        <v>27.49504816979</v>
      </c>
      <c r="I21" s="161">
        <v>1834287179.6456664</v>
      </c>
      <c r="J21" s="137">
        <f t="shared" si="2"/>
        <v>1339.17876247908</v>
      </c>
      <c r="K21" s="137">
        <v>1339178762.47908</v>
      </c>
      <c r="L21" s="16">
        <f t="shared" si="0"/>
        <v>-0.99999995698387212</v>
      </c>
      <c r="AM21" s="187"/>
    </row>
    <row r="22" spans="1:39">
      <c r="A22" s="186">
        <f t="shared" si="3"/>
        <v>46133</v>
      </c>
      <c r="B22" s="5" t="str">
        <f t="shared" si="1"/>
        <v>martes</v>
      </c>
      <c r="C22" s="187">
        <f>IFERROR(+Resumen!C92,0)</f>
        <v>72.335877275550004</v>
      </c>
      <c r="D22" s="576">
        <f>+'Fecha Proceso - Propuestado'!X104</f>
        <v>72.937023950873126</v>
      </c>
      <c r="E22" s="575">
        <v>75.209032820320004</v>
      </c>
      <c r="F22" s="576">
        <v>10.242055093211764</v>
      </c>
      <c r="G22" s="575">
        <v>9.8968380225304777</v>
      </c>
      <c r="J22" s="187"/>
      <c r="K22" s="187"/>
      <c r="L22" s="187"/>
    </row>
    <row r="23" spans="1:39">
      <c r="A23" s="186">
        <f t="shared" si="3"/>
        <v>46134</v>
      </c>
      <c r="B23" s="5" t="str">
        <f t="shared" si="1"/>
        <v>miércoles</v>
      </c>
      <c r="C23" s="187">
        <f>IFERROR(+Resumen!C93,0)</f>
        <v>69.080742005600001</v>
      </c>
      <c r="D23" s="576">
        <f>+'Fecha Proceso - Propuestado'!Y104</f>
        <v>72.419611764206053</v>
      </c>
      <c r="E23" s="575">
        <v>68.642003218949995</v>
      </c>
      <c r="F23" s="576">
        <v>5.3943857310432195</v>
      </c>
      <c r="G23" s="575">
        <v>6.3481072978049786</v>
      </c>
      <c r="H23" s="161">
        <v>3.2764214062399999</v>
      </c>
      <c r="I23" s="161">
        <v>1841514042.9448431</v>
      </c>
      <c r="J23" s="137">
        <f t="shared" si="2"/>
        <v>1339.17876247908</v>
      </c>
      <c r="K23" s="137">
        <v>1339178762.47908</v>
      </c>
      <c r="L23" s="16">
        <f t="shared" si="0"/>
        <v>-0.99999999525970129</v>
      </c>
    </row>
    <row r="24" spans="1:39">
      <c r="A24" s="186">
        <f t="shared" si="3"/>
        <v>46135</v>
      </c>
      <c r="B24" s="5" t="str">
        <f t="shared" si="1"/>
        <v>jueves</v>
      </c>
      <c r="C24" s="187">
        <f>IFERROR(+Resumen!C94,0)</f>
        <v>69.501410634029995</v>
      </c>
      <c r="D24" s="576">
        <f>+'Fecha Proceso - Propuestado'!Z104</f>
        <v>76.382174300463745</v>
      </c>
      <c r="E24" s="575">
        <v>63.285337468290003</v>
      </c>
      <c r="F24" s="576">
        <v>134.8967011160955</v>
      </c>
      <c r="G24" s="575">
        <v>142.94256578120155</v>
      </c>
      <c r="H24" s="161">
        <v>1.5315851627999999</v>
      </c>
      <c r="I24" s="161">
        <v>1839067907.4496231</v>
      </c>
      <c r="J24" s="137">
        <f t="shared" si="2"/>
        <v>1358.6235400005801</v>
      </c>
      <c r="K24" s="137">
        <v>1358623540.0005801</v>
      </c>
      <c r="L24" s="16">
        <f t="shared" si="0"/>
        <v>-0.99999989478868756</v>
      </c>
    </row>
    <row r="25" spans="1:39">
      <c r="A25" s="186">
        <f t="shared" si="3"/>
        <v>46136</v>
      </c>
      <c r="B25" s="5" t="str">
        <f t="shared" si="1"/>
        <v>viernes</v>
      </c>
      <c r="C25" s="187">
        <f>IFERROR(+Resumen!C95,0)</f>
        <v>60.136748694799998</v>
      </c>
      <c r="D25" s="576">
        <f>+'Fecha Proceso - Propuestado'!AA104</f>
        <v>66.429986482628706</v>
      </c>
      <c r="E25" s="575">
        <v>99.149147997550003</v>
      </c>
      <c r="F25" s="576">
        <v>57.392355787046057</v>
      </c>
      <c r="G25" s="575">
        <v>53.54436616215699</v>
      </c>
      <c r="H25" s="161">
        <v>73.130916588849999</v>
      </c>
      <c r="I25" s="161">
        <v>1833166359.4095447</v>
      </c>
      <c r="J25" s="137">
        <f t="shared" si="2"/>
        <v>1365.3310018591401</v>
      </c>
      <c r="K25" s="137">
        <v>1365331001.8591402</v>
      </c>
      <c r="L25" s="16">
        <f t="shared" si="0"/>
        <v>-0.99999996078286801</v>
      </c>
    </row>
    <row r="26" spans="1:39">
      <c r="A26" s="186">
        <f t="shared" si="3"/>
        <v>46137</v>
      </c>
      <c r="B26" s="5" t="str">
        <f t="shared" si="1"/>
        <v>sábado</v>
      </c>
      <c r="C26" s="187">
        <f>IFERROR(+Resumen!C96,0)</f>
        <v>54.432363589719998</v>
      </c>
      <c r="D26" s="576">
        <f>+'Fecha Proceso - Propuestado'!AB104</f>
        <v>11.024943661550619</v>
      </c>
      <c r="E26" s="575">
        <v>11.140821115350001</v>
      </c>
      <c r="F26" s="576">
        <v>60.911542538917431</v>
      </c>
      <c r="G26" s="575">
        <v>62.371817129672394</v>
      </c>
      <c r="H26" s="161">
        <v>27.613341708789999</v>
      </c>
      <c r="I26" s="161">
        <v>1828132574.3408003</v>
      </c>
      <c r="J26" s="137">
        <f t="shared" si="2"/>
        <v>1372.7869909769199</v>
      </c>
      <c r="K26" s="137">
        <v>1372786990.9769199</v>
      </c>
      <c r="L26" s="16">
        <f t="shared" si="0"/>
        <v>-0.99999995456555346</v>
      </c>
    </row>
    <row r="27" spans="1:39">
      <c r="A27" s="186">
        <f t="shared" si="3"/>
        <v>46138</v>
      </c>
      <c r="B27" s="5" t="str">
        <f t="shared" si="1"/>
        <v>domingo</v>
      </c>
      <c r="C27" s="187">
        <f>IFERROR(+Resumen!C97,0)</f>
        <v>43.044570582989998</v>
      </c>
      <c r="D27" s="576">
        <f>+'Fecha Proceso - Propuestado'!AC104</f>
        <v>6.9631894172871949</v>
      </c>
      <c r="E27" s="575">
        <v>6.6966506369900003</v>
      </c>
      <c r="F27" s="576">
        <v>64.705309910038963</v>
      </c>
      <c r="G27" s="575">
        <v>61.737902123063016</v>
      </c>
      <c r="I27" s="161">
        <v>1885066049.0204175</v>
      </c>
      <c r="J27" s="137">
        <f t="shared" si="2"/>
        <v>1377.9366708550999</v>
      </c>
      <c r="K27" s="137">
        <v>1377936670.8550999</v>
      </c>
      <c r="L27" s="16">
        <f>+D30/K27-1</f>
        <v>-0.99999995457015434</v>
      </c>
    </row>
    <row r="28" spans="1:39">
      <c r="A28" s="186">
        <f t="shared" si="3"/>
        <v>46139</v>
      </c>
      <c r="B28" s="5" t="str">
        <f t="shared" si="1"/>
        <v>lunes</v>
      </c>
      <c r="C28" s="187">
        <f>IFERROR(+Resumen!C98,0)</f>
        <v>57.044620271299998</v>
      </c>
      <c r="D28" s="576">
        <f>+'Fecha Proceso - Propuestado'!AD104</f>
        <v>135.24551947741068</v>
      </c>
      <c r="E28" s="575">
        <v>124.18216422364</v>
      </c>
      <c r="F28" s="575">
        <v>62.045187889231187</v>
      </c>
      <c r="G28" s="575">
        <v>62.325051389611446</v>
      </c>
      <c r="H28" s="161">
        <v>16.640234204750001</v>
      </c>
      <c r="I28" s="161">
        <v>1903007022.2748735</v>
      </c>
      <c r="J28" s="137">
        <f t="shared" si="2"/>
        <v>1377.9366708550999</v>
      </c>
      <c r="K28" s="137">
        <v>1377936670.8550999</v>
      </c>
      <c r="L28" s="16">
        <f t="shared" si="0"/>
        <v>-0.99999995476929182</v>
      </c>
      <c r="AM28" s="187"/>
    </row>
    <row r="29" spans="1:39">
      <c r="A29" s="186">
        <f t="shared" si="3"/>
        <v>46140</v>
      </c>
      <c r="B29" s="5" t="str">
        <f t="shared" si="1"/>
        <v>martes</v>
      </c>
      <c r="C29" s="187">
        <f>IFERROR(+Resumen!C99,0)</f>
        <v>60.548065702640002</v>
      </c>
      <c r="D29" s="576">
        <f>+'Fecha Proceso - Propuestado'!AE104</f>
        <v>56.582630930064063</v>
      </c>
      <c r="E29" s="575">
        <v>81.345791830910002</v>
      </c>
      <c r="F29" s="575">
        <v>13.882653760370486</v>
      </c>
      <c r="G29" s="575">
        <v>12.654479324153254</v>
      </c>
      <c r="H29" s="161"/>
      <c r="I29" s="161">
        <v>1918004159.682447</v>
      </c>
      <c r="J29" s="137">
        <f t="shared" si="2"/>
        <v>1377.9366708550999</v>
      </c>
      <c r="K29" s="137">
        <v>1377936670.8550999</v>
      </c>
      <c r="L29" s="16">
        <f t="shared" si="0"/>
        <v>-0.99999999081635638</v>
      </c>
    </row>
    <row r="30" spans="1:39">
      <c r="A30" s="186">
        <f t="shared" si="3"/>
        <v>46141</v>
      </c>
      <c r="B30" s="5" t="str">
        <f t="shared" si="1"/>
        <v>miércoles</v>
      </c>
      <c r="C30" s="187">
        <f>IFERROR(+Resumen!C100,0)</f>
        <v>62.083999965929998</v>
      </c>
      <c r="D30" s="576">
        <f>+'Fecha Proceso - Propuestado'!AF104</f>
        <v>62.59945030512165</v>
      </c>
      <c r="E30" s="575">
        <v>61.350800531270004</v>
      </c>
      <c r="F30" s="375"/>
      <c r="G30" s="161"/>
      <c r="H30" s="161"/>
      <c r="I30" s="161">
        <v>1918004159.682447</v>
      </c>
      <c r="J30" s="137">
        <f t="shared" si="2"/>
        <v>1377.9366708550999</v>
      </c>
      <c r="K30" s="137">
        <v>1377936670.8550999</v>
      </c>
      <c r="L30" s="16">
        <f t="shared" si="0"/>
        <v>-1</v>
      </c>
    </row>
    <row r="31" spans="1:39">
      <c r="A31" s="186">
        <f t="shared" si="3"/>
        <v>46142</v>
      </c>
      <c r="B31" s="5" t="str">
        <f t="shared" si="1"/>
        <v>jueves</v>
      </c>
      <c r="C31" s="187">
        <f>IFERROR(+Resumen!C101,0)</f>
        <v>73.339175272600002</v>
      </c>
      <c r="D31" s="576">
        <f>+'Fecha Proceso - Propuestado'!AG104</f>
        <v>70.362322274842654</v>
      </c>
      <c r="E31" s="575">
        <v>65.809549254990003</v>
      </c>
      <c r="F31" s="375"/>
      <c r="G31" s="161">
        <v>1539.064889748902</v>
      </c>
      <c r="H31" s="161"/>
      <c r="I31" s="161"/>
      <c r="J31" s="137"/>
      <c r="L31" s="16"/>
    </row>
    <row r="32" spans="1:39">
      <c r="C32" s="312">
        <f>SUM(C2:C31)</f>
        <v>1715.3982895778897</v>
      </c>
      <c r="D32" s="312">
        <f>SUM(D2:D31)</f>
        <v>1705.0134477576851</v>
      </c>
      <c r="E32" s="312">
        <f>SUM(E2:E31)</f>
        <v>1714.12560511489</v>
      </c>
      <c r="F32" s="312">
        <f>SUM(F2:F28)</f>
        <v>1539.0648897589399</v>
      </c>
      <c r="I32" s="161"/>
    </row>
    <row r="33" spans="3:12">
      <c r="C33" s="723" t="s">
        <v>418</v>
      </c>
      <c r="D33" s="723"/>
      <c r="E33" s="723" t="s">
        <v>419</v>
      </c>
      <c r="F33" s="723"/>
      <c r="G33" s="723"/>
      <c r="H33" s="5"/>
      <c r="I33" s="5" t="s">
        <v>420</v>
      </c>
      <c r="J33" s="723" t="s">
        <v>421</v>
      </c>
      <c r="K33" s="723"/>
    </row>
    <row r="34" spans="3:12">
      <c r="C34" s="189">
        <v>2052094.0947200002</v>
      </c>
      <c r="D34" s="187">
        <f>+C34/1000000</f>
        <v>2.0520940947200002</v>
      </c>
      <c r="E34" s="190">
        <f>+G34/1000000</f>
        <v>48.941756009722234</v>
      </c>
      <c r="F34" s="190"/>
      <c r="G34" s="137">
        <v>48941756.009722233</v>
      </c>
      <c r="H34" s="190">
        <f>I34/1000000</f>
        <v>34.748121126381875</v>
      </c>
      <c r="I34" s="137">
        <v>34748121.126381874</v>
      </c>
      <c r="J34" s="190">
        <f>+K34/1000000</f>
        <v>2.0520940947198869</v>
      </c>
      <c r="K34" s="137">
        <v>2052094.0947198868</v>
      </c>
    </row>
    <row r="35" spans="3:12">
      <c r="C35" s="189">
        <v>68077186.425270006</v>
      </c>
      <c r="D35" s="187">
        <f t="shared" ref="D35:D64" si="4">+C35/1000000</f>
        <v>68.07718642527</v>
      </c>
      <c r="E35" s="190">
        <f t="shared" ref="E35:E64" si="5">+G35/1000000</f>
        <v>28.596808049299003</v>
      </c>
      <c r="F35" s="190"/>
      <c r="G35" s="137">
        <v>28596808.049299002</v>
      </c>
      <c r="H35" s="190">
        <f t="shared" ref="H35:H64" si="6">I35/1000000</f>
        <v>25.29250348749423</v>
      </c>
      <c r="I35" s="137">
        <v>25292503.48749423</v>
      </c>
      <c r="J35" s="190">
        <f t="shared" ref="J35:J64" si="7">+K35/1000000</f>
        <v>47.637237047459841</v>
      </c>
      <c r="K35" s="137">
        <v>47637237.047459841</v>
      </c>
      <c r="L35" s="16">
        <f>+G35/K35-1</f>
        <v>-0.39969633375653824</v>
      </c>
    </row>
    <row r="36" spans="3:12">
      <c r="C36" s="189">
        <v>18311442.43572</v>
      </c>
      <c r="D36" s="187">
        <f t="shared" si="4"/>
        <v>18.31144243572</v>
      </c>
      <c r="E36" s="190">
        <f t="shared" si="5"/>
        <v>36.159413204508546</v>
      </c>
      <c r="F36" s="190"/>
      <c r="G36" s="137">
        <v>36159413.204508543</v>
      </c>
      <c r="H36" s="190">
        <f t="shared" si="6"/>
        <v>2.7468945050489904</v>
      </c>
      <c r="I36" s="137">
        <v>2746894.5050489902</v>
      </c>
      <c r="J36" s="190">
        <f t="shared" si="7"/>
        <v>31.614143431010007</v>
      </c>
      <c r="K36" s="137">
        <v>31614143.431010008</v>
      </c>
      <c r="L36" s="16">
        <f t="shared" ref="L36:L64" si="8">+G36/K36-1</f>
        <v>0.14377330144710254</v>
      </c>
    </row>
    <row r="37" spans="3:12">
      <c r="C37" s="189">
        <v>21292384.787949998</v>
      </c>
      <c r="D37" s="187">
        <f t="shared" si="4"/>
        <v>21.292384787949999</v>
      </c>
      <c r="E37" s="190">
        <f t="shared" si="5"/>
        <v>26.663052363803388</v>
      </c>
      <c r="F37" s="190"/>
      <c r="G37" s="137">
        <v>26663052.363803387</v>
      </c>
      <c r="H37" s="190">
        <f t="shared" si="6"/>
        <v>1.5480194191188812</v>
      </c>
      <c r="I37" s="137">
        <v>1548019.4191188812</v>
      </c>
      <c r="J37" s="190">
        <f t="shared" si="7"/>
        <v>19.731163813240052</v>
      </c>
      <c r="K37" s="137">
        <v>19731163.813240051</v>
      </c>
      <c r="L37" s="16">
        <f t="shared" si="8"/>
        <v>0.35131676043923377</v>
      </c>
    </row>
    <row r="38" spans="3:12">
      <c r="C38" s="189">
        <v>17937565.913079999</v>
      </c>
      <c r="D38" s="187">
        <f t="shared" si="4"/>
        <v>17.93756591308</v>
      </c>
      <c r="E38" s="190">
        <f t="shared" si="5"/>
        <v>44.105812554981235</v>
      </c>
      <c r="F38" s="190"/>
      <c r="G38" s="137">
        <v>44105812.554981232</v>
      </c>
      <c r="H38" s="190">
        <f t="shared" si="6"/>
        <v>78.827554634369605</v>
      </c>
      <c r="I38" s="137">
        <v>78827554.634369612</v>
      </c>
      <c r="J38" s="190">
        <f t="shared" si="7"/>
        <v>22.942272122499944</v>
      </c>
      <c r="K38" s="137">
        <v>22942272.122499943</v>
      </c>
      <c r="L38" s="16">
        <f t="shared" si="8"/>
        <v>0.92246924452289902</v>
      </c>
    </row>
    <row r="39" spans="3:12">
      <c r="C39" s="189">
        <v>20741000.07598</v>
      </c>
      <c r="D39" s="187">
        <f t="shared" si="4"/>
        <v>20.741000075980001</v>
      </c>
      <c r="E39" s="190">
        <f t="shared" si="5"/>
        <v>2.5791304890360833</v>
      </c>
      <c r="F39" s="190"/>
      <c r="G39" s="137">
        <v>2579130.4890360832</v>
      </c>
      <c r="H39" s="190">
        <f t="shared" si="6"/>
        <v>31.115982112729551</v>
      </c>
      <c r="I39" s="137">
        <v>31115982.112729549</v>
      </c>
      <c r="J39" s="190">
        <f t="shared" si="7"/>
        <v>21.648344894920111</v>
      </c>
      <c r="K39" s="137">
        <v>21648344.894920111</v>
      </c>
      <c r="L39" s="16">
        <f t="shared" si="8"/>
        <v>-0.88086246308643723</v>
      </c>
    </row>
    <row r="40" spans="3:12">
      <c r="C40" s="189">
        <v>2057126.8366500002</v>
      </c>
      <c r="D40" s="187">
        <f t="shared" si="4"/>
        <v>2.0571268366500002</v>
      </c>
      <c r="E40" s="190">
        <f t="shared" si="5"/>
        <v>1.2797583823375702</v>
      </c>
      <c r="F40" s="190"/>
      <c r="G40" s="137">
        <v>1279758.3823375702</v>
      </c>
      <c r="H40" s="190">
        <f t="shared" si="6"/>
        <v>38.20182934409857</v>
      </c>
      <c r="I40" s="137">
        <v>38201829.344098568</v>
      </c>
      <c r="J40" s="190">
        <f t="shared" si="7"/>
        <v>2.0571268366498949</v>
      </c>
      <c r="K40" s="137">
        <v>2057126.8366498947</v>
      </c>
      <c r="L40" s="16">
        <f t="shared" si="8"/>
        <v>-0.37789038598042746</v>
      </c>
    </row>
    <row r="41" spans="3:12">
      <c r="C41" s="189">
        <v>890127.61490000004</v>
      </c>
      <c r="D41" s="187">
        <f t="shared" si="4"/>
        <v>0.89012761490000003</v>
      </c>
      <c r="E41" s="190">
        <f t="shared" si="5"/>
        <v>63.222815775629044</v>
      </c>
      <c r="F41" s="190"/>
      <c r="G41" s="137">
        <v>63222815.775629044</v>
      </c>
      <c r="H41" s="190">
        <f t="shared" si="6"/>
        <v>20.450106331822873</v>
      </c>
      <c r="I41" s="137">
        <v>20450106.331822872</v>
      </c>
      <c r="J41" s="190">
        <f t="shared" si="7"/>
        <v>0.89012761490011216</v>
      </c>
      <c r="K41" s="137">
        <v>890127.61490011215</v>
      </c>
      <c r="L41" s="16">
        <f t="shared" si="8"/>
        <v>70.026687316878437</v>
      </c>
    </row>
    <row r="42" spans="3:12">
      <c r="C42" s="189">
        <v>45049482.190980002</v>
      </c>
      <c r="D42" s="187">
        <f t="shared" si="4"/>
        <v>45.049482190980001</v>
      </c>
      <c r="E42" s="190">
        <f t="shared" si="5"/>
        <v>23.573058848380089</v>
      </c>
      <c r="F42" s="190"/>
      <c r="G42" s="137">
        <v>23573058.848380089</v>
      </c>
      <c r="H42" s="190">
        <f t="shared" si="6"/>
        <v>16.509722839534284</v>
      </c>
      <c r="I42" s="137">
        <v>16509722.839534283</v>
      </c>
      <c r="J42" s="190">
        <f t="shared" si="7"/>
        <v>53.372259376590016</v>
      </c>
      <c r="K42" s="137">
        <v>53372259.376590014</v>
      </c>
      <c r="L42" s="16">
        <f t="shared" si="8"/>
        <v>-0.55832750714091683</v>
      </c>
    </row>
    <row r="43" spans="3:12">
      <c r="C43" s="189">
        <v>18913711.395339999</v>
      </c>
      <c r="D43" s="187">
        <f t="shared" si="4"/>
        <v>18.913711395339998</v>
      </c>
      <c r="E43" s="190">
        <f t="shared" si="5"/>
        <v>25.080776576474666</v>
      </c>
      <c r="F43" s="190"/>
      <c r="G43" s="137">
        <v>25080776.576474667</v>
      </c>
      <c r="H43" s="190">
        <f t="shared" si="6"/>
        <v>2.6166704168620107</v>
      </c>
      <c r="I43" s="137">
        <v>2616670.416862011</v>
      </c>
      <c r="J43" s="190">
        <f t="shared" si="7"/>
        <v>20.551783118119957</v>
      </c>
      <c r="K43" s="137">
        <v>20551783.118119955</v>
      </c>
      <c r="L43" s="16">
        <f t="shared" si="8"/>
        <v>0.22036985464106129</v>
      </c>
    </row>
    <row r="44" spans="3:12">
      <c r="C44" s="189">
        <v>19651116.120620001</v>
      </c>
      <c r="D44" s="187">
        <f t="shared" si="4"/>
        <v>19.651116120619999</v>
      </c>
      <c r="E44" s="190">
        <f t="shared" si="5"/>
        <v>35.680592645289167</v>
      </c>
      <c r="F44" s="190"/>
      <c r="G44" s="137">
        <v>35680592.645289168</v>
      </c>
      <c r="H44" s="190">
        <f t="shared" si="6"/>
        <v>1.4462830279431342</v>
      </c>
      <c r="I44" s="137">
        <v>1446283.0279431343</v>
      </c>
      <c r="J44" s="190">
        <f t="shared" si="7"/>
        <v>20.057193441959857</v>
      </c>
      <c r="K44" s="137">
        <v>20057193.441959858</v>
      </c>
      <c r="L44" s="16">
        <f t="shared" si="8"/>
        <v>0.77894244020427084</v>
      </c>
    </row>
    <row r="45" spans="3:12">
      <c r="C45" s="189">
        <v>18897926.24216</v>
      </c>
      <c r="D45" s="187">
        <f t="shared" si="4"/>
        <v>18.89792624216</v>
      </c>
      <c r="E45" s="190">
        <f t="shared" si="5"/>
        <v>31.9486039634393</v>
      </c>
      <c r="F45" s="190"/>
      <c r="G45" s="137">
        <v>31948603.963439301</v>
      </c>
      <c r="H45" s="190">
        <f t="shared" si="6"/>
        <v>66.824070179426911</v>
      </c>
      <c r="I45" s="137">
        <v>66824070.179426908</v>
      </c>
      <c r="J45" s="190">
        <f t="shared" si="7"/>
        <v>29.408827352230073</v>
      </c>
      <c r="K45" s="137">
        <v>29408827.352230072</v>
      </c>
      <c r="L45" s="16">
        <f t="shared" si="8"/>
        <v>8.6361029659233868E-2</v>
      </c>
    </row>
    <row r="46" spans="3:12">
      <c r="C46" s="189">
        <v>20198900.290169999</v>
      </c>
      <c r="D46" s="187">
        <f t="shared" si="4"/>
        <v>20.198900290169998</v>
      </c>
      <c r="E46" s="190">
        <f t="shared" si="5"/>
        <v>3.1132167701957125</v>
      </c>
      <c r="F46" s="190"/>
      <c r="G46" s="137">
        <v>3113216.7701957123</v>
      </c>
      <c r="H46" s="190">
        <f t="shared" si="6"/>
        <v>34.966667244908571</v>
      </c>
      <c r="I46" s="137">
        <v>34966667.244908571</v>
      </c>
      <c r="J46" s="190">
        <f t="shared" si="7"/>
        <v>26.332829934920074</v>
      </c>
      <c r="K46" s="137">
        <v>26332829.934920073</v>
      </c>
      <c r="L46" s="16">
        <f t="shared" si="8"/>
        <v>-0.8817743182981157</v>
      </c>
    </row>
    <row r="47" spans="3:12">
      <c r="C47" s="189">
        <v>2565990.2966</v>
      </c>
      <c r="D47" s="187">
        <f t="shared" si="4"/>
        <v>2.5659902965999999</v>
      </c>
      <c r="E47" s="190">
        <f t="shared" si="5"/>
        <v>1.6160063044565767</v>
      </c>
      <c r="F47" s="190"/>
      <c r="G47" s="137">
        <v>1616006.3044565767</v>
      </c>
      <c r="H47" s="190">
        <f t="shared" si="6"/>
        <v>23.924165529320717</v>
      </c>
      <c r="I47" s="137">
        <v>23924165.529320717</v>
      </c>
      <c r="J47" s="190">
        <f t="shared" si="7"/>
        <v>2.5659902966001034</v>
      </c>
      <c r="K47" s="137">
        <v>2565990.2966001034</v>
      </c>
      <c r="L47" s="16">
        <f t="shared" si="8"/>
        <v>-0.37022119428987732</v>
      </c>
    </row>
    <row r="48" spans="3:12">
      <c r="C48" s="189">
        <v>1331952.3832</v>
      </c>
      <c r="D48" s="187">
        <f t="shared" si="4"/>
        <v>1.3319523832</v>
      </c>
      <c r="E48" s="190">
        <f t="shared" si="5"/>
        <v>98.773490014680192</v>
      </c>
      <c r="F48" s="190"/>
      <c r="G48" s="137">
        <v>98773490.014680192</v>
      </c>
      <c r="H48" s="190">
        <f t="shared" si="6"/>
        <v>36.958995580402373</v>
      </c>
      <c r="I48" s="137">
        <v>36958995.580402374</v>
      </c>
      <c r="J48" s="190">
        <f t="shared" si="7"/>
        <v>1.3319523831999303</v>
      </c>
      <c r="K48" s="137">
        <v>1331952.3831999302</v>
      </c>
      <c r="L48" s="16">
        <f t="shared" si="8"/>
        <v>73.156922770304462</v>
      </c>
    </row>
    <row r="49" spans="3:12">
      <c r="C49" s="189">
        <v>51561334.183130004</v>
      </c>
      <c r="D49" s="187">
        <f t="shared" si="4"/>
        <v>51.56133418313</v>
      </c>
      <c r="E49" s="190">
        <f t="shared" si="5"/>
        <v>26.601775068581386</v>
      </c>
      <c r="F49" s="190"/>
      <c r="G49" s="137">
        <v>26601775.068581387</v>
      </c>
      <c r="H49" s="190">
        <f t="shared" si="6"/>
        <v>42.404747124199865</v>
      </c>
      <c r="I49" s="137">
        <v>42404747.124199867</v>
      </c>
      <c r="J49" s="190">
        <f t="shared" si="7"/>
        <v>90.520638669849873</v>
      </c>
      <c r="K49" s="137">
        <v>90520638.669849873</v>
      </c>
      <c r="L49" s="16">
        <f t="shared" si="8"/>
        <v>-0.70612475276931774</v>
      </c>
    </row>
    <row r="50" spans="3:12">
      <c r="C50" s="189">
        <v>19674836.657760002</v>
      </c>
      <c r="D50" s="187">
        <f t="shared" si="4"/>
        <v>19.67483665776</v>
      </c>
      <c r="E50" s="190">
        <f t="shared" si="5"/>
        <v>23.505708950788147</v>
      </c>
      <c r="F50" s="190"/>
      <c r="G50" s="137">
        <v>23505708.950788148</v>
      </c>
      <c r="H50" s="190">
        <f t="shared" si="6"/>
        <v>2.6745517348515988</v>
      </c>
      <c r="I50" s="191">
        <v>2674551.7348515987</v>
      </c>
      <c r="J50" s="190">
        <f t="shared" si="7"/>
        <v>24.379108894520044</v>
      </c>
      <c r="K50" s="137">
        <v>24379108.894520044</v>
      </c>
      <c r="L50" s="16">
        <f t="shared" si="8"/>
        <v>-3.5825753414974959E-2</v>
      </c>
    </row>
    <row r="51" spans="3:12">
      <c r="C51" s="189">
        <v>20413331.788819999</v>
      </c>
      <c r="D51" s="187">
        <f t="shared" si="4"/>
        <v>20.413331788819999</v>
      </c>
      <c r="E51" s="190">
        <f t="shared" si="5"/>
        <v>20.381977856216498</v>
      </c>
      <c r="F51" s="190"/>
      <c r="G51" s="137">
        <v>20381977.856216498</v>
      </c>
      <c r="H51" s="190">
        <f t="shared" si="6"/>
        <v>1.5791774349815846</v>
      </c>
      <c r="I51" s="137">
        <v>1579177.4349815845</v>
      </c>
      <c r="J51" s="190">
        <f t="shared" si="7"/>
        <v>21.541729327339887</v>
      </c>
      <c r="K51" s="137">
        <v>21541729.327339888</v>
      </c>
      <c r="L51" s="16">
        <f t="shared" si="8"/>
        <v>-5.3837435866928351E-2</v>
      </c>
    </row>
    <row r="52" spans="3:12">
      <c r="C52" s="189">
        <v>19483711.60912</v>
      </c>
      <c r="D52" s="187">
        <f t="shared" si="4"/>
        <v>19.48371160912</v>
      </c>
      <c r="E52" s="190">
        <f t="shared" si="5"/>
        <v>30.437064618895914</v>
      </c>
      <c r="F52" s="190"/>
      <c r="G52" s="137">
        <v>30437064.618895914</v>
      </c>
      <c r="H52" s="190">
        <f t="shared" si="6"/>
        <v>40.495095467179539</v>
      </c>
      <c r="I52" s="137">
        <v>40495095.467179537</v>
      </c>
      <c r="J52" s="190">
        <f t="shared" si="7"/>
        <v>18.678996283570051</v>
      </c>
      <c r="K52" s="137">
        <v>18678996.283570051</v>
      </c>
      <c r="L52" s="16">
        <f t="shared" si="8"/>
        <v>0.62948073637490887</v>
      </c>
    </row>
    <row r="53" spans="3:12">
      <c r="C53" s="189">
        <v>20174641.489070002</v>
      </c>
      <c r="D53" s="187">
        <f t="shared" si="4"/>
        <v>20.174641489070002</v>
      </c>
      <c r="E53" s="190">
        <f t="shared" si="5"/>
        <v>2.349369374534684</v>
      </c>
      <c r="F53" s="190"/>
      <c r="G53" s="137">
        <v>2349369.3745346838</v>
      </c>
      <c r="H53" s="190">
        <f t="shared" si="6"/>
        <v>31.777858851044179</v>
      </c>
      <c r="I53" s="137">
        <v>31777858.851044178</v>
      </c>
      <c r="J53" s="190">
        <f t="shared" si="7"/>
        <v>27.893947334739924</v>
      </c>
      <c r="K53" s="137">
        <v>27893947.334739923</v>
      </c>
      <c r="L53" s="16">
        <f t="shared" si="8"/>
        <v>-0.91577494047933794</v>
      </c>
    </row>
    <row r="54" spans="3:12">
      <c r="C54" s="189">
        <v>2153071.8032</v>
      </c>
      <c r="D54" s="187">
        <f t="shared" si="4"/>
        <v>2.1530718032</v>
      </c>
      <c r="E54" s="190">
        <f t="shared" si="5"/>
        <v>1.3600936284376581</v>
      </c>
      <c r="F54" s="190"/>
      <c r="G54" s="137">
        <v>1360093.6284376581</v>
      </c>
      <c r="H54" s="190">
        <f t="shared" si="6"/>
        <v>24.114074402338026</v>
      </c>
      <c r="I54" s="137">
        <v>24114074.402338028</v>
      </c>
      <c r="J54" s="190">
        <f t="shared" si="7"/>
        <v>2.1530718032000067</v>
      </c>
      <c r="K54" s="137">
        <v>2153071.8032000065</v>
      </c>
      <c r="L54" s="16">
        <f t="shared" si="8"/>
        <v>-0.36830084978298605</v>
      </c>
    </row>
    <row r="55" spans="3:12">
      <c r="C55" s="189">
        <v>1246453.31332</v>
      </c>
      <c r="D55" s="187">
        <f t="shared" si="4"/>
        <v>1.24645331332</v>
      </c>
      <c r="E55" s="190">
        <f t="shared" si="5"/>
        <v>34.90712256104198</v>
      </c>
      <c r="F55" s="190"/>
      <c r="G55" s="137">
        <v>34907122.561041981</v>
      </c>
      <c r="H55" s="190">
        <f t="shared" si="6"/>
        <v>0</v>
      </c>
      <c r="I55" s="137"/>
      <c r="J55" s="190">
        <f t="shared" si="7"/>
        <v>1.2464533133199216</v>
      </c>
      <c r="K55" s="137">
        <v>1246453.3133199215</v>
      </c>
      <c r="L55" s="16">
        <f t="shared" si="8"/>
        <v>27.005158466839848</v>
      </c>
    </row>
    <row r="56" spans="3:12">
      <c r="C56" s="189">
        <v>51435294.692479998</v>
      </c>
      <c r="D56" s="187">
        <f t="shared" si="4"/>
        <v>51.435294692479999</v>
      </c>
      <c r="E56" s="190">
        <f t="shared" si="5"/>
        <v>14.804491390184225</v>
      </c>
      <c r="F56" s="190"/>
      <c r="G56" s="137">
        <v>14804491.390184226</v>
      </c>
      <c r="H56" s="190">
        <f t="shared" si="6"/>
        <v>0</v>
      </c>
      <c r="I56" s="137"/>
      <c r="J56" s="190">
        <f t="shared" si="7"/>
        <v>31.990517170979977</v>
      </c>
      <c r="K56" s="137">
        <v>31990517.170979977</v>
      </c>
      <c r="L56" s="16">
        <f t="shared" si="8"/>
        <v>-0.53722250531122895</v>
      </c>
    </row>
    <row r="57" spans="3:12">
      <c r="C57" s="189">
        <v>20274989.09307</v>
      </c>
      <c r="D57" s="187">
        <f t="shared" si="4"/>
        <v>20.274989093070001</v>
      </c>
      <c r="E57" s="190">
        <f t="shared" si="5"/>
        <v>14.210844521127708</v>
      </c>
      <c r="F57" s="190"/>
      <c r="G57" s="137">
        <v>14210844.521127708</v>
      </c>
      <c r="H57" s="190">
        <f t="shared" si="6"/>
        <v>0</v>
      </c>
      <c r="I57" s="137"/>
      <c r="J57" s="190">
        <f t="shared" si="7"/>
        <v>13.567527234509946</v>
      </c>
      <c r="K57" s="137">
        <v>13567527.234509945</v>
      </c>
      <c r="L57" s="16">
        <f t="shared" si="8"/>
        <v>4.7415956901965206E-2</v>
      </c>
    </row>
    <row r="58" spans="3:12">
      <c r="C58" s="189">
        <v>20479470.639990002</v>
      </c>
      <c r="D58" s="187">
        <f t="shared" si="4"/>
        <v>20.479470639990002</v>
      </c>
      <c r="E58" s="190">
        <f t="shared" si="5"/>
        <v>16.076569431039328</v>
      </c>
      <c r="F58" s="190"/>
      <c r="G58" s="137">
        <v>16076569.43103933</v>
      </c>
      <c r="H58" s="190">
        <f t="shared" si="6"/>
        <v>0</v>
      </c>
      <c r="I58" s="137"/>
      <c r="J58" s="190">
        <f t="shared" si="7"/>
        <v>13.023481522210359</v>
      </c>
      <c r="K58" s="137">
        <v>13023481.52221036</v>
      </c>
      <c r="L58" s="16">
        <f t="shared" si="8"/>
        <v>0.23442947291952665</v>
      </c>
    </row>
    <row r="59" spans="3:12">
      <c r="C59" s="189">
        <v>19882998.831489999</v>
      </c>
      <c r="D59" s="187">
        <f t="shared" si="4"/>
        <v>19.882998831489999</v>
      </c>
      <c r="E59" s="190">
        <f t="shared" si="5"/>
        <v>3.5657894247723587</v>
      </c>
      <c r="F59" s="190"/>
      <c r="G59" s="137">
        <v>3565789.4247723585</v>
      </c>
      <c r="H59" s="190">
        <f t="shared" si="6"/>
        <v>0</v>
      </c>
      <c r="I59" s="137"/>
      <c r="J59" s="190">
        <f t="shared" si="7"/>
        <v>14.733318953310013</v>
      </c>
      <c r="K59" s="137">
        <v>14733318.953310013</v>
      </c>
      <c r="L59" s="16">
        <f t="shared" si="8"/>
        <v>-0.75797785712286758</v>
      </c>
    </row>
    <row r="60" spans="3:12">
      <c r="C60" s="189">
        <v>3267855.9403400002</v>
      </c>
      <c r="D60" s="187">
        <f t="shared" si="4"/>
        <v>3.26785594034</v>
      </c>
      <c r="E60" s="190">
        <f t="shared" si="5"/>
        <v>1.7565734072078847</v>
      </c>
      <c r="F60" s="190"/>
      <c r="G60" s="137">
        <v>1756573.4072078846</v>
      </c>
      <c r="H60" s="190">
        <f t="shared" si="6"/>
        <v>0</v>
      </c>
      <c r="I60" s="137"/>
      <c r="J60" s="190">
        <f t="shared" si="7"/>
        <v>3.2678559403400422</v>
      </c>
      <c r="K60" s="137">
        <v>3267855.9403400421</v>
      </c>
      <c r="L60" s="16">
        <f t="shared" si="8"/>
        <v>-0.46246914206839196</v>
      </c>
    </row>
    <row r="61" spans="3:12">
      <c r="C61" s="189">
        <v>1609805.89698</v>
      </c>
      <c r="D61" s="187">
        <f t="shared" si="4"/>
        <v>1.60980589698</v>
      </c>
      <c r="E61" s="190">
        <f t="shared" si="5"/>
        <v>1.6365519810121147</v>
      </c>
      <c r="F61" s="190"/>
      <c r="G61" s="137">
        <v>1636551.9810121148</v>
      </c>
      <c r="H61" s="190">
        <f t="shared" si="6"/>
        <v>0</v>
      </c>
      <c r="I61" s="137"/>
      <c r="J61" s="190">
        <f t="shared" si="7"/>
        <v>1.6098058969800473</v>
      </c>
      <c r="K61" s="137">
        <v>1609805.8969800472</v>
      </c>
      <c r="L61" s="16">
        <f t="shared" si="8"/>
        <v>1.6614477610153111E-2</v>
      </c>
    </row>
    <row r="62" spans="3:12">
      <c r="C62" s="189">
        <v>1499812.65738</v>
      </c>
      <c r="D62" s="187">
        <f t="shared" si="4"/>
        <v>1.4998126573799999</v>
      </c>
      <c r="E62" s="190">
        <f t="shared" si="5"/>
        <v>37.020519128319386</v>
      </c>
      <c r="F62" s="190"/>
      <c r="G62" s="137">
        <v>37020519.128319383</v>
      </c>
      <c r="H62" s="190">
        <f t="shared" si="6"/>
        <v>0</v>
      </c>
      <c r="I62" s="137"/>
      <c r="J62" s="190">
        <f t="shared" si="7"/>
        <v>1.4998126573801041</v>
      </c>
      <c r="K62" s="137">
        <v>1499812.6573801041</v>
      </c>
      <c r="L62" s="16">
        <f t="shared" si="8"/>
        <v>23.683428924374727</v>
      </c>
    </row>
    <row r="63" spans="3:12">
      <c r="C63" s="189">
        <v>69718423.097800002</v>
      </c>
      <c r="D63" s="187">
        <f t="shared" si="4"/>
        <v>69.718423097799999</v>
      </c>
      <c r="E63" s="190">
        <f t="shared" si="5"/>
        <v>23.145219451092636</v>
      </c>
      <c r="F63" s="190"/>
      <c r="G63" s="137">
        <v>23145219.451092634</v>
      </c>
      <c r="H63" s="190">
        <f t="shared" si="6"/>
        <v>0</v>
      </c>
      <c r="I63" s="137"/>
      <c r="J63" s="190">
        <f t="shared" si="7"/>
        <v>33.927332474399805</v>
      </c>
      <c r="K63" s="137">
        <v>33927332.474399805</v>
      </c>
      <c r="L63" s="16">
        <f t="shared" si="8"/>
        <v>-0.3178001993361228</v>
      </c>
    </row>
    <row r="64" spans="3:12">
      <c r="C64" s="5">
        <v>22381777.134130001</v>
      </c>
      <c r="D64" s="187">
        <f t="shared" si="4"/>
        <v>22.381777134130001</v>
      </c>
      <c r="E64" s="190">
        <f t="shared" si="5"/>
        <v>23.721149103129815</v>
      </c>
      <c r="G64" s="137">
        <v>23721149.103129815</v>
      </c>
      <c r="H64" s="190">
        <f t="shared" si="6"/>
        <v>0</v>
      </c>
      <c r="I64" s="137"/>
      <c r="J64" s="190">
        <f t="shared" si="7"/>
        <v>21.211359916059973</v>
      </c>
      <c r="K64" s="137">
        <v>21211359.916059971</v>
      </c>
      <c r="L64" s="16">
        <f t="shared" si="8"/>
        <v>0.11832287967399879</v>
      </c>
    </row>
    <row r="75" spans="1:4">
      <c r="A75"/>
      <c r="B75"/>
      <c r="C75"/>
      <c r="D75"/>
    </row>
  </sheetData>
  <mergeCells count="4">
    <mergeCell ref="J1:K1"/>
    <mergeCell ref="C33:D33"/>
    <mergeCell ref="E33:G33"/>
    <mergeCell ref="J33:K33"/>
  </mergeCells>
  <pageMargins left="0.7" right="0.7" top="0.75" bottom="0.75" header="0.3" footer="0.3"/>
  <pageSetup orientation="portrait" horizontalDpi="300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7F5F0-D45E-4737-A1DF-6FFEED9425D6}">
  <dimension ref="A1:AS114"/>
  <sheetViews>
    <sheetView showGridLines="0" zoomScale="70" zoomScaleNormal="70" workbookViewId="0">
      <pane xSplit="3" ySplit="2" topLeftCell="S84" activePane="bottomRight" state="frozen"/>
      <selection pane="topRight" activeCell="D1" sqref="D1"/>
      <selection pane="bottomLeft" activeCell="A3" sqref="A3"/>
      <selection pane="bottomRight" activeCell="AG103" sqref="AG103"/>
    </sheetView>
  </sheetViews>
  <sheetFormatPr baseColWidth="10" defaultColWidth="11.453125" defaultRowHeight="14.5"/>
  <cols>
    <col min="1" max="1" width="23.453125" style="36" bestFit="1" customWidth="1"/>
    <col min="2" max="2" width="10.54296875" style="36" bestFit="1" customWidth="1"/>
    <col min="3" max="3" width="19" style="36" customWidth="1"/>
    <col min="4" max="4" width="10.26953125" style="35" bestFit="1" customWidth="1"/>
    <col min="5" max="5" width="10.453125" style="35" bestFit="1" customWidth="1"/>
    <col min="6" max="6" width="9.1796875" style="35" bestFit="1" customWidth="1"/>
    <col min="7" max="7" width="9" style="35" bestFit="1" customWidth="1"/>
    <col min="8" max="8" width="13" style="35" bestFit="1" customWidth="1"/>
    <col min="9" max="9" width="10" style="35" bestFit="1" customWidth="1"/>
    <col min="10" max="10" width="10.453125" style="35" bestFit="1" customWidth="1"/>
    <col min="11" max="11" width="9.26953125" style="35" bestFit="1" customWidth="1"/>
    <col min="12" max="12" width="10.453125" style="35" bestFit="1" customWidth="1"/>
    <col min="13" max="13" width="9.453125" style="35" bestFit="1" customWidth="1"/>
    <col min="14" max="14" width="10" style="35" bestFit="1" customWidth="1"/>
    <col min="15" max="15" width="13" style="35" bestFit="1" customWidth="1"/>
    <col min="16" max="16" width="9" style="35" bestFit="1" customWidth="1"/>
    <col min="17" max="17" width="10.26953125" style="35" bestFit="1" customWidth="1"/>
    <col min="18" max="18" width="9" style="35" bestFit="1" customWidth="1"/>
    <col min="19" max="19" width="10.26953125" style="35" bestFit="1" customWidth="1"/>
    <col min="20" max="21" width="9" style="35" bestFit="1" customWidth="1"/>
    <col min="22" max="22" width="12.81640625" style="35" bestFit="1" customWidth="1"/>
    <col min="23" max="23" width="9" style="35" bestFit="1" customWidth="1"/>
    <col min="24" max="24" width="10.26953125" style="35" bestFit="1" customWidth="1"/>
    <col min="25" max="25" width="9" style="35" bestFit="1" customWidth="1"/>
    <col min="26" max="26" width="10.26953125" style="35" bestFit="1" customWidth="1"/>
    <col min="27" max="28" width="9" style="35" bestFit="1" customWidth="1"/>
    <col min="29" max="29" width="12.81640625" style="35" bestFit="1" customWidth="1"/>
    <col min="30" max="30" width="9" style="35" bestFit="1" customWidth="1"/>
    <col min="31" max="31" width="10.26953125" style="35" bestFit="1" customWidth="1"/>
    <col min="32" max="32" width="10.26953125" style="35" customWidth="1"/>
    <col min="33" max="33" width="10.7265625" style="35" customWidth="1"/>
    <col min="34" max="34" width="14.1796875" style="36" bestFit="1" customWidth="1"/>
    <col min="35" max="16384" width="11.453125" style="36"/>
  </cols>
  <sheetData>
    <row r="1" spans="1:35" ht="30">
      <c r="A1" s="100" t="s">
        <v>146</v>
      </c>
      <c r="B1" s="100" t="s">
        <v>147</v>
      </c>
      <c r="C1" s="100" t="s">
        <v>223</v>
      </c>
      <c r="D1" s="83">
        <v>46113</v>
      </c>
      <c r="E1" s="83">
        <f>+D1+1</f>
        <v>46114</v>
      </c>
      <c r="F1" s="83">
        <f t="shared" ref="F1:AG1" si="0">+E1+1</f>
        <v>46115</v>
      </c>
      <c r="G1" s="83">
        <f t="shared" si="0"/>
        <v>46116</v>
      </c>
      <c r="H1" s="126">
        <f t="shared" si="0"/>
        <v>46117</v>
      </c>
      <c r="I1" s="126">
        <f t="shared" si="0"/>
        <v>46118</v>
      </c>
      <c r="J1" s="83">
        <f t="shared" si="0"/>
        <v>46119</v>
      </c>
      <c r="K1" s="83">
        <f t="shared" si="0"/>
        <v>46120</v>
      </c>
      <c r="L1" s="83">
        <f t="shared" si="0"/>
        <v>46121</v>
      </c>
      <c r="M1" s="83">
        <f t="shared" si="0"/>
        <v>46122</v>
      </c>
      <c r="N1" s="83">
        <f t="shared" si="0"/>
        <v>46123</v>
      </c>
      <c r="O1" s="126">
        <f t="shared" si="0"/>
        <v>46124</v>
      </c>
      <c r="P1" s="126">
        <f t="shared" si="0"/>
        <v>46125</v>
      </c>
      <c r="Q1" s="83">
        <f t="shared" si="0"/>
        <v>46126</v>
      </c>
      <c r="R1" s="83">
        <f t="shared" si="0"/>
        <v>46127</v>
      </c>
      <c r="S1" s="83">
        <f t="shared" si="0"/>
        <v>46128</v>
      </c>
      <c r="T1" s="83">
        <f t="shared" si="0"/>
        <v>46129</v>
      </c>
      <c r="U1" s="83">
        <f t="shared" si="0"/>
        <v>46130</v>
      </c>
      <c r="V1" s="126">
        <f t="shared" si="0"/>
        <v>46131</v>
      </c>
      <c r="W1" s="126">
        <f t="shared" si="0"/>
        <v>46132</v>
      </c>
      <c r="X1" s="83">
        <f t="shared" si="0"/>
        <v>46133</v>
      </c>
      <c r="Y1" s="83">
        <f t="shared" si="0"/>
        <v>46134</v>
      </c>
      <c r="Z1" s="83">
        <f t="shared" si="0"/>
        <v>46135</v>
      </c>
      <c r="AA1" s="83">
        <f t="shared" si="0"/>
        <v>46136</v>
      </c>
      <c r="AB1" s="83">
        <f t="shared" si="0"/>
        <v>46137</v>
      </c>
      <c r="AC1" s="126">
        <f t="shared" si="0"/>
        <v>46138</v>
      </c>
      <c r="AD1" s="126">
        <f t="shared" si="0"/>
        <v>46139</v>
      </c>
      <c r="AE1" s="83">
        <f t="shared" si="0"/>
        <v>46140</v>
      </c>
      <c r="AF1" s="126">
        <f t="shared" si="0"/>
        <v>46141</v>
      </c>
      <c r="AG1" s="83">
        <f t="shared" si="0"/>
        <v>46142</v>
      </c>
    </row>
    <row r="2" spans="1:35">
      <c r="A2" s="102"/>
      <c r="B2" s="102"/>
      <c r="C2" s="102"/>
      <c r="D2" s="87" t="str">
        <f>+TEXT(D1,"dddddd")</f>
        <v>miércoles</v>
      </c>
      <c r="E2" s="87" t="str">
        <f t="shared" ref="E2:AG2" si="1">+TEXT(E1,"dddddd")</f>
        <v>jueves</v>
      </c>
      <c r="F2" s="87" t="str">
        <f t="shared" si="1"/>
        <v>viernes</v>
      </c>
      <c r="G2" s="87" t="str">
        <f t="shared" si="1"/>
        <v>sábado</v>
      </c>
      <c r="H2" s="122" t="str">
        <f t="shared" si="1"/>
        <v>domingo</v>
      </c>
      <c r="I2" s="122" t="str">
        <f t="shared" si="1"/>
        <v>lunes</v>
      </c>
      <c r="J2" s="87" t="str">
        <f t="shared" si="1"/>
        <v>martes</v>
      </c>
      <c r="K2" s="87" t="str">
        <f t="shared" si="1"/>
        <v>miércoles</v>
      </c>
      <c r="L2" s="87" t="str">
        <f t="shared" si="1"/>
        <v>jueves</v>
      </c>
      <c r="M2" s="87" t="str">
        <f t="shared" si="1"/>
        <v>viernes</v>
      </c>
      <c r="N2" s="87" t="str">
        <f t="shared" si="1"/>
        <v>sábado</v>
      </c>
      <c r="O2" s="122" t="str">
        <f t="shared" si="1"/>
        <v>domingo</v>
      </c>
      <c r="P2" s="122" t="str">
        <f t="shared" si="1"/>
        <v>lunes</v>
      </c>
      <c r="Q2" s="87" t="str">
        <f t="shared" si="1"/>
        <v>martes</v>
      </c>
      <c r="R2" s="87" t="str">
        <f t="shared" si="1"/>
        <v>miércoles</v>
      </c>
      <c r="S2" s="87" t="str">
        <f t="shared" si="1"/>
        <v>jueves</v>
      </c>
      <c r="T2" s="87" t="str">
        <f t="shared" si="1"/>
        <v>viernes</v>
      </c>
      <c r="U2" s="87" t="str">
        <f t="shared" si="1"/>
        <v>sábado</v>
      </c>
      <c r="V2" s="122" t="str">
        <f t="shared" si="1"/>
        <v>domingo</v>
      </c>
      <c r="W2" s="122" t="str">
        <f t="shared" si="1"/>
        <v>lunes</v>
      </c>
      <c r="X2" s="87" t="str">
        <f t="shared" si="1"/>
        <v>martes</v>
      </c>
      <c r="Y2" s="87" t="str">
        <f t="shared" si="1"/>
        <v>miércoles</v>
      </c>
      <c r="Z2" s="87" t="str">
        <f t="shared" si="1"/>
        <v>jueves</v>
      </c>
      <c r="AA2" s="87" t="str">
        <f t="shared" si="1"/>
        <v>viernes</v>
      </c>
      <c r="AB2" s="87" t="str">
        <f t="shared" si="1"/>
        <v>sábado</v>
      </c>
      <c r="AC2" s="122" t="str">
        <f t="shared" si="1"/>
        <v>domingo</v>
      </c>
      <c r="AD2" s="122" t="str">
        <f t="shared" si="1"/>
        <v>lunes</v>
      </c>
      <c r="AE2" s="87" t="str">
        <f t="shared" si="1"/>
        <v>martes</v>
      </c>
      <c r="AF2" s="122" t="str">
        <f t="shared" si="1"/>
        <v>miércoles</v>
      </c>
      <c r="AG2" s="87" t="str">
        <f t="shared" si="1"/>
        <v>jueves</v>
      </c>
    </row>
    <row r="3" spans="1:35" s="102" customFormat="1" ht="6.75" customHeight="1">
      <c r="D3" s="101"/>
      <c r="E3" s="101"/>
      <c r="F3" s="101"/>
      <c r="G3" s="101"/>
      <c r="H3" s="122"/>
      <c r="I3" s="122"/>
      <c r="J3" s="101"/>
      <c r="K3" s="101"/>
      <c r="L3" s="101"/>
      <c r="M3" s="101"/>
      <c r="N3" s="101"/>
      <c r="O3" s="122"/>
      <c r="P3" s="122"/>
      <c r="Q3" s="101"/>
      <c r="R3" s="101"/>
      <c r="S3" s="101"/>
      <c r="T3" s="101"/>
      <c r="U3" s="101"/>
      <c r="V3" s="122"/>
      <c r="W3" s="122"/>
      <c r="X3" s="101"/>
      <c r="Y3" s="101"/>
      <c r="Z3" s="101"/>
      <c r="AA3" s="101"/>
      <c r="AB3" s="101"/>
      <c r="AC3" s="122"/>
      <c r="AD3" s="122"/>
      <c r="AE3" s="101"/>
      <c r="AF3" s="101"/>
      <c r="AG3" s="101"/>
    </row>
    <row r="4" spans="1:35" s="105" customFormat="1">
      <c r="A4" s="105" t="s">
        <v>410</v>
      </c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</row>
    <row r="5" spans="1:35">
      <c r="A5" s="122">
        <f>+D1</f>
        <v>46113</v>
      </c>
      <c r="B5" s="123" t="str">
        <f>+TEXT(A5,"dddddd")</f>
        <v>miércoles</v>
      </c>
      <c r="C5" s="393">
        <f t="shared" ref="C5:C34" si="2">+SUM(D5:AG5)</f>
        <v>1.0000193439830447</v>
      </c>
      <c r="D5" s="12">
        <v>0.29074362882339949</v>
      </c>
      <c r="E5" s="12">
        <v>0.55533485032354168</v>
      </c>
      <c r="F5" s="12">
        <v>0.11017231777079226</v>
      </c>
      <c r="G5" s="12">
        <v>0</v>
      </c>
      <c r="H5" s="12">
        <v>0</v>
      </c>
      <c r="I5" s="12">
        <v>3.8107969173572426E-2</v>
      </c>
      <c r="J5" s="12">
        <v>5.4918821602028328E-3</v>
      </c>
      <c r="K5" s="12">
        <v>0</v>
      </c>
      <c r="L5" s="12">
        <v>1.686957315360827E-4</v>
      </c>
      <c r="M5" s="521">
        <v>0</v>
      </c>
      <c r="N5" s="521">
        <v>0</v>
      </c>
      <c r="O5" s="521">
        <v>0</v>
      </c>
      <c r="P5" s="521">
        <v>0</v>
      </c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19"/>
      <c r="AI5" s="119"/>
    </row>
    <row r="6" spans="1:35">
      <c r="A6" s="122">
        <f>+A5+1</f>
        <v>46114</v>
      </c>
      <c r="B6" s="123" t="str">
        <f t="shared" ref="B6:B29" si="3">+TEXT(A6,"dddddd")</f>
        <v>jueves</v>
      </c>
      <c r="C6" s="393">
        <f t="shared" si="2"/>
        <v>0.99969802464695723</v>
      </c>
      <c r="D6" s="12">
        <v>0</v>
      </c>
      <c r="E6" s="12">
        <v>0.29774266624711582</v>
      </c>
      <c r="F6" s="12">
        <v>0.57376160054393033</v>
      </c>
      <c r="G6" s="12">
        <v>0</v>
      </c>
      <c r="H6" s="12">
        <v>0</v>
      </c>
      <c r="I6" s="12">
        <v>0.11682466993966849</v>
      </c>
      <c r="J6" s="12">
        <v>1.8756120459557234E-3</v>
      </c>
      <c r="K6" s="12">
        <v>7.6188772701288061E-3</v>
      </c>
      <c r="L6" s="12">
        <v>2.9839850317458426E-4</v>
      </c>
      <c r="M6" s="12">
        <v>1.5762000969834816E-3</v>
      </c>
      <c r="N6" s="521">
        <v>0</v>
      </c>
      <c r="O6" s="521">
        <v>0</v>
      </c>
      <c r="P6" s="521">
        <v>0</v>
      </c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19"/>
      <c r="AI6" s="119"/>
    </row>
    <row r="7" spans="1:35">
      <c r="A7" s="87">
        <f t="shared" ref="A7:A34" si="4">+A6+1</f>
        <v>46115</v>
      </c>
      <c r="B7" s="35" t="str">
        <f t="shared" si="3"/>
        <v>viernes</v>
      </c>
      <c r="C7" s="393">
        <f t="shared" si="2"/>
        <v>0.99974273357830656</v>
      </c>
      <c r="D7" s="521">
        <v>0</v>
      </c>
      <c r="E7" s="12">
        <v>0</v>
      </c>
      <c r="F7" s="12">
        <v>0.29176778918363494</v>
      </c>
      <c r="G7" s="12">
        <v>0</v>
      </c>
      <c r="H7" s="12">
        <v>0</v>
      </c>
      <c r="I7" s="12">
        <v>0.6451552915852784</v>
      </c>
      <c r="J7" s="12">
        <v>9.0155647916410255E-3</v>
      </c>
      <c r="K7" s="12">
        <v>4.4680351978889754E-2</v>
      </c>
      <c r="L7" s="12">
        <v>3.80907004005398E-3</v>
      </c>
      <c r="M7" s="12">
        <v>5.0538772465651225E-3</v>
      </c>
      <c r="N7" s="12">
        <v>1.4479289134154341E-5</v>
      </c>
      <c r="O7" s="521">
        <v>0</v>
      </c>
      <c r="P7" s="12">
        <v>2.4630946310930698E-4</v>
      </c>
      <c r="Q7" s="5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19"/>
      <c r="AI7" s="119"/>
    </row>
    <row r="8" spans="1:35">
      <c r="A8" s="87">
        <f t="shared" si="4"/>
        <v>46116</v>
      </c>
      <c r="B8" s="35" t="str">
        <f t="shared" si="3"/>
        <v>sábado</v>
      </c>
      <c r="C8" s="393">
        <f t="shared" si="2"/>
        <v>0.99951350733573952</v>
      </c>
      <c r="D8" s="521">
        <v>0</v>
      </c>
      <c r="E8" s="521">
        <v>0</v>
      </c>
      <c r="F8" s="521">
        <v>0</v>
      </c>
      <c r="G8" s="12">
        <v>0.2024934906200532</v>
      </c>
      <c r="H8" s="12">
        <v>0</v>
      </c>
      <c r="I8" s="12">
        <v>0.71158811145443768</v>
      </c>
      <c r="J8" s="12">
        <v>2.7094782509089255E-2</v>
      </c>
      <c r="K8" s="12">
        <v>5.5620420106384634E-2</v>
      </c>
      <c r="L8" s="12">
        <v>1.5345836076555203E-3</v>
      </c>
      <c r="M8" s="12">
        <v>8.1853427238800667E-4</v>
      </c>
      <c r="N8" s="12">
        <v>1.5608610584901064E-5</v>
      </c>
      <c r="O8" s="521">
        <v>0</v>
      </c>
      <c r="P8" s="12">
        <v>3.4797615514630596E-4</v>
      </c>
      <c r="Q8" s="5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19"/>
      <c r="AI8" s="119"/>
    </row>
    <row r="9" spans="1:35">
      <c r="A9" s="87">
        <f t="shared" si="4"/>
        <v>46117</v>
      </c>
      <c r="B9" s="35" t="str">
        <f t="shared" si="3"/>
        <v>domingo</v>
      </c>
      <c r="C9" s="393">
        <f t="shared" si="2"/>
        <v>0.99979130563638874</v>
      </c>
      <c r="D9" s="521">
        <v>0</v>
      </c>
      <c r="E9" s="521">
        <v>0</v>
      </c>
      <c r="F9" s="521">
        <v>0</v>
      </c>
      <c r="G9" s="521">
        <v>0</v>
      </c>
      <c r="H9" s="12">
        <v>0.16176696208090066</v>
      </c>
      <c r="I9" s="12">
        <v>0.63948644798225263</v>
      </c>
      <c r="J9" s="12">
        <v>0.13195737994114159</v>
      </c>
      <c r="K9" s="12">
        <v>5.7514162151959772E-2</v>
      </c>
      <c r="L9" s="12">
        <v>7.1754943701589306E-3</v>
      </c>
      <c r="M9" s="12">
        <v>7.0424518389661326E-4</v>
      </c>
      <c r="N9" s="12">
        <v>1.8369592717159451E-5</v>
      </c>
      <c r="O9" s="521">
        <v>0</v>
      </c>
      <c r="P9" s="12">
        <v>1.1682443333611635E-3</v>
      </c>
      <c r="Q9" s="521"/>
      <c r="R9" s="521"/>
      <c r="S9" s="5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19"/>
      <c r="AI9" s="119"/>
    </row>
    <row r="10" spans="1:35">
      <c r="A10" s="87">
        <f t="shared" si="4"/>
        <v>46118</v>
      </c>
      <c r="B10" s="35" t="str">
        <f t="shared" si="3"/>
        <v>lunes</v>
      </c>
      <c r="C10" s="393">
        <f t="shared" si="2"/>
        <v>0.99971689956282317</v>
      </c>
      <c r="D10" s="521"/>
      <c r="E10" s="521"/>
      <c r="F10" s="371"/>
      <c r="G10" s="371"/>
      <c r="H10" s="521"/>
      <c r="I10" s="12">
        <v>0.32554180491641771</v>
      </c>
      <c r="J10" s="12">
        <v>0.52903583483681482</v>
      </c>
      <c r="K10" s="12">
        <v>9.0130899460040853E-2</v>
      </c>
      <c r="L10" s="12">
        <v>5.1275666262696841E-2</v>
      </c>
      <c r="M10" s="12">
        <v>2.0244614803950713E-3</v>
      </c>
      <c r="N10" s="12">
        <v>4.135819722419369E-6</v>
      </c>
      <c r="O10" s="12">
        <v>0</v>
      </c>
      <c r="P10" s="12">
        <v>1.5413035207526753E-3</v>
      </c>
      <c r="Q10" s="12">
        <v>1.6279326598275551E-4</v>
      </c>
      <c r="R10" s="521">
        <v>0</v>
      </c>
      <c r="S10" s="521">
        <v>0</v>
      </c>
      <c r="T10" s="521">
        <v>0</v>
      </c>
      <c r="U10" s="521">
        <v>0</v>
      </c>
      <c r="V10" s="521">
        <v>0</v>
      </c>
      <c r="W10" s="521">
        <v>0</v>
      </c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19"/>
      <c r="AI10" s="119"/>
    </row>
    <row r="11" spans="1:35">
      <c r="A11" s="87">
        <f t="shared" si="4"/>
        <v>46119</v>
      </c>
      <c r="B11" s="35" t="str">
        <f t="shared" si="3"/>
        <v>martes</v>
      </c>
      <c r="C11" s="393">
        <f t="shared" si="2"/>
        <v>0.99985776656268177</v>
      </c>
      <c r="D11" s="521"/>
      <c r="E11" s="521"/>
      <c r="F11" s="521"/>
      <c r="G11" s="371"/>
      <c r="H11" s="521"/>
      <c r="I11" s="521">
        <v>0</v>
      </c>
      <c r="J11" s="12">
        <v>0.29921870959035518</v>
      </c>
      <c r="K11" s="12">
        <v>0.50648419787536914</v>
      </c>
      <c r="L11" s="12">
        <v>0.17291809259125199</v>
      </c>
      <c r="M11" s="12">
        <v>1.0917165062148577E-2</v>
      </c>
      <c r="N11" s="12">
        <v>0</v>
      </c>
      <c r="O11" s="12">
        <v>0</v>
      </c>
      <c r="P11" s="12">
        <v>9.1048742108840661E-3</v>
      </c>
      <c r="Q11" s="12">
        <v>9.2269677076394559E-4</v>
      </c>
      <c r="R11" s="12">
        <v>2.9203046190896174E-4</v>
      </c>
      <c r="S11" s="521">
        <v>0</v>
      </c>
      <c r="T11" s="521">
        <v>0</v>
      </c>
      <c r="U11" s="521">
        <v>0</v>
      </c>
      <c r="V11" s="521">
        <v>0</v>
      </c>
      <c r="W11" s="521">
        <v>0</v>
      </c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19"/>
      <c r="AI11" s="119"/>
    </row>
    <row r="12" spans="1:35">
      <c r="A12" s="122">
        <f t="shared" si="4"/>
        <v>46120</v>
      </c>
      <c r="B12" s="123" t="str">
        <f t="shared" si="3"/>
        <v>miércoles</v>
      </c>
      <c r="C12" s="393">
        <f t="shared" si="2"/>
        <v>1.0000193439830447</v>
      </c>
      <c r="D12" s="394"/>
      <c r="E12" s="394"/>
      <c r="F12" s="521"/>
      <c r="G12" s="521"/>
      <c r="H12" s="521"/>
      <c r="I12" s="521">
        <v>0</v>
      </c>
      <c r="J12" s="12">
        <v>0</v>
      </c>
      <c r="K12" s="12">
        <v>0.29074362882339949</v>
      </c>
      <c r="L12" s="12">
        <v>0.55533485032354168</v>
      </c>
      <c r="M12" s="12">
        <v>0.11017231777079226</v>
      </c>
      <c r="N12" s="12">
        <v>0</v>
      </c>
      <c r="O12" s="12">
        <v>0</v>
      </c>
      <c r="P12" s="12">
        <v>3.8107969173572426E-2</v>
      </c>
      <c r="Q12" s="12">
        <v>5.4918821602028328E-3</v>
      </c>
      <c r="R12" s="12">
        <v>0</v>
      </c>
      <c r="S12" s="12">
        <v>1.686957315360827E-4</v>
      </c>
      <c r="T12" s="521">
        <v>0</v>
      </c>
      <c r="U12" s="521">
        <v>0</v>
      </c>
      <c r="V12" s="521">
        <v>0</v>
      </c>
      <c r="W12" s="521">
        <v>0</v>
      </c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19"/>
      <c r="AI12" s="119"/>
    </row>
    <row r="13" spans="1:35">
      <c r="A13" s="122">
        <f t="shared" si="4"/>
        <v>46121</v>
      </c>
      <c r="B13" s="123" t="str">
        <f t="shared" si="3"/>
        <v>jueves</v>
      </c>
      <c r="C13" s="393">
        <f t="shared" si="2"/>
        <v>0.99969802464695723</v>
      </c>
      <c r="D13" s="121"/>
      <c r="E13" s="121"/>
      <c r="F13" s="521"/>
      <c r="G13" s="521"/>
      <c r="H13" s="521"/>
      <c r="I13" s="521">
        <v>0</v>
      </c>
      <c r="J13" s="521">
        <v>0</v>
      </c>
      <c r="K13" s="12">
        <v>0</v>
      </c>
      <c r="L13" s="12">
        <v>0.29774266624711582</v>
      </c>
      <c r="M13" s="12">
        <v>0.57376160054393033</v>
      </c>
      <c r="N13" s="12">
        <v>0</v>
      </c>
      <c r="O13" s="12">
        <v>0</v>
      </c>
      <c r="P13" s="12">
        <v>0.11682466993966849</v>
      </c>
      <c r="Q13" s="12">
        <v>1.8756120459557234E-3</v>
      </c>
      <c r="R13" s="12">
        <v>7.6188772701288061E-3</v>
      </c>
      <c r="S13" s="12">
        <v>2.9839850317458426E-4</v>
      </c>
      <c r="T13" s="12">
        <v>1.5762000969834816E-3</v>
      </c>
      <c r="U13" s="521">
        <v>0</v>
      </c>
      <c r="V13" s="521">
        <v>0</v>
      </c>
      <c r="W13" s="521">
        <v>0</v>
      </c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19"/>
      <c r="AI13" s="119"/>
    </row>
    <row r="14" spans="1:35">
      <c r="A14" s="87">
        <f t="shared" si="4"/>
        <v>46122</v>
      </c>
      <c r="B14" s="35" t="str">
        <f t="shared" si="3"/>
        <v>viernes</v>
      </c>
      <c r="C14" s="393">
        <f t="shared" si="2"/>
        <v>0.99974273357830656</v>
      </c>
      <c r="D14" s="121"/>
      <c r="E14" s="121"/>
      <c r="F14" s="121"/>
      <c r="G14" s="121"/>
      <c r="H14" s="521"/>
      <c r="I14" s="521">
        <v>0</v>
      </c>
      <c r="J14" s="521">
        <v>0</v>
      </c>
      <c r="K14" s="521">
        <v>0</v>
      </c>
      <c r="L14" s="12">
        <v>0</v>
      </c>
      <c r="M14" s="12">
        <v>0.29176778918363494</v>
      </c>
      <c r="N14" s="12">
        <v>0</v>
      </c>
      <c r="O14" s="12">
        <v>0</v>
      </c>
      <c r="P14" s="12">
        <v>0.6451552915852784</v>
      </c>
      <c r="Q14" s="12">
        <v>9.0155647916410255E-3</v>
      </c>
      <c r="R14" s="12">
        <v>4.4680351978889754E-2</v>
      </c>
      <c r="S14" s="12">
        <v>3.80907004005398E-3</v>
      </c>
      <c r="T14" s="12">
        <v>5.0538772465651225E-3</v>
      </c>
      <c r="U14" s="12">
        <v>1.4479289134154341E-5</v>
      </c>
      <c r="V14" s="521">
        <v>0</v>
      </c>
      <c r="W14" s="12">
        <v>2.4630946310930698E-4</v>
      </c>
      <c r="X14" s="521"/>
      <c r="Y14" s="121"/>
      <c r="Z14" s="121"/>
      <c r="AA14" s="121"/>
      <c r="AB14" s="121"/>
      <c r="AC14" s="121"/>
      <c r="AD14" s="121"/>
      <c r="AE14" s="121"/>
      <c r="AF14" s="121"/>
      <c r="AG14" s="121"/>
      <c r="AH14" s="119"/>
      <c r="AI14" s="119"/>
    </row>
    <row r="15" spans="1:35">
      <c r="A15" s="87">
        <f t="shared" si="4"/>
        <v>46123</v>
      </c>
      <c r="B15" s="35" t="str">
        <f t="shared" si="3"/>
        <v>sábado</v>
      </c>
      <c r="C15" s="393">
        <f t="shared" si="2"/>
        <v>0.99951350733573952</v>
      </c>
      <c r="D15" s="121"/>
      <c r="E15" s="121"/>
      <c r="F15" s="121"/>
      <c r="G15" s="121"/>
      <c r="H15" s="521"/>
      <c r="I15" s="521">
        <v>0</v>
      </c>
      <c r="J15" s="521">
        <v>0</v>
      </c>
      <c r="K15" s="521">
        <v>0</v>
      </c>
      <c r="L15" s="521">
        <v>0</v>
      </c>
      <c r="M15" s="521">
        <v>0</v>
      </c>
      <c r="N15" s="12">
        <v>0.2024934906200532</v>
      </c>
      <c r="O15" s="12">
        <v>0</v>
      </c>
      <c r="P15" s="12">
        <v>0.71158811145443768</v>
      </c>
      <c r="Q15" s="12">
        <v>2.7094782509089255E-2</v>
      </c>
      <c r="R15" s="12">
        <v>5.5620420106384634E-2</v>
      </c>
      <c r="S15" s="12">
        <v>1.5345836076555203E-3</v>
      </c>
      <c r="T15" s="12">
        <v>8.1853427238800667E-4</v>
      </c>
      <c r="U15" s="12">
        <v>1.5608610584901064E-5</v>
      </c>
      <c r="V15" s="521">
        <v>0</v>
      </c>
      <c r="W15" s="12">
        <v>3.4797615514630596E-4</v>
      </c>
      <c r="X15" s="521"/>
      <c r="Y15" s="121"/>
      <c r="Z15" s="121"/>
      <c r="AA15" s="121"/>
      <c r="AB15" s="121"/>
      <c r="AC15" s="121"/>
      <c r="AD15" s="121"/>
      <c r="AE15" s="121"/>
      <c r="AF15" s="121"/>
      <c r="AG15" s="121"/>
      <c r="AH15" s="119"/>
      <c r="AI15" s="119"/>
    </row>
    <row r="16" spans="1:35">
      <c r="A16" s="87">
        <f t="shared" si="4"/>
        <v>46124</v>
      </c>
      <c r="B16" s="35" t="str">
        <f t="shared" si="3"/>
        <v>domingo</v>
      </c>
      <c r="C16" s="393">
        <f t="shared" si="2"/>
        <v>0.99979130563638874</v>
      </c>
      <c r="D16" s="121"/>
      <c r="E16" s="121"/>
      <c r="F16" s="121"/>
      <c r="G16" s="121"/>
      <c r="H16" s="121"/>
      <c r="I16" s="521">
        <v>0</v>
      </c>
      <c r="J16" s="521">
        <v>0</v>
      </c>
      <c r="K16" s="521">
        <v>0</v>
      </c>
      <c r="L16" s="521">
        <v>0</v>
      </c>
      <c r="M16" s="521">
        <v>0</v>
      </c>
      <c r="N16" s="521">
        <v>0</v>
      </c>
      <c r="O16" s="12">
        <v>0.16176696208090066</v>
      </c>
      <c r="P16" s="12">
        <v>0.63948644798225263</v>
      </c>
      <c r="Q16" s="12">
        <v>0.13195737994114159</v>
      </c>
      <c r="R16" s="12">
        <v>5.7514162151959772E-2</v>
      </c>
      <c r="S16" s="12">
        <v>7.1754943701589306E-3</v>
      </c>
      <c r="T16" s="12">
        <v>7.0424518389661326E-4</v>
      </c>
      <c r="U16" s="12">
        <v>1.8369592717159451E-5</v>
      </c>
      <c r="V16" s="521">
        <v>0</v>
      </c>
      <c r="W16" s="12">
        <v>1.1682443333611635E-3</v>
      </c>
      <c r="X16" s="521"/>
      <c r="Y16" s="521"/>
      <c r="Z16" s="521"/>
      <c r="AA16" s="121"/>
      <c r="AB16" s="121"/>
      <c r="AC16" s="121"/>
      <c r="AD16" s="121"/>
      <c r="AE16" s="121"/>
      <c r="AF16" s="121"/>
      <c r="AG16" s="121"/>
      <c r="AH16" s="119"/>
      <c r="AI16" s="119"/>
    </row>
    <row r="17" spans="1:45">
      <c r="A17" s="87">
        <f t="shared" si="4"/>
        <v>46125</v>
      </c>
      <c r="B17" s="35" t="str">
        <f t="shared" si="3"/>
        <v>lunes</v>
      </c>
      <c r="C17" s="393">
        <f t="shared" si="2"/>
        <v>0.99971689956282317</v>
      </c>
      <c r="D17" s="121"/>
      <c r="E17" s="121"/>
      <c r="F17" s="121"/>
      <c r="G17" s="121"/>
      <c r="H17" s="121"/>
      <c r="I17" s="121"/>
      <c r="J17" s="394"/>
      <c r="K17" s="521"/>
      <c r="L17" s="521"/>
      <c r="M17" s="521"/>
      <c r="N17" s="521"/>
      <c r="O17" s="521"/>
      <c r="P17" s="12">
        <v>0.32554180491641771</v>
      </c>
      <c r="Q17" s="12">
        <v>0.52903583483681482</v>
      </c>
      <c r="R17" s="12">
        <v>9.0130899460040853E-2</v>
      </c>
      <c r="S17" s="12">
        <v>5.1275666262696841E-2</v>
      </c>
      <c r="T17" s="12">
        <v>2.0244614803950713E-3</v>
      </c>
      <c r="U17" s="12">
        <v>4.135819722419369E-6</v>
      </c>
      <c r="V17" s="12">
        <v>0</v>
      </c>
      <c r="W17" s="12">
        <v>1.5413035207526753E-3</v>
      </c>
      <c r="X17" s="12">
        <v>1.6279326598275551E-4</v>
      </c>
      <c r="Y17" s="521">
        <v>0</v>
      </c>
      <c r="Z17" s="521">
        <v>0</v>
      </c>
      <c r="AA17" s="521">
        <v>0</v>
      </c>
      <c r="AB17" s="521">
        <v>0</v>
      </c>
      <c r="AC17" s="521">
        <v>0</v>
      </c>
      <c r="AD17" s="521">
        <v>0</v>
      </c>
      <c r="AE17" s="121"/>
      <c r="AF17" s="121"/>
      <c r="AG17" s="121"/>
      <c r="AH17" s="119"/>
      <c r="AI17" s="119"/>
    </row>
    <row r="18" spans="1:45">
      <c r="A18" s="87">
        <f t="shared" si="4"/>
        <v>46126</v>
      </c>
      <c r="B18" s="35" t="str">
        <f t="shared" si="3"/>
        <v>martes</v>
      </c>
      <c r="C18" s="393">
        <f t="shared" si="2"/>
        <v>0.99985776656268177</v>
      </c>
      <c r="D18" s="121"/>
      <c r="E18" s="121"/>
      <c r="F18" s="121"/>
      <c r="G18" s="121"/>
      <c r="H18" s="121"/>
      <c r="I18" s="121"/>
      <c r="J18" s="121"/>
      <c r="K18" s="521"/>
      <c r="L18" s="521"/>
      <c r="M18" s="521"/>
      <c r="N18" s="521"/>
      <c r="O18" s="521"/>
      <c r="P18" s="521">
        <v>0</v>
      </c>
      <c r="Q18" s="12">
        <v>0.29921870959035518</v>
      </c>
      <c r="R18" s="12">
        <v>0.50648419787536914</v>
      </c>
      <c r="S18" s="12">
        <v>0.17291809259125199</v>
      </c>
      <c r="T18" s="12">
        <v>1.0917165062148577E-2</v>
      </c>
      <c r="U18" s="12">
        <v>0</v>
      </c>
      <c r="V18" s="12">
        <v>0</v>
      </c>
      <c r="W18" s="12">
        <v>9.1048742108840661E-3</v>
      </c>
      <c r="X18" s="12">
        <v>9.2269677076394559E-4</v>
      </c>
      <c r="Y18" s="12">
        <v>2.9203046190896174E-4</v>
      </c>
      <c r="Z18" s="521">
        <v>0</v>
      </c>
      <c r="AA18" s="521">
        <v>0</v>
      </c>
      <c r="AB18" s="521">
        <v>0</v>
      </c>
      <c r="AC18" s="521">
        <v>0</v>
      </c>
      <c r="AD18" s="521">
        <v>0</v>
      </c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</row>
    <row r="19" spans="1:45">
      <c r="A19" s="122">
        <f t="shared" si="4"/>
        <v>46127</v>
      </c>
      <c r="B19" s="123" t="str">
        <f t="shared" si="3"/>
        <v>miércoles</v>
      </c>
      <c r="C19" s="393">
        <f t="shared" si="2"/>
        <v>1.0000193439830447</v>
      </c>
      <c r="D19" s="121"/>
      <c r="E19" s="121"/>
      <c r="F19" s="121"/>
      <c r="G19" s="121"/>
      <c r="H19" s="121"/>
      <c r="I19" s="121"/>
      <c r="J19" s="121"/>
      <c r="K19" s="121"/>
      <c r="L19" s="394"/>
      <c r="M19" s="521"/>
      <c r="N19" s="521"/>
      <c r="O19" s="521"/>
      <c r="P19" s="521">
        <v>0</v>
      </c>
      <c r="Q19" s="12">
        <v>0</v>
      </c>
      <c r="R19" s="12">
        <v>0.29074362882339949</v>
      </c>
      <c r="S19" s="12">
        <v>0.55533485032354168</v>
      </c>
      <c r="T19" s="12">
        <v>0.11017231777079226</v>
      </c>
      <c r="U19" s="12">
        <v>0</v>
      </c>
      <c r="V19" s="12">
        <v>0</v>
      </c>
      <c r="W19" s="12">
        <v>3.8107969173572426E-2</v>
      </c>
      <c r="X19" s="12">
        <v>5.4918821602028328E-3</v>
      </c>
      <c r="Y19" s="12">
        <v>0</v>
      </c>
      <c r="Z19" s="12">
        <v>1.686957315360827E-4</v>
      </c>
      <c r="AA19" s="521">
        <v>0</v>
      </c>
      <c r="AB19" s="521">
        <v>0</v>
      </c>
      <c r="AC19" s="521">
        <v>0</v>
      </c>
      <c r="AD19" s="521">
        <v>0</v>
      </c>
      <c r="AE19" s="121"/>
      <c r="AF19" s="121"/>
      <c r="AG19" s="121"/>
      <c r="AH19" s="121"/>
      <c r="AI19" s="121" t="str">
        <f>+IF(Tabla_Fec_Proceso!AM22=0,"",Tabla_Fec_Proceso!AM22)</f>
        <v/>
      </c>
      <c r="AJ19" s="121" t="str">
        <f>+IF(Tabla_Fec_Proceso!AN22=0,"",Tabla_Fec_Proceso!AN22)</f>
        <v/>
      </c>
      <c r="AK19" s="121"/>
      <c r="AL19" s="121"/>
      <c r="AM19" s="121"/>
      <c r="AN19" s="121"/>
      <c r="AO19" s="121"/>
      <c r="AP19" s="121"/>
      <c r="AQ19" s="121"/>
      <c r="AR19" s="121"/>
      <c r="AS19" s="121"/>
    </row>
    <row r="20" spans="1:45">
      <c r="A20" s="122">
        <f t="shared" si="4"/>
        <v>46128</v>
      </c>
      <c r="B20" s="123" t="str">
        <f t="shared" si="3"/>
        <v>jueves</v>
      </c>
      <c r="C20" s="393">
        <f t="shared" si="2"/>
        <v>0.99969802464695723</v>
      </c>
      <c r="D20" s="121"/>
      <c r="E20" s="121"/>
      <c r="F20" s="121"/>
      <c r="G20" s="121"/>
      <c r="H20" s="121"/>
      <c r="I20" s="121"/>
      <c r="J20" s="121"/>
      <c r="K20" s="121"/>
      <c r="L20" s="121"/>
      <c r="M20" s="521"/>
      <c r="N20" s="521"/>
      <c r="O20" s="521"/>
      <c r="P20" s="521">
        <v>0</v>
      </c>
      <c r="Q20" s="521">
        <v>0</v>
      </c>
      <c r="R20" s="12">
        <v>0</v>
      </c>
      <c r="S20" s="12">
        <v>0.29774266624711582</v>
      </c>
      <c r="T20" s="12">
        <v>0.57376160054393033</v>
      </c>
      <c r="U20" s="12">
        <v>0</v>
      </c>
      <c r="V20" s="12">
        <v>0</v>
      </c>
      <c r="W20" s="12">
        <v>0.11682466993966849</v>
      </c>
      <c r="X20" s="12">
        <v>1.8756120459557234E-3</v>
      </c>
      <c r="Y20" s="12">
        <v>7.6188772701288061E-3</v>
      </c>
      <c r="Z20" s="12">
        <v>2.9839850317458426E-4</v>
      </c>
      <c r="AA20" s="12">
        <v>1.5762000969834816E-3</v>
      </c>
      <c r="AB20" s="521">
        <v>0</v>
      </c>
      <c r="AC20" s="521">
        <v>0</v>
      </c>
      <c r="AD20" s="521">
        <v>0</v>
      </c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</row>
    <row r="21" spans="1:45">
      <c r="A21" s="87">
        <f t="shared" si="4"/>
        <v>46129</v>
      </c>
      <c r="B21" s="35" t="str">
        <f t="shared" si="3"/>
        <v>viernes</v>
      </c>
      <c r="C21" s="393">
        <f t="shared" si="2"/>
        <v>0.99974273357830656</v>
      </c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521"/>
      <c r="P21" s="521">
        <v>0</v>
      </c>
      <c r="Q21" s="521">
        <v>0</v>
      </c>
      <c r="R21" s="521">
        <v>0</v>
      </c>
      <c r="S21" s="12">
        <v>0</v>
      </c>
      <c r="T21" s="12">
        <v>0.29176778918363494</v>
      </c>
      <c r="U21" s="12">
        <v>0</v>
      </c>
      <c r="V21" s="12">
        <v>0</v>
      </c>
      <c r="W21" s="12">
        <v>0.6451552915852784</v>
      </c>
      <c r="X21" s="12">
        <v>9.0155647916410255E-3</v>
      </c>
      <c r="Y21" s="12">
        <v>4.4680351978889754E-2</v>
      </c>
      <c r="Z21" s="12">
        <v>3.80907004005398E-3</v>
      </c>
      <c r="AA21" s="12">
        <v>5.0538772465651225E-3</v>
      </c>
      <c r="AB21" s="12">
        <v>1.4479289134154341E-5</v>
      </c>
      <c r="AC21" s="521">
        <v>0</v>
      </c>
      <c r="AD21" s="12">
        <v>2.4630946310930698E-4</v>
      </c>
      <c r="AE21" s="5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</row>
    <row r="22" spans="1:45">
      <c r="A22" s="87">
        <f t="shared" si="4"/>
        <v>46130</v>
      </c>
      <c r="B22" s="35" t="str">
        <f t="shared" si="3"/>
        <v>sábado</v>
      </c>
      <c r="C22" s="393">
        <f t="shared" si="2"/>
        <v>0.99951350733573952</v>
      </c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521"/>
      <c r="P22" s="521">
        <v>0</v>
      </c>
      <c r="Q22" s="521">
        <v>0</v>
      </c>
      <c r="R22" s="521">
        <v>0</v>
      </c>
      <c r="S22" s="521">
        <v>0</v>
      </c>
      <c r="T22" s="521">
        <v>0</v>
      </c>
      <c r="U22" s="12">
        <v>0.2024934906200532</v>
      </c>
      <c r="V22" s="12">
        <v>0</v>
      </c>
      <c r="W22" s="12">
        <v>0.71158811145443768</v>
      </c>
      <c r="X22" s="12">
        <v>2.7094782509089255E-2</v>
      </c>
      <c r="Y22" s="12">
        <v>5.5620420106384634E-2</v>
      </c>
      <c r="Z22" s="12">
        <v>1.5345836076555203E-3</v>
      </c>
      <c r="AA22" s="12">
        <v>8.1853427238800667E-4</v>
      </c>
      <c r="AB22" s="12">
        <v>1.5608610584901064E-5</v>
      </c>
      <c r="AC22" s="521">
        <v>0</v>
      </c>
      <c r="AD22" s="12">
        <v>3.4797615514630596E-4</v>
      </c>
      <c r="AE22" s="5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</row>
    <row r="23" spans="1:45">
      <c r="A23" s="87">
        <f t="shared" si="4"/>
        <v>46131</v>
      </c>
      <c r="B23" s="35" t="str">
        <f t="shared" si="3"/>
        <v>domingo</v>
      </c>
      <c r="C23" s="393">
        <f t="shared" si="2"/>
        <v>0.99979130563638874</v>
      </c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521">
        <v>0</v>
      </c>
      <c r="Q23" s="521">
        <v>0</v>
      </c>
      <c r="R23" s="521">
        <v>0</v>
      </c>
      <c r="S23" s="521">
        <v>0</v>
      </c>
      <c r="T23" s="521">
        <v>0</v>
      </c>
      <c r="U23" s="521">
        <v>0</v>
      </c>
      <c r="V23" s="12">
        <v>0.16176696208090066</v>
      </c>
      <c r="W23" s="12">
        <v>0.63948644798225263</v>
      </c>
      <c r="X23" s="12">
        <v>0.13195737994114159</v>
      </c>
      <c r="Y23" s="12">
        <v>5.7514162151959772E-2</v>
      </c>
      <c r="Z23" s="12">
        <v>7.1754943701589306E-3</v>
      </c>
      <c r="AA23" s="12">
        <v>7.0424518389661326E-4</v>
      </c>
      <c r="AB23" s="12">
        <v>1.8369592717159451E-5</v>
      </c>
      <c r="AC23" s="521">
        <v>0</v>
      </c>
      <c r="AD23" s="12">
        <v>1.1682443333611635E-3</v>
      </c>
      <c r="AE23" s="521"/>
      <c r="AF23" s="521"/>
      <c r="AG23" s="5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</row>
    <row r="24" spans="1:45">
      <c r="A24" s="87">
        <f t="shared" si="4"/>
        <v>46132</v>
      </c>
      <c r="B24" s="35" t="str">
        <f t="shared" si="3"/>
        <v>lunes</v>
      </c>
      <c r="C24" s="393">
        <f t="shared" si="2"/>
        <v>0.99971689956282317</v>
      </c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394"/>
      <c r="R24" s="521"/>
      <c r="S24" s="521"/>
      <c r="T24" s="521"/>
      <c r="U24" s="521"/>
      <c r="V24" s="521"/>
      <c r="W24" s="12">
        <v>0.32554180491641771</v>
      </c>
      <c r="X24" s="12">
        <v>0.52903583483681482</v>
      </c>
      <c r="Y24" s="12">
        <v>9.0130899460040853E-2</v>
      </c>
      <c r="Z24" s="12">
        <v>5.1275666262696841E-2</v>
      </c>
      <c r="AA24" s="12">
        <v>2.0244614803950713E-3</v>
      </c>
      <c r="AB24" s="12">
        <v>4.135819722419369E-6</v>
      </c>
      <c r="AC24" s="12">
        <v>0</v>
      </c>
      <c r="AD24" s="12">
        <v>1.5413035207526753E-3</v>
      </c>
      <c r="AE24" s="12">
        <v>1.6279326598275551E-4</v>
      </c>
      <c r="AF24" s="521">
        <v>0</v>
      </c>
      <c r="AG24" s="521">
        <v>0</v>
      </c>
      <c r="AH24" s="521"/>
      <c r="AI24" s="521"/>
      <c r="AJ24" s="521"/>
      <c r="AK24" s="521"/>
      <c r="AL24" s="121"/>
      <c r="AM24" s="121"/>
      <c r="AN24" s="121"/>
      <c r="AO24" s="121"/>
      <c r="AP24" s="121"/>
      <c r="AQ24" s="121"/>
      <c r="AR24" s="121"/>
      <c r="AS24" s="121"/>
    </row>
    <row r="25" spans="1:45">
      <c r="A25" s="87">
        <f t="shared" si="4"/>
        <v>46133</v>
      </c>
      <c r="B25" s="35" t="str">
        <f t="shared" si="3"/>
        <v>martes</v>
      </c>
      <c r="C25" s="393">
        <f t="shared" si="2"/>
        <v>0.99985776656268177</v>
      </c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521"/>
      <c r="S25" s="521"/>
      <c r="T25" s="521"/>
      <c r="U25" s="521"/>
      <c r="V25" s="521"/>
      <c r="W25" s="521">
        <v>0</v>
      </c>
      <c r="X25" s="12">
        <v>0.29921870959035518</v>
      </c>
      <c r="Y25" s="12">
        <v>0.50648419787536914</v>
      </c>
      <c r="Z25" s="12">
        <v>0.17291809259125199</v>
      </c>
      <c r="AA25" s="12">
        <v>1.0917165062148577E-2</v>
      </c>
      <c r="AB25" s="12">
        <v>0</v>
      </c>
      <c r="AC25" s="12">
        <v>0</v>
      </c>
      <c r="AD25" s="12">
        <v>9.1048742108840661E-3</v>
      </c>
      <c r="AE25" s="12">
        <v>9.2269677076394559E-4</v>
      </c>
      <c r="AF25" s="12">
        <v>2.9203046190896174E-4</v>
      </c>
      <c r="AG25" s="521">
        <v>0</v>
      </c>
      <c r="AH25" s="521"/>
      <c r="AI25" s="521"/>
      <c r="AJ25" s="521"/>
      <c r="AK25" s="521"/>
      <c r="AL25" s="121"/>
      <c r="AM25" s="121"/>
      <c r="AN25" s="121"/>
      <c r="AO25" s="121"/>
      <c r="AP25" s="121"/>
      <c r="AQ25" s="121"/>
      <c r="AR25" s="121"/>
      <c r="AS25" s="121"/>
    </row>
    <row r="26" spans="1:45">
      <c r="A26" s="122">
        <f t="shared" si="4"/>
        <v>46134</v>
      </c>
      <c r="B26" s="123" t="str">
        <f t="shared" si="3"/>
        <v>miércoles</v>
      </c>
      <c r="C26" s="393">
        <f t="shared" si="2"/>
        <v>1.0000193439830447</v>
      </c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394"/>
      <c r="T26" s="521"/>
      <c r="U26" s="521"/>
      <c r="V26" s="521"/>
      <c r="W26" s="521">
        <v>0</v>
      </c>
      <c r="X26" s="12">
        <v>0</v>
      </c>
      <c r="Y26" s="12">
        <v>0.29074362882339949</v>
      </c>
      <c r="Z26" s="12">
        <v>0.55533485032354168</v>
      </c>
      <c r="AA26" s="12">
        <v>0.11017231777079226</v>
      </c>
      <c r="AB26" s="12">
        <v>0</v>
      </c>
      <c r="AC26" s="12">
        <v>0</v>
      </c>
      <c r="AD26" s="12">
        <v>3.8107969173572426E-2</v>
      </c>
      <c r="AE26" s="12">
        <v>5.4918821602028328E-3</v>
      </c>
      <c r="AF26" s="12">
        <v>0</v>
      </c>
      <c r="AG26" s="12">
        <v>1.686957315360827E-4</v>
      </c>
      <c r="AH26" s="521"/>
      <c r="AI26" s="521"/>
      <c r="AJ26" s="521"/>
      <c r="AK26" s="521"/>
      <c r="AL26" s="121"/>
      <c r="AM26" s="121"/>
      <c r="AN26" s="121"/>
      <c r="AO26" s="121"/>
      <c r="AP26" s="121"/>
      <c r="AQ26" s="121"/>
      <c r="AR26" s="121"/>
      <c r="AS26" s="121"/>
    </row>
    <row r="27" spans="1:45">
      <c r="A27" s="122">
        <f t="shared" si="4"/>
        <v>46135</v>
      </c>
      <c r="B27" s="123" t="str">
        <f t="shared" si="3"/>
        <v>jueves</v>
      </c>
      <c r="C27" s="393">
        <f t="shared" si="2"/>
        <v>0.99812182454997378</v>
      </c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394"/>
      <c r="T27" s="521"/>
      <c r="U27" s="521"/>
      <c r="V27" s="521"/>
      <c r="W27" s="521">
        <v>0</v>
      </c>
      <c r="X27" s="521">
        <v>0</v>
      </c>
      <c r="Y27" s="12">
        <v>0</v>
      </c>
      <c r="Z27" s="12">
        <v>0.29774266624711582</v>
      </c>
      <c r="AA27" s="12">
        <v>0.57376160054393033</v>
      </c>
      <c r="AB27" s="12">
        <v>0</v>
      </c>
      <c r="AC27" s="12">
        <v>0</v>
      </c>
      <c r="AD27" s="12">
        <v>0.11682466993966849</v>
      </c>
      <c r="AE27" s="12">
        <v>1.8756120459557234E-3</v>
      </c>
      <c r="AF27" s="12">
        <v>7.6188772701288061E-3</v>
      </c>
      <c r="AG27" s="12">
        <v>2.9839850317458426E-4</v>
      </c>
      <c r="AH27" s="12"/>
      <c r="AI27" s="521"/>
      <c r="AJ27" s="521"/>
      <c r="AK27" s="521"/>
      <c r="AL27" s="121"/>
      <c r="AM27" s="121"/>
      <c r="AN27" s="121"/>
      <c r="AO27" s="121"/>
      <c r="AP27" s="121"/>
      <c r="AQ27" s="121"/>
      <c r="AR27" s="121"/>
      <c r="AS27" s="121"/>
    </row>
    <row r="28" spans="1:45">
      <c r="A28" s="87">
        <f t="shared" si="4"/>
        <v>46136</v>
      </c>
      <c r="B28" s="35" t="str">
        <f t="shared" si="3"/>
        <v>viernes</v>
      </c>
      <c r="C28" s="393">
        <f t="shared" si="2"/>
        <v>0.99442806757949798</v>
      </c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521"/>
      <c r="W28" s="521">
        <v>0</v>
      </c>
      <c r="X28" s="521">
        <v>0</v>
      </c>
      <c r="Y28" s="521">
        <v>0</v>
      </c>
      <c r="Z28" s="12">
        <v>0</v>
      </c>
      <c r="AA28" s="12">
        <v>0.29176778918363494</v>
      </c>
      <c r="AB28" s="12">
        <v>0</v>
      </c>
      <c r="AC28" s="12">
        <v>0</v>
      </c>
      <c r="AD28" s="12">
        <v>0.6451552915852784</v>
      </c>
      <c r="AE28" s="12">
        <v>9.0155647916410255E-3</v>
      </c>
      <c r="AF28" s="12">
        <v>4.4680351978889754E-2</v>
      </c>
      <c r="AG28" s="12">
        <v>3.80907004005398E-3</v>
      </c>
      <c r="AH28" s="12"/>
      <c r="AI28" s="12"/>
      <c r="AJ28" s="521"/>
      <c r="AK28" s="12"/>
      <c r="AL28" s="121"/>
      <c r="AM28" s="121"/>
      <c r="AN28" s="121"/>
      <c r="AO28" s="121"/>
      <c r="AP28" s="121"/>
      <c r="AQ28" s="121"/>
      <c r="AR28" s="121"/>
      <c r="AS28" s="121"/>
    </row>
    <row r="29" spans="1:45">
      <c r="A29" s="87">
        <f t="shared" si="4"/>
        <v>46137</v>
      </c>
      <c r="B29" s="35" t="str">
        <f t="shared" si="3"/>
        <v>sábado</v>
      </c>
      <c r="C29" s="393">
        <f t="shared" si="2"/>
        <v>0.99833138829762036</v>
      </c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521"/>
      <c r="W29" s="521">
        <v>0</v>
      </c>
      <c r="X29" s="521">
        <v>0</v>
      </c>
      <c r="Y29" s="521">
        <v>0</v>
      </c>
      <c r="Z29" s="521">
        <v>0</v>
      </c>
      <c r="AA29" s="521">
        <v>0</v>
      </c>
      <c r="AB29" s="12">
        <v>0.2024934906200532</v>
      </c>
      <c r="AC29" s="12">
        <v>0</v>
      </c>
      <c r="AD29" s="12">
        <v>0.71158811145443768</v>
      </c>
      <c r="AE29" s="12">
        <v>2.7094782509089255E-2</v>
      </c>
      <c r="AF29" s="12">
        <v>5.5620420106384634E-2</v>
      </c>
      <c r="AG29" s="12">
        <v>1.5345836076555203E-3</v>
      </c>
      <c r="AH29" s="12"/>
      <c r="AI29" s="12"/>
      <c r="AJ29" s="521"/>
      <c r="AK29" s="12"/>
      <c r="AL29" s="121"/>
      <c r="AM29" s="121"/>
      <c r="AN29" s="121"/>
      <c r="AO29" s="121"/>
      <c r="AP29" s="121"/>
      <c r="AQ29" s="121"/>
      <c r="AR29" s="121"/>
      <c r="AS29" s="121"/>
    </row>
    <row r="30" spans="1:45">
      <c r="A30" s="87">
        <f t="shared" si="4"/>
        <v>46138</v>
      </c>
      <c r="B30" s="35" t="str">
        <f>+TEXT(A30,"dddddd")</f>
        <v>domingo</v>
      </c>
      <c r="C30" s="393">
        <f t="shared" si="2"/>
        <v>0.99790044652641374</v>
      </c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521">
        <v>0</v>
      </c>
      <c r="X30" s="521">
        <v>0</v>
      </c>
      <c r="Y30" s="521">
        <v>0</v>
      </c>
      <c r="Z30" s="521">
        <v>0</v>
      </c>
      <c r="AA30" s="521">
        <v>0</v>
      </c>
      <c r="AB30" s="521">
        <v>0</v>
      </c>
      <c r="AC30" s="12">
        <v>0.16176696208090066</v>
      </c>
      <c r="AD30" s="12">
        <v>0.63948644798225263</v>
      </c>
      <c r="AE30" s="12">
        <v>0.13195737994114159</v>
      </c>
      <c r="AF30" s="12">
        <v>5.7514162151959772E-2</v>
      </c>
      <c r="AG30" s="12">
        <v>7.1754943701589306E-3</v>
      </c>
      <c r="AH30" s="12"/>
      <c r="AI30" s="12"/>
      <c r="AJ30" s="521"/>
      <c r="AK30" s="12"/>
      <c r="AL30" s="521"/>
      <c r="AM30" s="521"/>
      <c r="AN30" s="121"/>
      <c r="AO30" s="121"/>
      <c r="AP30" s="121"/>
      <c r="AQ30" s="121"/>
      <c r="AR30" s="121"/>
      <c r="AS30" s="121"/>
    </row>
    <row r="31" spans="1:45">
      <c r="A31" s="87">
        <f t="shared" si="4"/>
        <v>46139</v>
      </c>
      <c r="B31" s="35" t="str">
        <f>+TEXT(A31,"dddddd")</f>
        <v>lunes</v>
      </c>
      <c r="C31" s="393">
        <f t="shared" si="2"/>
        <v>0.99598420547597022</v>
      </c>
      <c r="D31" s="87"/>
      <c r="F31" s="468"/>
      <c r="G31" s="87"/>
      <c r="I31" s="468"/>
      <c r="J31" s="87"/>
      <c r="L31" s="468"/>
      <c r="M31" s="87"/>
      <c r="O31" s="468"/>
      <c r="P31" s="87"/>
      <c r="Q31" s="121"/>
      <c r="R31" s="121"/>
      <c r="S31" s="121"/>
      <c r="T31" s="121"/>
      <c r="U31" s="121"/>
      <c r="V31" s="121"/>
      <c r="W31" s="121"/>
      <c r="X31" s="394"/>
      <c r="Y31" s="521"/>
      <c r="Z31" s="521"/>
      <c r="AA31" s="521"/>
      <c r="AB31" s="521"/>
      <c r="AC31" s="12"/>
      <c r="AD31" s="12">
        <v>0.32554180491641771</v>
      </c>
      <c r="AE31" s="12">
        <v>0.52903583483681482</v>
      </c>
      <c r="AF31" s="12">
        <v>9.0130899460040853E-2</v>
      </c>
      <c r="AG31" s="12">
        <v>5.1275666262696841E-2</v>
      </c>
      <c r="AH31" s="12"/>
      <c r="AI31" s="12"/>
      <c r="AJ31" s="12"/>
      <c r="AK31" s="12"/>
      <c r="AL31" s="12"/>
      <c r="AM31" s="521"/>
      <c r="AN31" s="521"/>
      <c r="AO31" s="521"/>
      <c r="AP31" s="521"/>
      <c r="AQ31" s="521"/>
      <c r="AR31" s="521"/>
      <c r="AS31" s="121"/>
    </row>
    <row r="32" spans="1:45">
      <c r="A32" s="87">
        <f t="shared" si="4"/>
        <v>46140</v>
      </c>
      <c r="B32" s="35" t="str">
        <f>+TEXT(A32,"dddddd")</f>
        <v>martes</v>
      </c>
      <c r="C32" s="393">
        <f t="shared" si="2"/>
        <v>0.97862100005697628</v>
      </c>
      <c r="D32" s="87"/>
      <c r="F32" s="468"/>
      <c r="G32" s="87"/>
      <c r="I32" s="468"/>
      <c r="J32" s="87"/>
      <c r="L32" s="468"/>
      <c r="M32" s="87"/>
      <c r="O32" s="468"/>
      <c r="P32" s="87"/>
      <c r="Q32" s="121"/>
      <c r="R32" s="121"/>
      <c r="S32" s="121"/>
      <c r="T32" s="121"/>
      <c r="U32" s="121"/>
      <c r="V32" s="121"/>
      <c r="W32" s="121"/>
      <c r="X32" s="121"/>
      <c r="Y32" s="521"/>
      <c r="Z32" s="521"/>
      <c r="AA32" s="521"/>
      <c r="AB32" s="521"/>
      <c r="AC32" s="521"/>
      <c r="AD32" s="521">
        <v>0</v>
      </c>
      <c r="AE32" s="12">
        <v>0.29921870959035518</v>
      </c>
      <c r="AF32" s="12">
        <v>0.50648419787536914</v>
      </c>
      <c r="AG32" s="12">
        <v>0.17291809259125199</v>
      </c>
      <c r="AH32" s="12"/>
      <c r="AI32" s="12"/>
      <c r="AJ32" s="12"/>
      <c r="AK32" s="12"/>
      <c r="AL32" s="12"/>
      <c r="AM32" s="12"/>
      <c r="AN32" s="521"/>
      <c r="AO32" s="521"/>
      <c r="AP32" s="521"/>
      <c r="AQ32" s="521"/>
      <c r="AR32" s="521"/>
      <c r="AS32" s="121"/>
    </row>
    <row r="33" spans="1:45">
      <c r="A33" s="87">
        <f t="shared" si="4"/>
        <v>46141</v>
      </c>
      <c r="B33" s="35" t="str">
        <f t="shared" ref="B33:B34" si="5">+TEXT(A33,"dddddd")</f>
        <v>miércoles</v>
      </c>
      <c r="C33" s="393">
        <f t="shared" si="2"/>
        <v>0.84607847914694112</v>
      </c>
      <c r="D33" s="87"/>
      <c r="F33" s="468"/>
      <c r="G33" s="87"/>
      <c r="I33" s="468"/>
      <c r="J33" s="87"/>
      <c r="L33" s="468"/>
      <c r="M33" s="87"/>
      <c r="O33" s="468"/>
      <c r="P33" s="87"/>
      <c r="Q33" s="121"/>
      <c r="R33" s="121"/>
      <c r="S33" s="121"/>
      <c r="T33" s="121"/>
      <c r="U33" s="121"/>
      <c r="V33" s="121"/>
      <c r="W33" s="121"/>
      <c r="X33" s="121"/>
      <c r="Y33" s="121"/>
      <c r="Z33" s="521"/>
      <c r="AA33" s="521"/>
      <c r="AB33" s="521"/>
      <c r="AC33" s="521"/>
      <c r="AD33" s="521">
        <v>0</v>
      </c>
      <c r="AE33" s="12">
        <v>0</v>
      </c>
      <c r="AF33" s="12">
        <v>0.29074362882339949</v>
      </c>
      <c r="AG33" s="12">
        <v>0.55533485032354168</v>
      </c>
      <c r="AH33" s="12"/>
      <c r="AI33" s="12"/>
      <c r="AJ33" s="12"/>
      <c r="AK33" s="12"/>
      <c r="AL33" s="12"/>
      <c r="AM33" s="12"/>
      <c r="AN33" s="12"/>
      <c r="AO33" s="521"/>
      <c r="AP33" s="521"/>
      <c r="AQ33" s="521"/>
      <c r="AR33" s="521"/>
      <c r="AS33" s="121"/>
    </row>
    <row r="34" spans="1:45">
      <c r="A34" s="87">
        <f t="shared" si="4"/>
        <v>46142</v>
      </c>
      <c r="B34" s="35" t="str">
        <f t="shared" si="5"/>
        <v>jueves</v>
      </c>
      <c r="C34" s="393">
        <f t="shared" si="2"/>
        <v>0.29774266624711582</v>
      </c>
      <c r="D34" s="87"/>
      <c r="F34" s="468"/>
      <c r="G34" s="87"/>
      <c r="I34" s="468"/>
      <c r="J34" s="87"/>
      <c r="L34" s="468"/>
      <c r="M34" s="87"/>
      <c r="O34" s="468"/>
      <c r="P34" s="87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521"/>
      <c r="AB34" s="521"/>
      <c r="AC34" s="521"/>
      <c r="AD34" s="521">
        <v>0</v>
      </c>
      <c r="AE34" s="521">
        <v>0</v>
      </c>
      <c r="AF34" s="12">
        <v>0</v>
      </c>
      <c r="AG34" s="12">
        <v>0.29774266624711582</v>
      </c>
      <c r="AH34" s="12"/>
      <c r="AI34" s="12"/>
      <c r="AJ34" s="12"/>
      <c r="AK34" s="12"/>
      <c r="AL34" s="12"/>
      <c r="AM34" s="12"/>
      <c r="AN34" s="12"/>
      <c r="AO34" s="12"/>
      <c r="AP34" s="521"/>
      <c r="AQ34" s="521"/>
      <c r="AR34" s="521"/>
      <c r="AS34" s="121"/>
    </row>
    <row r="35" spans="1:45" s="105" customFormat="1">
      <c r="A35" s="105" t="s">
        <v>223</v>
      </c>
      <c r="D35" s="84"/>
      <c r="E35" s="121"/>
      <c r="F35" s="121"/>
      <c r="G35" s="121"/>
      <c r="H35" s="124"/>
      <c r="I35" s="124"/>
      <c r="J35" s="84"/>
      <c r="K35" s="84"/>
      <c r="L35" s="121"/>
      <c r="M35" s="121"/>
      <c r="N35" s="121"/>
      <c r="O35" s="124"/>
      <c r="P35" s="124"/>
      <c r="Q35" s="84"/>
      <c r="R35" s="84"/>
      <c r="S35" s="121"/>
      <c r="T35" s="121"/>
      <c r="U35" s="121"/>
      <c r="V35" s="124"/>
      <c r="W35" s="124"/>
      <c r="X35" s="84"/>
      <c r="Y35" s="84"/>
      <c r="Z35" s="121"/>
      <c r="AA35" s="121"/>
      <c r="AB35" s="121"/>
      <c r="AC35" s="395"/>
      <c r="AD35" s="395"/>
      <c r="AE35" s="395"/>
      <c r="AF35" s="395"/>
      <c r="AG35" s="395"/>
      <c r="AH35" s="394"/>
      <c r="AI35" s="394"/>
      <c r="AJ35" s="394"/>
      <c r="AK35" s="394"/>
      <c r="AL35" s="396"/>
      <c r="AM35" s="394"/>
      <c r="AN35" s="121"/>
      <c r="AO35" s="121"/>
      <c r="AP35" s="121"/>
      <c r="AQ35" s="121"/>
      <c r="AR35" s="121"/>
      <c r="AS35" s="121"/>
    </row>
    <row r="36" spans="1:45" ht="13.5" customHeight="1">
      <c r="A36" s="80" t="s">
        <v>146</v>
      </c>
      <c r="B36" s="80" t="s">
        <v>147</v>
      </c>
      <c r="C36" s="80" t="s">
        <v>223</v>
      </c>
      <c r="D36" s="83">
        <f>+D1</f>
        <v>46113</v>
      </c>
      <c r="E36" s="83">
        <f>+D36+1</f>
        <v>46114</v>
      </c>
      <c r="F36" s="83">
        <f t="shared" ref="F36:AG36" si="6">+E36+1</f>
        <v>46115</v>
      </c>
      <c r="G36" s="83">
        <f t="shared" si="6"/>
        <v>46116</v>
      </c>
      <c r="H36" s="126">
        <f t="shared" si="6"/>
        <v>46117</v>
      </c>
      <c r="I36" s="126">
        <f t="shared" si="6"/>
        <v>46118</v>
      </c>
      <c r="J36" s="83">
        <f t="shared" si="6"/>
        <v>46119</v>
      </c>
      <c r="K36" s="83">
        <f t="shared" si="6"/>
        <v>46120</v>
      </c>
      <c r="L36" s="83">
        <f t="shared" si="6"/>
        <v>46121</v>
      </c>
      <c r="M36" s="83">
        <f t="shared" si="6"/>
        <v>46122</v>
      </c>
      <c r="N36" s="83">
        <f t="shared" si="6"/>
        <v>46123</v>
      </c>
      <c r="O36" s="126">
        <f t="shared" si="6"/>
        <v>46124</v>
      </c>
      <c r="P36" s="126">
        <f t="shared" si="6"/>
        <v>46125</v>
      </c>
      <c r="Q36" s="83">
        <f t="shared" si="6"/>
        <v>46126</v>
      </c>
      <c r="R36" s="83">
        <f t="shared" si="6"/>
        <v>46127</v>
      </c>
      <c r="S36" s="83">
        <f t="shared" si="6"/>
        <v>46128</v>
      </c>
      <c r="T36" s="83">
        <f t="shared" si="6"/>
        <v>46129</v>
      </c>
      <c r="U36" s="83">
        <f t="shared" si="6"/>
        <v>46130</v>
      </c>
      <c r="V36" s="126">
        <f t="shared" si="6"/>
        <v>46131</v>
      </c>
      <c r="W36" s="126">
        <f t="shared" si="6"/>
        <v>46132</v>
      </c>
      <c r="X36" s="83">
        <f t="shared" si="6"/>
        <v>46133</v>
      </c>
      <c r="Y36" s="83">
        <f t="shared" si="6"/>
        <v>46134</v>
      </c>
      <c r="Z36" s="83">
        <f t="shared" si="6"/>
        <v>46135</v>
      </c>
      <c r="AA36" s="83">
        <f t="shared" si="6"/>
        <v>46136</v>
      </c>
      <c r="AB36" s="83">
        <f t="shared" si="6"/>
        <v>46137</v>
      </c>
      <c r="AC36" s="126">
        <f t="shared" si="6"/>
        <v>46138</v>
      </c>
      <c r="AD36" s="126">
        <f t="shared" si="6"/>
        <v>46139</v>
      </c>
      <c r="AE36" s="83">
        <f t="shared" si="6"/>
        <v>46140</v>
      </c>
      <c r="AF36" s="83">
        <f t="shared" si="6"/>
        <v>46141</v>
      </c>
      <c r="AG36" s="83">
        <f t="shared" si="6"/>
        <v>46142</v>
      </c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</row>
    <row r="37" spans="1:45">
      <c r="D37" s="87" t="str">
        <f t="shared" ref="D37:AG37" si="7">+TEXT(D36,"dddddd")</f>
        <v>miércoles</v>
      </c>
      <c r="E37" s="87" t="str">
        <f t="shared" si="7"/>
        <v>jueves</v>
      </c>
      <c r="F37" s="87" t="str">
        <f t="shared" si="7"/>
        <v>viernes</v>
      </c>
      <c r="G37" s="87" t="str">
        <f t="shared" si="7"/>
        <v>sábado</v>
      </c>
      <c r="H37" s="122" t="str">
        <f t="shared" si="7"/>
        <v>domingo</v>
      </c>
      <c r="I37" s="122" t="str">
        <f t="shared" si="7"/>
        <v>lunes</v>
      </c>
      <c r="J37" s="87" t="str">
        <f t="shared" si="7"/>
        <v>martes</v>
      </c>
      <c r="K37" s="87" t="str">
        <f t="shared" si="7"/>
        <v>miércoles</v>
      </c>
      <c r="L37" s="87" t="str">
        <f t="shared" si="7"/>
        <v>jueves</v>
      </c>
      <c r="M37" s="87" t="str">
        <f t="shared" si="7"/>
        <v>viernes</v>
      </c>
      <c r="N37" s="87" t="str">
        <f t="shared" si="7"/>
        <v>sábado</v>
      </c>
      <c r="O37" s="122" t="str">
        <f t="shared" si="7"/>
        <v>domingo</v>
      </c>
      <c r="P37" s="122" t="str">
        <f t="shared" si="7"/>
        <v>lunes</v>
      </c>
      <c r="Q37" s="87" t="str">
        <f t="shared" si="7"/>
        <v>martes</v>
      </c>
      <c r="R37" s="87" t="str">
        <f t="shared" si="7"/>
        <v>miércoles</v>
      </c>
      <c r="S37" s="87" t="str">
        <f t="shared" si="7"/>
        <v>jueves</v>
      </c>
      <c r="T37" s="87" t="str">
        <f t="shared" si="7"/>
        <v>viernes</v>
      </c>
      <c r="U37" s="87" t="str">
        <f t="shared" si="7"/>
        <v>sábado</v>
      </c>
      <c r="V37" s="122" t="str">
        <f t="shared" si="7"/>
        <v>domingo</v>
      </c>
      <c r="W37" s="122" t="str">
        <f t="shared" si="7"/>
        <v>lunes</v>
      </c>
      <c r="X37" s="87" t="str">
        <f t="shared" si="7"/>
        <v>martes</v>
      </c>
      <c r="Y37" s="87" t="str">
        <f t="shared" si="7"/>
        <v>miércoles</v>
      </c>
      <c r="Z37" s="87" t="str">
        <f t="shared" si="7"/>
        <v>jueves</v>
      </c>
      <c r="AA37" s="87" t="str">
        <f t="shared" si="7"/>
        <v>viernes</v>
      </c>
      <c r="AB37" s="87" t="str">
        <f t="shared" si="7"/>
        <v>sábado</v>
      </c>
      <c r="AC37" s="122" t="str">
        <f t="shared" si="7"/>
        <v>domingo</v>
      </c>
      <c r="AD37" s="122" t="str">
        <f t="shared" si="7"/>
        <v>lunes</v>
      </c>
      <c r="AE37" s="87" t="str">
        <f t="shared" si="7"/>
        <v>martes</v>
      </c>
      <c r="AF37" s="87" t="str">
        <f t="shared" si="7"/>
        <v>miércoles</v>
      </c>
      <c r="AG37" s="87" t="str">
        <f t="shared" si="7"/>
        <v>jueves</v>
      </c>
    </row>
    <row r="38" spans="1:45">
      <c r="A38" s="721" t="s">
        <v>411</v>
      </c>
      <c r="B38" s="721"/>
      <c r="C38" s="721"/>
      <c r="D38" s="213">
        <v>46.271800879490002</v>
      </c>
      <c r="E38" s="213">
        <v>1.58822592E-3</v>
      </c>
      <c r="F38" s="519"/>
      <c r="G38" s="213"/>
      <c r="H38" s="213"/>
      <c r="I38" s="213">
        <v>6.8379573659300004</v>
      </c>
      <c r="J38" s="213"/>
      <c r="O38" s="124"/>
      <c r="P38" s="124"/>
      <c r="V38" s="124"/>
      <c r="W38" s="124"/>
      <c r="AC38" s="124"/>
      <c r="AD38" s="124"/>
      <c r="AH38" s="84">
        <f>SUM(D38:J38)</f>
        <v>53.111346471340006</v>
      </c>
      <c r="AI38" s="164"/>
    </row>
    <row r="39" spans="1:45" s="88" customFormat="1">
      <c r="A39" s="122">
        <f>+D1</f>
        <v>46113</v>
      </c>
      <c r="B39" s="123" t="str">
        <f>+TEXT(A39,"dddddd")</f>
        <v>miércoles</v>
      </c>
      <c r="C39" s="124">
        <f>+Resumen!C72</f>
        <v>69.450154613859993</v>
      </c>
      <c r="D39" s="125">
        <f t="shared" ref="D39:AG39" si="8">+IF(D5="","",D5*$C39)</f>
        <v>20.192189974779815</v>
      </c>
      <c r="E39" s="125">
        <f t="shared" si="8"/>
        <v>38.56809121743477</v>
      </c>
      <c r="F39" s="125">
        <f t="shared" si="8"/>
        <v>7.6514845033488372</v>
      </c>
      <c r="G39" s="125">
        <f t="shared" si="8"/>
        <v>0</v>
      </c>
      <c r="H39" s="125">
        <f t="shared" si="8"/>
        <v>0</v>
      </c>
      <c r="I39" s="125">
        <f t="shared" si="8"/>
        <v>2.6466043511248154</v>
      </c>
      <c r="J39" s="125">
        <f t="shared" si="8"/>
        <v>0.38141206514718617</v>
      </c>
      <c r="K39" s="125">
        <f t="shared" si="8"/>
        <v>0</v>
      </c>
      <c r="L39" s="125">
        <f t="shared" si="8"/>
        <v>1.171594463787916E-2</v>
      </c>
      <c r="M39" s="125">
        <f t="shared" si="8"/>
        <v>0</v>
      </c>
      <c r="N39" s="125">
        <f t="shared" si="8"/>
        <v>0</v>
      </c>
      <c r="O39" s="125">
        <f t="shared" si="8"/>
        <v>0</v>
      </c>
      <c r="P39" s="125">
        <f t="shared" si="8"/>
        <v>0</v>
      </c>
      <c r="Q39" s="125" t="str">
        <f t="shared" si="8"/>
        <v/>
      </c>
      <c r="R39" s="125" t="str">
        <f t="shared" si="8"/>
        <v/>
      </c>
      <c r="S39" s="125" t="str">
        <f t="shared" si="8"/>
        <v/>
      </c>
      <c r="T39" s="125" t="str">
        <f t="shared" si="8"/>
        <v/>
      </c>
      <c r="U39" s="125" t="str">
        <f t="shared" si="8"/>
        <v/>
      </c>
      <c r="V39" s="125" t="str">
        <f t="shared" si="8"/>
        <v/>
      </c>
      <c r="W39" s="125" t="str">
        <f t="shared" si="8"/>
        <v/>
      </c>
      <c r="X39" s="125" t="str">
        <f t="shared" si="8"/>
        <v/>
      </c>
      <c r="Y39" s="125" t="str">
        <f t="shared" si="8"/>
        <v/>
      </c>
      <c r="Z39" s="125" t="str">
        <f t="shared" si="8"/>
        <v/>
      </c>
      <c r="AA39" s="125" t="str">
        <f t="shared" si="8"/>
        <v/>
      </c>
      <c r="AB39" s="125" t="str">
        <f t="shared" si="8"/>
        <v/>
      </c>
      <c r="AC39" s="125" t="str">
        <f t="shared" si="8"/>
        <v/>
      </c>
      <c r="AD39" s="125" t="str">
        <f t="shared" si="8"/>
        <v/>
      </c>
      <c r="AE39" s="125" t="str">
        <f t="shared" si="8"/>
        <v/>
      </c>
      <c r="AF39" s="125" t="str">
        <f t="shared" si="8"/>
        <v/>
      </c>
      <c r="AG39" s="125" t="str">
        <f t="shared" si="8"/>
        <v/>
      </c>
      <c r="AH39" s="84">
        <f t="shared" ref="AH39:AH68" si="9">+C39*C5</f>
        <v>69.451498056473298</v>
      </c>
      <c r="AI39" s="164">
        <f t="shared" ref="AI39:AI66" si="10">C39-AH39</f>
        <v>-1.3434426133045463E-3</v>
      </c>
      <c r="AJ39" s="88">
        <f>+SUM(D39:AE68)</f>
        <v>1518.9403287063806</v>
      </c>
    </row>
    <row r="40" spans="1:45" s="88" customFormat="1">
      <c r="A40" s="122">
        <f>+A39+1</f>
        <v>46114</v>
      </c>
      <c r="B40" s="123" t="str">
        <f t="shared" ref="B40:B68" si="11">+TEXT(A40,"dddddd")</f>
        <v>jueves</v>
      </c>
      <c r="C40" s="124">
        <f>+Resumen!C73</f>
        <v>54.145314768989998</v>
      </c>
      <c r="D40" s="125">
        <f t="shared" ref="D40:AG40" si="12">+IF(D6="","",D6*$C40)</f>
        <v>0</v>
      </c>
      <c r="E40" s="125">
        <f t="shared" si="12"/>
        <v>16.12137038410842</v>
      </c>
      <c r="F40" s="125">
        <f t="shared" si="12"/>
        <v>31.066502463810611</v>
      </c>
      <c r="G40" s="125">
        <f t="shared" si="12"/>
        <v>0</v>
      </c>
      <c r="H40" s="125">
        <f t="shared" si="12"/>
        <v>0</v>
      </c>
      <c r="I40" s="125">
        <f t="shared" si="12"/>
        <v>6.3255085266667139</v>
      </c>
      <c r="J40" s="125">
        <f t="shared" si="12"/>
        <v>0.10155560461278197</v>
      </c>
      <c r="K40" s="125">
        <f t="shared" si="12"/>
        <v>0.41252650797742746</v>
      </c>
      <c r="L40" s="125">
        <f t="shared" si="12"/>
        <v>1.6156880880983326E-2</v>
      </c>
      <c r="M40" s="125">
        <f t="shared" si="12"/>
        <v>8.5343850390083173E-2</v>
      </c>
      <c r="N40" s="125">
        <f t="shared" si="12"/>
        <v>0</v>
      </c>
      <c r="O40" s="125">
        <f t="shared" si="12"/>
        <v>0</v>
      </c>
      <c r="P40" s="125">
        <f t="shared" si="12"/>
        <v>0</v>
      </c>
      <c r="Q40" s="125" t="str">
        <f t="shared" si="12"/>
        <v/>
      </c>
      <c r="R40" s="125" t="str">
        <f t="shared" si="12"/>
        <v/>
      </c>
      <c r="S40" s="125" t="str">
        <f t="shared" si="12"/>
        <v/>
      </c>
      <c r="T40" s="125" t="str">
        <f t="shared" si="12"/>
        <v/>
      </c>
      <c r="U40" s="125" t="str">
        <f t="shared" si="12"/>
        <v/>
      </c>
      <c r="V40" s="125" t="str">
        <f t="shared" si="12"/>
        <v/>
      </c>
      <c r="W40" s="125" t="str">
        <f t="shared" si="12"/>
        <v/>
      </c>
      <c r="X40" s="125" t="str">
        <f t="shared" si="12"/>
        <v/>
      </c>
      <c r="Y40" s="125" t="str">
        <f t="shared" si="12"/>
        <v/>
      </c>
      <c r="Z40" s="125" t="str">
        <f t="shared" si="12"/>
        <v/>
      </c>
      <c r="AA40" s="125" t="str">
        <f t="shared" si="12"/>
        <v/>
      </c>
      <c r="AB40" s="125" t="str">
        <f t="shared" si="12"/>
        <v/>
      </c>
      <c r="AC40" s="125" t="str">
        <f t="shared" si="12"/>
        <v/>
      </c>
      <c r="AD40" s="125" t="str">
        <f t="shared" si="12"/>
        <v/>
      </c>
      <c r="AE40" s="125" t="str">
        <f t="shared" si="12"/>
        <v/>
      </c>
      <c r="AF40" s="125" t="str">
        <f t="shared" si="12"/>
        <v/>
      </c>
      <c r="AG40" s="125" t="str">
        <f t="shared" si="12"/>
        <v/>
      </c>
      <c r="AH40" s="84">
        <f t="shared" si="9"/>
        <v>54.128964218447017</v>
      </c>
      <c r="AI40" s="164">
        <f t="shared" si="10"/>
        <v>1.6350550542981068E-2</v>
      </c>
    </row>
    <row r="41" spans="1:45" s="88" customFormat="1">
      <c r="A41" s="87">
        <f t="shared" ref="A41:A68" si="13">+A40+1</f>
        <v>46115</v>
      </c>
      <c r="B41" s="35" t="str">
        <f t="shared" si="11"/>
        <v>viernes</v>
      </c>
      <c r="C41" s="124">
        <f>+Resumen!C74</f>
        <v>36.973360684900001</v>
      </c>
      <c r="D41" s="125">
        <f t="shared" ref="D41:AG41" si="14">+IF(D7="","",D7*$C41)</f>
        <v>0</v>
      </c>
      <c r="E41" s="125">
        <f t="shared" si="14"/>
        <v>0</v>
      </c>
      <c r="F41" s="125">
        <f t="shared" si="14"/>
        <v>10.787635705722399</v>
      </c>
      <c r="G41" s="125">
        <f t="shared" si="14"/>
        <v>0</v>
      </c>
      <c r="H41" s="125">
        <f t="shared" si="14"/>
        <v>0</v>
      </c>
      <c r="I41" s="125">
        <f t="shared" si="14"/>
        <v>23.85355929355433</v>
      </c>
      <c r="J41" s="125">
        <f t="shared" si="14"/>
        <v>0.33333572881942897</v>
      </c>
      <c r="K41" s="125">
        <f t="shared" si="14"/>
        <v>1.6519827692437763</v>
      </c>
      <c r="L41" s="125">
        <f t="shared" si="14"/>
        <v>0.1408341204649623</v>
      </c>
      <c r="M41" s="125">
        <f t="shared" si="14"/>
        <v>0.18685882629446157</v>
      </c>
      <c r="N41" s="125">
        <f t="shared" si="14"/>
        <v>5.3534797961804189E-4</v>
      </c>
      <c r="O41" s="125">
        <f t="shared" si="14"/>
        <v>0</v>
      </c>
      <c r="P41" s="125">
        <f t="shared" si="14"/>
        <v>9.1068886196444786E-3</v>
      </c>
      <c r="Q41" s="125" t="str">
        <f t="shared" si="14"/>
        <v/>
      </c>
      <c r="R41" s="125" t="str">
        <f t="shared" si="14"/>
        <v/>
      </c>
      <c r="S41" s="125" t="str">
        <f t="shared" si="14"/>
        <v/>
      </c>
      <c r="T41" s="125" t="str">
        <f t="shared" si="14"/>
        <v/>
      </c>
      <c r="U41" s="125" t="str">
        <f t="shared" si="14"/>
        <v/>
      </c>
      <c r="V41" s="125" t="str">
        <f t="shared" si="14"/>
        <v/>
      </c>
      <c r="W41" s="125" t="str">
        <f t="shared" si="14"/>
        <v/>
      </c>
      <c r="X41" s="125" t="str">
        <f t="shared" si="14"/>
        <v/>
      </c>
      <c r="Y41" s="125" t="str">
        <f t="shared" si="14"/>
        <v/>
      </c>
      <c r="Z41" s="125" t="str">
        <f t="shared" si="14"/>
        <v/>
      </c>
      <c r="AA41" s="125" t="str">
        <f t="shared" si="14"/>
        <v/>
      </c>
      <c r="AB41" s="125" t="str">
        <f t="shared" si="14"/>
        <v/>
      </c>
      <c r="AC41" s="125" t="str">
        <f t="shared" si="14"/>
        <v/>
      </c>
      <c r="AD41" s="125" t="str">
        <f t="shared" si="14"/>
        <v/>
      </c>
      <c r="AE41" s="125" t="str">
        <f t="shared" si="14"/>
        <v/>
      </c>
      <c r="AF41" s="125" t="str">
        <f t="shared" si="14"/>
        <v/>
      </c>
      <c r="AG41" s="125" t="str">
        <f t="shared" si="14"/>
        <v/>
      </c>
      <c r="AH41" s="84">
        <f t="shared" si="9"/>
        <v>36.963848680698618</v>
      </c>
      <c r="AI41" s="164">
        <f t="shared" si="10"/>
        <v>9.5120042013832062E-3</v>
      </c>
    </row>
    <row r="42" spans="1:45" s="88" customFormat="1">
      <c r="A42" s="87">
        <f t="shared" si="13"/>
        <v>46116</v>
      </c>
      <c r="B42" s="35" t="str">
        <f t="shared" si="11"/>
        <v>sábado</v>
      </c>
      <c r="C42" s="124">
        <f>+Resumen!C75</f>
        <v>49.389049673140001</v>
      </c>
      <c r="D42" s="125">
        <f t="shared" ref="D42:AG42" si="15">+IF(D8="","",D8*$C42)</f>
        <v>0</v>
      </c>
      <c r="E42" s="125">
        <f t="shared" si="15"/>
        <v>0</v>
      </c>
      <c r="F42" s="125">
        <f t="shared" si="15"/>
        <v>0</v>
      </c>
      <c r="G42" s="125">
        <f t="shared" si="15"/>
        <v>10.000961066721317</v>
      </c>
      <c r="H42" s="125">
        <f t="shared" si="15"/>
        <v>0</v>
      </c>
      <c r="I42" s="125">
        <f t="shared" si="15"/>
        <v>35.144660583439105</v>
      </c>
      <c r="J42" s="125">
        <f t="shared" si="15"/>
        <v>1.3381855592243341</v>
      </c>
      <c r="K42" s="125">
        <f t="shared" si="15"/>
        <v>2.7470396914751456</v>
      </c>
      <c r="L42" s="125">
        <f t="shared" si="15"/>
        <v>7.5791626026084871E-2</v>
      </c>
      <c r="M42" s="125">
        <f t="shared" si="15"/>
        <v>4.0426629838138772E-2</v>
      </c>
      <c r="N42" s="125">
        <f t="shared" si="15"/>
        <v>7.708944435063774E-4</v>
      </c>
      <c r="O42" s="125">
        <f t="shared" si="15"/>
        <v>0</v>
      </c>
      <c r="P42" s="125">
        <f t="shared" si="15"/>
        <v>1.7186211611589175E-2</v>
      </c>
      <c r="Q42" s="125" t="str">
        <f t="shared" si="15"/>
        <v/>
      </c>
      <c r="R42" s="125" t="str">
        <f t="shared" si="15"/>
        <v/>
      </c>
      <c r="S42" s="125" t="str">
        <f t="shared" si="15"/>
        <v/>
      </c>
      <c r="T42" s="125" t="str">
        <f t="shared" si="15"/>
        <v/>
      </c>
      <c r="U42" s="125" t="str">
        <f t="shared" si="15"/>
        <v/>
      </c>
      <c r="V42" s="125" t="str">
        <f t="shared" si="15"/>
        <v/>
      </c>
      <c r="W42" s="125" t="str">
        <f t="shared" si="15"/>
        <v/>
      </c>
      <c r="X42" s="125" t="str">
        <f t="shared" si="15"/>
        <v/>
      </c>
      <c r="Y42" s="125" t="str">
        <f t="shared" si="15"/>
        <v/>
      </c>
      <c r="Z42" s="125" t="str">
        <f t="shared" si="15"/>
        <v/>
      </c>
      <c r="AA42" s="125" t="str">
        <f t="shared" si="15"/>
        <v/>
      </c>
      <c r="AB42" s="125" t="str">
        <f t="shared" si="15"/>
        <v/>
      </c>
      <c r="AC42" s="125" t="str">
        <f t="shared" si="15"/>
        <v/>
      </c>
      <c r="AD42" s="125" t="str">
        <f t="shared" si="15"/>
        <v/>
      </c>
      <c r="AE42" s="125" t="str">
        <f t="shared" si="15"/>
        <v/>
      </c>
      <c r="AF42" s="125" t="str">
        <f t="shared" si="15"/>
        <v/>
      </c>
      <c r="AG42" s="125" t="str">
        <f t="shared" si="15"/>
        <v/>
      </c>
      <c r="AH42" s="84">
        <f t="shared" si="9"/>
        <v>49.36502226277922</v>
      </c>
      <c r="AI42" s="164">
        <f t="shared" si="10"/>
        <v>2.4027410360780266E-2</v>
      </c>
    </row>
    <row r="43" spans="1:45" s="88" customFormat="1">
      <c r="A43" s="87">
        <f t="shared" si="13"/>
        <v>46117</v>
      </c>
      <c r="B43" s="35" t="str">
        <f t="shared" si="11"/>
        <v>domingo</v>
      </c>
      <c r="C43" s="124">
        <f>+Resumen!C76</f>
        <v>39.947746357020002</v>
      </c>
      <c r="D43" s="125">
        <f t="shared" ref="D43:AG43" si="16">+IF(D9="","",D9*$C43)</f>
        <v>0</v>
      </c>
      <c r="E43" s="125">
        <f t="shared" si="16"/>
        <v>0</v>
      </c>
      <c r="F43" s="125">
        <f t="shared" si="16"/>
        <v>0</v>
      </c>
      <c r="G43" s="125">
        <f t="shared" si="16"/>
        <v>0</v>
      </c>
      <c r="H43" s="125">
        <f t="shared" si="16"/>
        <v>6.4622255701534925</v>
      </c>
      <c r="I43" s="125">
        <f t="shared" si="16"/>
        <v>25.546042422746694</v>
      </c>
      <c r="J43" s="125">
        <f t="shared" si="16"/>
        <v>5.2713999438256431</v>
      </c>
      <c r="K43" s="125">
        <f t="shared" si="16"/>
        <v>2.2975611615830087</v>
      </c>
      <c r="L43" s="125">
        <f t="shared" si="16"/>
        <v>0.28664482908533395</v>
      </c>
      <c r="M43" s="125">
        <f t="shared" si="16"/>
        <v>2.8133007979454814E-2</v>
      </c>
      <c r="N43" s="125">
        <f t="shared" si="16"/>
        <v>7.3382383054684764E-4</v>
      </c>
      <c r="O43" s="125">
        <f t="shared" si="16"/>
        <v>0</v>
      </c>
      <c r="P43" s="125">
        <f t="shared" si="16"/>
        <v>4.6668728312137676E-2</v>
      </c>
      <c r="Q43" s="125" t="str">
        <f t="shared" si="16"/>
        <v/>
      </c>
      <c r="R43" s="125" t="str">
        <f t="shared" si="16"/>
        <v/>
      </c>
      <c r="S43" s="125" t="str">
        <f t="shared" si="16"/>
        <v/>
      </c>
      <c r="T43" s="125" t="str">
        <f t="shared" si="16"/>
        <v/>
      </c>
      <c r="U43" s="125" t="str">
        <f t="shared" si="16"/>
        <v/>
      </c>
      <c r="V43" s="125" t="str">
        <f t="shared" si="16"/>
        <v/>
      </c>
      <c r="W43" s="125" t="str">
        <f t="shared" si="16"/>
        <v/>
      </c>
      <c r="X43" s="125" t="str">
        <f t="shared" si="16"/>
        <v/>
      </c>
      <c r="Y43" s="125" t="str">
        <f t="shared" si="16"/>
        <v/>
      </c>
      <c r="Z43" s="125" t="str">
        <f t="shared" si="16"/>
        <v/>
      </c>
      <c r="AA43" s="125" t="str">
        <f t="shared" si="16"/>
        <v/>
      </c>
      <c r="AB43" s="125" t="str">
        <f t="shared" si="16"/>
        <v/>
      </c>
      <c r="AC43" s="125" t="str">
        <f t="shared" si="16"/>
        <v/>
      </c>
      <c r="AD43" s="125" t="str">
        <f t="shared" si="16"/>
        <v/>
      </c>
      <c r="AE43" s="125" t="str">
        <f t="shared" si="16"/>
        <v/>
      </c>
      <c r="AF43" s="125" t="str">
        <f t="shared" si="16"/>
        <v/>
      </c>
      <c r="AG43" s="125" t="str">
        <f t="shared" si="16"/>
        <v/>
      </c>
      <c r="AH43" s="84">
        <f t="shared" si="9"/>
        <v>39.939409487516322</v>
      </c>
      <c r="AI43" s="164">
        <f t="shared" si="10"/>
        <v>8.3368695036796225E-3</v>
      </c>
    </row>
    <row r="44" spans="1:45" s="88" customFormat="1">
      <c r="A44" s="87">
        <f t="shared" si="13"/>
        <v>46118</v>
      </c>
      <c r="B44" s="35" t="str">
        <f t="shared" si="11"/>
        <v>lunes</v>
      </c>
      <c r="C44" s="124">
        <f>+Resumen!C77</f>
        <v>61.58556499665</v>
      </c>
      <c r="D44" s="125" t="str">
        <f t="shared" ref="D44:AG44" si="17">+IF(D10="","",D10*$C44)</f>
        <v/>
      </c>
      <c r="E44" s="125" t="str">
        <f t="shared" si="17"/>
        <v/>
      </c>
      <c r="F44" s="125" t="str">
        <f t="shared" si="17"/>
        <v/>
      </c>
      <c r="G44" s="125" t="str">
        <f t="shared" si="17"/>
        <v/>
      </c>
      <c r="H44" s="125" t="str">
        <f t="shared" si="17"/>
        <v/>
      </c>
      <c r="I44" s="125">
        <f t="shared" si="17"/>
        <v>20.048675985806796</v>
      </c>
      <c r="J44" s="125">
        <f t="shared" si="17"/>
        <v>32.580970791899652</v>
      </c>
      <c r="K44" s="125">
        <f t="shared" si="17"/>
        <v>5.5507623669028723</v>
      </c>
      <c r="L44" s="125">
        <f t="shared" si="17"/>
        <v>3.1578408773678497</v>
      </c>
      <c r="M44" s="125">
        <f t="shared" si="17"/>
        <v>0.12467760408408494</v>
      </c>
      <c r="N44" s="125">
        <f t="shared" si="17"/>
        <v>2.54706794329485E-4</v>
      </c>
      <c r="O44" s="125">
        <f t="shared" si="17"/>
        <v>0</v>
      </c>
      <c r="P44" s="125">
        <f t="shared" si="17"/>
        <v>9.4922048156879366E-2</v>
      </c>
      <c r="Q44" s="125">
        <f t="shared" si="17"/>
        <v>1.0025715263197921E-2</v>
      </c>
      <c r="R44" s="125">
        <f t="shared" si="17"/>
        <v>0</v>
      </c>
      <c r="S44" s="125">
        <f t="shared" si="17"/>
        <v>0</v>
      </c>
      <c r="T44" s="125">
        <f t="shared" si="17"/>
        <v>0</v>
      </c>
      <c r="U44" s="125">
        <f t="shared" si="17"/>
        <v>0</v>
      </c>
      <c r="V44" s="125">
        <f t="shared" si="17"/>
        <v>0</v>
      </c>
      <c r="W44" s="125">
        <f t="shared" si="17"/>
        <v>0</v>
      </c>
      <c r="X44" s="125" t="str">
        <f t="shared" si="17"/>
        <v/>
      </c>
      <c r="Y44" s="125" t="str">
        <f t="shared" si="17"/>
        <v/>
      </c>
      <c r="Z44" s="125" t="str">
        <f t="shared" si="17"/>
        <v/>
      </c>
      <c r="AA44" s="125" t="str">
        <f t="shared" si="17"/>
        <v/>
      </c>
      <c r="AB44" s="125" t="str">
        <f t="shared" si="17"/>
        <v/>
      </c>
      <c r="AC44" s="125" t="str">
        <f t="shared" si="17"/>
        <v/>
      </c>
      <c r="AD44" s="125" t="str">
        <f t="shared" si="17"/>
        <v/>
      </c>
      <c r="AE44" s="125" t="str">
        <f t="shared" si="17"/>
        <v/>
      </c>
      <c r="AF44" s="125" t="str">
        <f t="shared" si="17"/>
        <v/>
      </c>
      <c r="AG44" s="125" t="str">
        <f t="shared" si="17"/>
        <v/>
      </c>
      <c r="AH44" s="84">
        <f t="shared" si="9"/>
        <v>61.568130096275667</v>
      </c>
      <c r="AI44" s="164">
        <f t="shared" si="10"/>
        <v>1.743490037433304E-2</v>
      </c>
    </row>
    <row r="45" spans="1:45" s="88" customFormat="1">
      <c r="A45" s="87">
        <f t="shared" si="13"/>
        <v>46119</v>
      </c>
      <c r="B45" s="35" t="str">
        <f t="shared" si="11"/>
        <v>martes</v>
      </c>
      <c r="C45" s="124">
        <f>+Resumen!C78</f>
        <v>63.431738435360003</v>
      </c>
      <c r="D45" s="125" t="str">
        <f t="shared" ref="D45:AG45" si="18">+IF(D11="","",D11*$C45)</f>
        <v/>
      </c>
      <c r="E45" s="125" t="str">
        <f t="shared" si="18"/>
        <v/>
      </c>
      <c r="F45" s="125" t="str">
        <f t="shared" si="18"/>
        <v/>
      </c>
      <c r="G45" s="125" t="str">
        <f t="shared" si="18"/>
        <v/>
      </c>
      <c r="H45" s="125" t="str">
        <f t="shared" si="18"/>
        <v/>
      </c>
      <c r="I45" s="125">
        <f t="shared" si="18"/>
        <v>0</v>
      </c>
      <c r="J45" s="125">
        <f t="shared" si="18"/>
        <v>18.979962921701354</v>
      </c>
      <c r="K45" s="125">
        <f t="shared" si="18"/>
        <v>32.127173161273532</v>
      </c>
      <c r="L45" s="125">
        <f t="shared" si="18"/>
        <v>10.968495219989659</v>
      </c>
      <c r="M45" s="125">
        <f t="shared" si="18"/>
        <v>0.69249475867785926</v>
      </c>
      <c r="N45" s="125">
        <f t="shared" si="18"/>
        <v>0</v>
      </c>
      <c r="O45" s="125">
        <f t="shared" si="18"/>
        <v>0</v>
      </c>
      <c r="P45" s="125">
        <f t="shared" si="18"/>
        <v>0.57753799943165285</v>
      </c>
      <c r="Q45" s="125">
        <f t="shared" si="18"/>
        <v>5.8528260218249924E-2</v>
      </c>
      <c r="R45" s="125">
        <f t="shared" si="18"/>
        <v>1.8523999874966623E-2</v>
      </c>
      <c r="S45" s="125">
        <f t="shared" si="18"/>
        <v>0</v>
      </c>
      <c r="T45" s="125">
        <f t="shared" si="18"/>
        <v>0</v>
      </c>
      <c r="U45" s="125">
        <f t="shared" si="18"/>
        <v>0</v>
      </c>
      <c r="V45" s="125">
        <f t="shared" si="18"/>
        <v>0</v>
      </c>
      <c r="W45" s="125">
        <f t="shared" si="18"/>
        <v>0</v>
      </c>
      <c r="X45" s="125" t="str">
        <f t="shared" si="18"/>
        <v/>
      </c>
      <c r="Y45" s="125" t="str">
        <f t="shared" si="18"/>
        <v/>
      </c>
      <c r="Z45" s="125" t="str">
        <f t="shared" si="18"/>
        <v/>
      </c>
      <c r="AA45" s="125" t="str">
        <f t="shared" si="18"/>
        <v/>
      </c>
      <c r="AB45" s="125" t="str">
        <f t="shared" si="18"/>
        <v/>
      </c>
      <c r="AC45" s="125" t="str">
        <f t="shared" si="18"/>
        <v/>
      </c>
      <c r="AD45" s="125" t="str">
        <f t="shared" si="18"/>
        <v/>
      </c>
      <c r="AE45" s="125" t="str">
        <f t="shared" si="18"/>
        <v/>
      </c>
      <c r="AF45" s="125" t="str">
        <f t="shared" si="18"/>
        <v/>
      </c>
      <c r="AG45" s="125" t="str">
        <f t="shared" si="18"/>
        <v/>
      </c>
      <c r="AH45" s="84">
        <f t="shared" si="9"/>
        <v>63.422716321167272</v>
      </c>
      <c r="AI45" s="164">
        <f t="shared" si="10"/>
        <v>9.0221141927315784E-3</v>
      </c>
    </row>
    <row r="46" spans="1:45" s="88" customFormat="1">
      <c r="A46" s="122">
        <f t="shared" si="13"/>
        <v>46120</v>
      </c>
      <c r="B46" s="123" t="str">
        <f t="shared" si="11"/>
        <v>miércoles</v>
      </c>
      <c r="C46" s="124">
        <f>+Resumen!C79</f>
        <v>55.969330691480003</v>
      </c>
      <c r="D46" s="125" t="str">
        <f t="shared" ref="D46:AG46" si="19">+IF(D12="","",D12*$C46)</f>
        <v/>
      </c>
      <c r="E46" s="125" t="str">
        <f t="shared" si="19"/>
        <v/>
      </c>
      <c r="F46" s="125" t="str">
        <f t="shared" si="19"/>
        <v/>
      </c>
      <c r="G46" s="125" t="str">
        <f t="shared" si="19"/>
        <v/>
      </c>
      <c r="H46" s="125" t="str">
        <f t="shared" si="19"/>
        <v/>
      </c>
      <c r="I46" s="125">
        <f t="shared" si="19"/>
        <v>0</v>
      </c>
      <c r="J46" s="125">
        <f t="shared" si="19"/>
        <v>0</v>
      </c>
      <c r="K46" s="125">
        <f t="shared" si="19"/>
        <v>16.272726308057763</v>
      </c>
      <c r="L46" s="125">
        <f t="shared" si="19"/>
        <v>31.081719882261854</v>
      </c>
      <c r="M46" s="125">
        <f t="shared" si="19"/>
        <v>6.1662708863602909</v>
      </c>
      <c r="N46" s="125">
        <f t="shared" si="19"/>
        <v>0</v>
      </c>
      <c r="O46" s="125">
        <f t="shared" si="19"/>
        <v>0</v>
      </c>
      <c r="P46" s="125">
        <f t="shared" si="19"/>
        <v>2.132877528656401</v>
      </c>
      <c r="Q46" s="125">
        <f t="shared" si="19"/>
        <v>0.30737696874303189</v>
      </c>
      <c r="R46" s="125">
        <f t="shared" si="19"/>
        <v>0</v>
      </c>
      <c r="S46" s="125">
        <f t="shared" si="19"/>
        <v>9.4417871845841449E-3</v>
      </c>
      <c r="T46" s="125">
        <f t="shared" si="19"/>
        <v>0</v>
      </c>
      <c r="U46" s="125">
        <f t="shared" si="19"/>
        <v>0</v>
      </c>
      <c r="V46" s="125">
        <f t="shared" si="19"/>
        <v>0</v>
      </c>
      <c r="W46" s="125">
        <f t="shared" si="19"/>
        <v>0</v>
      </c>
      <c r="X46" s="125" t="str">
        <f t="shared" si="19"/>
        <v/>
      </c>
      <c r="Y46" s="125" t="str">
        <f t="shared" si="19"/>
        <v/>
      </c>
      <c r="Z46" s="125" t="str">
        <f t="shared" si="19"/>
        <v/>
      </c>
      <c r="AA46" s="125" t="str">
        <f t="shared" si="19"/>
        <v/>
      </c>
      <c r="AB46" s="125" t="str">
        <f t="shared" si="19"/>
        <v/>
      </c>
      <c r="AC46" s="125" t="str">
        <f t="shared" si="19"/>
        <v/>
      </c>
      <c r="AD46" s="125" t="str">
        <f t="shared" si="19"/>
        <v/>
      </c>
      <c r="AE46" s="125" t="str">
        <f t="shared" si="19"/>
        <v/>
      </c>
      <c r="AF46" s="125" t="str">
        <f t="shared" si="19"/>
        <v/>
      </c>
      <c r="AG46" s="125" t="str">
        <f t="shared" si="19"/>
        <v/>
      </c>
      <c r="AH46" s="84">
        <f t="shared" si="9"/>
        <v>55.970413361263923</v>
      </c>
      <c r="AI46" s="164">
        <f t="shared" si="10"/>
        <v>-1.0826697839192434E-3</v>
      </c>
    </row>
    <row r="47" spans="1:45" s="88" customFormat="1">
      <c r="A47" s="122">
        <f t="shared" si="13"/>
        <v>46121</v>
      </c>
      <c r="B47" s="123" t="str">
        <f t="shared" si="11"/>
        <v>jueves</v>
      </c>
      <c r="C47" s="124">
        <f>+Resumen!C80</f>
        <v>52.036932866599997</v>
      </c>
      <c r="D47" s="125" t="str">
        <f t="shared" ref="D47:AG47" si="20">+IF(D13="","",D13*$C47)</f>
        <v/>
      </c>
      <c r="E47" s="125" t="str">
        <f t="shared" si="20"/>
        <v/>
      </c>
      <c r="F47" s="125" t="str">
        <f t="shared" si="20"/>
        <v/>
      </c>
      <c r="G47" s="125" t="str">
        <f t="shared" si="20"/>
        <v/>
      </c>
      <c r="H47" s="125" t="str">
        <f t="shared" si="20"/>
        <v/>
      </c>
      <c r="I47" s="125">
        <f t="shared" si="20"/>
        <v>0</v>
      </c>
      <c r="J47" s="125">
        <f t="shared" si="20"/>
        <v>0</v>
      </c>
      <c r="K47" s="125">
        <f t="shared" si="20"/>
        <v>0</v>
      </c>
      <c r="L47" s="125">
        <f t="shared" si="20"/>
        <v>15.493615135023655</v>
      </c>
      <c r="M47" s="125">
        <f t="shared" si="20"/>
        <v>29.856793888937467</v>
      </c>
      <c r="N47" s="125">
        <f t="shared" si="20"/>
        <v>0</v>
      </c>
      <c r="O47" s="125">
        <f t="shared" si="20"/>
        <v>0</v>
      </c>
      <c r="P47" s="125">
        <f t="shared" si="20"/>
        <v>6.079197506813232</v>
      </c>
      <c r="Q47" s="125">
        <f t="shared" si="20"/>
        <v>9.7601098119184243E-2</v>
      </c>
      <c r="R47" s="125">
        <f t="shared" si="20"/>
        <v>0.39646300502455734</v>
      </c>
      <c r="S47" s="125">
        <f t="shared" si="20"/>
        <v>1.5527742877189768E-2</v>
      </c>
      <c r="T47" s="125">
        <f t="shared" si="20"/>
        <v>8.2020618631057834E-2</v>
      </c>
      <c r="U47" s="125">
        <f t="shared" si="20"/>
        <v>0</v>
      </c>
      <c r="V47" s="125">
        <f t="shared" si="20"/>
        <v>0</v>
      </c>
      <c r="W47" s="125">
        <f t="shared" si="20"/>
        <v>0</v>
      </c>
      <c r="X47" s="125" t="str">
        <f t="shared" si="20"/>
        <v/>
      </c>
      <c r="Y47" s="125" t="str">
        <f t="shared" si="20"/>
        <v/>
      </c>
      <c r="Z47" s="125" t="str">
        <f t="shared" si="20"/>
        <v/>
      </c>
      <c r="AA47" s="125" t="str">
        <f t="shared" si="20"/>
        <v/>
      </c>
      <c r="AB47" s="125" t="str">
        <f t="shared" si="20"/>
        <v/>
      </c>
      <c r="AC47" s="125" t="str">
        <f t="shared" si="20"/>
        <v/>
      </c>
      <c r="AD47" s="125" t="str">
        <f t="shared" si="20"/>
        <v/>
      </c>
      <c r="AE47" s="125" t="str">
        <f t="shared" si="20"/>
        <v/>
      </c>
      <c r="AF47" s="125" t="str">
        <f t="shared" si="20"/>
        <v/>
      </c>
      <c r="AG47" s="125" t="str">
        <f t="shared" si="20"/>
        <v/>
      </c>
      <c r="AH47" s="84">
        <f t="shared" si="9"/>
        <v>52.021218995426345</v>
      </c>
      <c r="AI47" s="164">
        <f t="shared" si="10"/>
        <v>1.5713871173652194E-2</v>
      </c>
    </row>
    <row r="48" spans="1:45" s="88" customFormat="1">
      <c r="A48" s="87">
        <f t="shared" si="13"/>
        <v>46122</v>
      </c>
      <c r="B48" s="35" t="str">
        <f t="shared" si="11"/>
        <v>viernes</v>
      </c>
      <c r="C48" s="124">
        <f>+Resumen!C81</f>
        <v>57.908774223659996</v>
      </c>
      <c r="D48" s="125" t="str">
        <f t="shared" ref="D48:AG48" si="21">+IF(D14="","",D14*$C48)</f>
        <v/>
      </c>
      <c r="E48" s="125" t="str">
        <f t="shared" si="21"/>
        <v/>
      </c>
      <c r="F48" s="125" t="str">
        <f t="shared" si="21"/>
        <v/>
      </c>
      <c r="G48" s="125" t="str">
        <f t="shared" si="21"/>
        <v/>
      </c>
      <c r="H48" s="125" t="str">
        <f t="shared" si="21"/>
        <v/>
      </c>
      <c r="I48" s="125">
        <f t="shared" si="21"/>
        <v>0</v>
      </c>
      <c r="J48" s="125">
        <f t="shared" si="21"/>
        <v>0</v>
      </c>
      <c r="K48" s="125">
        <f t="shared" si="21"/>
        <v>0</v>
      </c>
      <c r="L48" s="125">
        <f t="shared" si="21"/>
        <v>0</v>
      </c>
      <c r="M48" s="125">
        <f t="shared" si="21"/>
        <v>16.895915029571544</v>
      </c>
      <c r="N48" s="125">
        <f t="shared" si="21"/>
        <v>0</v>
      </c>
      <c r="O48" s="125">
        <f t="shared" si="21"/>
        <v>0</v>
      </c>
      <c r="P48" s="125">
        <f t="shared" si="21"/>
        <v>37.360152119611421</v>
      </c>
      <c r="Q48" s="125">
        <f t="shared" si="21"/>
        <v>0.52208030601791844</v>
      </c>
      <c r="R48" s="125">
        <f t="shared" si="21"/>
        <v>2.5873844149791867</v>
      </c>
      <c r="S48" s="125">
        <f t="shared" si="21"/>
        <v>0.22057857695159347</v>
      </c>
      <c r="T48" s="125">
        <f t="shared" si="21"/>
        <v>0.29266383642543214</v>
      </c>
      <c r="U48" s="125">
        <f t="shared" si="21"/>
        <v>8.3847788538883713E-4</v>
      </c>
      <c r="V48" s="125">
        <f t="shared" si="21"/>
        <v>0</v>
      </c>
      <c r="W48" s="125">
        <f t="shared" si="21"/>
        <v>1.4263479088347769E-2</v>
      </c>
      <c r="X48" s="125" t="str">
        <f t="shared" si="21"/>
        <v/>
      </c>
      <c r="Y48" s="125" t="str">
        <f t="shared" si="21"/>
        <v/>
      </c>
      <c r="Z48" s="125" t="str">
        <f t="shared" si="21"/>
        <v/>
      </c>
      <c r="AA48" s="125" t="str">
        <f t="shared" si="21"/>
        <v/>
      </c>
      <c r="AB48" s="125" t="str">
        <f t="shared" si="21"/>
        <v/>
      </c>
      <c r="AC48" s="125" t="str">
        <f t="shared" si="21"/>
        <v/>
      </c>
      <c r="AD48" s="125" t="str">
        <f t="shared" si="21"/>
        <v/>
      </c>
      <c r="AE48" s="125" t="str">
        <f t="shared" si="21"/>
        <v/>
      </c>
      <c r="AF48" s="125" t="str">
        <f t="shared" si="21"/>
        <v/>
      </c>
      <c r="AG48" s="125" t="str">
        <f t="shared" si="21"/>
        <v/>
      </c>
      <c r="AH48" s="84">
        <f t="shared" si="9"/>
        <v>57.893876240530822</v>
      </c>
      <c r="AI48" s="164">
        <f t="shared" si="10"/>
        <v>1.4897983129174008E-2</v>
      </c>
    </row>
    <row r="49" spans="1:39" s="88" customFormat="1">
      <c r="A49" s="87">
        <f t="shared" si="13"/>
        <v>46123</v>
      </c>
      <c r="B49" s="35" t="str">
        <f t="shared" si="11"/>
        <v>sábado</v>
      </c>
      <c r="C49" s="124">
        <f>+Resumen!C82</f>
        <v>52.595859892340002</v>
      </c>
      <c r="D49" s="125" t="str">
        <f t="shared" ref="D49:AG49" si="22">+IF(D15="","",D15*$C49)</f>
        <v/>
      </c>
      <c r="E49" s="125" t="str">
        <f t="shared" si="22"/>
        <v/>
      </c>
      <c r="F49" s="125" t="str">
        <f t="shared" si="22"/>
        <v/>
      </c>
      <c r="G49" s="125" t="str">
        <f t="shared" si="22"/>
        <v/>
      </c>
      <c r="H49" s="125" t="str">
        <f t="shared" si="22"/>
        <v/>
      </c>
      <c r="I49" s="125">
        <f t="shared" si="22"/>
        <v>0</v>
      </c>
      <c r="J49" s="125">
        <f t="shared" si="22"/>
        <v>0</v>
      </c>
      <c r="K49" s="125">
        <f t="shared" si="22"/>
        <v>0</v>
      </c>
      <c r="L49" s="125">
        <f t="shared" si="22"/>
        <v>0</v>
      </c>
      <c r="M49" s="125">
        <f t="shared" si="22"/>
        <v>0</v>
      </c>
      <c r="N49" s="125">
        <f t="shared" si="22"/>
        <v>10.650319261763183</v>
      </c>
      <c r="O49" s="125">
        <f t="shared" si="22"/>
        <v>0</v>
      </c>
      <c r="P49" s="125">
        <f t="shared" si="22"/>
        <v>37.426588611112429</v>
      </c>
      <c r="Q49" s="125">
        <f t="shared" si="22"/>
        <v>1.4250733846614829</v>
      </c>
      <c r="R49" s="125">
        <f t="shared" si="22"/>
        <v>2.9254038230684971</v>
      </c>
      <c r="S49" s="125">
        <f t="shared" si="22"/>
        <v>8.0712744421331403E-2</v>
      </c>
      <c r="T49" s="125">
        <f t="shared" si="22"/>
        <v>4.3051513907598066E-2</v>
      </c>
      <c r="U49" s="125">
        <f t="shared" si="22"/>
        <v>8.2094829543755143E-4</v>
      </c>
      <c r="V49" s="125">
        <f t="shared" si="22"/>
        <v>0</v>
      </c>
      <c r="W49" s="125">
        <f t="shared" si="22"/>
        <v>1.8302105101950277E-2</v>
      </c>
      <c r="X49" s="125" t="str">
        <f t="shared" si="22"/>
        <v/>
      </c>
      <c r="Y49" s="125" t="str">
        <f t="shared" si="22"/>
        <v/>
      </c>
      <c r="Z49" s="125" t="str">
        <f t="shared" si="22"/>
        <v/>
      </c>
      <c r="AA49" s="125" t="str">
        <f t="shared" si="22"/>
        <v/>
      </c>
      <c r="AB49" s="125" t="str">
        <f t="shared" si="22"/>
        <v/>
      </c>
      <c r="AC49" s="125" t="str">
        <f t="shared" si="22"/>
        <v/>
      </c>
      <c r="AD49" s="125" t="str">
        <f t="shared" si="22"/>
        <v/>
      </c>
      <c r="AE49" s="125" t="str">
        <f t="shared" si="22"/>
        <v/>
      </c>
      <c r="AF49" s="125" t="str">
        <f t="shared" si="22"/>
        <v/>
      </c>
      <c r="AG49" s="125" t="str">
        <f t="shared" si="22"/>
        <v/>
      </c>
      <c r="AH49" s="84">
        <f t="shared" si="9"/>
        <v>52.570272392331908</v>
      </c>
      <c r="AI49" s="164">
        <f t="shared" si="10"/>
        <v>2.55875000080934E-2</v>
      </c>
    </row>
    <row r="50" spans="1:39" s="88" customFormat="1">
      <c r="A50" s="87">
        <f t="shared" si="13"/>
        <v>46124</v>
      </c>
      <c r="B50" s="35" t="str">
        <f t="shared" si="11"/>
        <v>domingo</v>
      </c>
      <c r="C50" s="124">
        <f>+Resumen!C83</f>
        <v>33.390565760400001</v>
      </c>
      <c r="D50" s="125" t="str">
        <f t="shared" ref="D50:AG50" si="23">+IF(D16="","",D16*$C50)</f>
        <v/>
      </c>
      <c r="E50" s="125" t="str">
        <f t="shared" si="23"/>
        <v/>
      </c>
      <c r="F50" s="125" t="str">
        <f t="shared" si="23"/>
        <v/>
      </c>
      <c r="G50" s="125" t="str">
        <f t="shared" si="23"/>
        <v/>
      </c>
      <c r="H50" s="125" t="str">
        <f t="shared" si="23"/>
        <v/>
      </c>
      <c r="I50" s="125">
        <f t="shared" si="23"/>
        <v>0</v>
      </c>
      <c r="J50" s="125">
        <f t="shared" si="23"/>
        <v>0</v>
      </c>
      <c r="K50" s="125">
        <f t="shared" si="23"/>
        <v>0</v>
      </c>
      <c r="L50" s="125">
        <f t="shared" si="23"/>
        <v>0</v>
      </c>
      <c r="M50" s="125">
        <f t="shared" si="23"/>
        <v>0</v>
      </c>
      <c r="N50" s="125">
        <f t="shared" si="23"/>
        <v>0</v>
      </c>
      <c r="O50" s="125">
        <f t="shared" si="23"/>
        <v>5.4014903852224467</v>
      </c>
      <c r="P50" s="125">
        <f t="shared" si="23"/>
        <v>21.352814294236023</v>
      </c>
      <c r="Q50" s="125">
        <f t="shared" si="23"/>
        <v>4.4061315724947763</v>
      </c>
      <c r="R50" s="125">
        <f t="shared" si="23"/>
        <v>1.9204304134893215</v>
      </c>
      <c r="S50" s="125">
        <f t="shared" si="23"/>
        <v>0.23959381663017176</v>
      </c>
      <c r="T50" s="125">
        <f t="shared" si="23"/>
        <v>2.3515145124344859E-2</v>
      </c>
      <c r="U50" s="125">
        <f t="shared" si="23"/>
        <v>6.1337109361407757E-4</v>
      </c>
      <c r="V50" s="125">
        <f t="shared" si="23"/>
        <v>0</v>
      </c>
      <c r="W50" s="125">
        <f t="shared" si="23"/>
        <v>3.9008339237310591E-2</v>
      </c>
      <c r="X50" s="125" t="str">
        <f t="shared" si="23"/>
        <v/>
      </c>
      <c r="Y50" s="125" t="str">
        <f t="shared" si="23"/>
        <v/>
      </c>
      <c r="Z50" s="125" t="str">
        <f t="shared" si="23"/>
        <v/>
      </c>
      <c r="AA50" s="125" t="str">
        <f t="shared" si="23"/>
        <v/>
      </c>
      <c r="AB50" s="125" t="str">
        <f t="shared" si="23"/>
        <v/>
      </c>
      <c r="AC50" s="125" t="str">
        <f t="shared" si="23"/>
        <v/>
      </c>
      <c r="AD50" s="125" t="str">
        <f t="shared" si="23"/>
        <v/>
      </c>
      <c r="AE50" s="125" t="str">
        <f t="shared" si="23"/>
        <v/>
      </c>
      <c r="AF50" s="125" t="str">
        <f t="shared" si="23"/>
        <v/>
      </c>
      <c r="AG50" s="125" t="str">
        <f t="shared" si="23"/>
        <v/>
      </c>
      <c r="AH50" s="84">
        <f t="shared" si="9"/>
        <v>33.383597337528016</v>
      </c>
      <c r="AI50" s="164">
        <f t="shared" si="10"/>
        <v>6.9684228719850694E-3</v>
      </c>
    </row>
    <row r="51" spans="1:39" s="88" customFormat="1">
      <c r="A51" s="87">
        <f t="shared" si="13"/>
        <v>46125</v>
      </c>
      <c r="B51" s="35" t="str">
        <f t="shared" si="11"/>
        <v>lunes</v>
      </c>
      <c r="C51" s="124">
        <f>+Resumen!C84</f>
        <v>55.94746848682</v>
      </c>
      <c r="D51" s="125" t="str">
        <f t="shared" ref="D51:AG51" si="24">+IF(D17="","",D17*$C51)</f>
        <v/>
      </c>
      <c r="E51" s="125" t="str">
        <f t="shared" si="24"/>
        <v/>
      </c>
      <c r="F51" s="125" t="str">
        <f t="shared" si="24"/>
        <v/>
      </c>
      <c r="G51" s="125" t="str">
        <f t="shared" si="24"/>
        <v/>
      </c>
      <c r="H51" s="125" t="str">
        <f t="shared" si="24"/>
        <v/>
      </c>
      <c r="I51" s="125" t="str">
        <f t="shared" si="24"/>
        <v/>
      </c>
      <c r="J51" s="125" t="str">
        <f t="shared" si="24"/>
        <v/>
      </c>
      <c r="K51" s="125" t="str">
        <f t="shared" si="24"/>
        <v/>
      </c>
      <c r="L51" s="125" t="str">
        <f t="shared" si="24"/>
        <v/>
      </c>
      <c r="M51" s="125" t="str">
        <f t="shared" si="24"/>
        <v/>
      </c>
      <c r="N51" s="125" t="str">
        <f t="shared" si="24"/>
        <v/>
      </c>
      <c r="O51" s="125" t="str">
        <f t="shared" si="24"/>
        <v/>
      </c>
      <c r="P51" s="125">
        <f t="shared" si="24"/>
        <v>18.213239871703784</v>
      </c>
      <c r="Q51" s="125">
        <f t="shared" si="24"/>
        <v>29.598215697931206</v>
      </c>
      <c r="R51" s="125">
        <f t="shared" si="24"/>
        <v>5.0425956572293771</v>
      </c>
      <c r="S51" s="125">
        <f t="shared" si="24"/>
        <v>2.8687437223729311</v>
      </c>
      <c r="T51" s="125">
        <f t="shared" si="24"/>
        <v>0.11326349487718422</v>
      </c>
      <c r="U51" s="125">
        <f t="shared" si="24"/>
        <v>2.3138864358722628E-4</v>
      </c>
      <c r="V51" s="125">
        <f t="shared" si="24"/>
        <v>0</v>
      </c>
      <c r="W51" s="125">
        <f t="shared" si="24"/>
        <v>8.6232030155935016E-2</v>
      </c>
      <c r="X51" s="125">
        <f t="shared" si="24"/>
        <v>9.1078711184367205E-3</v>
      </c>
      <c r="Y51" s="125">
        <f t="shared" si="24"/>
        <v>0</v>
      </c>
      <c r="Z51" s="125">
        <f t="shared" si="24"/>
        <v>0</v>
      </c>
      <c r="AA51" s="125">
        <f t="shared" si="24"/>
        <v>0</v>
      </c>
      <c r="AB51" s="125">
        <f t="shared" si="24"/>
        <v>0</v>
      </c>
      <c r="AC51" s="125">
        <f t="shared" si="24"/>
        <v>0</v>
      </c>
      <c r="AD51" s="125">
        <f t="shared" si="24"/>
        <v>0</v>
      </c>
      <c r="AE51" s="125" t="str">
        <f t="shared" si="24"/>
        <v/>
      </c>
      <c r="AF51" s="125" t="str">
        <f t="shared" si="24"/>
        <v/>
      </c>
      <c r="AG51" s="125" t="str">
        <f t="shared" si="24"/>
        <v/>
      </c>
      <c r="AH51" s="84">
        <f t="shared" si="9"/>
        <v>55.931629734032441</v>
      </c>
      <c r="AI51" s="164">
        <f t="shared" si="10"/>
        <v>1.5838752787558974E-2</v>
      </c>
    </row>
    <row r="52" spans="1:39" s="88" customFormat="1">
      <c r="A52" s="87">
        <f t="shared" si="13"/>
        <v>46126</v>
      </c>
      <c r="B52" s="35" t="str">
        <f t="shared" si="11"/>
        <v>martes</v>
      </c>
      <c r="C52" s="124">
        <f>+Resumen!C85</f>
        <v>57.3321441505</v>
      </c>
      <c r="D52" s="125" t="str">
        <f t="shared" ref="D52:AG52" si="25">+IF(D18="","",D18*$C52)</f>
        <v/>
      </c>
      <c r="E52" s="125" t="str">
        <f t="shared" si="25"/>
        <v/>
      </c>
      <c r="F52" s="125" t="str">
        <f t="shared" si="25"/>
        <v/>
      </c>
      <c r="G52" s="125" t="str">
        <f t="shared" si="25"/>
        <v/>
      </c>
      <c r="H52" s="125" t="str">
        <f t="shared" si="25"/>
        <v/>
      </c>
      <c r="I52" s="125" t="str">
        <f t="shared" si="25"/>
        <v/>
      </c>
      <c r="J52" s="125" t="str">
        <f t="shared" si="25"/>
        <v/>
      </c>
      <c r="K52" s="125" t="str">
        <f t="shared" si="25"/>
        <v/>
      </c>
      <c r="L52" s="125" t="str">
        <f t="shared" si="25"/>
        <v/>
      </c>
      <c r="M52" s="125" t="str">
        <f t="shared" si="25"/>
        <v/>
      </c>
      <c r="N52" s="125" t="str">
        <f t="shared" si="25"/>
        <v/>
      </c>
      <c r="O52" s="125" t="str">
        <f t="shared" si="25"/>
        <v/>
      </c>
      <c r="P52" s="125">
        <f t="shared" si="25"/>
        <v>0</v>
      </c>
      <c r="Q52" s="125">
        <f t="shared" si="25"/>
        <v>17.15485019076084</v>
      </c>
      <c r="R52" s="125">
        <f t="shared" si="25"/>
        <v>29.03782504254103</v>
      </c>
      <c r="S52" s="125">
        <f t="shared" si="25"/>
        <v>9.913765010671165</v>
      </c>
      <c r="T52" s="125">
        <f t="shared" si="25"/>
        <v>0.62590448105790453</v>
      </c>
      <c r="U52" s="125">
        <f t="shared" si="25"/>
        <v>0</v>
      </c>
      <c r="V52" s="125">
        <f t="shared" si="25"/>
        <v>0</v>
      </c>
      <c r="W52" s="125">
        <f t="shared" si="25"/>
        <v>0.52200196073057525</v>
      </c>
      <c r="X52" s="125">
        <f t="shared" si="25"/>
        <v>5.2900184268639384E-2</v>
      </c>
      <c r="Y52" s="125">
        <f t="shared" si="25"/>
        <v>1.6742732538501694E-2</v>
      </c>
      <c r="Z52" s="125">
        <f t="shared" si="25"/>
        <v>0</v>
      </c>
      <c r="AA52" s="125">
        <f t="shared" si="25"/>
        <v>0</v>
      </c>
      <c r="AB52" s="125">
        <f t="shared" si="25"/>
        <v>0</v>
      </c>
      <c r="AC52" s="125">
        <f t="shared" si="25"/>
        <v>0</v>
      </c>
      <c r="AD52" s="125">
        <f t="shared" si="25"/>
        <v>0</v>
      </c>
      <c r="AE52" s="125" t="str">
        <f t="shared" si="25"/>
        <v/>
      </c>
      <c r="AF52" s="125" t="str">
        <f t="shared" si="25"/>
        <v/>
      </c>
      <c r="AG52" s="125" t="str">
        <f t="shared" si="25"/>
        <v/>
      </c>
      <c r="AH52" s="84">
        <f t="shared" si="9"/>
        <v>57.323989602568652</v>
      </c>
      <c r="AI52" s="164">
        <f t="shared" si="10"/>
        <v>8.1545479313476221E-3</v>
      </c>
    </row>
    <row r="53" spans="1:39" s="88" customFormat="1">
      <c r="A53" s="122">
        <f t="shared" si="13"/>
        <v>46127</v>
      </c>
      <c r="B53" s="123" t="str">
        <f t="shared" si="11"/>
        <v>miércoles</v>
      </c>
      <c r="C53" s="124">
        <f>+Resumen!C86</f>
        <v>64.122386613789999</v>
      </c>
      <c r="D53" s="125" t="str">
        <f t="shared" ref="D53:AG53" si="26">+IF(D19="","",D19*$C53)</f>
        <v/>
      </c>
      <c r="E53" s="125" t="str">
        <f t="shared" si="26"/>
        <v/>
      </c>
      <c r="F53" s="125" t="str">
        <f t="shared" si="26"/>
        <v/>
      </c>
      <c r="G53" s="125" t="str">
        <f t="shared" si="26"/>
        <v/>
      </c>
      <c r="H53" s="125" t="str">
        <f t="shared" si="26"/>
        <v/>
      </c>
      <c r="I53" s="125" t="str">
        <f t="shared" si="26"/>
        <v/>
      </c>
      <c r="J53" s="125" t="str">
        <f t="shared" si="26"/>
        <v/>
      </c>
      <c r="K53" s="125" t="str">
        <f t="shared" si="26"/>
        <v/>
      </c>
      <c r="L53" s="125" t="str">
        <f t="shared" si="26"/>
        <v/>
      </c>
      <c r="M53" s="125" t="str">
        <f t="shared" si="26"/>
        <v/>
      </c>
      <c r="N53" s="125" t="str">
        <f t="shared" si="26"/>
        <v/>
      </c>
      <c r="O53" s="125" t="str">
        <f t="shared" si="26"/>
        <v/>
      </c>
      <c r="P53" s="125">
        <f t="shared" si="26"/>
        <v>0</v>
      </c>
      <c r="Q53" s="125">
        <f t="shared" si="26"/>
        <v>0</v>
      </c>
      <c r="R53" s="125">
        <f t="shared" si="26"/>
        <v>18.643175372910278</v>
      </c>
      <c r="S53" s="125">
        <f t="shared" si="26"/>
        <v>35.609395972557344</v>
      </c>
      <c r="T53" s="125">
        <f t="shared" si="26"/>
        <v>7.0645119542360675</v>
      </c>
      <c r="U53" s="125">
        <f t="shared" si="26"/>
        <v>0</v>
      </c>
      <c r="V53" s="125">
        <f t="shared" si="26"/>
        <v>0</v>
      </c>
      <c r="W53" s="125">
        <f t="shared" si="26"/>
        <v>2.4435739324142025</v>
      </c>
      <c r="X53" s="125">
        <f t="shared" si="26"/>
        <v>0.35215259111390224</v>
      </c>
      <c r="Y53" s="125">
        <f t="shared" si="26"/>
        <v>0</v>
      </c>
      <c r="Z53" s="125">
        <f t="shared" si="26"/>
        <v>1.081717291765282E-2</v>
      </c>
      <c r="AA53" s="125">
        <f t="shared" si="26"/>
        <v>0</v>
      </c>
      <c r="AB53" s="125">
        <f t="shared" si="26"/>
        <v>0</v>
      </c>
      <c r="AC53" s="125">
        <f t="shared" si="26"/>
        <v>0</v>
      </c>
      <c r="AD53" s="125">
        <f t="shared" si="26"/>
        <v>0</v>
      </c>
      <c r="AE53" s="125" t="str">
        <f t="shared" si="26"/>
        <v/>
      </c>
      <c r="AF53" s="125" t="str">
        <f t="shared" si="26"/>
        <v/>
      </c>
      <c r="AG53" s="125" t="str">
        <f t="shared" si="26"/>
        <v/>
      </c>
      <c r="AH53" s="84">
        <f t="shared" si="9"/>
        <v>64.12362699614944</v>
      </c>
      <c r="AI53" s="164">
        <f t="shared" si="10"/>
        <v>-1.2403823594411278E-3</v>
      </c>
    </row>
    <row r="54" spans="1:39" s="88" customFormat="1">
      <c r="A54" s="122">
        <f t="shared" si="13"/>
        <v>46128</v>
      </c>
      <c r="B54" s="123" t="str">
        <f t="shared" si="11"/>
        <v>jueves</v>
      </c>
      <c r="C54" s="124">
        <f>+Resumen!C87</f>
        <v>56.954018859919998</v>
      </c>
      <c r="D54" s="125" t="str">
        <f t="shared" ref="D54:AG54" si="27">+IF(D20="","",D20*$C54)</f>
        <v/>
      </c>
      <c r="E54" s="125" t="str">
        <f t="shared" si="27"/>
        <v/>
      </c>
      <c r="F54" s="125" t="str">
        <f t="shared" si="27"/>
        <v/>
      </c>
      <c r="G54" s="125" t="str">
        <f t="shared" si="27"/>
        <v/>
      </c>
      <c r="H54" s="125" t="str">
        <f t="shared" si="27"/>
        <v/>
      </c>
      <c r="I54" s="125" t="str">
        <f t="shared" si="27"/>
        <v/>
      </c>
      <c r="J54" s="125" t="str">
        <f t="shared" si="27"/>
        <v/>
      </c>
      <c r="K54" s="125" t="str">
        <f t="shared" si="27"/>
        <v/>
      </c>
      <c r="L54" s="125" t="str">
        <f t="shared" si="27"/>
        <v/>
      </c>
      <c r="M54" s="125" t="str">
        <f t="shared" si="27"/>
        <v/>
      </c>
      <c r="N54" s="125" t="str">
        <f t="shared" si="27"/>
        <v/>
      </c>
      <c r="O54" s="125" t="str">
        <f t="shared" si="27"/>
        <v/>
      </c>
      <c r="P54" s="125">
        <f t="shared" si="27"/>
        <v>0</v>
      </c>
      <c r="Q54" s="125">
        <f t="shared" si="27"/>
        <v>0</v>
      </c>
      <c r="R54" s="125">
        <f t="shared" si="27"/>
        <v>0</v>
      </c>
      <c r="S54" s="125">
        <f t="shared" si="27"/>
        <v>16.9576414288411</v>
      </c>
      <c r="T54" s="125">
        <f t="shared" si="27"/>
        <v>32.678029018476892</v>
      </c>
      <c r="U54" s="125">
        <f t="shared" si="27"/>
        <v>0</v>
      </c>
      <c r="V54" s="125">
        <f t="shared" si="27"/>
        <v>0</v>
      </c>
      <c r="W54" s="125">
        <f t="shared" si="27"/>
        <v>6.6536344550478077</v>
      </c>
      <c r="X54" s="125">
        <f t="shared" si="27"/>
        <v>0.10682364383925541</v>
      </c>
      <c r="Y54" s="125">
        <f t="shared" si="27"/>
        <v>0.43392567973433183</v>
      </c>
      <c r="Z54" s="125">
        <f t="shared" si="27"/>
        <v>1.6994993977577168E-2</v>
      </c>
      <c r="AA54" s="125">
        <f t="shared" si="27"/>
        <v>8.9770930050604936E-2</v>
      </c>
      <c r="AB54" s="125">
        <f t="shared" si="27"/>
        <v>0</v>
      </c>
      <c r="AC54" s="125">
        <f t="shared" si="27"/>
        <v>0</v>
      </c>
      <c r="AD54" s="125">
        <f t="shared" si="27"/>
        <v>0</v>
      </c>
      <c r="AE54" s="125" t="str">
        <f t="shared" si="27"/>
        <v/>
      </c>
      <c r="AF54" s="125" t="str">
        <f t="shared" si="27"/>
        <v/>
      </c>
      <c r="AG54" s="125" t="str">
        <f t="shared" si="27"/>
        <v/>
      </c>
      <c r="AH54" s="84">
        <f t="shared" si="9"/>
        <v>56.936820149967566</v>
      </c>
      <c r="AI54" s="164">
        <f t="shared" si="10"/>
        <v>1.7198709952431557E-2</v>
      </c>
    </row>
    <row r="55" spans="1:39" s="88" customFormat="1">
      <c r="A55" s="87">
        <f t="shared" si="13"/>
        <v>46129</v>
      </c>
      <c r="B55" s="35" t="str">
        <f t="shared" si="11"/>
        <v>viernes</v>
      </c>
      <c r="C55" s="124">
        <f>+Resumen!C88</f>
        <v>54.7826827114</v>
      </c>
      <c r="D55" s="125" t="str">
        <f t="shared" ref="D55:AG55" si="28">+IF(D21="","",D21*$C55)</f>
        <v/>
      </c>
      <c r="E55" s="125" t="str">
        <f t="shared" si="28"/>
        <v/>
      </c>
      <c r="F55" s="125" t="str">
        <f t="shared" si="28"/>
        <v/>
      </c>
      <c r="G55" s="125" t="str">
        <f t="shared" si="28"/>
        <v/>
      </c>
      <c r="H55" s="125" t="str">
        <f t="shared" si="28"/>
        <v/>
      </c>
      <c r="I55" s="125" t="str">
        <f t="shared" si="28"/>
        <v/>
      </c>
      <c r="J55" s="125" t="str">
        <f t="shared" si="28"/>
        <v/>
      </c>
      <c r="K55" s="125" t="str">
        <f t="shared" si="28"/>
        <v/>
      </c>
      <c r="L55" s="125" t="str">
        <f t="shared" si="28"/>
        <v/>
      </c>
      <c r="M55" s="125" t="str">
        <f t="shared" si="28"/>
        <v/>
      </c>
      <c r="N55" s="125" t="str">
        <f t="shared" si="28"/>
        <v/>
      </c>
      <c r="O55" s="125" t="str">
        <f t="shared" si="28"/>
        <v/>
      </c>
      <c r="P55" s="125">
        <f t="shared" si="28"/>
        <v>0</v>
      </c>
      <c r="Q55" s="125">
        <f t="shared" si="28"/>
        <v>0</v>
      </c>
      <c r="R55" s="125">
        <f t="shared" si="28"/>
        <v>0</v>
      </c>
      <c r="S55" s="125">
        <f t="shared" si="28"/>
        <v>0</v>
      </c>
      <c r="T55" s="125">
        <f t="shared" si="28"/>
        <v>15.983822220253717</v>
      </c>
      <c r="U55" s="125">
        <f t="shared" si="28"/>
        <v>0</v>
      </c>
      <c r="V55" s="125">
        <f t="shared" si="28"/>
        <v>0</v>
      </c>
      <c r="W55" s="125">
        <f t="shared" si="28"/>
        <v>35.343337638497054</v>
      </c>
      <c r="X55" s="125">
        <f t="shared" si="28"/>
        <v>0.49389682544453933</v>
      </c>
      <c r="Y55" s="125">
        <f t="shared" si="28"/>
        <v>2.4477095458931903</v>
      </c>
      <c r="Z55" s="125">
        <f t="shared" si="28"/>
        <v>0.20867107542977686</v>
      </c>
      <c r="AA55" s="125">
        <f t="shared" si="28"/>
        <v>0.27686495366094099</v>
      </c>
      <c r="AB55" s="125">
        <f t="shared" si="28"/>
        <v>7.9321430252299882E-4</v>
      </c>
      <c r="AC55" s="125">
        <f t="shared" si="28"/>
        <v>0</v>
      </c>
      <c r="AD55" s="125">
        <f t="shared" si="28"/>
        <v>1.3493493166332448E-2</v>
      </c>
      <c r="AE55" s="125" t="str">
        <f t="shared" si="28"/>
        <v/>
      </c>
      <c r="AF55" s="125" t="str">
        <f t="shared" si="28"/>
        <v/>
      </c>
      <c r="AG55" s="125" t="str">
        <f t="shared" si="28"/>
        <v/>
      </c>
      <c r="AH55" s="84">
        <f t="shared" si="9"/>
        <v>54.768588966648068</v>
      </c>
      <c r="AI55" s="164">
        <f t="shared" si="10"/>
        <v>1.4093744751932036E-2</v>
      </c>
    </row>
    <row r="56" spans="1:39" s="88" customFormat="1">
      <c r="A56" s="87">
        <f t="shared" si="13"/>
        <v>46130</v>
      </c>
      <c r="B56" s="35" t="str">
        <f t="shared" si="11"/>
        <v>sábado</v>
      </c>
      <c r="C56" s="124">
        <f>+Resumen!C89</f>
        <v>54.563293576760003</v>
      </c>
      <c r="D56" s="125" t="str">
        <f t="shared" ref="D56:AG56" si="29">+IF(D22="","",D22*$C56)</f>
        <v/>
      </c>
      <c r="E56" s="125" t="str">
        <f t="shared" si="29"/>
        <v/>
      </c>
      <c r="F56" s="125" t="str">
        <f t="shared" si="29"/>
        <v/>
      </c>
      <c r="G56" s="125" t="str">
        <f t="shared" si="29"/>
        <v/>
      </c>
      <c r="H56" s="125" t="str">
        <f t="shared" si="29"/>
        <v/>
      </c>
      <c r="I56" s="125" t="str">
        <f t="shared" si="29"/>
        <v/>
      </c>
      <c r="J56" s="125" t="str">
        <f t="shared" si="29"/>
        <v/>
      </c>
      <c r="K56" s="125" t="str">
        <f t="shared" si="29"/>
        <v/>
      </c>
      <c r="L56" s="125" t="str">
        <f t="shared" si="29"/>
        <v/>
      </c>
      <c r="M56" s="125" t="str">
        <f t="shared" si="29"/>
        <v/>
      </c>
      <c r="N56" s="125" t="str">
        <f t="shared" si="29"/>
        <v/>
      </c>
      <c r="O56" s="125" t="str">
        <f t="shared" si="29"/>
        <v/>
      </c>
      <c r="P56" s="125">
        <f t="shared" si="29"/>
        <v>0</v>
      </c>
      <c r="Q56" s="125">
        <f t="shared" si="29"/>
        <v>0</v>
      </c>
      <c r="R56" s="125">
        <f t="shared" si="29"/>
        <v>0</v>
      </c>
      <c r="S56" s="125">
        <f t="shared" si="29"/>
        <v>0</v>
      </c>
      <c r="T56" s="125">
        <f t="shared" si="29"/>
        <v>0</v>
      </c>
      <c r="U56" s="125">
        <f t="shared" si="29"/>
        <v>11.048711776084861</v>
      </c>
      <c r="V56" s="125">
        <f t="shared" si="29"/>
        <v>0</v>
      </c>
      <c r="W56" s="125">
        <f t="shared" si="29"/>
        <v>38.826591031020698</v>
      </c>
      <c r="X56" s="125">
        <f t="shared" si="29"/>
        <v>1.478380572441899</v>
      </c>
      <c r="Y56" s="125">
        <f t="shared" si="29"/>
        <v>3.0348333111273895</v>
      </c>
      <c r="Z56" s="125">
        <f t="shared" si="29"/>
        <v>8.3731935902591648E-2</v>
      </c>
      <c r="AA56" s="125">
        <f t="shared" si="29"/>
        <v>4.4661925806946445E-2</v>
      </c>
      <c r="AB56" s="125">
        <f t="shared" si="29"/>
        <v>8.5165720166928036E-4</v>
      </c>
      <c r="AC56" s="125">
        <f t="shared" si="29"/>
        <v>0</v>
      </c>
      <c r="AD56" s="125">
        <f t="shared" si="29"/>
        <v>1.8986725110960077E-2</v>
      </c>
      <c r="AE56" s="125" t="str">
        <f t="shared" si="29"/>
        <v/>
      </c>
      <c r="AF56" s="125" t="str">
        <f t="shared" si="29"/>
        <v/>
      </c>
      <c r="AG56" s="125" t="str">
        <f t="shared" si="29"/>
        <v/>
      </c>
      <c r="AH56" s="84">
        <f t="shared" si="9"/>
        <v>54.536748934697016</v>
      </c>
      <c r="AI56" s="164">
        <f t="shared" si="10"/>
        <v>2.6544642062987123E-2</v>
      </c>
    </row>
    <row r="57" spans="1:39" s="88" customFormat="1">
      <c r="A57" s="87">
        <f t="shared" si="13"/>
        <v>46131</v>
      </c>
      <c r="B57" s="35" t="str">
        <f t="shared" si="11"/>
        <v>domingo</v>
      </c>
      <c r="C57" s="124">
        <f>+Resumen!C90</f>
        <v>41.411147659100003</v>
      </c>
      <c r="D57" s="125" t="str">
        <f t="shared" ref="D57:AG57" si="30">+IF(D23="","",D23*$C57)</f>
        <v/>
      </c>
      <c r="E57" s="125" t="str">
        <f t="shared" si="30"/>
        <v/>
      </c>
      <c r="F57" s="125" t="str">
        <f t="shared" si="30"/>
        <v/>
      </c>
      <c r="G57" s="125" t="str">
        <f t="shared" si="30"/>
        <v/>
      </c>
      <c r="H57" s="125" t="str">
        <f t="shared" si="30"/>
        <v/>
      </c>
      <c r="I57" s="125" t="str">
        <f t="shared" si="30"/>
        <v/>
      </c>
      <c r="J57" s="125" t="str">
        <f t="shared" si="30"/>
        <v/>
      </c>
      <c r="K57" s="125" t="str">
        <f t="shared" si="30"/>
        <v/>
      </c>
      <c r="L57" s="125" t="str">
        <f t="shared" si="30"/>
        <v/>
      </c>
      <c r="M57" s="125" t="str">
        <f t="shared" si="30"/>
        <v/>
      </c>
      <c r="N57" s="125" t="str">
        <f t="shared" si="30"/>
        <v/>
      </c>
      <c r="O57" s="125" t="str">
        <f t="shared" si="30"/>
        <v/>
      </c>
      <c r="P57" s="125">
        <f t="shared" si="30"/>
        <v>0</v>
      </c>
      <c r="Q57" s="125">
        <f t="shared" si="30"/>
        <v>0</v>
      </c>
      <c r="R57" s="125">
        <f t="shared" si="30"/>
        <v>0</v>
      </c>
      <c r="S57" s="125">
        <f t="shared" si="30"/>
        <v>0</v>
      </c>
      <c r="T57" s="125">
        <f t="shared" si="30"/>
        <v>0</v>
      </c>
      <c r="U57" s="125">
        <f t="shared" si="30"/>
        <v>0</v>
      </c>
      <c r="V57" s="125">
        <f t="shared" si="30"/>
        <v>6.6989555530962086</v>
      </c>
      <c r="W57" s="125">
        <f t="shared" si="30"/>
        <v>26.481867723386436</v>
      </c>
      <c r="X57" s="125">
        <f t="shared" si="30"/>
        <v>5.4645065454505755</v>
      </c>
      <c r="Y57" s="125">
        <f t="shared" si="30"/>
        <v>2.381727461364227</v>
      </c>
      <c r="Z57" s="125">
        <f t="shared" si="30"/>
        <v>0.29714545688969224</v>
      </c>
      <c r="AA57" s="125">
        <f t="shared" si="30"/>
        <v>2.9163601298552687E-2</v>
      </c>
      <c r="AB57" s="125">
        <f t="shared" si="30"/>
        <v>7.6070591644781811E-4</v>
      </c>
      <c r="AC57" s="125">
        <f t="shared" si="30"/>
        <v>0</v>
      </c>
      <c r="AD57" s="125">
        <f t="shared" si="30"/>
        <v>4.8378338590725989E-2</v>
      </c>
      <c r="AE57" s="125" t="str">
        <f t="shared" si="30"/>
        <v/>
      </c>
      <c r="AF57" s="125" t="str">
        <f t="shared" si="30"/>
        <v/>
      </c>
      <c r="AG57" s="125" t="str">
        <f t="shared" si="30"/>
        <v/>
      </c>
      <c r="AH57" s="84">
        <f t="shared" si="9"/>
        <v>41.402505385992875</v>
      </c>
      <c r="AI57" s="164">
        <f t="shared" si="10"/>
        <v>8.6422731071280623E-3</v>
      </c>
    </row>
    <row r="58" spans="1:39" s="88" customFormat="1">
      <c r="A58" s="87">
        <f t="shared" si="13"/>
        <v>46132</v>
      </c>
      <c r="B58" s="35" t="str">
        <f t="shared" si="11"/>
        <v>lunes</v>
      </c>
      <c r="C58" s="124">
        <f>+Resumen!C91</f>
        <v>81.913180560040004</v>
      </c>
      <c r="D58" s="125" t="str">
        <f t="shared" ref="D58:AG58" si="31">+IF(D24="","",D24*$C58)</f>
        <v/>
      </c>
      <c r="E58" s="125" t="str">
        <f t="shared" si="31"/>
        <v/>
      </c>
      <c r="F58" s="125" t="str">
        <f t="shared" si="31"/>
        <v/>
      </c>
      <c r="G58" s="125" t="str">
        <f t="shared" si="31"/>
        <v/>
      </c>
      <c r="H58" s="125" t="str">
        <f t="shared" si="31"/>
        <v/>
      </c>
      <c r="I58" s="125" t="str">
        <f t="shared" si="31"/>
        <v/>
      </c>
      <c r="J58" s="125" t="str">
        <f t="shared" si="31"/>
        <v/>
      </c>
      <c r="K58" s="125" t="str">
        <f t="shared" si="31"/>
        <v/>
      </c>
      <c r="L58" s="125" t="str">
        <f t="shared" si="31"/>
        <v/>
      </c>
      <c r="M58" s="125" t="str">
        <f t="shared" si="31"/>
        <v/>
      </c>
      <c r="N58" s="125" t="str">
        <f t="shared" si="31"/>
        <v/>
      </c>
      <c r="O58" s="125" t="str">
        <f t="shared" si="31"/>
        <v/>
      </c>
      <c r="P58" s="125" t="str">
        <f t="shared" si="31"/>
        <v/>
      </c>
      <c r="Q58" s="125" t="str">
        <f t="shared" si="31"/>
        <v/>
      </c>
      <c r="R58" s="125" t="str">
        <f t="shared" si="31"/>
        <v/>
      </c>
      <c r="S58" s="125" t="str">
        <f t="shared" si="31"/>
        <v/>
      </c>
      <c r="T58" s="125" t="str">
        <f t="shared" si="31"/>
        <v/>
      </c>
      <c r="U58" s="125" t="str">
        <f t="shared" si="31"/>
        <v/>
      </c>
      <c r="V58" s="125" t="str">
        <f t="shared" si="31"/>
        <v/>
      </c>
      <c r="W58" s="125">
        <f t="shared" si="31"/>
        <v>26.666164645959842</v>
      </c>
      <c r="X58" s="125">
        <f t="shared" si="31"/>
        <v>43.335007861719511</v>
      </c>
      <c r="Y58" s="125">
        <f t="shared" si="31"/>
        <v>7.3829086415091387</v>
      </c>
      <c r="Z58" s="125">
        <f t="shared" si="31"/>
        <v>4.2001529089126377</v>
      </c>
      <c r="AA58" s="125">
        <f t="shared" si="31"/>
        <v>0.16583007878044737</v>
      </c>
      <c r="AB58" s="125">
        <f t="shared" si="31"/>
        <v>3.3877814768631232E-4</v>
      </c>
      <c r="AC58" s="125">
        <f t="shared" si="31"/>
        <v>0</v>
      </c>
      <c r="AD58" s="125">
        <f t="shared" si="31"/>
        <v>0.12625307359323926</v>
      </c>
      <c r="AE58" s="125">
        <f t="shared" si="31"/>
        <v>1.3334914190404071E-2</v>
      </c>
      <c r="AF58" s="125">
        <f t="shared" si="31"/>
        <v>0</v>
      </c>
      <c r="AG58" s="125">
        <f t="shared" si="31"/>
        <v>0</v>
      </c>
      <c r="AH58" s="84">
        <f t="shared" si="9"/>
        <v>81.889990902812912</v>
      </c>
      <c r="AI58" s="164">
        <f t="shared" si="10"/>
        <v>2.3189657227092653E-2</v>
      </c>
    </row>
    <row r="59" spans="1:39" s="88" customFormat="1">
      <c r="A59" s="87">
        <f t="shared" si="13"/>
        <v>46133</v>
      </c>
      <c r="B59" s="35" t="str">
        <f t="shared" si="11"/>
        <v>martes</v>
      </c>
      <c r="C59" s="124">
        <f>+Resumen!C92</f>
        <v>72.335877275550004</v>
      </c>
      <c r="D59" s="125" t="str">
        <f t="shared" ref="D59:AG59" si="32">+IF(D25="","",D25*$C59)</f>
        <v/>
      </c>
      <c r="E59" s="125" t="str">
        <f t="shared" si="32"/>
        <v/>
      </c>
      <c r="F59" s="125" t="str">
        <f t="shared" si="32"/>
        <v/>
      </c>
      <c r="G59" s="125" t="str">
        <f t="shared" si="32"/>
        <v/>
      </c>
      <c r="H59" s="125" t="str">
        <f t="shared" si="32"/>
        <v/>
      </c>
      <c r="I59" s="125" t="str">
        <f t="shared" si="32"/>
        <v/>
      </c>
      <c r="J59" s="125" t="str">
        <f t="shared" si="32"/>
        <v/>
      </c>
      <c r="K59" s="125" t="str">
        <f t="shared" si="32"/>
        <v/>
      </c>
      <c r="L59" s="125" t="str">
        <f t="shared" si="32"/>
        <v/>
      </c>
      <c r="M59" s="125" t="str">
        <f t="shared" si="32"/>
        <v/>
      </c>
      <c r="N59" s="125" t="str">
        <f t="shared" si="32"/>
        <v/>
      </c>
      <c r="O59" s="125" t="str">
        <f t="shared" si="32"/>
        <v/>
      </c>
      <c r="P59" s="125" t="str">
        <f t="shared" si="32"/>
        <v/>
      </c>
      <c r="Q59" s="125" t="str">
        <f t="shared" si="32"/>
        <v/>
      </c>
      <c r="R59" s="125" t="str">
        <f t="shared" si="32"/>
        <v/>
      </c>
      <c r="S59" s="125" t="str">
        <f t="shared" si="32"/>
        <v/>
      </c>
      <c r="T59" s="125" t="str">
        <f t="shared" si="32"/>
        <v/>
      </c>
      <c r="U59" s="125" t="str">
        <f t="shared" si="32"/>
        <v/>
      </c>
      <c r="V59" s="125" t="str">
        <f t="shared" si="32"/>
        <v/>
      </c>
      <c r="W59" s="125">
        <f t="shared" si="32"/>
        <v>0</v>
      </c>
      <c r="X59" s="125">
        <f t="shared" si="32"/>
        <v>21.644247855476369</v>
      </c>
      <c r="Y59" s="125">
        <f t="shared" si="32"/>
        <v>36.636978779518088</v>
      </c>
      <c r="Z59" s="125">
        <f t="shared" si="32"/>
        <v>12.508181924402995</v>
      </c>
      <c r="AA59" s="125">
        <f t="shared" si="32"/>
        <v>0.78970271213250176</v>
      </c>
      <c r="AB59" s="125">
        <f t="shared" si="32"/>
        <v>0</v>
      </c>
      <c r="AC59" s="125">
        <f t="shared" si="32"/>
        <v>0</v>
      </c>
      <c r="AD59" s="125">
        <f t="shared" si="32"/>
        <v>0.65860906352783</v>
      </c>
      <c r="AE59" s="125">
        <f t="shared" si="32"/>
        <v>6.6744080372527062E-2</v>
      </c>
      <c r="AF59" s="125">
        <f t="shared" si="32"/>
        <v>2.1124279653368837E-2</v>
      </c>
      <c r="AG59" s="125">
        <f t="shared" si="32"/>
        <v>0</v>
      </c>
      <c r="AH59" s="84">
        <f t="shared" si="9"/>
        <v>72.325588695083667</v>
      </c>
      <c r="AI59" s="164">
        <f t="shared" si="10"/>
        <v>1.0288580466337294E-2</v>
      </c>
    </row>
    <row r="60" spans="1:39" s="88" customFormat="1">
      <c r="A60" s="122">
        <f t="shared" si="13"/>
        <v>46134</v>
      </c>
      <c r="B60" s="123" t="str">
        <f t="shared" si="11"/>
        <v>miércoles</v>
      </c>
      <c r="C60" s="124">
        <f>+Resumen!C93</f>
        <v>69.080742005600001</v>
      </c>
      <c r="D60" s="125" t="str">
        <f t="shared" ref="D60:AG60" si="33">+IF(D26="","",D26*$C60)</f>
        <v/>
      </c>
      <c r="E60" s="125" t="str">
        <f t="shared" si="33"/>
        <v/>
      </c>
      <c r="F60" s="125" t="str">
        <f t="shared" si="33"/>
        <v/>
      </c>
      <c r="G60" s="125" t="str">
        <f t="shared" si="33"/>
        <v/>
      </c>
      <c r="H60" s="125" t="str">
        <f t="shared" si="33"/>
        <v/>
      </c>
      <c r="I60" s="125" t="str">
        <f t="shared" si="33"/>
        <v/>
      </c>
      <c r="J60" s="125" t="str">
        <f t="shared" si="33"/>
        <v/>
      </c>
      <c r="K60" s="125" t="str">
        <f t="shared" si="33"/>
        <v/>
      </c>
      <c r="L60" s="125" t="str">
        <f t="shared" si="33"/>
        <v/>
      </c>
      <c r="M60" s="125" t="str">
        <f t="shared" si="33"/>
        <v/>
      </c>
      <c r="N60" s="125" t="str">
        <f t="shared" si="33"/>
        <v/>
      </c>
      <c r="O60" s="125" t="str">
        <f t="shared" si="33"/>
        <v/>
      </c>
      <c r="P60" s="125" t="str">
        <f t="shared" si="33"/>
        <v/>
      </c>
      <c r="Q60" s="125" t="str">
        <f t="shared" si="33"/>
        <v/>
      </c>
      <c r="R60" s="125" t="str">
        <f t="shared" si="33"/>
        <v/>
      </c>
      <c r="S60" s="125" t="str">
        <f t="shared" si="33"/>
        <v/>
      </c>
      <c r="T60" s="125" t="str">
        <f t="shared" si="33"/>
        <v/>
      </c>
      <c r="U60" s="125" t="str">
        <f t="shared" si="33"/>
        <v/>
      </c>
      <c r="V60" s="125" t="str">
        <f t="shared" si="33"/>
        <v/>
      </c>
      <c r="W60" s="125">
        <f t="shared" si="33"/>
        <v>0</v>
      </c>
      <c r="X60" s="125">
        <f t="shared" si="33"/>
        <v>0</v>
      </c>
      <c r="Y60" s="125">
        <f t="shared" si="33"/>
        <v>20.084785612521188</v>
      </c>
      <c r="Z60" s="125">
        <f t="shared" si="33"/>
        <v>38.362943521919078</v>
      </c>
      <c r="AA60" s="125">
        <f t="shared" si="33"/>
        <v>7.61078546008308</v>
      </c>
      <c r="AB60" s="125">
        <f t="shared" si="33"/>
        <v>0</v>
      </c>
      <c r="AC60" s="125">
        <f t="shared" si="33"/>
        <v>0</v>
      </c>
      <c r="AD60" s="125">
        <f t="shared" si="33"/>
        <v>2.6325267868369147</v>
      </c>
      <c r="AE60" s="125">
        <f t="shared" si="33"/>
        <v>0.37938329463412912</v>
      </c>
      <c r="AF60" s="125">
        <f t="shared" si="33"/>
        <v>0</v>
      </c>
      <c r="AG60" s="125">
        <f t="shared" si="33"/>
        <v>1.1653626307690089E-2</v>
      </c>
      <c r="AH60" s="84">
        <f t="shared" si="9"/>
        <v>69.082078302302079</v>
      </c>
      <c r="AI60" s="164">
        <f t="shared" si="10"/>
        <v>-1.3362967020782435E-3</v>
      </c>
    </row>
    <row r="61" spans="1:39" s="88" customFormat="1">
      <c r="A61" s="122">
        <f t="shared" si="13"/>
        <v>46135</v>
      </c>
      <c r="B61" s="123" t="str">
        <f t="shared" si="11"/>
        <v>jueves</v>
      </c>
      <c r="C61" s="124">
        <f>+Resumen!C94</f>
        <v>69.501410634029995</v>
      </c>
      <c r="D61" s="125" t="str">
        <f t="shared" ref="D61:AG61" si="34">+IF(D27="","",D27*$C61)</f>
        <v/>
      </c>
      <c r="E61" s="125" t="str">
        <f t="shared" si="34"/>
        <v/>
      </c>
      <c r="F61" s="125" t="str">
        <f t="shared" si="34"/>
        <v/>
      </c>
      <c r="G61" s="125" t="str">
        <f t="shared" si="34"/>
        <v/>
      </c>
      <c r="H61" s="125" t="str">
        <f t="shared" si="34"/>
        <v/>
      </c>
      <c r="I61" s="125" t="str">
        <f t="shared" si="34"/>
        <v/>
      </c>
      <c r="J61" s="125" t="str">
        <f t="shared" si="34"/>
        <v/>
      </c>
      <c r="K61" s="125" t="str">
        <f t="shared" si="34"/>
        <v/>
      </c>
      <c r="L61" s="125" t="str">
        <f t="shared" si="34"/>
        <v/>
      </c>
      <c r="M61" s="125" t="str">
        <f t="shared" si="34"/>
        <v/>
      </c>
      <c r="N61" s="125" t="str">
        <f t="shared" si="34"/>
        <v/>
      </c>
      <c r="O61" s="125" t="str">
        <f t="shared" si="34"/>
        <v/>
      </c>
      <c r="P61" s="125" t="str">
        <f t="shared" si="34"/>
        <v/>
      </c>
      <c r="Q61" s="125" t="str">
        <f t="shared" si="34"/>
        <v/>
      </c>
      <c r="R61" s="125" t="str">
        <f t="shared" si="34"/>
        <v/>
      </c>
      <c r="S61" s="125" t="str">
        <f t="shared" si="34"/>
        <v/>
      </c>
      <c r="T61" s="125" t="str">
        <f t="shared" si="34"/>
        <v/>
      </c>
      <c r="U61" s="125" t="str">
        <f t="shared" si="34"/>
        <v/>
      </c>
      <c r="V61" s="125" t="str">
        <f t="shared" si="34"/>
        <v/>
      </c>
      <c r="W61" s="125">
        <f t="shared" si="34"/>
        <v>0</v>
      </c>
      <c r="X61" s="125">
        <f t="shared" si="34"/>
        <v>0</v>
      </c>
      <c r="Y61" s="125">
        <f t="shared" si="34"/>
        <v>0</v>
      </c>
      <c r="Z61" s="125">
        <f t="shared" si="34"/>
        <v>20.693535310111738</v>
      </c>
      <c r="AA61" s="125">
        <f t="shared" si="34"/>
        <v>39.87724060544199</v>
      </c>
      <c r="AB61" s="125">
        <f t="shared" si="34"/>
        <v>0</v>
      </c>
      <c r="AC61" s="125">
        <f t="shared" si="34"/>
        <v>0</v>
      </c>
      <c r="AD61" s="125">
        <f t="shared" si="34"/>
        <v>8.1194793576619197</v>
      </c>
      <c r="AE61" s="125">
        <f t="shared" si="34"/>
        <v>0.13035768299610187</v>
      </c>
      <c r="AF61" s="125">
        <f t="shared" si="34"/>
        <v>0.52952271772149961</v>
      </c>
      <c r="AG61" s="125">
        <f t="shared" si="34"/>
        <v>2.0739116901716682E-2</v>
      </c>
      <c r="AH61" s="84">
        <f t="shared" si="9"/>
        <v>69.370874790834975</v>
      </c>
      <c r="AI61" s="164">
        <f t="shared" si="10"/>
        <v>0.13053584319501965</v>
      </c>
    </row>
    <row r="62" spans="1:39" s="88" customFormat="1">
      <c r="A62" s="87">
        <f t="shared" si="13"/>
        <v>46136</v>
      </c>
      <c r="B62" s="35" t="str">
        <f t="shared" si="11"/>
        <v>viernes</v>
      </c>
      <c r="C62" s="124">
        <f>+Resumen!C95</f>
        <v>60.136748694799998</v>
      </c>
      <c r="D62" s="125" t="str">
        <f t="shared" ref="D62:AG62" si="35">+IF(D28="","",D28*$C62)</f>
        <v/>
      </c>
      <c r="E62" s="125" t="str">
        <f t="shared" si="35"/>
        <v/>
      </c>
      <c r="F62" s="125" t="str">
        <f t="shared" si="35"/>
        <v/>
      </c>
      <c r="G62" s="125" t="str">
        <f t="shared" si="35"/>
        <v/>
      </c>
      <c r="H62" s="125" t="str">
        <f t="shared" si="35"/>
        <v/>
      </c>
      <c r="I62" s="125" t="str">
        <f t="shared" si="35"/>
        <v/>
      </c>
      <c r="J62" s="125" t="str">
        <f t="shared" si="35"/>
        <v/>
      </c>
      <c r="K62" s="125" t="str">
        <f t="shared" si="35"/>
        <v/>
      </c>
      <c r="L62" s="125" t="str">
        <f t="shared" si="35"/>
        <v/>
      </c>
      <c r="M62" s="125" t="str">
        <f t="shared" si="35"/>
        <v/>
      </c>
      <c r="N62" s="125" t="str">
        <f t="shared" si="35"/>
        <v/>
      </c>
      <c r="O62" s="125" t="str">
        <f t="shared" si="35"/>
        <v/>
      </c>
      <c r="P62" s="125" t="str">
        <f t="shared" si="35"/>
        <v/>
      </c>
      <c r="Q62" s="125" t="str">
        <f t="shared" si="35"/>
        <v/>
      </c>
      <c r="R62" s="125" t="str">
        <f t="shared" si="35"/>
        <v/>
      </c>
      <c r="S62" s="125" t="str">
        <f t="shared" si="35"/>
        <v/>
      </c>
      <c r="T62" s="125" t="str">
        <f t="shared" si="35"/>
        <v/>
      </c>
      <c r="U62" s="125" t="str">
        <f t="shared" si="35"/>
        <v/>
      </c>
      <c r="V62" s="125" t="str">
        <f t="shared" si="35"/>
        <v/>
      </c>
      <c r="W62" s="125">
        <f t="shared" si="35"/>
        <v>0</v>
      </c>
      <c r="X62" s="125">
        <f t="shared" si="35"/>
        <v>0</v>
      </c>
      <c r="Y62" s="125">
        <f t="shared" si="35"/>
        <v>0</v>
      </c>
      <c r="Z62" s="125">
        <f t="shared" si="35"/>
        <v>0</v>
      </c>
      <c r="AA62" s="125">
        <f t="shared" si="35"/>
        <v>17.545966215373639</v>
      </c>
      <c r="AB62" s="125">
        <f t="shared" si="35"/>
        <v>0</v>
      </c>
      <c r="AC62" s="125">
        <f t="shared" si="35"/>
        <v>0</v>
      </c>
      <c r="AD62" s="125">
        <f t="shared" si="35"/>
        <v>38.797541639184303</v>
      </c>
      <c r="AE62" s="125">
        <f t="shared" si="35"/>
        <v>0.54216675421660321</v>
      </c>
      <c r="AF62" s="125">
        <f t="shared" si="35"/>
        <v>2.686931098549703</v>
      </c>
      <c r="AG62" s="125">
        <f t="shared" si="35"/>
        <v>0.22906508775961795</v>
      </c>
      <c r="AH62" s="84">
        <f t="shared" si="9"/>
        <v>59.801670795083858</v>
      </c>
      <c r="AI62" s="164">
        <f t="shared" si="10"/>
        <v>0.33507789971613988</v>
      </c>
    </row>
    <row r="63" spans="1:39" s="88" customFormat="1">
      <c r="A63" s="87">
        <f t="shared" si="13"/>
        <v>46137</v>
      </c>
      <c r="B63" s="35" t="str">
        <f t="shared" si="11"/>
        <v>sábado</v>
      </c>
      <c r="C63" s="124">
        <f>+Resumen!C96</f>
        <v>54.432363589719998</v>
      </c>
      <c r="D63" s="125" t="str">
        <f t="shared" ref="D63:AG63" si="36">+IF(D29="","",D29*$C63)</f>
        <v/>
      </c>
      <c r="E63" s="125" t="str">
        <f t="shared" si="36"/>
        <v/>
      </c>
      <c r="F63" s="125" t="str">
        <f t="shared" si="36"/>
        <v/>
      </c>
      <c r="G63" s="125" t="str">
        <f t="shared" si="36"/>
        <v/>
      </c>
      <c r="H63" s="125" t="str">
        <f t="shared" si="36"/>
        <v/>
      </c>
      <c r="I63" s="125" t="str">
        <f t="shared" si="36"/>
        <v/>
      </c>
      <c r="J63" s="125" t="str">
        <f t="shared" si="36"/>
        <v/>
      </c>
      <c r="K63" s="125" t="str">
        <f t="shared" si="36"/>
        <v/>
      </c>
      <c r="L63" s="125" t="str">
        <f t="shared" si="36"/>
        <v/>
      </c>
      <c r="M63" s="125" t="str">
        <f t="shared" si="36"/>
        <v/>
      </c>
      <c r="N63" s="125" t="str">
        <f t="shared" si="36"/>
        <v/>
      </c>
      <c r="O63" s="125" t="str">
        <f t="shared" si="36"/>
        <v/>
      </c>
      <c r="P63" s="125" t="str">
        <f t="shared" si="36"/>
        <v/>
      </c>
      <c r="Q63" s="125" t="str">
        <f t="shared" si="36"/>
        <v/>
      </c>
      <c r="R63" s="125" t="str">
        <f t="shared" si="36"/>
        <v/>
      </c>
      <c r="S63" s="125" t="str">
        <f t="shared" si="36"/>
        <v/>
      </c>
      <c r="T63" s="125" t="str">
        <f t="shared" si="36"/>
        <v/>
      </c>
      <c r="U63" s="125" t="str">
        <f t="shared" si="36"/>
        <v/>
      </c>
      <c r="V63" s="125" t="str">
        <f t="shared" si="36"/>
        <v/>
      </c>
      <c r="W63" s="125">
        <f t="shared" si="36"/>
        <v>0</v>
      </c>
      <c r="X63" s="125">
        <f t="shared" si="36"/>
        <v>0</v>
      </c>
      <c r="Y63" s="125">
        <f t="shared" si="36"/>
        <v>0</v>
      </c>
      <c r="Z63" s="125">
        <f t="shared" si="36"/>
        <v>0</v>
      </c>
      <c r="AA63" s="125">
        <f t="shared" si="36"/>
        <v>0</v>
      </c>
      <c r="AB63" s="125">
        <f t="shared" si="36"/>
        <v>11.022199305982292</v>
      </c>
      <c r="AC63" s="125">
        <f t="shared" si="36"/>
        <v>0</v>
      </c>
      <c r="AD63" s="125">
        <f t="shared" si="36"/>
        <v>38.733422808810147</v>
      </c>
      <c r="AE63" s="125">
        <f t="shared" si="36"/>
        <v>1.4748330529191322</v>
      </c>
      <c r="AF63" s="125">
        <f t="shared" si="36"/>
        <v>3.0275509302437009</v>
      </c>
      <c r="AG63" s="125">
        <f t="shared" si="36"/>
        <v>8.3531012890729506E-2</v>
      </c>
      <c r="AH63" s="84">
        <f t="shared" si="9"/>
        <v>54.341537110846005</v>
      </c>
      <c r="AI63" s="164">
        <f t="shared" si="10"/>
        <v>9.0826478873992755E-2</v>
      </c>
      <c r="AJ63" s="84"/>
      <c r="AK63" s="84"/>
      <c r="AL63" s="84"/>
      <c r="AM63" s="84"/>
    </row>
    <row r="64" spans="1:39" s="88" customFormat="1">
      <c r="A64" s="87">
        <f t="shared" si="13"/>
        <v>46138</v>
      </c>
      <c r="B64" s="35" t="str">
        <f t="shared" si="11"/>
        <v>domingo</v>
      </c>
      <c r="C64" s="124">
        <f>+Resumen!C97</f>
        <v>43.044570582989998</v>
      </c>
      <c r="D64" s="125" t="str">
        <f t="shared" ref="D64:AG64" si="37">+IF(D30="","",D30*$C64)</f>
        <v/>
      </c>
      <c r="E64" s="125" t="str">
        <f t="shared" si="37"/>
        <v/>
      </c>
      <c r="F64" s="125" t="str">
        <f t="shared" si="37"/>
        <v/>
      </c>
      <c r="G64" s="125" t="str">
        <f t="shared" si="37"/>
        <v/>
      </c>
      <c r="H64" s="125" t="str">
        <f t="shared" si="37"/>
        <v/>
      </c>
      <c r="I64" s="125" t="str">
        <f t="shared" si="37"/>
        <v/>
      </c>
      <c r="J64" s="125" t="str">
        <f t="shared" si="37"/>
        <v/>
      </c>
      <c r="K64" s="125" t="str">
        <f t="shared" si="37"/>
        <v/>
      </c>
      <c r="L64" s="125" t="str">
        <f t="shared" si="37"/>
        <v/>
      </c>
      <c r="M64" s="125" t="str">
        <f t="shared" si="37"/>
        <v/>
      </c>
      <c r="N64" s="125" t="str">
        <f t="shared" si="37"/>
        <v/>
      </c>
      <c r="O64" s="125" t="str">
        <f t="shared" si="37"/>
        <v/>
      </c>
      <c r="P64" s="125" t="str">
        <f t="shared" si="37"/>
        <v/>
      </c>
      <c r="Q64" s="125" t="str">
        <f t="shared" si="37"/>
        <v/>
      </c>
      <c r="R64" s="125" t="str">
        <f t="shared" si="37"/>
        <v/>
      </c>
      <c r="S64" s="125" t="str">
        <f t="shared" si="37"/>
        <v/>
      </c>
      <c r="T64" s="125" t="str">
        <f t="shared" si="37"/>
        <v/>
      </c>
      <c r="U64" s="125" t="str">
        <f t="shared" si="37"/>
        <v/>
      </c>
      <c r="V64" s="125" t="str">
        <f t="shared" si="37"/>
        <v/>
      </c>
      <c r="W64" s="125">
        <f t="shared" si="37"/>
        <v>0</v>
      </c>
      <c r="X64" s="125">
        <f t="shared" si="37"/>
        <v>0</v>
      </c>
      <c r="Y64" s="125">
        <f t="shared" si="37"/>
        <v>0</v>
      </c>
      <c r="Z64" s="125">
        <f t="shared" si="37"/>
        <v>0</v>
      </c>
      <c r="AA64" s="125">
        <f t="shared" si="37"/>
        <v>0</v>
      </c>
      <c r="AB64" s="125">
        <f t="shared" si="37"/>
        <v>0</v>
      </c>
      <c r="AC64" s="125">
        <f t="shared" si="37"/>
        <v>6.9631894172871949</v>
      </c>
      <c r="AD64" s="125">
        <f t="shared" si="37"/>
        <v>27.526419547037634</v>
      </c>
      <c r="AE64" s="125">
        <f t="shared" si="37"/>
        <v>5.6800487548228977</v>
      </c>
      <c r="AF64" s="125">
        <f t="shared" si="37"/>
        <v>2.4756724122715643</v>
      </c>
      <c r="AG64" s="125">
        <f t="shared" si="37"/>
        <v>0.30886607388415344</v>
      </c>
      <c r="AH64" s="84">
        <f t="shared" si="9"/>
        <v>42.954196205303454</v>
      </c>
      <c r="AI64" s="164">
        <f t="shared" si="10"/>
        <v>9.0374377686543994E-2</v>
      </c>
      <c r="AJ64" s="84"/>
      <c r="AK64" s="84"/>
      <c r="AL64" s="84"/>
      <c r="AM64" s="84"/>
    </row>
    <row r="65" spans="1:39" s="88" customFormat="1">
      <c r="A65" s="87">
        <f t="shared" si="13"/>
        <v>46139</v>
      </c>
      <c r="B65" s="35" t="str">
        <f t="shared" si="11"/>
        <v>lunes</v>
      </c>
      <c r="C65" s="124">
        <f>+Resumen!C98</f>
        <v>57.044620271299998</v>
      </c>
      <c r="D65" s="125" t="str">
        <f t="shared" ref="D65:AG65" si="38">+IF(D31="","",D31*$C65)</f>
        <v/>
      </c>
      <c r="E65" s="125" t="str">
        <f t="shared" si="38"/>
        <v/>
      </c>
      <c r="F65" s="125" t="str">
        <f t="shared" si="38"/>
        <v/>
      </c>
      <c r="G65" s="125" t="str">
        <f t="shared" si="38"/>
        <v/>
      </c>
      <c r="H65" s="125" t="str">
        <f t="shared" si="38"/>
        <v/>
      </c>
      <c r="I65" s="125" t="str">
        <f t="shared" si="38"/>
        <v/>
      </c>
      <c r="J65" s="125" t="str">
        <f t="shared" si="38"/>
        <v/>
      </c>
      <c r="K65" s="125" t="str">
        <f t="shared" si="38"/>
        <v/>
      </c>
      <c r="L65" s="125" t="str">
        <f t="shared" si="38"/>
        <v/>
      </c>
      <c r="M65" s="125" t="str">
        <f t="shared" si="38"/>
        <v/>
      </c>
      <c r="N65" s="125" t="str">
        <f t="shared" si="38"/>
        <v/>
      </c>
      <c r="O65" s="125" t="str">
        <f t="shared" si="38"/>
        <v/>
      </c>
      <c r="P65" s="125" t="str">
        <f t="shared" si="38"/>
        <v/>
      </c>
      <c r="Q65" s="125" t="str">
        <f t="shared" si="38"/>
        <v/>
      </c>
      <c r="R65" s="125" t="str">
        <f t="shared" si="38"/>
        <v/>
      </c>
      <c r="S65" s="125" t="str">
        <f t="shared" si="38"/>
        <v/>
      </c>
      <c r="T65" s="125" t="str">
        <f t="shared" si="38"/>
        <v/>
      </c>
      <c r="U65" s="125" t="str">
        <f t="shared" si="38"/>
        <v/>
      </c>
      <c r="V65" s="125" t="str">
        <f t="shared" si="38"/>
        <v/>
      </c>
      <c r="W65" s="125" t="str">
        <f t="shared" si="38"/>
        <v/>
      </c>
      <c r="X65" s="125" t="str">
        <f t="shared" si="38"/>
        <v/>
      </c>
      <c r="Y65" s="125" t="str">
        <f t="shared" si="38"/>
        <v/>
      </c>
      <c r="Z65" s="125" t="str">
        <f t="shared" si="38"/>
        <v/>
      </c>
      <c r="AA65" s="125" t="str">
        <f t="shared" si="38"/>
        <v/>
      </c>
      <c r="AB65" s="125" t="str">
        <f t="shared" si="38"/>
        <v/>
      </c>
      <c r="AC65" s="125" t="str">
        <f t="shared" si="38"/>
        <v/>
      </c>
      <c r="AD65" s="125">
        <f t="shared" si="38"/>
        <v>18.570408643890669</v>
      </c>
      <c r="AE65" s="125">
        <f t="shared" si="38"/>
        <v>30.178648308176285</v>
      </c>
      <c r="AF65" s="125">
        <f t="shared" si="38"/>
        <v>5.1414829344087485</v>
      </c>
      <c r="AG65" s="125">
        <f t="shared" si="38"/>
        <v>2.9250009111134494</v>
      </c>
      <c r="AH65" s="84">
        <f t="shared" si="9"/>
        <v>56.815540797589151</v>
      </c>
      <c r="AI65" s="164">
        <f t="shared" si="10"/>
        <v>0.22907947371084703</v>
      </c>
      <c r="AJ65" s="84"/>
      <c r="AK65" s="84"/>
      <c r="AL65" s="84"/>
      <c r="AM65" s="84"/>
    </row>
    <row r="66" spans="1:39" s="88" customFormat="1">
      <c r="A66" s="87">
        <f t="shared" si="13"/>
        <v>46140</v>
      </c>
      <c r="B66" s="35" t="str">
        <f t="shared" si="11"/>
        <v>martes</v>
      </c>
      <c r="C66" s="124">
        <f>+Resumen!C99</f>
        <v>60.548065702640002</v>
      </c>
      <c r="D66" s="125" t="str">
        <f t="shared" ref="D66:AG66" si="39">+IF(D32="","",D32*$C66)</f>
        <v/>
      </c>
      <c r="E66" s="125" t="str">
        <f t="shared" si="39"/>
        <v/>
      </c>
      <c r="F66" s="125" t="str">
        <f t="shared" si="39"/>
        <v/>
      </c>
      <c r="G66" s="125" t="str">
        <f t="shared" si="39"/>
        <v/>
      </c>
      <c r="H66" s="125" t="str">
        <f t="shared" si="39"/>
        <v/>
      </c>
      <c r="I66" s="125" t="str">
        <f t="shared" si="39"/>
        <v/>
      </c>
      <c r="J66" s="125" t="str">
        <f t="shared" si="39"/>
        <v/>
      </c>
      <c r="K66" s="125" t="str">
        <f t="shared" si="39"/>
        <v/>
      </c>
      <c r="L66" s="125" t="str">
        <f t="shared" si="39"/>
        <v/>
      </c>
      <c r="M66" s="125" t="str">
        <f t="shared" si="39"/>
        <v/>
      </c>
      <c r="N66" s="125" t="str">
        <f t="shared" si="39"/>
        <v/>
      </c>
      <c r="O66" s="125" t="str">
        <f t="shared" si="39"/>
        <v/>
      </c>
      <c r="P66" s="125" t="str">
        <f t="shared" si="39"/>
        <v/>
      </c>
      <c r="Q66" s="125" t="str">
        <f t="shared" si="39"/>
        <v/>
      </c>
      <c r="R66" s="125" t="str">
        <f t="shared" si="39"/>
        <v/>
      </c>
      <c r="S66" s="125" t="str">
        <f t="shared" si="39"/>
        <v/>
      </c>
      <c r="T66" s="125" t="str">
        <f t="shared" si="39"/>
        <v/>
      </c>
      <c r="U66" s="125" t="str">
        <f t="shared" si="39"/>
        <v/>
      </c>
      <c r="V66" s="125" t="str">
        <f t="shared" si="39"/>
        <v/>
      </c>
      <c r="W66" s="125" t="str">
        <f t="shared" si="39"/>
        <v/>
      </c>
      <c r="X66" s="125" t="str">
        <f t="shared" si="39"/>
        <v/>
      </c>
      <c r="Y66" s="125" t="str">
        <f t="shared" si="39"/>
        <v/>
      </c>
      <c r="Z66" s="125" t="str">
        <f t="shared" si="39"/>
        <v/>
      </c>
      <c r="AA66" s="125" t="str">
        <f t="shared" si="39"/>
        <v/>
      </c>
      <c r="AB66" s="125" t="str">
        <f t="shared" si="39"/>
        <v/>
      </c>
      <c r="AC66" s="125" t="str">
        <f t="shared" si="39"/>
        <v/>
      </c>
      <c r="AD66" s="125">
        <f t="shared" si="39"/>
        <v>0</v>
      </c>
      <c r="AE66" s="125">
        <f t="shared" si="39"/>
        <v>18.117114087735985</v>
      </c>
      <c r="AF66" s="125">
        <f t="shared" si="39"/>
        <v>30.66663849030677</v>
      </c>
      <c r="AG66" s="125">
        <f t="shared" si="39"/>
        <v>10.469856031390313</v>
      </c>
      <c r="AH66" s="84">
        <f t="shared" si="9"/>
        <v>59.253608609433066</v>
      </c>
      <c r="AI66" s="164">
        <f t="shared" si="10"/>
        <v>1.2944570932069368</v>
      </c>
      <c r="AJ66" s="84"/>
      <c r="AK66" s="84"/>
      <c r="AL66" s="84"/>
      <c r="AM66" s="84"/>
    </row>
    <row r="67" spans="1:39" s="88" customFormat="1" ht="15" customHeight="1">
      <c r="A67" s="87">
        <f t="shared" si="13"/>
        <v>46141</v>
      </c>
      <c r="B67" s="35" t="str">
        <f t="shared" si="11"/>
        <v>miércoles</v>
      </c>
      <c r="C67" s="124">
        <f>+Resumen!C100</f>
        <v>62.083999965929998</v>
      </c>
      <c r="D67" s="125" t="str">
        <f t="shared" ref="D67:AG67" si="40">+IF(D33="","",D33*$C67)</f>
        <v/>
      </c>
      <c r="E67" s="125" t="str">
        <f t="shared" si="40"/>
        <v/>
      </c>
      <c r="F67" s="125" t="str">
        <f t="shared" si="40"/>
        <v/>
      </c>
      <c r="G67" s="125" t="str">
        <f t="shared" si="40"/>
        <v/>
      </c>
      <c r="H67" s="125" t="str">
        <f t="shared" si="40"/>
        <v/>
      </c>
      <c r="I67" s="125" t="str">
        <f t="shared" si="40"/>
        <v/>
      </c>
      <c r="J67" s="125" t="str">
        <f t="shared" si="40"/>
        <v/>
      </c>
      <c r="K67" s="125" t="str">
        <f t="shared" si="40"/>
        <v/>
      </c>
      <c r="L67" s="125" t="str">
        <f t="shared" si="40"/>
        <v/>
      </c>
      <c r="M67" s="125" t="str">
        <f t="shared" si="40"/>
        <v/>
      </c>
      <c r="N67" s="125" t="str">
        <f t="shared" si="40"/>
        <v/>
      </c>
      <c r="O67" s="125" t="str">
        <f t="shared" si="40"/>
        <v/>
      </c>
      <c r="P67" s="125" t="str">
        <f t="shared" si="40"/>
        <v/>
      </c>
      <c r="Q67" s="125" t="str">
        <f t="shared" si="40"/>
        <v/>
      </c>
      <c r="R67" s="125" t="str">
        <f t="shared" si="40"/>
        <v/>
      </c>
      <c r="S67" s="125" t="str">
        <f t="shared" si="40"/>
        <v/>
      </c>
      <c r="T67" s="125" t="str">
        <f t="shared" si="40"/>
        <v/>
      </c>
      <c r="U67" s="125" t="str">
        <f t="shared" si="40"/>
        <v/>
      </c>
      <c r="V67" s="125" t="str">
        <f t="shared" si="40"/>
        <v/>
      </c>
      <c r="W67" s="125" t="str">
        <f t="shared" si="40"/>
        <v/>
      </c>
      <c r="X67" s="125" t="str">
        <f t="shared" si="40"/>
        <v/>
      </c>
      <c r="Y67" s="125" t="str">
        <f t="shared" si="40"/>
        <v/>
      </c>
      <c r="Z67" s="125" t="str">
        <f t="shared" si="40"/>
        <v/>
      </c>
      <c r="AA67" s="125" t="str">
        <f t="shared" si="40"/>
        <v/>
      </c>
      <c r="AB67" s="125" t="str">
        <f t="shared" si="40"/>
        <v/>
      </c>
      <c r="AC67" s="125" t="str">
        <f t="shared" si="40"/>
        <v/>
      </c>
      <c r="AD67" s="125">
        <f t="shared" si="40"/>
        <v>0</v>
      </c>
      <c r="AE67" s="125">
        <f t="shared" si="40"/>
        <v>0</v>
      </c>
      <c r="AF67" s="125">
        <f t="shared" si="40"/>
        <v>18.050527441966299</v>
      </c>
      <c r="AG67" s="125">
        <f t="shared" si="40"/>
        <v>34.477408828566503</v>
      </c>
      <c r="AH67" s="84">
        <f t="shared" si="9"/>
        <v>52.527936270532798</v>
      </c>
      <c r="AI67" s="164"/>
      <c r="AJ67" s="84"/>
      <c r="AK67" s="84"/>
      <c r="AL67" s="84"/>
      <c r="AM67" s="84"/>
    </row>
    <row r="68" spans="1:39" s="88" customFormat="1">
      <c r="A68" s="87">
        <f t="shared" si="13"/>
        <v>46142</v>
      </c>
      <c r="B68" s="35" t="str">
        <f t="shared" si="11"/>
        <v>jueves</v>
      </c>
      <c r="C68" s="124">
        <f>+Resumen!C101</f>
        <v>73.339175272600002</v>
      </c>
      <c r="D68" s="125" t="str">
        <f t="shared" ref="D68:AG68" si="41">+IF(D34="","",D34*$C68)</f>
        <v/>
      </c>
      <c r="E68" s="125" t="str">
        <f t="shared" si="41"/>
        <v/>
      </c>
      <c r="F68" s="125" t="str">
        <f t="shared" si="41"/>
        <v/>
      </c>
      <c r="G68" s="125" t="str">
        <f t="shared" si="41"/>
        <v/>
      </c>
      <c r="H68" s="125" t="str">
        <f t="shared" si="41"/>
        <v/>
      </c>
      <c r="I68" s="125" t="str">
        <f t="shared" si="41"/>
        <v/>
      </c>
      <c r="J68" s="125" t="str">
        <f t="shared" si="41"/>
        <v/>
      </c>
      <c r="K68" s="125" t="str">
        <f t="shared" si="41"/>
        <v/>
      </c>
      <c r="L68" s="125" t="str">
        <f t="shared" si="41"/>
        <v/>
      </c>
      <c r="M68" s="125" t="str">
        <f t="shared" si="41"/>
        <v/>
      </c>
      <c r="N68" s="125" t="str">
        <f t="shared" si="41"/>
        <v/>
      </c>
      <c r="O68" s="125" t="str">
        <f t="shared" si="41"/>
        <v/>
      </c>
      <c r="P68" s="125" t="str">
        <f t="shared" si="41"/>
        <v/>
      </c>
      <c r="Q68" s="125" t="str">
        <f t="shared" si="41"/>
        <v/>
      </c>
      <c r="R68" s="125" t="str">
        <f t="shared" si="41"/>
        <v/>
      </c>
      <c r="S68" s="125" t="str">
        <f t="shared" si="41"/>
        <v/>
      </c>
      <c r="T68" s="125" t="str">
        <f t="shared" si="41"/>
        <v/>
      </c>
      <c r="U68" s="125" t="str">
        <f t="shared" si="41"/>
        <v/>
      </c>
      <c r="V68" s="125" t="str">
        <f t="shared" si="41"/>
        <v/>
      </c>
      <c r="W68" s="125" t="str">
        <f t="shared" si="41"/>
        <v/>
      </c>
      <c r="X68" s="125" t="str">
        <f t="shared" si="41"/>
        <v/>
      </c>
      <c r="Y68" s="125" t="str">
        <f t="shared" si="41"/>
        <v/>
      </c>
      <c r="Z68" s="125" t="str">
        <f t="shared" si="41"/>
        <v/>
      </c>
      <c r="AA68" s="125" t="str">
        <f t="shared" si="41"/>
        <v/>
      </c>
      <c r="AB68" s="125" t="str">
        <f t="shared" si="41"/>
        <v/>
      </c>
      <c r="AC68" s="125" t="str">
        <f t="shared" si="41"/>
        <v/>
      </c>
      <c r="AD68" s="125">
        <f t="shared" si="41"/>
        <v>0</v>
      </c>
      <c r="AE68" s="125">
        <f t="shared" si="41"/>
        <v>0</v>
      </c>
      <c r="AF68" s="125">
        <f t="shared" si="41"/>
        <v>0</v>
      </c>
      <c r="AG68" s="125">
        <f t="shared" si="41"/>
        <v>21.836201586028473</v>
      </c>
      <c r="AH68" s="84">
        <f t="shared" si="9"/>
        <v>21.836201586028473</v>
      </c>
      <c r="AI68" s="164"/>
      <c r="AJ68" s="84"/>
      <c r="AK68" s="84"/>
      <c r="AL68" s="84"/>
      <c r="AM68" s="84"/>
    </row>
    <row r="69" spans="1:39">
      <c r="C69" s="36" t="s">
        <v>15</v>
      </c>
      <c r="D69" s="84">
        <f t="shared" ref="D69:AG69" si="42">+SUM(D38:D68)</f>
        <v>66.463990854269809</v>
      </c>
      <c r="E69" s="84">
        <f t="shared" si="42"/>
        <v>54.691049827463189</v>
      </c>
      <c r="F69" s="84">
        <f t="shared" si="42"/>
        <v>49.505622672881849</v>
      </c>
      <c r="G69" s="84">
        <f t="shared" si="42"/>
        <v>10.000961066721317</v>
      </c>
      <c r="H69" s="84">
        <f t="shared" si="42"/>
        <v>6.4622255701534925</v>
      </c>
      <c r="I69" s="84">
        <f t="shared" si="42"/>
        <v>120.40300852926845</v>
      </c>
      <c r="J69" s="84">
        <f t="shared" si="42"/>
        <v>58.986822615230381</v>
      </c>
      <c r="K69" s="84">
        <f t="shared" si="42"/>
        <v>61.05977196651353</v>
      </c>
      <c r="L69" s="84">
        <f t="shared" si="42"/>
        <v>61.232814515738262</v>
      </c>
      <c r="M69" s="84">
        <f t="shared" si="42"/>
        <v>54.07691448213339</v>
      </c>
      <c r="N69" s="84">
        <f t="shared" si="42"/>
        <v>10.652614034811185</v>
      </c>
      <c r="O69" s="84">
        <f t="shared" si="42"/>
        <v>5.4014903852224467</v>
      </c>
      <c r="P69" s="84">
        <f t="shared" si="42"/>
        <v>123.31029180826519</v>
      </c>
      <c r="Q69" s="84">
        <f t="shared" si="42"/>
        <v>53.579883194209884</v>
      </c>
      <c r="R69" s="84">
        <f t="shared" si="42"/>
        <v>60.571801729117212</v>
      </c>
      <c r="S69" s="84">
        <f t="shared" si="42"/>
        <v>65.915400802507406</v>
      </c>
      <c r="T69" s="84">
        <f t="shared" si="42"/>
        <v>56.906782282990193</v>
      </c>
      <c r="U69" s="84">
        <f t="shared" si="42"/>
        <v>11.051215962002889</v>
      </c>
      <c r="V69" s="84">
        <f t="shared" si="42"/>
        <v>6.6989555530962086</v>
      </c>
      <c r="W69" s="84">
        <f t="shared" si="42"/>
        <v>137.09497734064016</v>
      </c>
      <c r="X69" s="84">
        <f t="shared" si="42"/>
        <v>72.937023950873126</v>
      </c>
      <c r="Y69" s="84">
        <f t="shared" si="42"/>
        <v>72.419611764206053</v>
      </c>
      <c r="Z69" s="84">
        <f t="shared" si="42"/>
        <v>76.382174300463745</v>
      </c>
      <c r="AA69" s="84">
        <f t="shared" si="42"/>
        <v>66.429986482628706</v>
      </c>
      <c r="AB69" s="84">
        <f t="shared" si="42"/>
        <v>11.024943661550619</v>
      </c>
      <c r="AC69" s="84">
        <f t="shared" si="42"/>
        <v>6.9631894172871949</v>
      </c>
      <c r="AD69" s="84">
        <f t="shared" si="42"/>
        <v>135.24551947741068</v>
      </c>
      <c r="AE69" s="84">
        <f t="shared" si="42"/>
        <v>56.582630930064063</v>
      </c>
      <c r="AF69" s="84">
        <f t="shared" si="42"/>
        <v>62.59945030512165</v>
      </c>
      <c r="AG69" s="84">
        <f t="shared" si="42"/>
        <v>70.362322274842654</v>
      </c>
      <c r="AH69" s="183">
        <f>+SUM(D69:AG69)</f>
        <v>1705.0134477576851</v>
      </c>
    </row>
    <row r="70" spans="1:39" s="105" customFormat="1">
      <c r="A70" s="105" t="s">
        <v>412</v>
      </c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</row>
    <row r="71" spans="1:39" ht="13.5" customHeight="1">
      <c r="A71" s="80" t="s">
        <v>146</v>
      </c>
      <c r="B71" s="80" t="s">
        <v>147</v>
      </c>
      <c r="C71" s="80" t="s">
        <v>223</v>
      </c>
      <c r="D71" s="83">
        <f>+D36</f>
        <v>46113</v>
      </c>
      <c r="E71" s="83">
        <f>+D71+1</f>
        <v>46114</v>
      </c>
      <c r="F71" s="83">
        <f t="shared" ref="F71:AG71" si="43">+E71+1</f>
        <v>46115</v>
      </c>
      <c r="G71" s="83">
        <f t="shared" si="43"/>
        <v>46116</v>
      </c>
      <c r="H71" s="126">
        <f t="shared" si="43"/>
        <v>46117</v>
      </c>
      <c r="I71" s="126">
        <f t="shared" si="43"/>
        <v>46118</v>
      </c>
      <c r="J71" s="83">
        <f t="shared" si="43"/>
        <v>46119</v>
      </c>
      <c r="K71" s="83">
        <f t="shared" si="43"/>
        <v>46120</v>
      </c>
      <c r="L71" s="83">
        <f t="shared" si="43"/>
        <v>46121</v>
      </c>
      <c r="M71" s="83">
        <f t="shared" si="43"/>
        <v>46122</v>
      </c>
      <c r="N71" s="83">
        <f t="shared" si="43"/>
        <v>46123</v>
      </c>
      <c r="O71" s="126">
        <f t="shared" si="43"/>
        <v>46124</v>
      </c>
      <c r="P71" s="126">
        <f t="shared" si="43"/>
        <v>46125</v>
      </c>
      <c r="Q71" s="83">
        <f t="shared" si="43"/>
        <v>46126</v>
      </c>
      <c r="R71" s="83">
        <f t="shared" si="43"/>
        <v>46127</v>
      </c>
      <c r="S71" s="83">
        <f t="shared" si="43"/>
        <v>46128</v>
      </c>
      <c r="T71" s="83">
        <f t="shared" si="43"/>
        <v>46129</v>
      </c>
      <c r="U71" s="83">
        <f t="shared" si="43"/>
        <v>46130</v>
      </c>
      <c r="V71" s="126">
        <f t="shared" si="43"/>
        <v>46131</v>
      </c>
      <c r="W71" s="126">
        <f t="shared" si="43"/>
        <v>46132</v>
      </c>
      <c r="X71" s="83">
        <f t="shared" si="43"/>
        <v>46133</v>
      </c>
      <c r="Y71" s="83">
        <f t="shared" si="43"/>
        <v>46134</v>
      </c>
      <c r="Z71" s="83">
        <f t="shared" si="43"/>
        <v>46135</v>
      </c>
      <c r="AA71" s="83">
        <f t="shared" si="43"/>
        <v>46136</v>
      </c>
      <c r="AB71" s="83">
        <f t="shared" si="43"/>
        <v>46137</v>
      </c>
      <c r="AC71" s="126">
        <f t="shared" si="43"/>
        <v>46138</v>
      </c>
      <c r="AD71" s="126">
        <f t="shared" si="43"/>
        <v>46139</v>
      </c>
      <c r="AE71" s="83">
        <f t="shared" si="43"/>
        <v>46140</v>
      </c>
      <c r="AF71" s="126">
        <f t="shared" si="43"/>
        <v>46141</v>
      </c>
      <c r="AG71" s="83">
        <f t="shared" si="43"/>
        <v>46142</v>
      </c>
      <c r="AH71" s="83"/>
    </row>
    <row r="72" spans="1:39">
      <c r="D72" s="87" t="str">
        <f t="shared" ref="D72:AG72" si="44">+TEXT(D71,"dddddd")</f>
        <v>miércoles</v>
      </c>
      <c r="E72" s="87" t="str">
        <f t="shared" si="44"/>
        <v>jueves</v>
      </c>
      <c r="F72" s="87" t="str">
        <f t="shared" si="44"/>
        <v>viernes</v>
      </c>
      <c r="G72" s="87" t="str">
        <f t="shared" si="44"/>
        <v>sábado</v>
      </c>
      <c r="H72" s="122" t="str">
        <f t="shared" si="44"/>
        <v>domingo</v>
      </c>
      <c r="I72" s="122" t="str">
        <f t="shared" si="44"/>
        <v>lunes</v>
      </c>
      <c r="J72" s="87" t="str">
        <f t="shared" si="44"/>
        <v>martes</v>
      </c>
      <c r="K72" s="87" t="str">
        <f t="shared" si="44"/>
        <v>miércoles</v>
      </c>
      <c r="L72" s="87" t="str">
        <f t="shared" si="44"/>
        <v>jueves</v>
      </c>
      <c r="M72" s="87" t="str">
        <f t="shared" si="44"/>
        <v>viernes</v>
      </c>
      <c r="N72" s="87" t="str">
        <f t="shared" si="44"/>
        <v>sábado</v>
      </c>
      <c r="O72" s="122" t="str">
        <f t="shared" si="44"/>
        <v>domingo</v>
      </c>
      <c r="P72" s="122" t="str">
        <f t="shared" si="44"/>
        <v>lunes</v>
      </c>
      <c r="Q72" s="87" t="str">
        <f t="shared" si="44"/>
        <v>martes</v>
      </c>
      <c r="R72" s="87" t="str">
        <f t="shared" si="44"/>
        <v>miércoles</v>
      </c>
      <c r="S72" s="87" t="str">
        <f t="shared" si="44"/>
        <v>jueves</v>
      </c>
      <c r="T72" s="87" t="str">
        <f t="shared" si="44"/>
        <v>viernes</v>
      </c>
      <c r="U72" s="87" t="str">
        <f t="shared" si="44"/>
        <v>sábado</v>
      </c>
      <c r="V72" s="122" t="str">
        <f t="shared" si="44"/>
        <v>domingo</v>
      </c>
      <c r="W72" s="122" t="str">
        <f t="shared" si="44"/>
        <v>lunes</v>
      </c>
      <c r="X72" s="87" t="str">
        <f t="shared" si="44"/>
        <v>martes</v>
      </c>
      <c r="Y72" s="87" t="str">
        <f t="shared" si="44"/>
        <v>miércoles</v>
      </c>
      <c r="Z72" s="87" t="str">
        <f t="shared" si="44"/>
        <v>jueves</v>
      </c>
      <c r="AA72" s="87" t="str">
        <f t="shared" si="44"/>
        <v>viernes</v>
      </c>
      <c r="AB72" s="87" t="str">
        <f t="shared" si="44"/>
        <v>sábado</v>
      </c>
      <c r="AC72" s="122" t="str">
        <f t="shared" si="44"/>
        <v>domingo</v>
      </c>
      <c r="AD72" s="122" t="str">
        <f t="shared" si="44"/>
        <v>lunes</v>
      </c>
      <c r="AE72" s="87" t="str">
        <f t="shared" si="44"/>
        <v>martes</v>
      </c>
      <c r="AF72" s="122" t="str">
        <f t="shared" si="44"/>
        <v>miércoles</v>
      </c>
      <c r="AG72" s="87" t="str">
        <f t="shared" si="44"/>
        <v>jueves</v>
      </c>
      <c r="AH72" s="87"/>
    </row>
    <row r="73" spans="1:39">
      <c r="A73" s="721" t="s">
        <v>411</v>
      </c>
      <c r="B73" s="721"/>
      <c r="C73" s="721"/>
      <c r="D73" s="125">
        <f t="shared" ref="D73:I82" si="45">+D38</f>
        <v>46.271800879490002</v>
      </c>
      <c r="E73" s="125">
        <f t="shared" si="45"/>
        <v>1.58822592E-3</v>
      </c>
      <c r="F73" s="125">
        <f t="shared" si="45"/>
        <v>0</v>
      </c>
      <c r="G73" s="125">
        <f t="shared" si="45"/>
        <v>0</v>
      </c>
      <c r="H73" s="125">
        <f t="shared" si="45"/>
        <v>0</v>
      </c>
      <c r="I73" s="125">
        <f t="shared" si="45"/>
        <v>6.8379573659300004</v>
      </c>
      <c r="O73" s="133"/>
      <c r="P73" s="133"/>
      <c r="V73" s="133"/>
      <c r="W73" s="133"/>
      <c r="AC73" s="133"/>
      <c r="AD73" s="133"/>
    </row>
    <row r="74" spans="1:39" s="88" customFormat="1">
      <c r="A74" s="122">
        <f>+A39</f>
        <v>46113</v>
      </c>
      <c r="B74" s="123" t="str">
        <f t="shared" ref="B74:B103" si="46">+TEXT(A74,"dddddd")</f>
        <v>miércoles</v>
      </c>
      <c r="C74" s="125"/>
      <c r="D74" s="125">
        <f t="shared" si="45"/>
        <v>20.192189974779815</v>
      </c>
      <c r="E74" s="125">
        <f t="shared" si="45"/>
        <v>38.56809121743477</v>
      </c>
      <c r="F74" s="125">
        <f t="shared" si="45"/>
        <v>7.6514845033488372</v>
      </c>
      <c r="G74" s="125">
        <f t="shared" si="45"/>
        <v>0</v>
      </c>
      <c r="H74" s="125">
        <f t="shared" si="45"/>
        <v>0</v>
      </c>
      <c r="I74" s="125">
        <f t="shared" si="45"/>
        <v>2.6466043511248154</v>
      </c>
      <c r="J74" s="125">
        <f t="shared" ref="J74:AG74" si="47">+J39</f>
        <v>0.38141206514718617</v>
      </c>
      <c r="K74" s="125">
        <f t="shared" si="47"/>
        <v>0</v>
      </c>
      <c r="L74" s="125">
        <f t="shared" si="47"/>
        <v>1.171594463787916E-2</v>
      </c>
      <c r="M74" s="125">
        <f t="shared" si="47"/>
        <v>0</v>
      </c>
      <c r="N74" s="125">
        <f t="shared" si="47"/>
        <v>0</v>
      </c>
      <c r="O74" s="125">
        <f t="shared" si="47"/>
        <v>0</v>
      </c>
      <c r="P74" s="125">
        <f t="shared" si="47"/>
        <v>0</v>
      </c>
      <c r="Q74" s="125" t="str">
        <f t="shared" si="47"/>
        <v/>
      </c>
      <c r="R74" s="125" t="str">
        <f t="shared" si="47"/>
        <v/>
      </c>
      <c r="S74" s="125" t="str">
        <f t="shared" si="47"/>
        <v/>
      </c>
      <c r="T74" s="125" t="str">
        <f t="shared" si="47"/>
        <v/>
      </c>
      <c r="U74" s="125" t="str">
        <f t="shared" si="47"/>
        <v/>
      </c>
      <c r="V74" s="125" t="str">
        <f t="shared" si="47"/>
        <v/>
      </c>
      <c r="W74" s="125" t="str">
        <f t="shared" si="47"/>
        <v/>
      </c>
      <c r="X74" s="125" t="str">
        <f t="shared" si="47"/>
        <v/>
      </c>
      <c r="Y74" s="125" t="str">
        <f t="shared" si="47"/>
        <v/>
      </c>
      <c r="Z74" s="125" t="str">
        <f t="shared" si="47"/>
        <v/>
      </c>
      <c r="AA74" s="125" t="str">
        <f t="shared" si="47"/>
        <v/>
      </c>
      <c r="AB74" s="125" t="str">
        <f t="shared" si="47"/>
        <v/>
      </c>
      <c r="AC74" s="125" t="str">
        <f t="shared" si="47"/>
        <v/>
      </c>
      <c r="AD74" s="125" t="str">
        <f t="shared" si="47"/>
        <v/>
      </c>
      <c r="AE74" s="125" t="str">
        <f t="shared" si="47"/>
        <v/>
      </c>
      <c r="AF74" s="125" t="str">
        <f t="shared" si="47"/>
        <v/>
      </c>
      <c r="AG74" s="125" t="str">
        <f t="shared" si="47"/>
        <v/>
      </c>
    </row>
    <row r="75" spans="1:39" s="88" customFormat="1">
      <c r="A75" s="122">
        <f>+A74+1</f>
        <v>46114</v>
      </c>
      <c r="B75" s="123" t="str">
        <f t="shared" si="46"/>
        <v>jueves</v>
      </c>
      <c r="C75" s="125"/>
      <c r="D75" s="125">
        <f t="shared" si="45"/>
        <v>0</v>
      </c>
      <c r="E75" s="125">
        <f t="shared" si="45"/>
        <v>16.12137038410842</v>
      </c>
      <c r="F75" s="125">
        <f t="shared" si="45"/>
        <v>31.066502463810611</v>
      </c>
      <c r="G75" s="125">
        <f t="shared" si="45"/>
        <v>0</v>
      </c>
      <c r="H75" s="125">
        <f t="shared" si="45"/>
        <v>0</v>
      </c>
      <c r="I75" s="125">
        <f t="shared" si="45"/>
        <v>6.3255085266667139</v>
      </c>
      <c r="J75" s="125">
        <f t="shared" ref="J75:AG75" si="48">+J40</f>
        <v>0.10155560461278197</v>
      </c>
      <c r="K75" s="125">
        <f t="shared" si="48"/>
        <v>0.41252650797742746</v>
      </c>
      <c r="L75" s="125">
        <f t="shared" si="48"/>
        <v>1.6156880880983326E-2</v>
      </c>
      <c r="M75" s="125">
        <f t="shared" si="48"/>
        <v>8.5343850390083173E-2</v>
      </c>
      <c r="N75" s="125">
        <f t="shared" si="48"/>
        <v>0</v>
      </c>
      <c r="O75" s="125">
        <f t="shared" si="48"/>
        <v>0</v>
      </c>
      <c r="P75" s="125">
        <f t="shared" si="48"/>
        <v>0</v>
      </c>
      <c r="Q75" s="125" t="str">
        <f t="shared" si="48"/>
        <v/>
      </c>
      <c r="R75" s="125" t="str">
        <f t="shared" si="48"/>
        <v/>
      </c>
      <c r="S75" s="125" t="str">
        <f t="shared" si="48"/>
        <v/>
      </c>
      <c r="T75" s="125" t="str">
        <f t="shared" si="48"/>
        <v/>
      </c>
      <c r="U75" s="125" t="str">
        <f t="shared" si="48"/>
        <v/>
      </c>
      <c r="V75" s="125" t="str">
        <f t="shared" si="48"/>
        <v/>
      </c>
      <c r="W75" s="125" t="str">
        <f t="shared" si="48"/>
        <v/>
      </c>
      <c r="X75" s="125" t="str">
        <f t="shared" si="48"/>
        <v/>
      </c>
      <c r="Y75" s="125" t="str">
        <f t="shared" si="48"/>
        <v/>
      </c>
      <c r="Z75" s="125" t="str">
        <f t="shared" si="48"/>
        <v/>
      </c>
      <c r="AA75" s="125" t="str">
        <f t="shared" si="48"/>
        <v/>
      </c>
      <c r="AB75" s="125" t="str">
        <f t="shared" si="48"/>
        <v/>
      </c>
      <c r="AC75" s="125" t="str">
        <f t="shared" si="48"/>
        <v/>
      </c>
      <c r="AD75" s="125" t="str">
        <f t="shared" si="48"/>
        <v/>
      </c>
      <c r="AE75" s="125" t="str">
        <f t="shared" si="48"/>
        <v/>
      </c>
      <c r="AF75" s="125" t="str">
        <f t="shared" si="48"/>
        <v/>
      </c>
      <c r="AG75" s="125" t="str">
        <f t="shared" si="48"/>
        <v/>
      </c>
    </row>
    <row r="76" spans="1:39" s="88" customFormat="1">
      <c r="A76" s="87">
        <f t="shared" ref="A76:A103" si="49">+A75+1</f>
        <v>46115</v>
      </c>
      <c r="B76" s="35" t="str">
        <f t="shared" si="46"/>
        <v>viernes</v>
      </c>
      <c r="C76" s="121"/>
      <c r="D76" s="125">
        <f t="shared" si="45"/>
        <v>0</v>
      </c>
      <c r="E76" s="125">
        <f t="shared" si="45"/>
        <v>0</v>
      </c>
      <c r="F76" s="125">
        <f t="shared" si="45"/>
        <v>10.787635705722399</v>
      </c>
      <c r="G76" s="125">
        <f t="shared" si="45"/>
        <v>0</v>
      </c>
      <c r="H76" s="125">
        <f t="shared" si="45"/>
        <v>0</v>
      </c>
      <c r="I76" s="125">
        <f t="shared" si="45"/>
        <v>23.85355929355433</v>
      </c>
      <c r="J76" s="125">
        <f t="shared" ref="J76:AG76" si="50">+J41</f>
        <v>0.33333572881942897</v>
      </c>
      <c r="K76" s="125">
        <f t="shared" si="50"/>
        <v>1.6519827692437763</v>
      </c>
      <c r="L76" s="125">
        <f t="shared" si="50"/>
        <v>0.1408341204649623</v>
      </c>
      <c r="M76" s="125">
        <f t="shared" si="50"/>
        <v>0.18685882629446157</v>
      </c>
      <c r="N76" s="125">
        <f t="shared" si="50"/>
        <v>5.3534797961804189E-4</v>
      </c>
      <c r="O76" s="125">
        <f t="shared" si="50"/>
        <v>0</v>
      </c>
      <c r="P76" s="125">
        <f t="shared" si="50"/>
        <v>9.1068886196444786E-3</v>
      </c>
      <c r="Q76" s="125" t="str">
        <f t="shared" si="50"/>
        <v/>
      </c>
      <c r="R76" s="125" t="str">
        <f t="shared" si="50"/>
        <v/>
      </c>
      <c r="S76" s="125" t="str">
        <f t="shared" si="50"/>
        <v/>
      </c>
      <c r="T76" s="125" t="str">
        <f t="shared" si="50"/>
        <v/>
      </c>
      <c r="U76" s="125" t="str">
        <f t="shared" si="50"/>
        <v/>
      </c>
      <c r="V76" s="125" t="str">
        <f t="shared" si="50"/>
        <v/>
      </c>
      <c r="W76" s="125" t="str">
        <f t="shared" si="50"/>
        <v/>
      </c>
      <c r="X76" s="125" t="str">
        <f t="shared" si="50"/>
        <v/>
      </c>
      <c r="Y76" s="125" t="str">
        <f t="shared" si="50"/>
        <v/>
      </c>
      <c r="Z76" s="125" t="str">
        <f t="shared" si="50"/>
        <v/>
      </c>
      <c r="AA76" s="125" t="str">
        <f t="shared" si="50"/>
        <v/>
      </c>
      <c r="AB76" s="125" t="str">
        <f t="shared" si="50"/>
        <v/>
      </c>
      <c r="AC76" s="125" t="str">
        <f t="shared" si="50"/>
        <v/>
      </c>
      <c r="AD76" s="125" t="str">
        <f t="shared" si="50"/>
        <v/>
      </c>
      <c r="AE76" s="125" t="str">
        <f t="shared" si="50"/>
        <v/>
      </c>
      <c r="AF76" s="125" t="str">
        <f t="shared" si="50"/>
        <v/>
      </c>
      <c r="AG76" s="125" t="str">
        <f t="shared" si="50"/>
        <v/>
      </c>
    </row>
    <row r="77" spans="1:39" s="88" customFormat="1">
      <c r="A77" s="87">
        <f t="shared" si="49"/>
        <v>46116</v>
      </c>
      <c r="B77" s="35" t="str">
        <f t="shared" si="46"/>
        <v>sábado</v>
      </c>
      <c r="C77" s="121"/>
      <c r="D77" s="125">
        <f t="shared" si="45"/>
        <v>0</v>
      </c>
      <c r="E77" s="125">
        <f t="shared" si="45"/>
        <v>0</v>
      </c>
      <c r="F77" s="125">
        <f t="shared" si="45"/>
        <v>0</v>
      </c>
      <c r="G77" s="125">
        <f t="shared" si="45"/>
        <v>10.000961066721317</v>
      </c>
      <c r="H77" s="125">
        <f t="shared" si="45"/>
        <v>0</v>
      </c>
      <c r="I77" s="125">
        <f t="shared" si="45"/>
        <v>35.144660583439105</v>
      </c>
      <c r="J77" s="125">
        <f t="shared" ref="J77:AG77" si="51">+J42</f>
        <v>1.3381855592243341</v>
      </c>
      <c r="K77" s="125">
        <f t="shared" si="51"/>
        <v>2.7470396914751456</v>
      </c>
      <c r="L77" s="125">
        <f t="shared" si="51"/>
        <v>7.5791626026084871E-2</v>
      </c>
      <c r="M77" s="125">
        <f t="shared" si="51"/>
        <v>4.0426629838138772E-2</v>
      </c>
      <c r="N77" s="125">
        <f t="shared" si="51"/>
        <v>7.708944435063774E-4</v>
      </c>
      <c r="O77" s="125">
        <f t="shared" si="51"/>
        <v>0</v>
      </c>
      <c r="P77" s="125">
        <f t="shared" si="51"/>
        <v>1.7186211611589175E-2</v>
      </c>
      <c r="Q77" s="125" t="str">
        <f t="shared" si="51"/>
        <v/>
      </c>
      <c r="R77" s="125" t="str">
        <f t="shared" si="51"/>
        <v/>
      </c>
      <c r="S77" s="125" t="str">
        <f t="shared" si="51"/>
        <v/>
      </c>
      <c r="T77" s="125" t="str">
        <f t="shared" si="51"/>
        <v/>
      </c>
      <c r="U77" s="125" t="str">
        <f t="shared" si="51"/>
        <v/>
      </c>
      <c r="V77" s="125" t="str">
        <f t="shared" si="51"/>
        <v/>
      </c>
      <c r="W77" s="125" t="str">
        <f t="shared" si="51"/>
        <v/>
      </c>
      <c r="X77" s="125" t="str">
        <f t="shared" si="51"/>
        <v/>
      </c>
      <c r="Y77" s="125" t="str">
        <f t="shared" si="51"/>
        <v/>
      </c>
      <c r="Z77" s="125" t="str">
        <f t="shared" si="51"/>
        <v/>
      </c>
      <c r="AA77" s="125" t="str">
        <f t="shared" si="51"/>
        <v/>
      </c>
      <c r="AB77" s="125" t="str">
        <f t="shared" si="51"/>
        <v/>
      </c>
      <c r="AC77" s="125" t="str">
        <f t="shared" si="51"/>
        <v/>
      </c>
      <c r="AD77" s="125" t="str">
        <f t="shared" si="51"/>
        <v/>
      </c>
      <c r="AE77" s="125" t="str">
        <f t="shared" si="51"/>
        <v/>
      </c>
      <c r="AF77" s="125" t="str">
        <f t="shared" si="51"/>
        <v/>
      </c>
      <c r="AG77" s="125" t="str">
        <f t="shared" si="51"/>
        <v/>
      </c>
    </row>
    <row r="78" spans="1:39" s="88" customFormat="1">
      <c r="A78" s="87">
        <f t="shared" si="49"/>
        <v>46117</v>
      </c>
      <c r="B78" s="35" t="str">
        <f t="shared" si="46"/>
        <v>domingo</v>
      </c>
      <c r="C78" s="121"/>
      <c r="D78" s="125">
        <f t="shared" si="45"/>
        <v>0</v>
      </c>
      <c r="E78" s="125">
        <f t="shared" si="45"/>
        <v>0</v>
      </c>
      <c r="F78" s="125">
        <f t="shared" si="45"/>
        <v>0</v>
      </c>
      <c r="G78" s="125">
        <f t="shared" si="45"/>
        <v>0</v>
      </c>
      <c r="H78" s="125">
        <f t="shared" si="45"/>
        <v>6.4622255701534925</v>
      </c>
      <c r="I78" s="125">
        <f t="shared" si="45"/>
        <v>25.546042422746694</v>
      </c>
      <c r="J78" s="125">
        <f t="shared" ref="J78:AG78" si="52">+J43</f>
        <v>5.2713999438256431</v>
      </c>
      <c r="K78" s="125">
        <f t="shared" si="52"/>
        <v>2.2975611615830087</v>
      </c>
      <c r="L78" s="125">
        <f t="shared" si="52"/>
        <v>0.28664482908533395</v>
      </c>
      <c r="M78" s="125">
        <f t="shared" si="52"/>
        <v>2.8133007979454814E-2</v>
      </c>
      <c r="N78" s="125">
        <f t="shared" si="52"/>
        <v>7.3382383054684764E-4</v>
      </c>
      <c r="O78" s="125">
        <f t="shared" si="52"/>
        <v>0</v>
      </c>
      <c r="P78" s="125">
        <f t="shared" si="52"/>
        <v>4.6668728312137676E-2</v>
      </c>
      <c r="Q78" s="125" t="str">
        <f t="shared" si="52"/>
        <v/>
      </c>
      <c r="R78" s="125" t="str">
        <f t="shared" si="52"/>
        <v/>
      </c>
      <c r="S78" s="125" t="str">
        <f t="shared" si="52"/>
        <v/>
      </c>
      <c r="T78" s="125" t="str">
        <f t="shared" si="52"/>
        <v/>
      </c>
      <c r="U78" s="125" t="str">
        <f t="shared" si="52"/>
        <v/>
      </c>
      <c r="V78" s="125" t="str">
        <f t="shared" si="52"/>
        <v/>
      </c>
      <c r="W78" s="125" t="str">
        <f t="shared" si="52"/>
        <v/>
      </c>
      <c r="X78" s="125" t="str">
        <f t="shared" si="52"/>
        <v/>
      </c>
      <c r="Y78" s="125" t="str">
        <f t="shared" si="52"/>
        <v/>
      </c>
      <c r="Z78" s="125" t="str">
        <f t="shared" si="52"/>
        <v/>
      </c>
      <c r="AA78" s="125" t="str">
        <f t="shared" si="52"/>
        <v/>
      </c>
      <c r="AB78" s="125" t="str">
        <f t="shared" si="52"/>
        <v/>
      </c>
      <c r="AC78" s="125" t="str">
        <f t="shared" si="52"/>
        <v/>
      </c>
      <c r="AD78" s="125" t="str">
        <f t="shared" si="52"/>
        <v/>
      </c>
      <c r="AE78" s="125" t="str">
        <f t="shared" si="52"/>
        <v/>
      </c>
      <c r="AF78" s="125" t="str">
        <f t="shared" si="52"/>
        <v/>
      </c>
      <c r="AG78" s="125" t="str">
        <f t="shared" si="52"/>
        <v/>
      </c>
    </row>
    <row r="79" spans="1:39" s="88" customFormat="1">
      <c r="A79" s="87">
        <f t="shared" si="49"/>
        <v>46118</v>
      </c>
      <c r="B79" s="35" t="str">
        <f t="shared" si="46"/>
        <v>lunes</v>
      </c>
      <c r="C79" s="121"/>
      <c r="D79" s="125" t="str">
        <f t="shared" si="45"/>
        <v/>
      </c>
      <c r="E79" s="125" t="str">
        <f t="shared" si="45"/>
        <v/>
      </c>
      <c r="F79" s="125" t="str">
        <f t="shared" si="45"/>
        <v/>
      </c>
      <c r="G79" s="125" t="str">
        <f t="shared" si="45"/>
        <v/>
      </c>
      <c r="H79" s="125" t="str">
        <f t="shared" si="45"/>
        <v/>
      </c>
      <c r="I79" s="125">
        <f t="shared" si="45"/>
        <v>20.048675985806796</v>
      </c>
      <c r="J79" s="125">
        <f t="shared" ref="J79:AG79" si="53">+J44</f>
        <v>32.580970791899652</v>
      </c>
      <c r="K79" s="125">
        <f t="shared" si="53"/>
        <v>5.5507623669028723</v>
      </c>
      <c r="L79" s="125">
        <f t="shared" si="53"/>
        <v>3.1578408773678497</v>
      </c>
      <c r="M79" s="125">
        <f t="shared" si="53"/>
        <v>0.12467760408408494</v>
      </c>
      <c r="N79" s="125">
        <f t="shared" si="53"/>
        <v>2.54706794329485E-4</v>
      </c>
      <c r="O79" s="125">
        <f t="shared" si="53"/>
        <v>0</v>
      </c>
      <c r="P79" s="125">
        <f t="shared" si="53"/>
        <v>9.4922048156879366E-2</v>
      </c>
      <c r="Q79" s="125">
        <f t="shared" si="53"/>
        <v>1.0025715263197921E-2</v>
      </c>
      <c r="R79" s="125">
        <f t="shared" si="53"/>
        <v>0</v>
      </c>
      <c r="S79" s="125">
        <f t="shared" si="53"/>
        <v>0</v>
      </c>
      <c r="T79" s="125">
        <f t="shared" si="53"/>
        <v>0</v>
      </c>
      <c r="U79" s="125">
        <f t="shared" si="53"/>
        <v>0</v>
      </c>
      <c r="V79" s="125">
        <f t="shared" si="53"/>
        <v>0</v>
      </c>
      <c r="W79" s="125">
        <f t="shared" si="53"/>
        <v>0</v>
      </c>
      <c r="X79" s="125" t="str">
        <f t="shared" si="53"/>
        <v/>
      </c>
      <c r="Y79" s="125" t="str">
        <f t="shared" si="53"/>
        <v/>
      </c>
      <c r="Z79" s="125" t="str">
        <f t="shared" si="53"/>
        <v/>
      </c>
      <c r="AA79" s="125" t="str">
        <f t="shared" si="53"/>
        <v/>
      </c>
      <c r="AB79" s="125" t="str">
        <f t="shared" si="53"/>
        <v/>
      </c>
      <c r="AC79" s="125" t="str">
        <f t="shared" si="53"/>
        <v/>
      </c>
      <c r="AD79" s="125" t="str">
        <f t="shared" si="53"/>
        <v/>
      </c>
      <c r="AE79" s="125" t="str">
        <f t="shared" si="53"/>
        <v/>
      </c>
      <c r="AF79" s="125" t="str">
        <f t="shared" si="53"/>
        <v/>
      </c>
      <c r="AG79" s="125" t="str">
        <f t="shared" si="53"/>
        <v/>
      </c>
    </row>
    <row r="80" spans="1:39" s="88" customFormat="1">
      <c r="A80" s="87">
        <f t="shared" si="49"/>
        <v>46119</v>
      </c>
      <c r="B80" s="35" t="str">
        <f t="shared" si="46"/>
        <v>martes</v>
      </c>
      <c r="C80" s="121"/>
      <c r="D80" s="125" t="str">
        <f t="shared" si="45"/>
        <v/>
      </c>
      <c r="E80" s="125" t="str">
        <f t="shared" si="45"/>
        <v/>
      </c>
      <c r="F80" s="125" t="str">
        <f t="shared" si="45"/>
        <v/>
      </c>
      <c r="G80" s="125" t="str">
        <f t="shared" si="45"/>
        <v/>
      </c>
      <c r="H80" s="125" t="str">
        <f t="shared" si="45"/>
        <v/>
      </c>
      <c r="I80" s="125">
        <f t="shared" si="45"/>
        <v>0</v>
      </c>
      <c r="J80" s="125">
        <f t="shared" ref="J80:AG80" si="54">+J45</f>
        <v>18.979962921701354</v>
      </c>
      <c r="K80" s="125">
        <f t="shared" si="54"/>
        <v>32.127173161273532</v>
      </c>
      <c r="L80" s="125">
        <f t="shared" si="54"/>
        <v>10.968495219989659</v>
      </c>
      <c r="M80" s="125">
        <f t="shared" si="54"/>
        <v>0.69249475867785926</v>
      </c>
      <c r="N80" s="125">
        <f t="shared" si="54"/>
        <v>0</v>
      </c>
      <c r="O80" s="125">
        <f t="shared" si="54"/>
        <v>0</v>
      </c>
      <c r="P80" s="125">
        <f t="shared" si="54"/>
        <v>0.57753799943165285</v>
      </c>
      <c r="Q80" s="125">
        <f t="shared" si="54"/>
        <v>5.8528260218249924E-2</v>
      </c>
      <c r="R80" s="125">
        <f t="shared" si="54"/>
        <v>1.8523999874966623E-2</v>
      </c>
      <c r="S80" s="125">
        <f t="shared" si="54"/>
        <v>0</v>
      </c>
      <c r="T80" s="125">
        <f t="shared" si="54"/>
        <v>0</v>
      </c>
      <c r="U80" s="125">
        <f t="shared" si="54"/>
        <v>0</v>
      </c>
      <c r="V80" s="125">
        <f t="shared" si="54"/>
        <v>0</v>
      </c>
      <c r="W80" s="125">
        <f t="shared" si="54"/>
        <v>0</v>
      </c>
      <c r="X80" s="125" t="str">
        <f t="shared" si="54"/>
        <v/>
      </c>
      <c r="Y80" s="125" t="str">
        <f t="shared" si="54"/>
        <v/>
      </c>
      <c r="Z80" s="125" t="str">
        <f t="shared" si="54"/>
        <v/>
      </c>
      <c r="AA80" s="125" t="str">
        <f t="shared" si="54"/>
        <v/>
      </c>
      <c r="AB80" s="125" t="str">
        <f t="shared" si="54"/>
        <v/>
      </c>
      <c r="AC80" s="125" t="str">
        <f t="shared" si="54"/>
        <v/>
      </c>
      <c r="AD80" s="125" t="str">
        <f t="shared" si="54"/>
        <v/>
      </c>
      <c r="AE80" s="125" t="str">
        <f t="shared" si="54"/>
        <v/>
      </c>
      <c r="AF80" s="125" t="str">
        <f t="shared" si="54"/>
        <v/>
      </c>
      <c r="AG80" s="125" t="str">
        <f t="shared" si="54"/>
        <v/>
      </c>
    </row>
    <row r="81" spans="1:33" s="88" customFormat="1">
      <c r="A81" s="122">
        <f t="shared" si="49"/>
        <v>46120</v>
      </c>
      <c r="B81" s="123" t="str">
        <f t="shared" si="46"/>
        <v>miércoles</v>
      </c>
      <c r="C81" s="125"/>
      <c r="D81" s="125" t="str">
        <f t="shared" si="45"/>
        <v/>
      </c>
      <c r="E81" s="125" t="str">
        <f t="shared" si="45"/>
        <v/>
      </c>
      <c r="F81" s="125" t="str">
        <f t="shared" si="45"/>
        <v/>
      </c>
      <c r="G81" s="125" t="str">
        <f t="shared" si="45"/>
        <v/>
      </c>
      <c r="H81" s="125" t="str">
        <f t="shared" si="45"/>
        <v/>
      </c>
      <c r="I81" s="125">
        <f t="shared" si="45"/>
        <v>0</v>
      </c>
      <c r="J81" s="125">
        <f t="shared" ref="J81:AG81" si="55">+J46</f>
        <v>0</v>
      </c>
      <c r="K81" s="125">
        <f t="shared" si="55"/>
        <v>16.272726308057763</v>
      </c>
      <c r="L81" s="125">
        <f t="shared" si="55"/>
        <v>31.081719882261854</v>
      </c>
      <c r="M81" s="125">
        <f t="shared" si="55"/>
        <v>6.1662708863602909</v>
      </c>
      <c r="N81" s="125">
        <f t="shared" si="55"/>
        <v>0</v>
      </c>
      <c r="O81" s="125">
        <f t="shared" si="55"/>
        <v>0</v>
      </c>
      <c r="P81" s="125">
        <f t="shared" si="55"/>
        <v>2.132877528656401</v>
      </c>
      <c r="Q81" s="125">
        <f t="shared" si="55"/>
        <v>0.30737696874303189</v>
      </c>
      <c r="R81" s="125">
        <f t="shared" si="55"/>
        <v>0</v>
      </c>
      <c r="S81" s="125">
        <f t="shared" si="55"/>
        <v>9.4417871845841449E-3</v>
      </c>
      <c r="T81" s="125">
        <f t="shared" si="55"/>
        <v>0</v>
      </c>
      <c r="U81" s="125">
        <f t="shared" si="55"/>
        <v>0</v>
      </c>
      <c r="V81" s="125">
        <f t="shared" si="55"/>
        <v>0</v>
      </c>
      <c r="W81" s="125">
        <f t="shared" si="55"/>
        <v>0</v>
      </c>
      <c r="X81" s="125" t="str">
        <f t="shared" si="55"/>
        <v/>
      </c>
      <c r="Y81" s="125" t="str">
        <f t="shared" si="55"/>
        <v/>
      </c>
      <c r="Z81" s="125" t="str">
        <f t="shared" si="55"/>
        <v/>
      </c>
      <c r="AA81" s="125" t="str">
        <f t="shared" si="55"/>
        <v/>
      </c>
      <c r="AB81" s="125" t="str">
        <f t="shared" si="55"/>
        <v/>
      </c>
      <c r="AC81" s="125" t="str">
        <f t="shared" si="55"/>
        <v/>
      </c>
      <c r="AD81" s="125" t="str">
        <f t="shared" si="55"/>
        <v/>
      </c>
      <c r="AE81" s="125" t="str">
        <f t="shared" si="55"/>
        <v/>
      </c>
      <c r="AF81" s="125" t="str">
        <f t="shared" si="55"/>
        <v/>
      </c>
      <c r="AG81" s="125" t="str">
        <f t="shared" si="55"/>
        <v/>
      </c>
    </row>
    <row r="82" spans="1:33" s="88" customFormat="1">
      <c r="A82" s="122">
        <f t="shared" si="49"/>
        <v>46121</v>
      </c>
      <c r="B82" s="123" t="str">
        <f t="shared" si="46"/>
        <v>jueves</v>
      </c>
      <c r="C82" s="125"/>
      <c r="D82" s="125" t="str">
        <f t="shared" si="45"/>
        <v/>
      </c>
      <c r="E82" s="125" t="str">
        <f t="shared" si="45"/>
        <v/>
      </c>
      <c r="F82" s="125" t="str">
        <f t="shared" si="45"/>
        <v/>
      </c>
      <c r="G82" s="125" t="str">
        <f t="shared" si="45"/>
        <v/>
      </c>
      <c r="H82" s="125" t="str">
        <f t="shared" si="45"/>
        <v/>
      </c>
      <c r="I82" s="125">
        <f t="shared" si="45"/>
        <v>0</v>
      </c>
      <c r="J82" s="125">
        <f t="shared" ref="J82:AG82" si="56">+J47</f>
        <v>0</v>
      </c>
      <c r="K82" s="125">
        <f t="shared" si="56"/>
        <v>0</v>
      </c>
      <c r="L82" s="125">
        <f t="shared" si="56"/>
        <v>15.493615135023655</v>
      </c>
      <c r="M82" s="125">
        <f t="shared" si="56"/>
        <v>29.856793888937467</v>
      </c>
      <c r="N82" s="125">
        <f t="shared" si="56"/>
        <v>0</v>
      </c>
      <c r="O82" s="125">
        <f t="shared" si="56"/>
        <v>0</v>
      </c>
      <c r="P82" s="125">
        <f t="shared" si="56"/>
        <v>6.079197506813232</v>
      </c>
      <c r="Q82" s="125">
        <f t="shared" si="56"/>
        <v>9.7601098119184243E-2</v>
      </c>
      <c r="R82" s="125">
        <f t="shared" si="56"/>
        <v>0.39646300502455734</v>
      </c>
      <c r="S82" s="125">
        <f t="shared" si="56"/>
        <v>1.5527742877189768E-2</v>
      </c>
      <c r="T82" s="125">
        <f t="shared" si="56"/>
        <v>8.2020618631057834E-2</v>
      </c>
      <c r="U82" s="125">
        <f t="shared" si="56"/>
        <v>0</v>
      </c>
      <c r="V82" s="125">
        <f t="shared" si="56"/>
        <v>0</v>
      </c>
      <c r="W82" s="125">
        <f t="shared" si="56"/>
        <v>0</v>
      </c>
      <c r="X82" s="125" t="str">
        <f t="shared" si="56"/>
        <v/>
      </c>
      <c r="Y82" s="125" t="str">
        <f t="shared" si="56"/>
        <v/>
      </c>
      <c r="Z82" s="125" t="str">
        <f t="shared" si="56"/>
        <v/>
      </c>
      <c r="AA82" s="125" t="str">
        <f t="shared" si="56"/>
        <v/>
      </c>
      <c r="AB82" s="125" t="str">
        <f t="shared" si="56"/>
        <v/>
      </c>
      <c r="AC82" s="125" t="str">
        <f t="shared" si="56"/>
        <v/>
      </c>
      <c r="AD82" s="125" t="str">
        <f t="shared" si="56"/>
        <v/>
      </c>
      <c r="AE82" s="125" t="str">
        <f t="shared" si="56"/>
        <v/>
      </c>
      <c r="AF82" s="125" t="str">
        <f t="shared" si="56"/>
        <v/>
      </c>
      <c r="AG82" s="125" t="str">
        <f t="shared" si="56"/>
        <v/>
      </c>
    </row>
    <row r="83" spans="1:33" s="88" customFormat="1">
      <c r="A83" s="87">
        <f t="shared" si="49"/>
        <v>46122</v>
      </c>
      <c r="B83" s="35" t="str">
        <f t="shared" si="46"/>
        <v>viernes</v>
      </c>
      <c r="C83" s="121"/>
      <c r="D83" s="125" t="str">
        <f t="shared" ref="D83:I92" si="57">+D48</f>
        <v/>
      </c>
      <c r="E83" s="125" t="str">
        <f t="shared" si="57"/>
        <v/>
      </c>
      <c r="F83" s="125" t="str">
        <f t="shared" si="57"/>
        <v/>
      </c>
      <c r="G83" s="125" t="str">
        <f t="shared" si="57"/>
        <v/>
      </c>
      <c r="H83" s="125" t="str">
        <f t="shared" si="57"/>
        <v/>
      </c>
      <c r="I83" s="125">
        <f t="shared" si="57"/>
        <v>0</v>
      </c>
      <c r="J83" s="125">
        <f t="shared" ref="J83:AG83" si="58">+J48</f>
        <v>0</v>
      </c>
      <c r="K83" s="125">
        <f t="shared" si="58"/>
        <v>0</v>
      </c>
      <c r="L83" s="125">
        <f t="shared" si="58"/>
        <v>0</v>
      </c>
      <c r="M83" s="125">
        <f t="shared" si="58"/>
        <v>16.895915029571544</v>
      </c>
      <c r="N83" s="125">
        <f t="shared" si="58"/>
        <v>0</v>
      </c>
      <c r="O83" s="125">
        <f t="shared" si="58"/>
        <v>0</v>
      </c>
      <c r="P83" s="125">
        <f t="shared" si="58"/>
        <v>37.360152119611421</v>
      </c>
      <c r="Q83" s="125">
        <f t="shared" si="58"/>
        <v>0.52208030601791844</v>
      </c>
      <c r="R83" s="125">
        <f t="shared" si="58"/>
        <v>2.5873844149791867</v>
      </c>
      <c r="S83" s="125">
        <f t="shared" si="58"/>
        <v>0.22057857695159347</v>
      </c>
      <c r="T83" s="125">
        <f t="shared" si="58"/>
        <v>0.29266383642543214</v>
      </c>
      <c r="U83" s="125">
        <f t="shared" si="58"/>
        <v>8.3847788538883713E-4</v>
      </c>
      <c r="V83" s="125">
        <f t="shared" si="58"/>
        <v>0</v>
      </c>
      <c r="W83" s="125">
        <f t="shared" si="58"/>
        <v>1.4263479088347769E-2</v>
      </c>
      <c r="X83" s="125" t="str">
        <f t="shared" si="58"/>
        <v/>
      </c>
      <c r="Y83" s="125" t="str">
        <f t="shared" si="58"/>
        <v/>
      </c>
      <c r="Z83" s="125" t="str">
        <f t="shared" si="58"/>
        <v/>
      </c>
      <c r="AA83" s="125" t="str">
        <f t="shared" si="58"/>
        <v/>
      </c>
      <c r="AB83" s="125" t="str">
        <f t="shared" si="58"/>
        <v/>
      </c>
      <c r="AC83" s="125" t="str">
        <f t="shared" si="58"/>
        <v/>
      </c>
      <c r="AD83" s="125" t="str">
        <f t="shared" si="58"/>
        <v/>
      </c>
      <c r="AE83" s="125" t="str">
        <f t="shared" si="58"/>
        <v/>
      </c>
      <c r="AF83" s="125" t="str">
        <f t="shared" si="58"/>
        <v/>
      </c>
      <c r="AG83" s="125" t="str">
        <f t="shared" si="58"/>
        <v/>
      </c>
    </row>
    <row r="84" spans="1:33" s="88" customFormat="1">
      <c r="A84" s="87">
        <f t="shared" si="49"/>
        <v>46123</v>
      </c>
      <c r="B84" s="35" t="str">
        <f t="shared" si="46"/>
        <v>sábado</v>
      </c>
      <c r="C84" s="121"/>
      <c r="D84" s="125" t="str">
        <f t="shared" si="57"/>
        <v/>
      </c>
      <c r="E84" s="125" t="str">
        <f t="shared" si="57"/>
        <v/>
      </c>
      <c r="F84" s="125" t="str">
        <f t="shared" si="57"/>
        <v/>
      </c>
      <c r="G84" s="125" t="str">
        <f t="shared" si="57"/>
        <v/>
      </c>
      <c r="H84" s="125" t="str">
        <f t="shared" si="57"/>
        <v/>
      </c>
      <c r="I84" s="125">
        <f t="shared" si="57"/>
        <v>0</v>
      </c>
      <c r="J84" s="125">
        <f t="shared" ref="J84:AG84" si="59">+J49</f>
        <v>0</v>
      </c>
      <c r="K84" s="125">
        <f t="shared" si="59"/>
        <v>0</v>
      </c>
      <c r="L84" s="125">
        <f t="shared" si="59"/>
        <v>0</v>
      </c>
      <c r="M84" s="125">
        <f t="shared" si="59"/>
        <v>0</v>
      </c>
      <c r="N84" s="125">
        <f t="shared" si="59"/>
        <v>10.650319261763183</v>
      </c>
      <c r="O84" s="125">
        <f t="shared" si="59"/>
        <v>0</v>
      </c>
      <c r="P84" s="125">
        <f t="shared" si="59"/>
        <v>37.426588611112429</v>
      </c>
      <c r="Q84" s="125">
        <f t="shared" si="59"/>
        <v>1.4250733846614829</v>
      </c>
      <c r="R84" s="125">
        <f t="shared" si="59"/>
        <v>2.9254038230684971</v>
      </c>
      <c r="S84" s="125">
        <f t="shared" si="59"/>
        <v>8.0712744421331403E-2</v>
      </c>
      <c r="T84" s="125">
        <f t="shared" si="59"/>
        <v>4.3051513907598066E-2</v>
      </c>
      <c r="U84" s="125">
        <f t="shared" si="59"/>
        <v>8.2094829543755143E-4</v>
      </c>
      <c r="V84" s="125">
        <f t="shared" si="59"/>
        <v>0</v>
      </c>
      <c r="W84" s="125">
        <f t="shared" si="59"/>
        <v>1.8302105101950277E-2</v>
      </c>
      <c r="X84" s="125" t="str">
        <f t="shared" si="59"/>
        <v/>
      </c>
      <c r="Y84" s="125" t="str">
        <f t="shared" si="59"/>
        <v/>
      </c>
      <c r="Z84" s="125" t="str">
        <f t="shared" si="59"/>
        <v/>
      </c>
      <c r="AA84" s="125" t="str">
        <f t="shared" si="59"/>
        <v/>
      </c>
      <c r="AB84" s="125" t="str">
        <f t="shared" si="59"/>
        <v/>
      </c>
      <c r="AC84" s="125" t="str">
        <f t="shared" si="59"/>
        <v/>
      </c>
      <c r="AD84" s="125" t="str">
        <f t="shared" si="59"/>
        <v/>
      </c>
      <c r="AE84" s="125" t="str">
        <f t="shared" si="59"/>
        <v/>
      </c>
      <c r="AF84" s="125" t="str">
        <f t="shared" si="59"/>
        <v/>
      </c>
      <c r="AG84" s="125" t="str">
        <f t="shared" si="59"/>
        <v/>
      </c>
    </row>
    <row r="85" spans="1:33" s="88" customFormat="1">
      <c r="A85" s="87">
        <f t="shared" si="49"/>
        <v>46124</v>
      </c>
      <c r="B85" s="35" t="str">
        <f t="shared" si="46"/>
        <v>domingo</v>
      </c>
      <c r="C85" s="121"/>
      <c r="D85" s="125" t="str">
        <f t="shared" si="57"/>
        <v/>
      </c>
      <c r="E85" s="125" t="str">
        <f t="shared" si="57"/>
        <v/>
      </c>
      <c r="F85" s="125" t="str">
        <f t="shared" si="57"/>
        <v/>
      </c>
      <c r="G85" s="125" t="str">
        <f t="shared" si="57"/>
        <v/>
      </c>
      <c r="H85" s="125" t="str">
        <f t="shared" si="57"/>
        <v/>
      </c>
      <c r="I85" s="125">
        <f t="shared" si="57"/>
        <v>0</v>
      </c>
      <c r="J85" s="125">
        <f t="shared" ref="J85:AG85" si="60">+J50</f>
        <v>0</v>
      </c>
      <c r="K85" s="125">
        <f t="shared" si="60"/>
        <v>0</v>
      </c>
      <c r="L85" s="125">
        <f t="shared" si="60"/>
        <v>0</v>
      </c>
      <c r="M85" s="125">
        <f t="shared" si="60"/>
        <v>0</v>
      </c>
      <c r="N85" s="125">
        <f t="shared" si="60"/>
        <v>0</v>
      </c>
      <c r="O85" s="125">
        <f t="shared" si="60"/>
        <v>5.4014903852224467</v>
      </c>
      <c r="P85" s="125">
        <f t="shared" si="60"/>
        <v>21.352814294236023</v>
      </c>
      <c r="Q85" s="125">
        <f t="shared" si="60"/>
        <v>4.4061315724947763</v>
      </c>
      <c r="R85" s="125">
        <f t="shared" si="60"/>
        <v>1.9204304134893215</v>
      </c>
      <c r="S85" s="125">
        <f t="shared" si="60"/>
        <v>0.23959381663017176</v>
      </c>
      <c r="T85" s="125">
        <f t="shared" si="60"/>
        <v>2.3515145124344859E-2</v>
      </c>
      <c r="U85" s="125">
        <f t="shared" si="60"/>
        <v>6.1337109361407757E-4</v>
      </c>
      <c r="V85" s="125">
        <f t="shared" si="60"/>
        <v>0</v>
      </c>
      <c r="W85" s="125">
        <f t="shared" si="60"/>
        <v>3.9008339237310591E-2</v>
      </c>
      <c r="X85" s="125" t="str">
        <f t="shared" si="60"/>
        <v/>
      </c>
      <c r="Y85" s="125" t="str">
        <f t="shared" si="60"/>
        <v/>
      </c>
      <c r="Z85" s="125" t="str">
        <f t="shared" si="60"/>
        <v/>
      </c>
      <c r="AA85" s="125" t="str">
        <f t="shared" si="60"/>
        <v/>
      </c>
      <c r="AB85" s="125" t="str">
        <f t="shared" si="60"/>
        <v/>
      </c>
      <c r="AC85" s="125" t="str">
        <f t="shared" si="60"/>
        <v/>
      </c>
      <c r="AD85" s="125" t="str">
        <f t="shared" si="60"/>
        <v/>
      </c>
      <c r="AE85" s="125" t="str">
        <f t="shared" si="60"/>
        <v/>
      </c>
      <c r="AF85" s="125" t="str">
        <f t="shared" si="60"/>
        <v/>
      </c>
      <c r="AG85" s="125" t="str">
        <f t="shared" si="60"/>
        <v/>
      </c>
    </row>
    <row r="86" spans="1:33" s="88" customFormat="1">
      <c r="A86" s="87">
        <f t="shared" si="49"/>
        <v>46125</v>
      </c>
      <c r="B86" s="35" t="str">
        <f t="shared" si="46"/>
        <v>lunes</v>
      </c>
      <c r="C86" s="121"/>
      <c r="D86" s="125" t="str">
        <f t="shared" si="57"/>
        <v/>
      </c>
      <c r="E86" s="125" t="str">
        <f t="shared" si="57"/>
        <v/>
      </c>
      <c r="F86" s="125" t="str">
        <f t="shared" si="57"/>
        <v/>
      </c>
      <c r="G86" s="125" t="str">
        <f t="shared" si="57"/>
        <v/>
      </c>
      <c r="H86" s="125" t="str">
        <f t="shared" si="57"/>
        <v/>
      </c>
      <c r="I86" s="125" t="str">
        <f t="shared" si="57"/>
        <v/>
      </c>
      <c r="J86" s="125" t="str">
        <f t="shared" ref="J86:AG86" si="61">+J51</f>
        <v/>
      </c>
      <c r="K86" s="125" t="str">
        <f t="shared" si="61"/>
        <v/>
      </c>
      <c r="L86" s="125" t="str">
        <f t="shared" si="61"/>
        <v/>
      </c>
      <c r="M86" s="125" t="str">
        <f t="shared" si="61"/>
        <v/>
      </c>
      <c r="N86" s="125" t="str">
        <f t="shared" si="61"/>
        <v/>
      </c>
      <c r="O86" s="125" t="str">
        <f t="shared" si="61"/>
        <v/>
      </c>
      <c r="P86" s="125">
        <f t="shared" si="61"/>
        <v>18.213239871703784</v>
      </c>
      <c r="Q86" s="125">
        <f t="shared" si="61"/>
        <v>29.598215697931206</v>
      </c>
      <c r="R86" s="125">
        <f t="shared" si="61"/>
        <v>5.0425956572293771</v>
      </c>
      <c r="S86" s="125">
        <f t="shared" si="61"/>
        <v>2.8687437223729311</v>
      </c>
      <c r="T86" s="125">
        <f t="shared" si="61"/>
        <v>0.11326349487718422</v>
      </c>
      <c r="U86" s="125">
        <f t="shared" si="61"/>
        <v>2.3138864358722628E-4</v>
      </c>
      <c r="V86" s="125">
        <f t="shared" si="61"/>
        <v>0</v>
      </c>
      <c r="W86" s="125">
        <f t="shared" si="61"/>
        <v>8.6232030155935016E-2</v>
      </c>
      <c r="X86" s="125">
        <f t="shared" si="61"/>
        <v>9.1078711184367205E-3</v>
      </c>
      <c r="Y86" s="125">
        <f t="shared" si="61"/>
        <v>0</v>
      </c>
      <c r="Z86" s="125">
        <f t="shared" si="61"/>
        <v>0</v>
      </c>
      <c r="AA86" s="125">
        <f t="shared" si="61"/>
        <v>0</v>
      </c>
      <c r="AB86" s="125">
        <f t="shared" si="61"/>
        <v>0</v>
      </c>
      <c r="AC86" s="125">
        <f t="shared" si="61"/>
        <v>0</v>
      </c>
      <c r="AD86" s="125">
        <f t="shared" si="61"/>
        <v>0</v>
      </c>
      <c r="AE86" s="125" t="str">
        <f t="shared" si="61"/>
        <v/>
      </c>
      <c r="AF86" s="125" t="str">
        <f t="shared" si="61"/>
        <v/>
      </c>
      <c r="AG86" s="125" t="str">
        <f t="shared" si="61"/>
        <v/>
      </c>
    </row>
    <row r="87" spans="1:33" s="88" customFormat="1">
      <c r="A87" s="87">
        <f t="shared" si="49"/>
        <v>46126</v>
      </c>
      <c r="B87" s="35" t="str">
        <f t="shared" si="46"/>
        <v>martes</v>
      </c>
      <c r="C87" s="121"/>
      <c r="D87" s="125" t="str">
        <f t="shared" si="57"/>
        <v/>
      </c>
      <c r="E87" s="125" t="str">
        <f t="shared" si="57"/>
        <v/>
      </c>
      <c r="F87" s="125" t="str">
        <f t="shared" si="57"/>
        <v/>
      </c>
      <c r="G87" s="125" t="str">
        <f t="shared" si="57"/>
        <v/>
      </c>
      <c r="H87" s="125" t="str">
        <f t="shared" si="57"/>
        <v/>
      </c>
      <c r="I87" s="125" t="str">
        <f t="shared" si="57"/>
        <v/>
      </c>
      <c r="J87" s="125" t="str">
        <f t="shared" ref="J87:AG87" si="62">+J52</f>
        <v/>
      </c>
      <c r="K87" s="125" t="str">
        <f t="shared" si="62"/>
        <v/>
      </c>
      <c r="L87" s="125" t="str">
        <f t="shared" si="62"/>
        <v/>
      </c>
      <c r="M87" s="125" t="str">
        <f t="shared" si="62"/>
        <v/>
      </c>
      <c r="N87" s="125" t="str">
        <f t="shared" si="62"/>
        <v/>
      </c>
      <c r="O87" s="125" t="str">
        <f t="shared" si="62"/>
        <v/>
      </c>
      <c r="P87" s="125">
        <f t="shared" si="62"/>
        <v>0</v>
      </c>
      <c r="Q87" s="125">
        <f t="shared" si="62"/>
        <v>17.15485019076084</v>
      </c>
      <c r="R87" s="125">
        <f t="shared" si="62"/>
        <v>29.03782504254103</v>
      </c>
      <c r="S87" s="125">
        <f t="shared" si="62"/>
        <v>9.913765010671165</v>
      </c>
      <c r="T87" s="125">
        <f t="shared" si="62"/>
        <v>0.62590448105790453</v>
      </c>
      <c r="U87" s="125">
        <f t="shared" si="62"/>
        <v>0</v>
      </c>
      <c r="V87" s="125">
        <f t="shared" si="62"/>
        <v>0</v>
      </c>
      <c r="W87" s="125">
        <f t="shared" si="62"/>
        <v>0.52200196073057525</v>
      </c>
      <c r="X87" s="125">
        <f t="shared" si="62"/>
        <v>5.2900184268639384E-2</v>
      </c>
      <c r="Y87" s="125">
        <f t="shared" si="62"/>
        <v>1.6742732538501694E-2</v>
      </c>
      <c r="Z87" s="125">
        <f t="shared" si="62"/>
        <v>0</v>
      </c>
      <c r="AA87" s="125">
        <f t="shared" si="62"/>
        <v>0</v>
      </c>
      <c r="AB87" s="125">
        <f t="shared" si="62"/>
        <v>0</v>
      </c>
      <c r="AC87" s="125">
        <f t="shared" si="62"/>
        <v>0</v>
      </c>
      <c r="AD87" s="125">
        <f t="shared" si="62"/>
        <v>0</v>
      </c>
      <c r="AE87" s="125" t="str">
        <f t="shared" si="62"/>
        <v/>
      </c>
      <c r="AF87" s="125" t="str">
        <f t="shared" si="62"/>
        <v/>
      </c>
      <c r="AG87" s="125" t="str">
        <f t="shared" si="62"/>
        <v/>
      </c>
    </row>
    <row r="88" spans="1:33" s="88" customFormat="1">
      <c r="A88" s="122">
        <f t="shared" si="49"/>
        <v>46127</v>
      </c>
      <c r="B88" s="123" t="str">
        <f t="shared" si="46"/>
        <v>miércoles</v>
      </c>
      <c r="C88" s="125"/>
      <c r="D88" s="125" t="str">
        <f t="shared" si="57"/>
        <v/>
      </c>
      <c r="E88" s="125" t="str">
        <f t="shared" si="57"/>
        <v/>
      </c>
      <c r="F88" s="125" t="str">
        <f t="shared" si="57"/>
        <v/>
      </c>
      <c r="G88" s="125" t="str">
        <f t="shared" si="57"/>
        <v/>
      </c>
      <c r="H88" s="125" t="str">
        <f t="shared" si="57"/>
        <v/>
      </c>
      <c r="I88" s="125" t="str">
        <f t="shared" si="57"/>
        <v/>
      </c>
      <c r="J88" s="125" t="str">
        <f t="shared" ref="J88:AG88" si="63">+J53</f>
        <v/>
      </c>
      <c r="K88" s="125" t="str">
        <f t="shared" si="63"/>
        <v/>
      </c>
      <c r="L88" s="125" t="str">
        <f t="shared" si="63"/>
        <v/>
      </c>
      <c r="M88" s="125" t="str">
        <f t="shared" si="63"/>
        <v/>
      </c>
      <c r="N88" s="125" t="str">
        <f t="shared" si="63"/>
        <v/>
      </c>
      <c r="O88" s="125" t="str">
        <f t="shared" si="63"/>
        <v/>
      </c>
      <c r="P88" s="125">
        <f t="shared" si="63"/>
        <v>0</v>
      </c>
      <c r="Q88" s="125">
        <f t="shared" si="63"/>
        <v>0</v>
      </c>
      <c r="R88" s="125">
        <f t="shared" si="63"/>
        <v>18.643175372910278</v>
      </c>
      <c r="S88" s="125">
        <f t="shared" si="63"/>
        <v>35.609395972557344</v>
      </c>
      <c r="T88" s="125">
        <f t="shared" si="63"/>
        <v>7.0645119542360675</v>
      </c>
      <c r="U88" s="125">
        <f t="shared" si="63"/>
        <v>0</v>
      </c>
      <c r="V88" s="125">
        <f t="shared" si="63"/>
        <v>0</v>
      </c>
      <c r="W88" s="125">
        <f t="shared" si="63"/>
        <v>2.4435739324142025</v>
      </c>
      <c r="X88" s="125">
        <f t="shared" si="63"/>
        <v>0.35215259111390224</v>
      </c>
      <c r="Y88" s="125">
        <f t="shared" si="63"/>
        <v>0</v>
      </c>
      <c r="Z88" s="125">
        <f t="shared" si="63"/>
        <v>1.081717291765282E-2</v>
      </c>
      <c r="AA88" s="125">
        <f t="shared" si="63"/>
        <v>0</v>
      </c>
      <c r="AB88" s="125">
        <f t="shared" si="63"/>
        <v>0</v>
      </c>
      <c r="AC88" s="125">
        <f t="shared" si="63"/>
        <v>0</v>
      </c>
      <c r="AD88" s="125">
        <f t="shared" si="63"/>
        <v>0</v>
      </c>
      <c r="AE88" s="125" t="str">
        <f t="shared" si="63"/>
        <v/>
      </c>
      <c r="AF88" s="125" t="str">
        <f t="shared" si="63"/>
        <v/>
      </c>
      <c r="AG88" s="125" t="str">
        <f t="shared" si="63"/>
        <v/>
      </c>
    </row>
    <row r="89" spans="1:33" s="88" customFormat="1">
      <c r="A89" s="122">
        <f t="shared" si="49"/>
        <v>46128</v>
      </c>
      <c r="B89" s="123" t="str">
        <f t="shared" si="46"/>
        <v>jueves</v>
      </c>
      <c r="C89" s="125"/>
      <c r="D89" s="125" t="str">
        <f t="shared" si="57"/>
        <v/>
      </c>
      <c r="E89" s="125" t="str">
        <f t="shared" si="57"/>
        <v/>
      </c>
      <c r="F89" s="125" t="str">
        <f t="shared" si="57"/>
        <v/>
      </c>
      <c r="G89" s="125" t="str">
        <f t="shared" si="57"/>
        <v/>
      </c>
      <c r="H89" s="125" t="str">
        <f t="shared" si="57"/>
        <v/>
      </c>
      <c r="I89" s="125" t="str">
        <f t="shared" si="57"/>
        <v/>
      </c>
      <c r="J89" s="125" t="str">
        <f t="shared" ref="J89:AG89" si="64">+J54</f>
        <v/>
      </c>
      <c r="K89" s="125" t="str">
        <f t="shared" si="64"/>
        <v/>
      </c>
      <c r="L89" s="125" t="str">
        <f t="shared" si="64"/>
        <v/>
      </c>
      <c r="M89" s="125" t="str">
        <f t="shared" si="64"/>
        <v/>
      </c>
      <c r="N89" s="125" t="str">
        <f t="shared" si="64"/>
        <v/>
      </c>
      <c r="O89" s="125" t="str">
        <f t="shared" si="64"/>
        <v/>
      </c>
      <c r="P89" s="125">
        <f t="shared" si="64"/>
        <v>0</v>
      </c>
      <c r="Q89" s="125">
        <f t="shared" si="64"/>
        <v>0</v>
      </c>
      <c r="R89" s="125">
        <f t="shared" si="64"/>
        <v>0</v>
      </c>
      <c r="S89" s="125">
        <f t="shared" si="64"/>
        <v>16.9576414288411</v>
      </c>
      <c r="T89" s="125">
        <f t="shared" si="64"/>
        <v>32.678029018476892</v>
      </c>
      <c r="U89" s="125">
        <f t="shared" si="64"/>
        <v>0</v>
      </c>
      <c r="V89" s="125">
        <f t="shared" si="64"/>
        <v>0</v>
      </c>
      <c r="W89" s="125">
        <f t="shared" si="64"/>
        <v>6.6536344550478077</v>
      </c>
      <c r="X89" s="125">
        <f t="shared" si="64"/>
        <v>0.10682364383925541</v>
      </c>
      <c r="Y89" s="125">
        <f t="shared" si="64"/>
        <v>0.43392567973433183</v>
      </c>
      <c r="Z89" s="125">
        <f t="shared" si="64"/>
        <v>1.6994993977577168E-2</v>
      </c>
      <c r="AA89" s="125">
        <f t="shared" si="64"/>
        <v>8.9770930050604936E-2</v>
      </c>
      <c r="AB89" s="125">
        <f t="shared" si="64"/>
        <v>0</v>
      </c>
      <c r="AC89" s="125">
        <f t="shared" si="64"/>
        <v>0</v>
      </c>
      <c r="AD89" s="125">
        <f t="shared" si="64"/>
        <v>0</v>
      </c>
      <c r="AE89" s="125" t="str">
        <f t="shared" si="64"/>
        <v/>
      </c>
      <c r="AF89" s="125" t="str">
        <f t="shared" si="64"/>
        <v/>
      </c>
      <c r="AG89" s="125" t="str">
        <f t="shared" si="64"/>
        <v/>
      </c>
    </row>
    <row r="90" spans="1:33" s="88" customFormat="1">
      <c r="A90" s="87">
        <f t="shared" si="49"/>
        <v>46129</v>
      </c>
      <c r="B90" s="35" t="str">
        <f t="shared" si="46"/>
        <v>viernes</v>
      </c>
      <c r="C90" s="121"/>
      <c r="D90" s="125" t="str">
        <f t="shared" si="57"/>
        <v/>
      </c>
      <c r="E90" s="125" t="str">
        <f t="shared" si="57"/>
        <v/>
      </c>
      <c r="F90" s="125" t="str">
        <f t="shared" si="57"/>
        <v/>
      </c>
      <c r="G90" s="125" t="str">
        <f t="shared" si="57"/>
        <v/>
      </c>
      <c r="H90" s="125" t="str">
        <f t="shared" si="57"/>
        <v/>
      </c>
      <c r="I90" s="125" t="str">
        <f t="shared" si="57"/>
        <v/>
      </c>
      <c r="J90" s="125" t="str">
        <f t="shared" ref="J90:AG90" si="65">+J55</f>
        <v/>
      </c>
      <c r="K90" s="125" t="str">
        <f t="shared" si="65"/>
        <v/>
      </c>
      <c r="L90" s="125" t="str">
        <f t="shared" si="65"/>
        <v/>
      </c>
      <c r="M90" s="125" t="str">
        <f t="shared" si="65"/>
        <v/>
      </c>
      <c r="N90" s="125" t="str">
        <f t="shared" si="65"/>
        <v/>
      </c>
      <c r="O90" s="125" t="str">
        <f t="shared" si="65"/>
        <v/>
      </c>
      <c r="P90" s="125">
        <f t="shared" si="65"/>
        <v>0</v>
      </c>
      <c r="Q90" s="125">
        <f t="shared" si="65"/>
        <v>0</v>
      </c>
      <c r="R90" s="125">
        <f t="shared" si="65"/>
        <v>0</v>
      </c>
      <c r="S90" s="125">
        <f t="shared" si="65"/>
        <v>0</v>
      </c>
      <c r="T90" s="125">
        <f t="shared" si="65"/>
        <v>15.983822220253717</v>
      </c>
      <c r="U90" s="125">
        <f t="shared" si="65"/>
        <v>0</v>
      </c>
      <c r="V90" s="125">
        <f t="shared" si="65"/>
        <v>0</v>
      </c>
      <c r="W90" s="125">
        <f t="shared" si="65"/>
        <v>35.343337638497054</v>
      </c>
      <c r="X90" s="125">
        <f t="shared" si="65"/>
        <v>0.49389682544453933</v>
      </c>
      <c r="Y90" s="125">
        <f t="shared" si="65"/>
        <v>2.4477095458931903</v>
      </c>
      <c r="Z90" s="125">
        <f t="shared" si="65"/>
        <v>0.20867107542977686</v>
      </c>
      <c r="AA90" s="125">
        <f t="shared" si="65"/>
        <v>0.27686495366094099</v>
      </c>
      <c r="AB90" s="125">
        <f t="shared" si="65"/>
        <v>7.9321430252299882E-4</v>
      </c>
      <c r="AC90" s="125">
        <f t="shared" si="65"/>
        <v>0</v>
      </c>
      <c r="AD90" s="125">
        <f t="shared" si="65"/>
        <v>1.3493493166332448E-2</v>
      </c>
      <c r="AE90" s="125" t="str">
        <f t="shared" si="65"/>
        <v/>
      </c>
      <c r="AF90" s="125" t="str">
        <f t="shared" si="65"/>
        <v/>
      </c>
      <c r="AG90" s="125" t="str">
        <f t="shared" si="65"/>
        <v/>
      </c>
    </row>
    <row r="91" spans="1:33" s="88" customFormat="1">
      <c r="A91" s="87">
        <f t="shared" si="49"/>
        <v>46130</v>
      </c>
      <c r="B91" s="35" t="str">
        <f t="shared" si="46"/>
        <v>sábado</v>
      </c>
      <c r="C91" s="121"/>
      <c r="D91" s="125" t="str">
        <f t="shared" si="57"/>
        <v/>
      </c>
      <c r="E91" s="125" t="str">
        <f t="shared" si="57"/>
        <v/>
      </c>
      <c r="F91" s="125" t="str">
        <f t="shared" si="57"/>
        <v/>
      </c>
      <c r="G91" s="125" t="str">
        <f t="shared" si="57"/>
        <v/>
      </c>
      <c r="H91" s="125" t="str">
        <f t="shared" si="57"/>
        <v/>
      </c>
      <c r="I91" s="125" t="str">
        <f t="shared" si="57"/>
        <v/>
      </c>
      <c r="J91" s="125" t="str">
        <f t="shared" ref="J91:AG91" si="66">+J56</f>
        <v/>
      </c>
      <c r="K91" s="125" t="str">
        <f t="shared" si="66"/>
        <v/>
      </c>
      <c r="L91" s="125" t="str">
        <f t="shared" si="66"/>
        <v/>
      </c>
      <c r="M91" s="125" t="str">
        <f t="shared" si="66"/>
        <v/>
      </c>
      <c r="N91" s="125" t="str">
        <f t="shared" si="66"/>
        <v/>
      </c>
      <c r="O91" s="125" t="str">
        <f t="shared" si="66"/>
        <v/>
      </c>
      <c r="P91" s="125">
        <f t="shared" si="66"/>
        <v>0</v>
      </c>
      <c r="Q91" s="125">
        <f t="shared" si="66"/>
        <v>0</v>
      </c>
      <c r="R91" s="125">
        <f t="shared" si="66"/>
        <v>0</v>
      </c>
      <c r="S91" s="125">
        <f t="shared" si="66"/>
        <v>0</v>
      </c>
      <c r="T91" s="125">
        <f t="shared" si="66"/>
        <v>0</v>
      </c>
      <c r="U91" s="125">
        <f t="shared" si="66"/>
        <v>11.048711776084861</v>
      </c>
      <c r="V91" s="125">
        <f t="shared" si="66"/>
        <v>0</v>
      </c>
      <c r="W91" s="125">
        <f t="shared" si="66"/>
        <v>38.826591031020698</v>
      </c>
      <c r="X91" s="125">
        <f t="shared" si="66"/>
        <v>1.478380572441899</v>
      </c>
      <c r="Y91" s="125">
        <f t="shared" si="66"/>
        <v>3.0348333111273895</v>
      </c>
      <c r="Z91" s="125">
        <f t="shared" si="66"/>
        <v>8.3731935902591648E-2</v>
      </c>
      <c r="AA91" s="125">
        <f t="shared" si="66"/>
        <v>4.4661925806946445E-2</v>
      </c>
      <c r="AB91" s="125">
        <f t="shared" si="66"/>
        <v>8.5165720166928036E-4</v>
      </c>
      <c r="AC91" s="125">
        <f t="shared" si="66"/>
        <v>0</v>
      </c>
      <c r="AD91" s="125">
        <f t="shared" si="66"/>
        <v>1.8986725110960077E-2</v>
      </c>
      <c r="AE91" s="125" t="str">
        <f t="shared" si="66"/>
        <v/>
      </c>
      <c r="AF91" s="125" t="str">
        <f t="shared" si="66"/>
        <v/>
      </c>
      <c r="AG91" s="125" t="str">
        <f t="shared" si="66"/>
        <v/>
      </c>
    </row>
    <row r="92" spans="1:33" s="88" customFormat="1">
      <c r="A92" s="87">
        <f t="shared" si="49"/>
        <v>46131</v>
      </c>
      <c r="B92" s="35" t="str">
        <f t="shared" si="46"/>
        <v>domingo</v>
      </c>
      <c r="C92" s="121"/>
      <c r="D92" s="125" t="str">
        <f t="shared" si="57"/>
        <v/>
      </c>
      <c r="E92" s="125" t="str">
        <f t="shared" si="57"/>
        <v/>
      </c>
      <c r="F92" s="125" t="str">
        <f t="shared" si="57"/>
        <v/>
      </c>
      <c r="G92" s="125" t="str">
        <f t="shared" si="57"/>
        <v/>
      </c>
      <c r="H92" s="125" t="str">
        <f t="shared" si="57"/>
        <v/>
      </c>
      <c r="I92" s="125" t="str">
        <f t="shared" si="57"/>
        <v/>
      </c>
      <c r="J92" s="125" t="str">
        <f t="shared" ref="J92:AG92" si="67">+J57</f>
        <v/>
      </c>
      <c r="K92" s="125" t="str">
        <f t="shared" si="67"/>
        <v/>
      </c>
      <c r="L92" s="125" t="str">
        <f t="shared" si="67"/>
        <v/>
      </c>
      <c r="M92" s="125" t="str">
        <f t="shared" si="67"/>
        <v/>
      </c>
      <c r="N92" s="125" t="str">
        <f t="shared" si="67"/>
        <v/>
      </c>
      <c r="O92" s="125" t="str">
        <f t="shared" si="67"/>
        <v/>
      </c>
      <c r="P92" s="125">
        <f t="shared" si="67"/>
        <v>0</v>
      </c>
      <c r="Q92" s="125">
        <f t="shared" si="67"/>
        <v>0</v>
      </c>
      <c r="R92" s="125">
        <f t="shared" si="67"/>
        <v>0</v>
      </c>
      <c r="S92" s="125">
        <f t="shared" si="67"/>
        <v>0</v>
      </c>
      <c r="T92" s="125">
        <f t="shared" si="67"/>
        <v>0</v>
      </c>
      <c r="U92" s="125">
        <f t="shared" si="67"/>
        <v>0</v>
      </c>
      <c r="V92" s="125">
        <f t="shared" si="67"/>
        <v>6.6989555530962086</v>
      </c>
      <c r="W92" s="125">
        <f t="shared" si="67"/>
        <v>26.481867723386436</v>
      </c>
      <c r="X92" s="125">
        <f t="shared" si="67"/>
        <v>5.4645065454505755</v>
      </c>
      <c r="Y92" s="125">
        <f t="shared" si="67"/>
        <v>2.381727461364227</v>
      </c>
      <c r="Z92" s="125">
        <f t="shared" si="67"/>
        <v>0.29714545688969224</v>
      </c>
      <c r="AA92" s="125">
        <f t="shared" si="67"/>
        <v>2.9163601298552687E-2</v>
      </c>
      <c r="AB92" s="125">
        <f t="shared" si="67"/>
        <v>7.6070591644781811E-4</v>
      </c>
      <c r="AC92" s="125">
        <f t="shared" si="67"/>
        <v>0</v>
      </c>
      <c r="AD92" s="125">
        <f t="shared" si="67"/>
        <v>4.8378338590725989E-2</v>
      </c>
      <c r="AE92" s="125" t="str">
        <f t="shared" si="67"/>
        <v/>
      </c>
      <c r="AF92" s="125" t="str">
        <f t="shared" si="67"/>
        <v/>
      </c>
      <c r="AG92" s="125" t="str">
        <f t="shared" si="67"/>
        <v/>
      </c>
    </row>
    <row r="93" spans="1:33" s="88" customFormat="1">
      <c r="A93" s="87">
        <f>+A92+1</f>
        <v>46132</v>
      </c>
      <c r="B93" s="35" t="str">
        <f t="shared" si="46"/>
        <v>lunes</v>
      </c>
      <c r="C93" s="121"/>
      <c r="D93" s="125" t="str">
        <f t="shared" ref="D93:I102" si="68">+D58</f>
        <v/>
      </c>
      <c r="E93" s="125" t="str">
        <f t="shared" si="68"/>
        <v/>
      </c>
      <c r="F93" s="125" t="str">
        <f t="shared" si="68"/>
        <v/>
      </c>
      <c r="G93" s="125" t="str">
        <f t="shared" si="68"/>
        <v/>
      </c>
      <c r="H93" s="125" t="str">
        <f t="shared" si="68"/>
        <v/>
      </c>
      <c r="I93" s="125" t="str">
        <f t="shared" si="68"/>
        <v/>
      </c>
      <c r="J93" s="125" t="str">
        <f t="shared" ref="J93:AG93" si="69">+J58</f>
        <v/>
      </c>
      <c r="K93" s="125" t="str">
        <f t="shared" si="69"/>
        <v/>
      </c>
      <c r="L93" s="125" t="str">
        <f t="shared" si="69"/>
        <v/>
      </c>
      <c r="M93" s="125" t="str">
        <f t="shared" si="69"/>
        <v/>
      </c>
      <c r="N93" s="125" t="str">
        <f t="shared" si="69"/>
        <v/>
      </c>
      <c r="O93" s="125" t="str">
        <f t="shared" si="69"/>
        <v/>
      </c>
      <c r="P93" s="125" t="str">
        <f t="shared" si="69"/>
        <v/>
      </c>
      <c r="Q93" s="125" t="str">
        <f t="shared" si="69"/>
        <v/>
      </c>
      <c r="R93" s="125" t="str">
        <f t="shared" si="69"/>
        <v/>
      </c>
      <c r="S93" s="125" t="str">
        <f t="shared" si="69"/>
        <v/>
      </c>
      <c r="T93" s="125" t="str">
        <f t="shared" si="69"/>
        <v/>
      </c>
      <c r="U93" s="125" t="str">
        <f t="shared" si="69"/>
        <v/>
      </c>
      <c r="V93" s="125" t="str">
        <f t="shared" si="69"/>
        <v/>
      </c>
      <c r="W93" s="125">
        <f t="shared" si="69"/>
        <v>26.666164645959842</v>
      </c>
      <c r="X93" s="125">
        <f t="shared" si="69"/>
        <v>43.335007861719511</v>
      </c>
      <c r="Y93" s="125">
        <f t="shared" si="69"/>
        <v>7.3829086415091387</v>
      </c>
      <c r="Z93" s="125">
        <f t="shared" si="69"/>
        <v>4.2001529089126377</v>
      </c>
      <c r="AA93" s="125">
        <f t="shared" si="69"/>
        <v>0.16583007878044737</v>
      </c>
      <c r="AB93" s="125">
        <f t="shared" si="69"/>
        <v>3.3877814768631232E-4</v>
      </c>
      <c r="AC93" s="125">
        <f t="shared" si="69"/>
        <v>0</v>
      </c>
      <c r="AD93" s="125">
        <f t="shared" si="69"/>
        <v>0.12625307359323926</v>
      </c>
      <c r="AE93" s="125">
        <f t="shared" si="69"/>
        <v>1.3334914190404071E-2</v>
      </c>
      <c r="AF93" s="125">
        <f t="shared" si="69"/>
        <v>0</v>
      </c>
      <c r="AG93" s="125">
        <f t="shared" si="69"/>
        <v>0</v>
      </c>
    </row>
    <row r="94" spans="1:33" s="88" customFormat="1">
      <c r="A94" s="87">
        <f t="shared" si="49"/>
        <v>46133</v>
      </c>
      <c r="B94" s="35" t="str">
        <f t="shared" si="46"/>
        <v>martes</v>
      </c>
      <c r="C94" s="121"/>
      <c r="D94" s="125" t="str">
        <f t="shared" si="68"/>
        <v/>
      </c>
      <c r="E94" s="125" t="str">
        <f t="shared" si="68"/>
        <v/>
      </c>
      <c r="F94" s="125" t="str">
        <f t="shared" si="68"/>
        <v/>
      </c>
      <c r="G94" s="125" t="str">
        <f t="shared" si="68"/>
        <v/>
      </c>
      <c r="H94" s="125" t="str">
        <f t="shared" si="68"/>
        <v/>
      </c>
      <c r="I94" s="125" t="str">
        <f t="shared" si="68"/>
        <v/>
      </c>
      <c r="J94" s="125" t="str">
        <f t="shared" ref="J94:AG94" si="70">+J59</f>
        <v/>
      </c>
      <c r="K94" s="125" t="str">
        <f t="shared" si="70"/>
        <v/>
      </c>
      <c r="L94" s="125" t="str">
        <f t="shared" si="70"/>
        <v/>
      </c>
      <c r="M94" s="125" t="str">
        <f t="shared" si="70"/>
        <v/>
      </c>
      <c r="N94" s="125" t="str">
        <f t="shared" si="70"/>
        <v/>
      </c>
      <c r="O94" s="125" t="str">
        <f t="shared" si="70"/>
        <v/>
      </c>
      <c r="P94" s="125" t="str">
        <f t="shared" si="70"/>
        <v/>
      </c>
      <c r="Q94" s="125" t="str">
        <f t="shared" si="70"/>
        <v/>
      </c>
      <c r="R94" s="125" t="str">
        <f t="shared" si="70"/>
        <v/>
      </c>
      <c r="S94" s="125" t="str">
        <f t="shared" si="70"/>
        <v/>
      </c>
      <c r="T94" s="125" t="str">
        <f t="shared" si="70"/>
        <v/>
      </c>
      <c r="U94" s="125" t="str">
        <f t="shared" si="70"/>
        <v/>
      </c>
      <c r="V94" s="125" t="str">
        <f t="shared" si="70"/>
        <v/>
      </c>
      <c r="W94" s="125">
        <f t="shared" si="70"/>
        <v>0</v>
      </c>
      <c r="X94" s="125">
        <f t="shared" si="70"/>
        <v>21.644247855476369</v>
      </c>
      <c r="Y94" s="125">
        <f t="shared" si="70"/>
        <v>36.636978779518088</v>
      </c>
      <c r="Z94" s="125">
        <f t="shared" si="70"/>
        <v>12.508181924402995</v>
      </c>
      <c r="AA94" s="125">
        <f t="shared" si="70"/>
        <v>0.78970271213250176</v>
      </c>
      <c r="AB94" s="125">
        <f t="shared" si="70"/>
        <v>0</v>
      </c>
      <c r="AC94" s="125">
        <f t="shared" si="70"/>
        <v>0</v>
      </c>
      <c r="AD94" s="125">
        <f t="shared" si="70"/>
        <v>0.65860906352783</v>
      </c>
      <c r="AE94" s="125">
        <f t="shared" si="70"/>
        <v>6.6744080372527062E-2</v>
      </c>
      <c r="AF94" s="125">
        <f t="shared" si="70"/>
        <v>2.1124279653368837E-2</v>
      </c>
      <c r="AG94" s="125">
        <f t="shared" si="70"/>
        <v>0</v>
      </c>
    </row>
    <row r="95" spans="1:33" s="88" customFormat="1">
      <c r="A95" s="122">
        <f t="shared" si="49"/>
        <v>46134</v>
      </c>
      <c r="B95" s="123" t="str">
        <f t="shared" si="46"/>
        <v>miércoles</v>
      </c>
      <c r="C95" s="125"/>
      <c r="D95" s="125" t="str">
        <f t="shared" si="68"/>
        <v/>
      </c>
      <c r="E95" s="125" t="str">
        <f t="shared" si="68"/>
        <v/>
      </c>
      <c r="F95" s="125" t="str">
        <f t="shared" si="68"/>
        <v/>
      </c>
      <c r="G95" s="125" t="str">
        <f t="shared" si="68"/>
        <v/>
      </c>
      <c r="H95" s="125" t="str">
        <f t="shared" si="68"/>
        <v/>
      </c>
      <c r="I95" s="125" t="str">
        <f t="shared" si="68"/>
        <v/>
      </c>
      <c r="J95" s="125" t="str">
        <f t="shared" ref="J95:AG95" si="71">+J60</f>
        <v/>
      </c>
      <c r="K95" s="125" t="str">
        <f t="shared" si="71"/>
        <v/>
      </c>
      <c r="L95" s="125" t="str">
        <f t="shared" si="71"/>
        <v/>
      </c>
      <c r="M95" s="125" t="str">
        <f t="shared" si="71"/>
        <v/>
      </c>
      <c r="N95" s="125" t="str">
        <f t="shared" si="71"/>
        <v/>
      </c>
      <c r="O95" s="125" t="str">
        <f t="shared" si="71"/>
        <v/>
      </c>
      <c r="P95" s="125" t="str">
        <f t="shared" si="71"/>
        <v/>
      </c>
      <c r="Q95" s="125" t="str">
        <f t="shared" si="71"/>
        <v/>
      </c>
      <c r="R95" s="125" t="str">
        <f t="shared" si="71"/>
        <v/>
      </c>
      <c r="S95" s="125" t="str">
        <f t="shared" si="71"/>
        <v/>
      </c>
      <c r="T95" s="125" t="str">
        <f t="shared" si="71"/>
        <v/>
      </c>
      <c r="U95" s="125" t="str">
        <f t="shared" si="71"/>
        <v/>
      </c>
      <c r="V95" s="125" t="str">
        <f t="shared" si="71"/>
        <v/>
      </c>
      <c r="W95" s="125">
        <f t="shared" si="71"/>
        <v>0</v>
      </c>
      <c r="X95" s="125">
        <f t="shared" si="71"/>
        <v>0</v>
      </c>
      <c r="Y95" s="125">
        <f t="shared" si="71"/>
        <v>20.084785612521188</v>
      </c>
      <c r="Z95" s="125">
        <f t="shared" si="71"/>
        <v>38.362943521919078</v>
      </c>
      <c r="AA95" s="125">
        <f t="shared" si="71"/>
        <v>7.61078546008308</v>
      </c>
      <c r="AB95" s="125">
        <f t="shared" si="71"/>
        <v>0</v>
      </c>
      <c r="AC95" s="125">
        <f t="shared" si="71"/>
        <v>0</v>
      </c>
      <c r="AD95" s="125">
        <f t="shared" si="71"/>
        <v>2.6325267868369147</v>
      </c>
      <c r="AE95" s="125">
        <f t="shared" si="71"/>
        <v>0.37938329463412912</v>
      </c>
      <c r="AF95" s="125">
        <f t="shared" si="71"/>
        <v>0</v>
      </c>
      <c r="AG95" s="125">
        <f t="shared" si="71"/>
        <v>1.1653626307690089E-2</v>
      </c>
    </row>
    <row r="96" spans="1:33" s="88" customFormat="1">
      <c r="A96" s="122">
        <f t="shared" si="49"/>
        <v>46135</v>
      </c>
      <c r="B96" s="123" t="str">
        <f t="shared" si="46"/>
        <v>jueves</v>
      </c>
      <c r="C96" s="125"/>
      <c r="D96" s="125" t="str">
        <f t="shared" si="68"/>
        <v/>
      </c>
      <c r="E96" s="125" t="str">
        <f t="shared" si="68"/>
        <v/>
      </c>
      <c r="F96" s="125" t="str">
        <f t="shared" si="68"/>
        <v/>
      </c>
      <c r="G96" s="125" t="str">
        <f t="shared" si="68"/>
        <v/>
      </c>
      <c r="H96" s="125" t="str">
        <f t="shared" si="68"/>
        <v/>
      </c>
      <c r="I96" s="125" t="str">
        <f t="shared" si="68"/>
        <v/>
      </c>
      <c r="J96" s="125" t="str">
        <f t="shared" ref="J96:AG96" si="72">+J61</f>
        <v/>
      </c>
      <c r="K96" s="125" t="str">
        <f t="shared" si="72"/>
        <v/>
      </c>
      <c r="L96" s="125" t="str">
        <f t="shared" si="72"/>
        <v/>
      </c>
      <c r="M96" s="125" t="str">
        <f t="shared" si="72"/>
        <v/>
      </c>
      <c r="N96" s="125" t="str">
        <f t="shared" si="72"/>
        <v/>
      </c>
      <c r="O96" s="125" t="str">
        <f t="shared" si="72"/>
        <v/>
      </c>
      <c r="P96" s="125" t="str">
        <f t="shared" si="72"/>
        <v/>
      </c>
      <c r="Q96" s="125" t="str">
        <f t="shared" si="72"/>
        <v/>
      </c>
      <c r="R96" s="125" t="str">
        <f t="shared" si="72"/>
        <v/>
      </c>
      <c r="S96" s="125" t="str">
        <f t="shared" si="72"/>
        <v/>
      </c>
      <c r="T96" s="125" t="str">
        <f t="shared" si="72"/>
        <v/>
      </c>
      <c r="U96" s="125" t="str">
        <f t="shared" si="72"/>
        <v/>
      </c>
      <c r="V96" s="125" t="str">
        <f t="shared" si="72"/>
        <v/>
      </c>
      <c r="W96" s="125">
        <f t="shared" si="72"/>
        <v>0</v>
      </c>
      <c r="X96" s="125">
        <f t="shared" si="72"/>
        <v>0</v>
      </c>
      <c r="Y96" s="125">
        <f t="shared" si="72"/>
        <v>0</v>
      </c>
      <c r="Z96" s="125">
        <f t="shared" si="72"/>
        <v>20.693535310111738</v>
      </c>
      <c r="AA96" s="125">
        <f t="shared" si="72"/>
        <v>39.87724060544199</v>
      </c>
      <c r="AB96" s="125">
        <f t="shared" si="72"/>
        <v>0</v>
      </c>
      <c r="AC96" s="125">
        <f t="shared" si="72"/>
        <v>0</v>
      </c>
      <c r="AD96" s="125">
        <f t="shared" si="72"/>
        <v>8.1194793576619197</v>
      </c>
      <c r="AE96" s="125">
        <f t="shared" si="72"/>
        <v>0.13035768299610187</v>
      </c>
      <c r="AF96" s="125">
        <f t="shared" si="72"/>
        <v>0.52952271772149961</v>
      </c>
      <c r="AG96" s="125">
        <f t="shared" si="72"/>
        <v>2.0739116901716682E-2</v>
      </c>
    </row>
    <row r="97" spans="1:39" s="88" customFormat="1">
      <c r="A97" s="87">
        <f t="shared" si="49"/>
        <v>46136</v>
      </c>
      <c r="B97" s="35" t="str">
        <f t="shared" si="46"/>
        <v>viernes</v>
      </c>
      <c r="C97" s="121"/>
      <c r="D97" s="125" t="str">
        <f t="shared" si="68"/>
        <v/>
      </c>
      <c r="E97" s="125" t="str">
        <f t="shared" si="68"/>
        <v/>
      </c>
      <c r="F97" s="125" t="str">
        <f t="shared" si="68"/>
        <v/>
      </c>
      <c r="G97" s="125" t="str">
        <f t="shared" si="68"/>
        <v/>
      </c>
      <c r="H97" s="125" t="str">
        <f t="shared" si="68"/>
        <v/>
      </c>
      <c r="I97" s="125" t="str">
        <f t="shared" si="68"/>
        <v/>
      </c>
      <c r="J97" s="125" t="str">
        <f t="shared" ref="J97:AG97" si="73">+J62</f>
        <v/>
      </c>
      <c r="K97" s="125" t="str">
        <f t="shared" si="73"/>
        <v/>
      </c>
      <c r="L97" s="125" t="str">
        <f t="shared" si="73"/>
        <v/>
      </c>
      <c r="M97" s="125" t="str">
        <f t="shared" si="73"/>
        <v/>
      </c>
      <c r="N97" s="125" t="str">
        <f t="shared" si="73"/>
        <v/>
      </c>
      <c r="O97" s="125" t="str">
        <f t="shared" si="73"/>
        <v/>
      </c>
      <c r="P97" s="125" t="str">
        <f t="shared" si="73"/>
        <v/>
      </c>
      <c r="Q97" s="125" t="str">
        <f t="shared" si="73"/>
        <v/>
      </c>
      <c r="R97" s="125" t="str">
        <f t="shared" si="73"/>
        <v/>
      </c>
      <c r="S97" s="125" t="str">
        <f t="shared" si="73"/>
        <v/>
      </c>
      <c r="T97" s="125" t="str">
        <f t="shared" si="73"/>
        <v/>
      </c>
      <c r="U97" s="125" t="str">
        <f t="shared" si="73"/>
        <v/>
      </c>
      <c r="V97" s="125" t="str">
        <f t="shared" si="73"/>
        <v/>
      </c>
      <c r="W97" s="125">
        <f t="shared" si="73"/>
        <v>0</v>
      </c>
      <c r="X97" s="125">
        <f t="shared" si="73"/>
        <v>0</v>
      </c>
      <c r="Y97" s="125">
        <f t="shared" si="73"/>
        <v>0</v>
      </c>
      <c r="Z97" s="125">
        <f t="shared" si="73"/>
        <v>0</v>
      </c>
      <c r="AA97" s="125">
        <f t="shared" si="73"/>
        <v>17.545966215373639</v>
      </c>
      <c r="AB97" s="125">
        <f t="shared" si="73"/>
        <v>0</v>
      </c>
      <c r="AC97" s="125">
        <f t="shared" si="73"/>
        <v>0</v>
      </c>
      <c r="AD97" s="125">
        <f t="shared" si="73"/>
        <v>38.797541639184303</v>
      </c>
      <c r="AE97" s="125">
        <f t="shared" si="73"/>
        <v>0.54216675421660321</v>
      </c>
      <c r="AF97" s="125">
        <f t="shared" si="73"/>
        <v>2.686931098549703</v>
      </c>
      <c r="AG97" s="125">
        <f t="shared" si="73"/>
        <v>0.22906508775961795</v>
      </c>
    </row>
    <row r="98" spans="1:39" s="88" customFormat="1">
      <c r="A98" s="87">
        <f t="shared" si="49"/>
        <v>46137</v>
      </c>
      <c r="B98" s="35" t="str">
        <f t="shared" si="46"/>
        <v>sábado</v>
      </c>
      <c r="C98" s="121"/>
      <c r="D98" s="125" t="str">
        <f t="shared" si="68"/>
        <v/>
      </c>
      <c r="E98" s="125" t="str">
        <f t="shared" si="68"/>
        <v/>
      </c>
      <c r="F98" s="125" t="str">
        <f t="shared" si="68"/>
        <v/>
      </c>
      <c r="G98" s="125" t="str">
        <f t="shared" si="68"/>
        <v/>
      </c>
      <c r="H98" s="125" t="str">
        <f t="shared" si="68"/>
        <v/>
      </c>
      <c r="I98" s="125" t="str">
        <f t="shared" si="68"/>
        <v/>
      </c>
      <c r="J98" s="125" t="str">
        <f t="shared" ref="J98:AG98" si="74">+J63</f>
        <v/>
      </c>
      <c r="K98" s="125" t="str">
        <f t="shared" si="74"/>
        <v/>
      </c>
      <c r="L98" s="125" t="str">
        <f t="shared" si="74"/>
        <v/>
      </c>
      <c r="M98" s="125" t="str">
        <f t="shared" si="74"/>
        <v/>
      </c>
      <c r="N98" s="125" t="str">
        <f t="shared" si="74"/>
        <v/>
      </c>
      <c r="O98" s="125" t="str">
        <f t="shared" si="74"/>
        <v/>
      </c>
      <c r="P98" s="125" t="str">
        <f t="shared" si="74"/>
        <v/>
      </c>
      <c r="Q98" s="125" t="str">
        <f t="shared" si="74"/>
        <v/>
      </c>
      <c r="R98" s="125" t="str">
        <f t="shared" si="74"/>
        <v/>
      </c>
      <c r="S98" s="125" t="str">
        <f t="shared" si="74"/>
        <v/>
      </c>
      <c r="T98" s="125" t="str">
        <f t="shared" si="74"/>
        <v/>
      </c>
      <c r="U98" s="125" t="str">
        <f t="shared" si="74"/>
        <v/>
      </c>
      <c r="V98" s="125" t="str">
        <f t="shared" si="74"/>
        <v/>
      </c>
      <c r="W98" s="125">
        <f t="shared" si="74"/>
        <v>0</v>
      </c>
      <c r="X98" s="125">
        <f t="shared" si="74"/>
        <v>0</v>
      </c>
      <c r="Y98" s="125">
        <f t="shared" si="74"/>
        <v>0</v>
      </c>
      <c r="Z98" s="125">
        <f t="shared" si="74"/>
        <v>0</v>
      </c>
      <c r="AA98" s="125">
        <f t="shared" si="74"/>
        <v>0</v>
      </c>
      <c r="AB98" s="125">
        <f t="shared" si="74"/>
        <v>11.022199305982292</v>
      </c>
      <c r="AC98" s="125">
        <f t="shared" si="74"/>
        <v>0</v>
      </c>
      <c r="AD98" s="125">
        <f t="shared" si="74"/>
        <v>38.733422808810147</v>
      </c>
      <c r="AE98" s="125">
        <f t="shared" si="74"/>
        <v>1.4748330529191322</v>
      </c>
      <c r="AF98" s="125">
        <f t="shared" si="74"/>
        <v>3.0275509302437009</v>
      </c>
      <c r="AG98" s="125">
        <f t="shared" si="74"/>
        <v>8.3531012890729506E-2</v>
      </c>
      <c r="AH98" s="84"/>
      <c r="AI98" s="84"/>
      <c r="AJ98" s="84"/>
      <c r="AK98" s="84"/>
      <c r="AL98" s="84"/>
      <c r="AM98" s="84">
        <f>+AM63</f>
        <v>0</v>
      </c>
    </row>
    <row r="99" spans="1:39" s="88" customFormat="1">
      <c r="A99" s="87">
        <f t="shared" si="49"/>
        <v>46138</v>
      </c>
      <c r="B99" s="35" t="str">
        <f t="shared" si="46"/>
        <v>domingo</v>
      </c>
      <c r="C99" s="121"/>
      <c r="D99" s="125" t="str">
        <f t="shared" si="68"/>
        <v/>
      </c>
      <c r="E99" s="125" t="str">
        <f t="shared" si="68"/>
        <v/>
      </c>
      <c r="F99" s="125" t="str">
        <f t="shared" si="68"/>
        <v/>
      </c>
      <c r="G99" s="125" t="str">
        <f t="shared" si="68"/>
        <v/>
      </c>
      <c r="H99" s="125" t="str">
        <f t="shared" si="68"/>
        <v/>
      </c>
      <c r="I99" s="125" t="str">
        <f t="shared" si="68"/>
        <v/>
      </c>
      <c r="J99" s="125" t="str">
        <f t="shared" ref="J99:AG99" si="75">+J64</f>
        <v/>
      </c>
      <c r="K99" s="125" t="str">
        <f t="shared" si="75"/>
        <v/>
      </c>
      <c r="L99" s="125" t="str">
        <f t="shared" si="75"/>
        <v/>
      </c>
      <c r="M99" s="125" t="str">
        <f t="shared" si="75"/>
        <v/>
      </c>
      <c r="N99" s="125" t="str">
        <f t="shared" si="75"/>
        <v/>
      </c>
      <c r="O99" s="125" t="str">
        <f t="shared" si="75"/>
        <v/>
      </c>
      <c r="P99" s="125" t="str">
        <f t="shared" si="75"/>
        <v/>
      </c>
      <c r="Q99" s="125" t="str">
        <f t="shared" si="75"/>
        <v/>
      </c>
      <c r="R99" s="125" t="str">
        <f t="shared" si="75"/>
        <v/>
      </c>
      <c r="S99" s="125" t="str">
        <f t="shared" si="75"/>
        <v/>
      </c>
      <c r="T99" s="125" t="str">
        <f t="shared" si="75"/>
        <v/>
      </c>
      <c r="U99" s="125" t="str">
        <f t="shared" si="75"/>
        <v/>
      </c>
      <c r="V99" s="125" t="str">
        <f t="shared" si="75"/>
        <v/>
      </c>
      <c r="W99" s="125">
        <f t="shared" si="75"/>
        <v>0</v>
      </c>
      <c r="X99" s="125">
        <f t="shared" si="75"/>
        <v>0</v>
      </c>
      <c r="Y99" s="125">
        <f t="shared" si="75"/>
        <v>0</v>
      </c>
      <c r="Z99" s="125">
        <f t="shared" si="75"/>
        <v>0</v>
      </c>
      <c r="AA99" s="125">
        <f t="shared" si="75"/>
        <v>0</v>
      </c>
      <c r="AB99" s="125">
        <f t="shared" si="75"/>
        <v>0</v>
      </c>
      <c r="AC99" s="125">
        <f t="shared" si="75"/>
        <v>6.9631894172871949</v>
      </c>
      <c r="AD99" s="125">
        <f t="shared" si="75"/>
        <v>27.526419547037634</v>
      </c>
      <c r="AE99" s="125">
        <f t="shared" si="75"/>
        <v>5.6800487548228977</v>
      </c>
      <c r="AF99" s="125">
        <f t="shared" si="75"/>
        <v>2.4756724122715643</v>
      </c>
      <c r="AG99" s="125">
        <f t="shared" si="75"/>
        <v>0.30886607388415344</v>
      </c>
      <c r="AH99" s="84"/>
      <c r="AI99" s="84"/>
      <c r="AJ99" s="84"/>
      <c r="AK99" s="84"/>
      <c r="AL99" s="84"/>
      <c r="AM99" s="84">
        <f>+AM64</f>
        <v>0</v>
      </c>
    </row>
    <row r="100" spans="1:39" s="88" customFormat="1">
      <c r="A100" s="87">
        <f t="shared" si="49"/>
        <v>46139</v>
      </c>
      <c r="B100" s="35" t="str">
        <f t="shared" si="46"/>
        <v>lunes</v>
      </c>
      <c r="C100" s="121"/>
      <c r="D100" s="125" t="str">
        <f t="shared" si="68"/>
        <v/>
      </c>
      <c r="E100" s="125" t="str">
        <f t="shared" si="68"/>
        <v/>
      </c>
      <c r="F100" s="125" t="str">
        <f t="shared" si="68"/>
        <v/>
      </c>
      <c r="G100" s="125" t="str">
        <f t="shared" si="68"/>
        <v/>
      </c>
      <c r="H100" s="125" t="str">
        <f t="shared" si="68"/>
        <v/>
      </c>
      <c r="I100" s="125" t="str">
        <f t="shared" si="68"/>
        <v/>
      </c>
      <c r="J100" s="125" t="str">
        <f t="shared" ref="J100:AG100" si="76">+J65</f>
        <v/>
      </c>
      <c r="K100" s="125" t="str">
        <f t="shared" si="76"/>
        <v/>
      </c>
      <c r="L100" s="125" t="str">
        <f t="shared" si="76"/>
        <v/>
      </c>
      <c r="M100" s="125" t="str">
        <f t="shared" si="76"/>
        <v/>
      </c>
      <c r="N100" s="125" t="str">
        <f t="shared" si="76"/>
        <v/>
      </c>
      <c r="O100" s="125" t="str">
        <f t="shared" si="76"/>
        <v/>
      </c>
      <c r="P100" s="125" t="str">
        <f t="shared" si="76"/>
        <v/>
      </c>
      <c r="Q100" s="125" t="str">
        <f t="shared" si="76"/>
        <v/>
      </c>
      <c r="R100" s="125" t="str">
        <f t="shared" si="76"/>
        <v/>
      </c>
      <c r="S100" s="125" t="str">
        <f t="shared" si="76"/>
        <v/>
      </c>
      <c r="T100" s="125" t="str">
        <f t="shared" si="76"/>
        <v/>
      </c>
      <c r="U100" s="125" t="str">
        <f t="shared" si="76"/>
        <v/>
      </c>
      <c r="V100" s="125" t="str">
        <f t="shared" si="76"/>
        <v/>
      </c>
      <c r="W100" s="125" t="str">
        <f t="shared" si="76"/>
        <v/>
      </c>
      <c r="X100" s="125" t="str">
        <f t="shared" si="76"/>
        <v/>
      </c>
      <c r="Y100" s="125" t="str">
        <f t="shared" si="76"/>
        <v/>
      </c>
      <c r="Z100" s="125" t="str">
        <f t="shared" si="76"/>
        <v/>
      </c>
      <c r="AA100" s="125" t="str">
        <f t="shared" si="76"/>
        <v/>
      </c>
      <c r="AB100" s="125" t="str">
        <f t="shared" si="76"/>
        <v/>
      </c>
      <c r="AC100" s="125" t="str">
        <f t="shared" si="76"/>
        <v/>
      </c>
      <c r="AD100" s="125">
        <f t="shared" si="76"/>
        <v>18.570408643890669</v>
      </c>
      <c r="AE100" s="125">
        <f t="shared" si="76"/>
        <v>30.178648308176285</v>
      </c>
      <c r="AF100" s="125">
        <f t="shared" si="76"/>
        <v>5.1414829344087485</v>
      </c>
      <c r="AG100" s="125">
        <f t="shared" si="76"/>
        <v>2.9250009111134494</v>
      </c>
      <c r="AH100" s="84"/>
      <c r="AI100" s="84"/>
      <c r="AJ100" s="84"/>
      <c r="AK100" s="84"/>
      <c r="AL100" s="84"/>
      <c r="AM100" s="84">
        <f>+AM65</f>
        <v>0</v>
      </c>
    </row>
    <row r="101" spans="1:39" s="88" customFormat="1">
      <c r="A101" s="87">
        <f t="shared" si="49"/>
        <v>46140</v>
      </c>
      <c r="B101" s="35" t="str">
        <f t="shared" si="46"/>
        <v>martes</v>
      </c>
      <c r="C101" s="121"/>
      <c r="D101" s="125" t="str">
        <f t="shared" si="68"/>
        <v/>
      </c>
      <c r="E101" s="125" t="str">
        <f t="shared" si="68"/>
        <v/>
      </c>
      <c r="F101" s="125" t="str">
        <f t="shared" si="68"/>
        <v/>
      </c>
      <c r="G101" s="125" t="str">
        <f t="shared" si="68"/>
        <v/>
      </c>
      <c r="H101" s="125" t="str">
        <f t="shared" si="68"/>
        <v/>
      </c>
      <c r="I101" s="125" t="str">
        <f t="shared" si="68"/>
        <v/>
      </c>
      <c r="J101" s="125" t="str">
        <f t="shared" ref="J101:AG101" si="77">+J66</f>
        <v/>
      </c>
      <c r="K101" s="125" t="str">
        <f t="shared" si="77"/>
        <v/>
      </c>
      <c r="L101" s="125" t="str">
        <f t="shared" si="77"/>
        <v/>
      </c>
      <c r="M101" s="125" t="str">
        <f t="shared" si="77"/>
        <v/>
      </c>
      <c r="N101" s="125" t="str">
        <f t="shared" si="77"/>
        <v/>
      </c>
      <c r="O101" s="125" t="str">
        <f t="shared" si="77"/>
        <v/>
      </c>
      <c r="P101" s="125" t="str">
        <f t="shared" si="77"/>
        <v/>
      </c>
      <c r="Q101" s="125" t="str">
        <f t="shared" si="77"/>
        <v/>
      </c>
      <c r="R101" s="125" t="str">
        <f t="shared" si="77"/>
        <v/>
      </c>
      <c r="S101" s="125" t="str">
        <f t="shared" si="77"/>
        <v/>
      </c>
      <c r="T101" s="125" t="str">
        <f t="shared" si="77"/>
        <v/>
      </c>
      <c r="U101" s="125" t="str">
        <f t="shared" si="77"/>
        <v/>
      </c>
      <c r="V101" s="125" t="str">
        <f t="shared" si="77"/>
        <v/>
      </c>
      <c r="W101" s="125" t="str">
        <f t="shared" si="77"/>
        <v/>
      </c>
      <c r="X101" s="125" t="str">
        <f t="shared" si="77"/>
        <v/>
      </c>
      <c r="Y101" s="125" t="str">
        <f t="shared" si="77"/>
        <v/>
      </c>
      <c r="Z101" s="125" t="str">
        <f t="shared" si="77"/>
        <v/>
      </c>
      <c r="AA101" s="125" t="str">
        <f t="shared" si="77"/>
        <v/>
      </c>
      <c r="AB101" s="125" t="str">
        <f t="shared" si="77"/>
        <v/>
      </c>
      <c r="AC101" s="125" t="str">
        <f t="shared" si="77"/>
        <v/>
      </c>
      <c r="AD101" s="125">
        <f t="shared" si="77"/>
        <v>0</v>
      </c>
      <c r="AE101" s="125">
        <f t="shared" si="77"/>
        <v>18.117114087735985</v>
      </c>
      <c r="AF101" s="125">
        <f t="shared" si="77"/>
        <v>30.66663849030677</v>
      </c>
      <c r="AG101" s="125">
        <f t="shared" si="77"/>
        <v>10.469856031390313</v>
      </c>
      <c r="AH101" s="84"/>
      <c r="AI101" s="84"/>
      <c r="AJ101" s="84"/>
      <c r="AK101" s="84"/>
      <c r="AL101" s="84"/>
      <c r="AM101" s="84">
        <f>+AM66</f>
        <v>0</v>
      </c>
    </row>
    <row r="102" spans="1:39" s="88" customFormat="1">
      <c r="A102" s="87">
        <f t="shared" si="49"/>
        <v>46141</v>
      </c>
      <c r="B102" s="35" t="str">
        <f t="shared" si="46"/>
        <v>miércoles</v>
      </c>
      <c r="C102" s="121"/>
      <c r="D102" s="125" t="str">
        <f t="shared" si="68"/>
        <v/>
      </c>
      <c r="E102" s="125" t="str">
        <f t="shared" si="68"/>
        <v/>
      </c>
      <c r="F102" s="125" t="str">
        <f t="shared" si="68"/>
        <v/>
      </c>
      <c r="G102" s="125" t="str">
        <f t="shared" si="68"/>
        <v/>
      </c>
      <c r="H102" s="125" t="str">
        <f t="shared" si="68"/>
        <v/>
      </c>
      <c r="I102" s="125" t="str">
        <f t="shared" si="68"/>
        <v/>
      </c>
      <c r="J102" s="125" t="str">
        <f t="shared" ref="J102:AG102" si="78">+J67</f>
        <v/>
      </c>
      <c r="K102" s="125" t="str">
        <f t="shared" si="78"/>
        <v/>
      </c>
      <c r="L102" s="125" t="str">
        <f t="shared" si="78"/>
        <v/>
      </c>
      <c r="M102" s="125" t="str">
        <f t="shared" si="78"/>
        <v/>
      </c>
      <c r="N102" s="125" t="str">
        <f t="shared" si="78"/>
        <v/>
      </c>
      <c r="O102" s="125" t="str">
        <f t="shared" si="78"/>
        <v/>
      </c>
      <c r="P102" s="125" t="str">
        <f t="shared" si="78"/>
        <v/>
      </c>
      <c r="Q102" s="125" t="str">
        <f t="shared" si="78"/>
        <v/>
      </c>
      <c r="R102" s="125" t="str">
        <f t="shared" si="78"/>
        <v/>
      </c>
      <c r="S102" s="125" t="str">
        <f t="shared" si="78"/>
        <v/>
      </c>
      <c r="T102" s="125" t="str">
        <f t="shared" si="78"/>
        <v/>
      </c>
      <c r="U102" s="125" t="str">
        <f t="shared" si="78"/>
        <v/>
      </c>
      <c r="V102" s="125" t="str">
        <f t="shared" si="78"/>
        <v/>
      </c>
      <c r="W102" s="125" t="str">
        <f t="shared" si="78"/>
        <v/>
      </c>
      <c r="X102" s="125" t="str">
        <f t="shared" si="78"/>
        <v/>
      </c>
      <c r="Y102" s="125" t="str">
        <f t="shared" si="78"/>
        <v/>
      </c>
      <c r="Z102" s="125" t="str">
        <f t="shared" si="78"/>
        <v/>
      </c>
      <c r="AA102" s="125" t="str">
        <f t="shared" si="78"/>
        <v/>
      </c>
      <c r="AB102" s="125" t="str">
        <f t="shared" si="78"/>
        <v/>
      </c>
      <c r="AC102" s="125" t="str">
        <f t="shared" si="78"/>
        <v/>
      </c>
      <c r="AD102" s="125">
        <f t="shared" si="78"/>
        <v>0</v>
      </c>
      <c r="AE102" s="125">
        <f t="shared" si="78"/>
        <v>0</v>
      </c>
      <c r="AF102" s="125">
        <f t="shared" si="78"/>
        <v>18.050527441966299</v>
      </c>
      <c r="AG102" s="125">
        <f t="shared" si="78"/>
        <v>34.477408828566503</v>
      </c>
      <c r="AH102" s="84"/>
      <c r="AI102" s="84"/>
      <c r="AJ102" s="84"/>
      <c r="AK102" s="84"/>
      <c r="AL102" s="84"/>
      <c r="AM102" s="84"/>
    </row>
    <row r="103" spans="1:39" s="88" customFormat="1">
      <c r="A103" s="87">
        <f t="shared" si="49"/>
        <v>46142</v>
      </c>
      <c r="B103" s="35" t="str">
        <f t="shared" si="46"/>
        <v>jueves</v>
      </c>
      <c r="C103" s="121"/>
      <c r="D103" s="125" t="str">
        <f t="shared" ref="D103:I103" si="79">+D68</f>
        <v/>
      </c>
      <c r="E103" s="125" t="str">
        <f t="shared" si="79"/>
        <v/>
      </c>
      <c r="F103" s="125" t="str">
        <f t="shared" si="79"/>
        <v/>
      </c>
      <c r="G103" s="125" t="str">
        <f t="shared" si="79"/>
        <v/>
      </c>
      <c r="H103" s="125" t="str">
        <f t="shared" si="79"/>
        <v/>
      </c>
      <c r="I103" s="125" t="str">
        <f t="shared" si="79"/>
        <v/>
      </c>
      <c r="J103" s="125" t="str">
        <f t="shared" ref="J103:AG103" si="80">+J68</f>
        <v/>
      </c>
      <c r="K103" s="125" t="str">
        <f t="shared" si="80"/>
        <v/>
      </c>
      <c r="L103" s="125" t="str">
        <f t="shared" si="80"/>
        <v/>
      </c>
      <c r="M103" s="125" t="str">
        <f t="shared" si="80"/>
        <v/>
      </c>
      <c r="N103" s="125" t="str">
        <f t="shared" si="80"/>
        <v/>
      </c>
      <c r="O103" s="125" t="str">
        <f t="shared" si="80"/>
        <v/>
      </c>
      <c r="P103" s="125" t="str">
        <f t="shared" si="80"/>
        <v/>
      </c>
      <c r="Q103" s="125" t="str">
        <f t="shared" si="80"/>
        <v/>
      </c>
      <c r="R103" s="125" t="str">
        <f t="shared" si="80"/>
        <v/>
      </c>
      <c r="S103" s="125" t="str">
        <f t="shared" si="80"/>
        <v/>
      </c>
      <c r="T103" s="125" t="str">
        <f t="shared" si="80"/>
        <v/>
      </c>
      <c r="U103" s="125" t="str">
        <f t="shared" si="80"/>
        <v/>
      </c>
      <c r="V103" s="125" t="str">
        <f t="shared" si="80"/>
        <v/>
      </c>
      <c r="W103" s="125" t="str">
        <f t="shared" si="80"/>
        <v/>
      </c>
      <c r="X103" s="125" t="str">
        <f t="shared" si="80"/>
        <v/>
      </c>
      <c r="Y103" s="125" t="str">
        <f t="shared" si="80"/>
        <v/>
      </c>
      <c r="Z103" s="125" t="str">
        <f t="shared" si="80"/>
        <v/>
      </c>
      <c r="AA103" s="125" t="str">
        <f t="shared" si="80"/>
        <v/>
      </c>
      <c r="AB103" s="125" t="str">
        <f t="shared" si="80"/>
        <v/>
      </c>
      <c r="AC103" s="125" t="str">
        <f t="shared" si="80"/>
        <v/>
      </c>
      <c r="AD103" s="125">
        <f t="shared" si="80"/>
        <v>0</v>
      </c>
      <c r="AE103" s="125">
        <f t="shared" si="80"/>
        <v>0</v>
      </c>
      <c r="AF103" s="125">
        <f t="shared" si="80"/>
        <v>0</v>
      </c>
      <c r="AG103" s="125">
        <f t="shared" si="80"/>
        <v>21.836201586028473</v>
      </c>
      <c r="AH103" s="84"/>
      <c r="AI103" s="84"/>
      <c r="AJ103" s="84"/>
      <c r="AK103" s="84"/>
      <c r="AL103" s="84"/>
      <c r="AM103" s="84"/>
    </row>
    <row r="104" spans="1:39">
      <c r="C104" s="120"/>
      <c r="D104" s="84">
        <f t="shared" ref="D104:AG104" si="81">+SUM(D73:D103)</f>
        <v>66.463990854269809</v>
      </c>
      <c r="E104" s="84">
        <f t="shared" si="81"/>
        <v>54.691049827463189</v>
      </c>
      <c r="F104" s="84">
        <f t="shared" si="81"/>
        <v>49.505622672881849</v>
      </c>
      <c r="G104" s="84">
        <f t="shared" si="81"/>
        <v>10.000961066721317</v>
      </c>
      <c r="H104" s="84">
        <f t="shared" si="81"/>
        <v>6.4622255701534925</v>
      </c>
      <c r="I104" s="84">
        <f t="shared" si="81"/>
        <v>120.40300852926845</v>
      </c>
      <c r="J104" s="84">
        <f t="shared" si="81"/>
        <v>58.986822615230381</v>
      </c>
      <c r="K104" s="84">
        <f t="shared" si="81"/>
        <v>61.05977196651353</v>
      </c>
      <c r="L104" s="84">
        <f t="shared" si="81"/>
        <v>61.232814515738262</v>
      </c>
      <c r="M104" s="84">
        <f t="shared" si="81"/>
        <v>54.07691448213339</v>
      </c>
      <c r="N104" s="84">
        <f t="shared" si="81"/>
        <v>10.652614034811185</v>
      </c>
      <c r="O104" s="84">
        <f t="shared" si="81"/>
        <v>5.4014903852224467</v>
      </c>
      <c r="P104" s="84">
        <f t="shared" si="81"/>
        <v>123.31029180826519</v>
      </c>
      <c r="Q104" s="84">
        <f t="shared" si="81"/>
        <v>53.579883194209884</v>
      </c>
      <c r="R104" s="84">
        <f t="shared" si="81"/>
        <v>60.571801729117212</v>
      </c>
      <c r="S104" s="84">
        <f t="shared" si="81"/>
        <v>65.915400802507406</v>
      </c>
      <c r="T104" s="84">
        <f t="shared" si="81"/>
        <v>56.906782282990193</v>
      </c>
      <c r="U104" s="84">
        <f t="shared" si="81"/>
        <v>11.051215962002889</v>
      </c>
      <c r="V104" s="84">
        <f t="shared" si="81"/>
        <v>6.6989555530962086</v>
      </c>
      <c r="W104" s="84">
        <f t="shared" si="81"/>
        <v>137.09497734064016</v>
      </c>
      <c r="X104" s="84">
        <f t="shared" si="81"/>
        <v>72.937023950873126</v>
      </c>
      <c r="Y104" s="84">
        <f t="shared" si="81"/>
        <v>72.419611764206053</v>
      </c>
      <c r="Z104" s="84">
        <f t="shared" si="81"/>
        <v>76.382174300463745</v>
      </c>
      <c r="AA104" s="84">
        <f t="shared" si="81"/>
        <v>66.429986482628706</v>
      </c>
      <c r="AB104" s="84">
        <f t="shared" si="81"/>
        <v>11.024943661550619</v>
      </c>
      <c r="AC104" s="84">
        <f t="shared" si="81"/>
        <v>6.9631894172871949</v>
      </c>
      <c r="AD104" s="84">
        <f t="shared" si="81"/>
        <v>135.24551947741068</v>
      </c>
      <c r="AE104" s="84">
        <f t="shared" si="81"/>
        <v>56.582630930064063</v>
      </c>
      <c r="AF104" s="84">
        <f t="shared" si="81"/>
        <v>62.59945030512165</v>
      </c>
      <c r="AG104" s="84">
        <f t="shared" si="81"/>
        <v>70.362322274842654</v>
      </c>
      <c r="AH104" s="459">
        <f>+SUM(D104:AG104)</f>
        <v>1705.0134477576851</v>
      </c>
    </row>
    <row r="106" spans="1:39">
      <c r="AE106" s="84">
        <f>+SUM(D74:AD101)</f>
        <v>1462.3576977763166</v>
      </c>
      <c r="AF106" s="35">
        <f>+AE106/Resumen!B5</f>
        <v>0.85248872326680525</v>
      </c>
    </row>
    <row r="109" spans="1:39">
      <c r="E109" s="182"/>
    </row>
    <row r="110" spans="1:39">
      <c r="E110" s="182"/>
    </row>
    <row r="111" spans="1:39">
      <c r="E111" s="182"/>
    </row>
    <row r="112" spans="1:39">
      <c r="E112" s="182"/>
    </row>
    <row r="113" spans="5:5">
      <c r="E113" s="182"/>
    </row>
    <row r="114" spans="5:5">
      <c r="E114" s="182"/>
    </row>
  </sheetData>
  <mergeCells count="2">
    <mergeCell ref="A38:C38"/>
    <mergeCell ref="A73:C73"/>
  </mergeCells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8"/>
  <dimension ref="A1:R24"/>
  <sheetViews>
    <sheetView topLeftCell="C1" workbookViewId="0">
      <selection activeCell="F18" sqref="F18:P20"/>
    </sheetView>
  </sheetViews>
  <sheetFormatPr baseColWidth="10" defaultColWidth="11.453125" defaultRowHeight="14.5"/>
  <cols>
    <col min="11" max="13" width="9.453125" customWidth="1"/>
  </cols>
  <sheetData>
    <row r="1" spans="1:18">
      <c r="A1" t="s">
        <v>422</v>
      </c>
    </row>
    <row r="2" spans="1:18">
      <c r="B2" s="103" t="s">
        <v>423</v>
      </c>
      <c r="C2" s="103" t="s">
        <v>424</v>
      </c>
      <c r="D2" s="103" t="s">
        <v>425</v>
      </c>
      <c r="E2" s="103" t="s">
        <v>426</v>
      </c>
      <c r="F2" s="103" t="s">
        <v>427</v>
      </c>
      <c r="G2" s="103" t="s">
        <v>428</v>
      </c>
      <c r="H2" s="103" t="s">
        <v>429</v>
      </c>
      <c r="I2" s="103" t="s">
        <v>430</v>
      </c>
      <c r="J2" s="103" t="s">
        <v>431</v>
      </c>
      <c r="K2" s="103" t="s">
        <v>432</v>
      </c>
      <c r="L2" s="103" t="s">
        <v>433</v>
      </c>
      <c r="M2" s="103" t="s">
        <v>434</v>
      </c>
    </row>
    <row r="3" spans="1:18">
      <c r="A3" s="104" t="s">
        <v>435</v>
      </c>
      <c r="B3" s="371">
        <v>0.30350657763505595</v>
      </c>
      <c r="C3" s="371">
        <v>0.55972917038614656</v>
      </c>
      <c r="D3" s="371">
        <v>0.11962874068603058</v>
      </c>
      <c r="E3" s="371">
        <v>8.150864349047519E-3</v>
      </c>
      <c r="F3" s="371">
        <v>3.9529233857111268E-3</v>
      </c>
      <c r="G3" s="371">
        <v>0</v>
      </c>
      <c r="H3" s="371">
        <v>0</v>
      </c>
      <c r="I3" s="371">
        <v>3.7127928667026865E-3</v>
      </c>
      <c r="J3" s="521">
        <v>4.6881834056410103E-4</v>
      </c>
      <c r="K3" s="521">
        <v>6.9074838833076547E-4</v>
      </c>
      <c r="L3" s="521">
        <v>7.1744515760309606E-5</v>
      </c>
      <c r="M3" s="521">
        <v>6.6180159345261981E-5</v>
      </c>
      <c r="N3" s="215">
        <f>+SUM(B3:M3)</f>
        <v>0.99997856071269486</v>
      </c>
    </row>
    <row r="4" spans="1:18">
      <c r="A4" s="104" t="s">
        <v>436</v>
      </c>
      <c r="B4" s="521">
        <v>0</v>
      </c>
      <c r="C4" s="371">
        <v>0.27449053351515973</v>
      </c>
      <c r="D4" s="371">
        <v>0.59076693857909346</v>
      </c>
      <c r="E4" s="371">
        <v>0.11681193454498315</v>
      </c>
      <c r="F4" s="371">
        <v>1.0152201670601444E-2</v>
      </c>
      <c r="G4" s="371">
        <v>0</v>
      </c>
      <c r="H4" s="371">
        <v>0</v>
      </c>
      <c r="I4" s="371">
        <v>5.8240434693548537E-3</v>
      </c>
      <c r="J4" s="371">
        <v>9.7532569412685276E-4</v>
      </c>
      <c r="K4" s="522">
        <v>9.7902252668047307E-4</v>
      </c>
      <c r="L4" s="521">
        <v>0</v>
      </c>
      <c r="M4" s="521">
        <v>4.2806672093593754E-5</v>
      </c>
      <c r="N4" s="215">
        <f t="shared" ref="N4:N9" si="0">+SUM(B4:M4)</f>
        <v>1.0000428066720937</v>
      </c>
    </row>
    <row r="5" spans="1:18">
      <c r="A5" s="104" t="s">
        <v>437</v>
      </c>
      <c r="B5" s="521">
        <v>1.2480318966535884E-6</v>
      </c>
      <c r="C5" s="521">
        <v>0</v>
      </c>
      <c r="D5" s="523">
        <v>0.28698445879076251</v>
      </c>
      <c r="E5" s="371">
        <v>0.57018607815417033</v>
      </c>
      <c r="F5" s="371">
        <v>0.12198952398761082</v>
      </c>
      <c r="G5" s="371">
        <v>0</v>
      </c>
      <c r="H5" s="371">
        <v>0</v>
      </c>
      <c r="I5" s="371">
        <v>1.5790471422772109E-2</v>
      </c>
      <c r="J5" s="371">
        <v>3.1396461758581118E-3</v>
      </c>
      <c r="K5" s="524">
        <v>1.9098214688260118E-3</v>
      </c>
      <c r="L5" s="521">
        <v>0</v>
      </c>
      <c r="M5" s="521">
        <v>3.3060133397652454E-5</v>
      </c>
      <c r="N5" s="215">
        <f t="shared" si="0"/>
        <v>1.000034308165294</v>
      </c>
    </row>
    <row r="6" spans="1:18">
      <c r="A6" s="104" t="s">
        <v>438</v>
      </c>
      <c r="B6" s="521">
        <v>2.1316313328008838E-7</v>
      </c>
      <c r="C6" s="521">
        <v>0</v>
      </c>
      <c r="D6" s="521">
        <v>7.8987410662912971E-6</v>
      </c>
      <c r="E6" s="371">
        <v>0.27200317532491836</v>
      </c>
      <c r="F6" s="371">
        <v>0.58026742693438749</v>
      </c>
      <c r="G6" s="371">
        <v>0</v>
      </c>
      <c r="H6" s="371">
        <v>0</v>
      </c>
      <c r="I6" s="371">
        <v>0.14056925428113995</v>
      </c>
      <c r="J6" s="371">
        <v>2.3102362731872439E-3</v>
      </c>
      <c r="K6" s="371">
        <v>3.5903465786937343E-3</v>
      </c>
      <c r="L6" s="371">
        <v>1.2640353632701268E-3</v>
      </c>
      <c r="M6" s="521">
        <v>0</v>
      </c>
      <c r="N6" s="215">
        <f t="shared" si="0"/>
        <v>1.0000125866597964</v>
      </c>
    </row>
    <row r="7" spans="1:18">
      <c r="A7" s="104" t="s">
        <v>439</v>
      </c>
      <c r="B7" s="521">
        <v>3.6853431923756874E-7</v>
      </c>
      <c r="C7" s="521">
        <v>0</v>
      </c>
      <c r="D7" s="521">
        <v>0</v>
      </c>
      <c r="E7" s="521">
        <v>1.089357898849472E-5</v>
      </c>
      <c r="F7" s="371">
        <v>0.22231626687403955</v>
      </c>
      <c r="G7" s="371">
        <v>0</v>
      </c>
      <c r="H7" s="371">
        <v>0</v>
      </c>
      <c r="I7" s="371">
        <v>0.75936881136890533</v>
      </c>
      <c r="J7" s="371">
        <v>1.1022320946050762E-2</v>
      </c>
      <c r="K7" s="371">
        <v>3.650356322310349E-3</v>
      </c>
      <c r="L7" s="524">
        <v>3.6422444886939909E-3</v>
      </c>
      <c r="M7" s="521">
        <v>0</v>
      </c>
      <c r="N7" s="215">
        <f t="shared" si="0"/>
        <v>1.0000112621133077</v>
      </c>
    </row>
    <row r="8" spans="1:18">
      <c r="A8" s="104" t="s">
        <v>440</v>
      </c>
      <c r="B8" s="521">
        <v>9.5570805971861039E-7</v>
      </c>
      <c r="C8" s="521">
        <v>0</v>
      </c>
      <c r="D8" s="521">
        <v>0</v>
      </c>
      <c r="E8" s="521">
        <v>0</v>
      </c>
      <c r="F8" s="521">
        <v>0</v>
      </c>
      <c r="G8" s="371">
        <v>0.1685033560420264</v>
      </c>
      <c r="H8" s="371">
        <v>0</v>
      </c>
      <c r="I8" s="371">
        <v>0.8088940916929479</v>
      </c>
      <c r="J8" s="371">
        <v>1.3958913847962318E-2</v>
      </c>
      <c r="K8" s="524">
        <v>8.6436384170633929E-3</v>
      </c>
      <c r="L8" s="371">
        <v>0</v>
      </c>
      <c r="M8" s="371">
        <v>0</v>
      </c>
      <c r="N8" s="215">
        <f t="shared" si="0"/>
        <v>1.0000009557080598</v>
      </c>
    </row>
    <row r="9" spans="1:18">
      <c r="A9" s="104" t="s">
        <v>441</v>
      </c>
      <c r="B9" s="521">
        <v>2.1572470643973782E-6</v>
      </c>
      <c r="C9" s="521">
        <v>0</v>
      </c>
      <c r="D9" s="521">
        <v>0</v>
      </c>
      <c r="E9" s="521">
        <v>0</v>
      </c>
      <c r="F9" s="521">
        <v>3.095046003439567E-7</v>
      </c>
      <c r="G9" s="521">
        <v>5.3816844991558196E-6</v>
      </c>
      <c r="H9" s="371">
        <v>0.13742972587735219</v>
      </c>
      <c r="I9" s="371">
        <v>0.68070633951917414</v>
      </c>
      <c r="J9" s="371">
        <v>0.16607404781593202</v>
      </c>
      <c r="K9" s="371">
        <v>1.0224789088909874E-2</v>
      </c>
      <c r="L9" s="524">
        <v>5.5650976986316714E-3</v>
      </c>
      <c r="M9" s="371">
        <v>0</v>
      </c>
      <c r="N9" s="215">
        <f t="shared" si="0"/>
        <v>1.0000078484361639</v>
      </c>
    </row>
    <row r="11" spans="1:18">
      <c r="A11" s="104" t="s">
        <v>442</v>
      </c>
    </row>
    <row r="13" spans="1:18">
      <c r="A13" s="163"/>
      <c r="B13" s="163" t="s">
        <v>423</v>
      </c>
      <c r="C13" s="163" t="s">
        <v>424</v>
      </c>
      <c r="D13" s="163" t="s">
        <v>425</v>
      </c>
      <c r="E13" s="163" t="s">
        <v>426</v>
      </c>
      <c r="F13" s="163" t="s">
        <v>427</v>
      </c>
      <c r="G13" s="163" t="s">
        <v>428</v>
      </c>
      <c r="H13" s="163" t="s">
        <v>429</v>
      </c>
      <c r="I13" s="163" t="s">
        <v>430</v>
      </c>
      <c r="J13" s="163" t="s">
        <v>431</v>
      </c>
      <c r="K13" s="163" t="s">
        <v>432</v>
      </c>
      <c r="L13" s="163" t="s">
        <v>433</v>
      </c>
      <c r="M13" s="163" t="s">
        <v>434</v>
      </c>
      <c r="N13" s="163" t="s">
        <v>443</v>
      </c>
      <c r="O13" s="163" t="s">
        <v>444</v>
      </c>
      <c r="P13" s="163" t="s">
        <v>445</v>
      </c>
      <c r="Q13" s="163"/>
    </row>
    <row r="14" spans="1:18">
      <c r="A14" s="163" t="s">
        <v>435</v>
      </c>
      <c r="B14" s="12">
        <v>0.32554180491641771</v>
      </c>
      <c r="C14" s="12">
        <v>0.52903583483681482</v>
      </c>
      <c r="D14" s="12">
        <v>9.0130899460040853E-2</v>
      </c>
      <c r="E14" s="12">
        <v>5.1275666262696841E-2</v>
      </c>
      <c r="F14" s="12">
        <v>2.0244614803950713E-3</v>
      </c>
      <c r="G14" s="12">
        <v>4.135819722419369E-6</v>
      </c>
      <c r="H14" s="12">
        <v>0</v>
      </c>
      <c r="I14" s="12">
        <v>1.5413035207526753E-3</v>
      </c>
      <c r="J14" s="12">
        <v>1.6279326598275551E-4</v>
      </c>
      <c r="K14" s="521">
        <v>0</v>
      </c>
      <c r="L14" s="521">
        <v>0</v>
      </c>
      <c r="M14" s="521">
        <v>0</v>
      </c>
      <c r="N14" s="521">
        <v>0</v>
      </c>
      <c r="O14" s="521">
        <v>0</v>
      </c>
      <c r="P14" s="521">
        <v>0</v>
      </c>
      <c r="Q14" s="215">
        <f t="shared" ref="Q14:Q20" si="1">+SUM(A14:P14)</f>
        <v>0.99971689956282317</v>
      </c>
      <c r="R14" s="215"/>
    </row>
    <row r="15" spans="1:18">
      <c r="A15" s="163" t="s">
        <v>436</v>
      </c>
      <c r="B15" s="521">
        <v>0</v>
      </c>
      <c r="C15" s="12">
        <v>0.29921870959035518</v>
      </c>
      <c r="D15" s="12">
        <v>0.50648419787536914</v>
      </c>
      <c r="E15" s="12">
        <v>0.17291809259125199</v>
      </c>
      <c r="F15" s="12">
        <v>1.0917165062148577E-2</v>
      </c>
      <c r="G15" s="12">
        <v>0</v>
      </c>
      <c r="H15" s="12">
        <v>0</v>
      </c>
      <c r="I15" s="12">
        <v>9.1048742108840661E-3</v>
      </c>
      <c r="J15" s="12">
        <v>9.2269677076394559E-4</v>
      </c>
      <c r="K15" s="12">
        <v>2.9203046190896174E-4</v>
      </c>
      <c r="L15" s="521">
        <v>0</v>
      </c>
      <c r="M15" s="521">
        <v>0</v>
      </c>
      <c r="N15" s="521">
        <v>0</v>
      </c>
      <c r="O15" s="521">
        <v>0</v>
      </c>
      <c r="P15" s="521">
        <v>0</v>
      </c>
      <c r="Q15" s="215">
        <f t="shared" si="1"/>
        <v>0.99985776656268177</v>
      </c>
      <c r="R15" s="215"/>
    </row>
    <row r="16" spans="1:18">
      <c r="A16" s="163" t="s">
        <v>437</v>
      </c>
      <c r="B16" s="521">
        <v>0</v>
      </c>
      <c r="C16" s="12">
        <v>0</v>
      </c>
      <c r="D16" s="12">
        <v>0.29074362882339949</v>
      </c>
      <c r="E16" s="12">
        <v>0.55533485032354168</v>
      </c>
      <c r="F16" s="12">
        <v>0.11017231777079226</v>
      </c>
      <c r="G16" s="12">
        <v>0</v>
      </c>
      <c r="H16" s="12">
        <v>0</v>
      </c>
      <c r="I16" s="12">
        <v>3.8107969173572426E-2</v>
      </c>
      <c r="J16" s="12">
        <v>5.4918821602028328E-3</v>
      </c>
      <c r="K16" s="12">
        <v>0</v>
      </c>
      <c r="L16" s="12">
        <v>1.686957315360827E-4</v>
      </c>
      <c r="M16" s="521">
        <v>0</v>
      </c>
      <c r="N16" s="521">
        <v>0</v>
      </c>
      <c r="O16" s="521">
        <v>0</v>
      </c>
      <c r="P16" s="521">
        <v>0</v>
      </c>
      <c r="Q16" s="215">
        <f t="shared" si="1"/>
        <v>1.0000193439830447</v>
      </c>
      <c r="R16" s="215"/>
    </row>
    <row r="17" spans="1:18">
      <c r="A17" s="163" t="s">
        <v>438</v>
      </c>
      <c r="B17" s="521">
        <v>0</v>
      </c>
      <c r="C17" s="521">
        <v>0</v>
      </c>
      <c r="D17" s="12">
        <v>0</v>
      </c>
      <c r="E17" s="12">
        <v>0.29774266624711582</v>
      </c>
      <c r="F17" s="12">
        <v>0.57376160054393033</v>
      </c>
      <c r="G17" s="12">
        <v>0</v>
      </c>
      <c r="H17" s="12">
        <v>0</v>
      </c>
      <c r="I17" s="12">
        <v>0.11682466993966849</v>
      </c>
      <c r="J17" s="12">
        <v>1.8756120459557234E-3</v>
      </c>
      <c r="K17" s="12">
        <v>7.6188772701288061E-3</v>
      </c>
      <c r="L17" s="12">
        <v>2.9839850317458426E-4</v>
      </c>
      <c r="M17" s="12">
        <v>1.5762000969834816E-3</v>
      </c>
      <c r="N17" s="521">
        <v>0</v>
      </c>
      <c r="O17" s="521">
        <v>0</v>
      </c>
      <c r="P17" s="521">
        <v>0</v>
      </c>
      <c r="Q17" s="215">
        <f t="shared" si="1"/>
        <v>0.99969802464695723</v>
      </c>
      <c r="R17" s="215"/>
    </row>
    <row r="18" spans="1:18">
      <c r="A18" s="163" t="s">
        <v>439</v>
      </c>
      <c r="B18" s="521">
        <v>0</v>
      </c>
      <c r="C18" s="521">
        <v>0</v>
      </c>
      <c r="D18" s="521">
        <v>0</v>
      </c>
      <c r="E18" s="12">
        <v>0</v>
      </c>
      <c r="F18" s="12">
        <v>0.29176778918363494</v>
      </c>
      <c r="G18" s="12">
        <v>0</v>
      </c>
      <c r="H18" s="12">
        <v>0</v>
      </c>
      <c r="I18" s="12">
        <v>0.6451552915852784</v>
      </c>
      <c r="J18" s="12">
        <v>9.0155647916410255E-3</v>
      </c>
      <c r="K18" s="12">
        <v>4.4680351978889754E-2</v>
      </c>
      <c r="L18" s="12">
        <v>3.80907004005398E-3</v>
      </c>
      <c r="M18" s="12">
        <v>5.0538772465651225E-3</v>
      </c>
      <c r="N18" s="12">
        <v>1.4479289134154341E-5</v>
      </c>
      <c r="O18" s="521">
        <v>0</v>
      </c>
      <c r="P18" s="12">
        <v>2.4630946310930698E-4</v>
      </c>
      <c r="Q18" s="215">
        <f t="shared" si="1"/>
        <v>0.99974273357830656</v>
      </c>
      <c r="R18" s="215"/>
    </row>
    <row r="19" spans="1:18">
      <c r="A19" s="163" t="s">
        <v>440</v>
      </c>
      <c r="B19" s="521">
        <v>0</v>
      </c>
      <c r="C19" s="521">
        <v>0</v>
      </c>
      <c r="D19" s="521">
        <v>0</v>
      </c>
      <c r="E19" s="521">
        <v>0</v>
      </c>
      <c r="F19" s="521">
        <v>0</v>
      </c>
      <c r="G19" s="12">
        <v>0.2024934906200532</v>
      </c>
      <c r="H19" s="12">
        <v>0</v>
      </c>
      <c r="I19" s="12">
        <v>0.71158811145443768</v>
      </c>
      <c r="J19" s="12">
        <v>2.7094782509089255E-2</v>
      </c>
      <c r="K19" s="12">
        <v>5.5620420106384634E-2</v>
      </c>
      <c r="L19" s="12">
        <v>1.5345836076555203E-3</v>
      </c>
      <c r="M19" s="12">
        <v>8.1853427238800667E-4</v>
      </c>
      <c r="N19" s="12">
        <v>1.5608610584901064E-5</v>
      </c>
      <c r="O19" s="521">
        <v>0</v>
      </c>
      <c r="P19" s="12">
        <v>3.4797615514630596E-4</v>
      </c>
      <c r="Q19" s="215">
        <f t="shared" si="1"/>
        <v>0.99951350733573952</v>
      </c>
      <c r="R19" s="215"/>
    </row>
    <row r="20" spans="1:18">
      <c r="A20" s="163" t="s">
        <v>441</v>
      </c>
      <c r="B20" s="521">
        <v>0</v>
      </c>
      <c r="C20" s="521">
        <v>0</v>
      </c>
      <c r="D20" s="521">
        <v>0</v>
      </c>
      <c r="E20" s="521">
        <v>0</v>
      </c>
      <c r="F20" s="521">
        <v>0</v>
      </c>
      <c r="G20" s="521">
        <v>0</v>
      </c>
      <c r="H20" s="12">
        <v>0.16176696208090066</v>
      </c>
      <c r="I20" s="12">
        <v>0.63948644798225263</v>
      </c>
      <c r="J20" s="12">
        <v>0.13195737994114159</v>
      </c>
      <c r="K20" s="12">
        <v>5.7514162151959772E-2</v>
      </c>
      <c r="L20" s="12">
        <v>7.1754943701589306E-3</v>
      </c>
      <c r="M20" s="12">
        <v>7.0424518389661326E-4</v>
      </c>
      <c r="N20" s="12">
        <v>1.8369592717159451E-5</v>
      </c>
      <c r="O20" s="521">
        <v>0</v>
      </c>
      <c r="P20" s="12">
        <v>1.1682443333611635E-3</v>
      </c>
      <c r="Q20" s="215">
        <f t="shared" si="1"/>
        <v>0.99979130563638874</v>
      </c>
      <c r="R20" s="215"/>
    </row>
    <row r="24" spans="1:18">
      <c r="E24">
        <v>46.904400000000003</v>
      </c>
      <c r="F24">
        <f>+E24/0.9</f>
        <v>52.116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0"/>
  <dimension ref="A2:L87"/>
  <sheetViews>
    <sheetView topLeftCell="A77" workbookViewId="0">
      <selection activeCell="F98" sqref="F98"/>
    </sheetView>
  </sheetViews>
  <sheetFormatPr baseColWidth="10" defaultColWidth="11.453125" defaultRowHeight="14.5"/>
  <cols>
    <col min="1" max="1" width="24" bestFit="1" customWidth="1"/>
    <col min="2" max="2" width="14.1796875" bestFit="1" customWidth="1"/>
  </cols>
  <sheetData>
    <row r="2" spans="1:12">
      <c r="A2" t="s">
        <v>450</v>
      </c>
    </row>
    <row r="5" spans="1:12">
      <c r="A5" t="s">
        <v>15</v>
      </c>
    </row>
    <row r="7" spans="1:12">
      <c r="A7" s="197" t="s">
        <v>451</v>
      </c>
      <c r="B7" s="198">
        <v>43800</v>
      </c>
      <c r="C7" s="198">
        <v>43831</v>
      </c>
      <c r="D7" s="198">
        <v>43862</v>
      </c>
      <c r="E7" s="198">
        <v>43891</v>
      </c>
      <c r="F7" s="198">
        <v>43922</v>
      </c>
      <c r="G7" s="198">
        <v>43952</v>
      </c>
      <c r="H7" s="198">
        <v>43983</v>
      </c>
      <c r="I7" s="198">
        <v>44013</v>
      </c>
      <c r="J7" s="198">
        <v>44044</v>
      </c>
      <c r="K7" s="198">
        <v>44075</v>
      </c>
      <c r="L7" s="198">
        <v>44105</v>
      </c>
    </row>
    <row r="8" spans="1:12">
      <c r="A8" s="199" t="s">
        <v>321</v>
      </c>
      <c r="B8" s="200">
        <v>17129626.8147</v>
      </c>
      <c r="C8" s="200">
        <v>14534437.358200002</v>
      </c>
      <c r="D8" s="200">
        <v>12827300.813699998</v>
      </c>
      <c r="E8" s="200">
        <v>10057260.5778</v>
      </c>
      <c r="F8" s="200">
        <v>3586261.9574999996</v>
      </c>
      <c r="G8" s="200">
        <v>5098581.4837999996</v>
      </c>
      <c r="H8" s="200">
        <v>8082224.8955000006</v>
      </c>
      <c r="I8" s="200">
        <v>11291472.672100002</v>
      </c>
      <c r="J8" s="200">
        <v>9775266.9964000024</v>
      </c>
      <c r="K8" s="200">
        <v>9306858.7542000003</v>
      </c>
      <c r="L8" s="200">
        <f>+SUMIF(Graf_PowerBI!$A$226:$A$236,'Denegaciones Histórica'!$A8,Graf_PowerBI!$X$226:$X$236)</f>
        <v>0</v>
      </c>
    </row>
    <row r="9" spans="1:12">
      <c r="A9" s="199" t="s">
        <v>323</v>
      </c>
      <c r="B9" s="200">
        <v>1935275.5760999995</v>
      </c>
      <c r="C9" s="200">
        <v>1978903.6284</v>
      </c>
      <c r="D9" s="200">
        <v>1962617.5114</v>
      </c>
      <c r="E9" s="200">
        <v>1508185.9311000004</v>
      </c>
      <c r="F9" s="200">
        <v>1000969.5017000001</v>
      </c>
      <c r="G9" s="200">
        <v>2174546.9522999995</v>
      </c>
      <c r="H9" s="200">
        <v>4233168.5076000001</v>
      </c>
      <c r="I9" s="200">
        <v>4259237.1440000003</v>
      </c>
      <c r="J9" s="200">
        <v>3405050.0345999994</v>
      </c>
      <c r="K9" s="200">
        <v>2635933.2928999998</v>
      </c>
      <c r="L9" s="200">
        <f>+SUMIF(Graf_PowerBI!$A$226:$A$236,'Denegaciones Histórica'!$A9,Graf_PowerBI!$X$226:$X$236)</f>
        <v>0</v>
      </c>
    </row>
    <row r="10" spans="1:12">
      <c r="A10" s="199" t="s">
        <v>322</v>
      </c>
      <c r="B10" s="200">
        <v>2710712.3079000004</v>
      </c>
      <c r="C10" s="200">
        <v>2345917.5059000002</v>
      </c>
      <c r="D10" s="200">
        <v>2193974.3361999998</v>
      </c>
      <c r="E10" s="200">
        <v>1448541.0932</v>
      </c>
      <c r="F10" s="200">
        <v>949048.56969999988</v>
      </c>
      <c r="G10" s="200">
        <v>2006640.8442000002</v>
      </c>
      <c r="H10" s="200">
        <v>2473753.3809000002</v>
      </c>
      <c r="I10" s="200">
        <v>715458.03209999995</v>
      </c>
      <c r="J10" s="200">
        <v>0</v>
      </c>
      <c r="K10" s="200">
        <v>0</v>
      </c>
      <c r="L10" s="200">
        <f>+SUMIF(Graf_PowerBI!$A$226:$A$236,'Denegaciones Histórica'!$A10,Graf_PowerBI!$X$226:$X$236)</f>
        <v>0</v>
      </c>
    </row>
    <row r="11" spans="1:12">
      <c r="A11" s="199" t="s">
        <v>328</v>
      </c>
      <c r="B11" s="200">
        <v>2309776.3053000001</v>
      </c>
      <c r="C11" s="200">
        <v>2841180.4154000008</v>
      </c>
      <c r="D11" s="200">
        <v>2729247.7930000001</v>
      </c>
      <c r="E11" s="200">
        <v>1365815.4110999997</v>
      </c>
      <c r="F11" s="200">
        <v>822027.99610000011</v>
      </c>
      <c r="G11" s="200">
        <v>1953867.7489000005</v>
      </c>
      <c r="H11" s="200">
        <v>1974379.2232000006</v>
      </c>
      <c r="I11" s="200">
        <v>2179077.5571999988</v>
      </c>
      <c r="J11" s="200">
        <v>1983481.5852000001</v>
      </c>
      <c r="K11" s="200">
        <v>2210433.5763999997</v>
      </c>
      <c r="L11" s="200">
        <f>+SUMIF(Graf_PowerBI!$A$226:$A$236,'Denegaciones Histórica'!$A11,Graf_PowerBI!$X$226:$X$236)</f>
        <v>0</v>
      </c>
    </row>
    <row r="12" spans="1:12">
      <c r="A12" s="199" t="s">
        <v>324</v>
      </c>
      <c r="B12" s="200">
        <v>835214.21</v>
      </c>
      <c r="C12" s="200">
        <v>792352.49360000016</v>
      </c>
      <c r="D12" s="200">
        <v>806590.35610000009</v>
      </c>
      <c r="E12" s="200">
        <v>747971.3526000001</v>
      </c>
      <c r="F12" s="200">
        <v>575572.46620000002</v>
      </c>
      <c r="G12" s="200">
        <v>1436078.8946000005</v>
      </c>
      <c r="H12" s="200">
        <v>1225541.2196000004</v>
      </c>
      <c r="I12" s="200">
        <v>1171661.0926000001</v>
      </c>
      <c r="J12" s="200">
        <v>1157592.2571999999</v>
      </c>
      <c r="K12" s="200">
        <v>902987.22690000001</v>
      </c>
      <c r="L12" s="200">
        <f>+SUMIF(Graf_PowerBI!$A$226:$A$236,'Denegaciones Histórica'!$A12,Graf_PowerBI!$X$226:$X$236)</f>
        <v>0</v>
      </c>
    </row>
    <row r="13" spans="1:12">
      <c r="A13" s="199" t="s">
        <v>326</v>
      </c>
      <c r="B13" s="200">
        <v>0</v>
      </c>
      <c r="C13" s="200">
        <v>0</v>
      </c>
      <c r="D13" s="200">
        <v>347318.67149999994</v>
      </c>
      <c r="E13" s="200">
        <v>958987.50769999996</v>
      </c>
      <c r="F13" s="200">
        <v>526709.13339999993</v>
      </c>
      <c r="G13" s="200">
        <v>500415.93359999999</v>
      </c>
      <c r="H13" s="200">
        <v>1972749.7291000001</v>
      </c>
      <c r="I13" s="200">
        <v>3344957.7639000006</v>
      </c>
      <c r="J13" s="200">
        <v>3883389.9890999999</v>
      </c>
      <c r="K13" s="200">
        <v>2631548.7057000003</v>
      </c>
      <c r="L13" s="200">
        <f>+SUMIF(Graf_PowerBI!$A$226:$A$236,'Denegaciones Histórica'!$A13,Graf_PowerBI!$X$226:$X$236)</f>
        <v>0</v>
      </c>
    </row>
    <row r="14" spans="1:12">
      <c r="A14" s="199" t="s">
        <v>327</v>
      </c>
      <c r="B14" s="200">
        <v>1465443.7895000002</v>
      </c>
      <c r="C14" s="200">
        <v>1136425.8940999997</v>
      </c>
      <c r="D14" s="200">
        <v>1247136.9868999999</v>
      </c>
      <c r="E14" s="200">
        <v>856098.6926999999</v>
      </c>
      <c r="F14" s="200">
        <v>198946.37080000003</v>
      </c>
      <c r="G14" s="200">
        <v>249790.28189999997</v>
      </c>
      <c r="H14" s="200">
        <v>498289.2929</v>
      </c>
      <c r="I14" s="200">
        <v>590995.17800000007</v>
      </c>
      <c r="J14" s="200">
        <v>738323.0438000001</v>
      </c>
      <c r="K14" s="200">
        <v>493022.75689999998</v>
      </c>
      <c r="L14" s="200">
        <f>+SUMIF(Graf_PowerBI!$A$226:$A$236,'Denegaciones Histórica'!$A14,Graf_PowerBI!$X$226:$X$236)</f>
        <v>0</v>
      </c>
    </row>
    <row r="15" spans="1:12">
      <c r="A15" s="199" t="s">
        <v>329</v>
      </c>
      <c r="B15" s="200">
        <v>0</v>
      </c>
      <c r="C15" s="200">
        <v>0</v>
      </c>
      <c r="D15" s="200">
        <v>0</v>
      </c>
      <c r="E15" s="200">
        <v>0</v>
      </c>
      <c r="F15" s="200">
        <v>0</v>
      </c>
      <c r="G15" s="200">
        <v>173980.976</v>
      </c>
      <c r="H15" s="200">
        <v>0</v>
      </c>
      <c r="I15" s="200">
        <v>0</v>
      </c>
      <c r="J15" s="200">
        <v>229922.51329999999</v>
      </c>
      <c r="K15" s="200">
        <v>0</v>
      </c>
      <c r="L15" s="200">
        <f>+SUMIF(Graf_PowerBI!$A$226:$A$236,'Denegaciones Histórica'!$A15,Graf_PowerBI!$X$226:$X$236)</f>
        <v>0</v>
      </c>
    </row>
    <row r="16" spans="1:12">
      <c r="A16" s="199" t="s">
        <v>331</v>
      </c>
      <c r="B16" s="200">
        <v>236628.53260000001</v>
      </c>
      <c r="C16" s="200">
        <v>218342.5385</v>
      </c>
      <c r="D16" s="200">
        <v>231488.09730000002</v>
      </c>
      <c r="E16" s="200">
        <v>0</v>
      </c>
      <c r="F16" s="200">
        <v>59749.645700000008</v>
      </c>
      <c r="G16" s="200">
        <v>77144.84</v>
      </c>
      <c r="H16" s="200">
        <v>0</v>
      </c>
      <c r="I16" s="200">
        <v>181592.97300000006</v>
      </c>
      <c r="J16" s="200">
        <v>225391.25389999995</v>
      </c>
      <c r="K16" s="200">
        <v>371650.89170000004</v>
      </c>
      <c r="L16" s="200">
        <f>+SUMIF(Graf_PowerBI!$A$226:$A$236,'Denegaciones Histórica'!$A16,Graf_PowerBI!$X$226:$X$236)</f>
        <v>0</v>
      </c>
    </row>
    <row r="17" spans="1:12">
      <c r="A17" s="199" t="s">
        <v>452</v>
      </c>
      <c r="B17" s="200">
        <v>2085403.9589000002</v>
      </c>
      <c r="C17" s="200">
        <v>758948.19749999978</v>
      </c>
      <c r="D17" s="200">
        <v>642622.42879999988</v>
      </c>
      <c r="E17" s="200">
        <v>430196.20519999997</v>
      </c>
      <c r="F17" s="200">
        <v>0</v>
      </c>
      <c r="G17" s="200">
        <v>0</v>
      </c>
      <c r="H17" s="200">
        <v>0</v>
      </c>
      <c r="I17" s="200">
        <v>0</v>
      </c>
      <c r="J17" s="200">
        <v>0</v>
      </c>
      <c r="K17" s="200">
        <v>0</v>
      </c>
      <c r="L17" s="200">
        <f>+SUMIF(Graf_PowerBI!$A$226:$A$236,'Denegaciones Histórica'!$A17,Graf_PowerBI!$X$226:$X$236)</f>
        <v>0</v>
      </c>
    </row>
    <row r="18" spans="1:12">
      <c r="A18" s="199" t="s">
        <v>330</v>
      </c>
      <c r="B18" s="200"/>
      <c r="C18" s="200"/>
      <c r="D18" s="200"/>
      <c r="E18" s="200"/>
      <c r="F18" s="200"/>
      <c r="G18" s="200"/>
      <c r="H18" s="200">
        <v>112742.62570000002</v>
      </c>
      <c r="I18" s="200">
        <v>0</v>
      </c>
      <c r="J18" s="200">
        <v>346422.51730000001</v>
      </c>
      <c r="K18" s="200">
        <v>0</v>
      </c>
      <c r="L18" s="200">
        <f>+SUMIF(Graf_PowerBI!$A$226:$A$236,'Denegaciones Histórica'!$A18,Graf_PowerBI!$X$226:$X$236)</f>
        <v>0</v>
      </c>
    </row>
    <row r="19" spans="1:12">
      <c r="A19" s="199" t="s">
        <v>453</v>
      </c>
      <c r="B19" s="200">
        <v>474053.74259999994</v>
      </c>
      <c r="C19" s="200">
        <v>345996.16450000007</v>
      </c>
      <c r="D19" s="200">
        <v>0</v>
      </c>
      <c r="E19" s="200">
        <v>0</v>
      </c>
      <c r="F19" s="200">
        <v>0</v>
      </c>
      <c r="G19" s="200">
        <v>0</v>
      </c>
      <c r="H19" s="200">
        <v>0</v>
      </c>
      <c r="I19" s="200">
        <v>0</v>
      </c>
      <c r="J19" s="200">
        <v>0</v>
      </c>
      <c r="K19" s="200">
        <v>293031.66150000005</v>
      </c>
      <c r="L19" s="200">
        <f>+SUMIF(Graf_PowerBI!$A$226:$A$236,'Denegaciones Histórica'!$A19,Graf_PowerBI!$X$226:$X$236)</f>
        <v>0</v>
      </c>
    </row>
    <row r="20" spans="1:12">
      <c r="A20" s="197" t="s">
        <v>15</v>
      </c>
      <c r="B20" s="201">
        <f>+SUM(B8:B19)</f>
        <v>29182135.237600006</v>
      </c>
      <c r="C20" s="201">
        <f t="shared" ref="C20:L20" si="0">+SUM(C8:C19)</f>
        <v>24952504.196100008</v>
      </c>
      <c r="D20" s="201">
        <f t="shared" si="0"/>
        <v>22988296.994900003</v>
      </c>
      <c r="E20" s="201">
        <f t="shared" si="0"/>
        <v>17373056.771400001</v>
      </c>
      <c r="F20" s="201">
        <f t="shared" si="0"/>
        <v>7719285.6410999987</v>
      </c>
      <c r="G20" s="201">
        <f t="shared" si="0"/>
        <v>13671047.955299998</v>
      </c>
      <c r="H20" s="201">
        <f t="shared" si="0"/>
        <v>20572848.874500003</v>
      </c>
      <c r="I20" s="201">
        <f t="shared" si="0"/>
        <v>23734452.412900001</v>
      </c>
      <c r="J20" s="201">
        <f t="shared" si="0"/>
        <v>21744840.190800004</v>
      </c>
      <c r="K20" s="201">
        <v>18845466.8662</v>
      </c>
      <c r="L20" s="201">
        <f t="shared" si="0"/>
        <v>0</v>
      </c>
    </row>
    <row r="25" spans="1:12">
      <c r="B25" s="204">
        <f t="shared" ref="B25:L25" si="1">+SUM(B13:B19)</f>
        <v>4261530.0236</v>
      </c>
      <c r="C25" s="204">
        <f t="shared" si="1"/>
        <v>2459712.7945999997</v>
      </c>
      <c r="D25" s="204">
        <f t="shared" si="1"/>
        <v>2468566.1844999995</v>
      </c>
      <c r="E25" s="204">
        <f t="shared" si="1"/>
        <v>2245282.4056000002</v>
      </c>
      <c r="F25" s="204">
        <f t="shared" si="1"/>
        <v>785405.14989999996</v>
      </c>
      <c r="G25" s="204">
        <f t="shared" si="1"/>
        <v>1001332.0314999999</v>
      </c>
      <c r="H25" s="204">
        <f t="shared" si="1"/>
        <v>2583781.6477000001</v>
      </c>
      <c r="I25" s="204">
        <f t="shared" si="1"/>
        <v>4117545.9149000011</v>
      </c>
      <c r="J25" s="204">
        <f t="shared" si="1"/>
        <v>5423449.3174000001</v>
      </c>
      <c r="K25" s="204">
        <f t="shared" si="1"/>
        <v>3789254.0158000002</v>
      </c>
      <c r="L25" s="204">
        <f t="shared" si="1"/>
        <v>0</v>
      </c>
    </row>
    <row r="26" spans="1:12">
      <c r="B26" s="16">
        <f t="shared" ref="B26:L26" si="2">+B25/B20</f>
        <v>0.14603215251052604</v>
      </c>
      <c r="C26" s="16">
        <f t="shared" si="2"/>
        <v>9.8575789238197764E-2</v>
      </c>
      <c r="D26" s="16">
        <f t="shared" si="2"/>
        <v>0.10738360414639046</v>
      </c>
      <c r="E26" s="16">
        <f t="shared" si="2"/>
        <v>0.12923934084508634</v>
      </c>
      <c r="F26" s="16">
        <f t="shared" si="2"/>
        <v>0.10174583328258334</v>
      </c>
      <c r="G26" s="16">
        <f t="shared" si="2"/>
        <v>7.3244716482162811E-2</v>
      </c>
      <c r="H26" s="16">
        <f t="shared" si="2"/>
        <v>0.12559182558826801</v>
      </c>
      <c r="I26" s="16">
        <f t="shared" si="2"/>
        <v>0.17348392300224538</v>
      </c>
      <c r="J26" s="16">
        <f t="shared" si="2"/>
        <v>0.24941316053886661</v>
      </c>
      <c r="K26" s="16">
        <f t="shared" si="2"/>
        <v>0.20106978737662154</v>
      </c>
      <c r="L26" s="16" t="e">
        <f t="shared" si="2"/>
        <v>#DIV/0!</v>
      </c>
    </row>
    <row r="28" spans="1:12">
      <c r="A28" s="197" t="s">
        <v>451</v>
      </c>
      <c r="B28" s="198">
        <v>43800</v>
      </c>
      <c r="C28" s="198">
        <v>43831</v>
      </c>
      <c r="D28" s="198">
        <v>43862</v>
      </c>
      <c r="E28" s="198">
        <v>43891</v>
      </c>
      <c r="F28" s="198">
        <v>43922</v>
      </c>
      <c r="G28" s="198">
        <v>43952</v>
      </c>
      <c r="H28" s="198">
        <v>43983</v>
      </c>
      <c r="I28" s="198">
        <f>+I$7</f>
        <v>44013</v>
      </c>
      <c r="J28" s="198">
        <f>+J$7</f>
        <v>44044</v>
      </c>
      <c r="K28" s="198">
        <v>44075</v>
      </c>
      <c r="L28" s="198">
        <f>+L$7</f>
        <v>44105</v>
      </c>
    </row>
    <row r="29" spans="1:12">
      <c r="A29" s="199" t="s">
        <v>321</v>
      </c>
      <c r="B29" s="202">
        <f t="shared" ref="B29:L29" si="3">+B8/B$20</f>
        <v>0.58699017995877034</v>
      </c>
      <c r="C29" s="202">
        <f t="shared" si="3"/>
        <v>0.58248411638266295</v>
      </c>
      <c r="D29" s="202">
        <f t="shared" si="3"/>
        <v>0.55799265237202034</v>
      </c>
      <c r="E29" s="202">
        <f t="shared" si="3"/>
        <v>0.57889988561808747</v>
      </c>
      <c r="F29" s="202">
        <f t="shared" si="3"/>
        <v>0.46458469400401109</v>
      </c>
      <c r="G29" s="202">
        <f t="shared" si="3"/>
        <v>0.37294737758734725</v>
      </c>
      <c r="H29" s="202">
        <f t="shared" si="3"/>
        <v>0.39285880846176335</v>
      </c>
      <c r="I29" s="202">
        <f t="shared" si="3"/>
        <v>0.4757418656923777</v>
      </c>
      <c r="J29" s="202">
        <f t="shared" si="3"/>
        <v>0.44954420959763169</v>
      </c>
      <c r="K29" s="202">
        <f t="shared" si="3"/>
        <v>0.49385132351866406</v>
      </c>
      <c r="L29" s="202" t="e">
        <f t="shared" si="3"/>
        <v>#DIV/0!</v>
      </c>
    </row>
    <row r="30" spans="1:12">
      <c r="A30" s="199" t="s">
        <v>323</v>
      </c>
      <c r="B30" s="202">
        <f t="shared" ref="B30:G30" si="4">+B9/B$20</f>
        <v>6.6317134107667181E-2</v>
      </c>
      <c r="C30" s="202">
        <f t="shared" si="4"/>
        <v>7.9306814772895459E-2</v>
      </c>
      <c r="D30" s="202">
        <f t="shared" si="4"/>
        <v>8.5374637009231716E-2</v>
      </c>
      <c r="E30" s="202">
        <f t="shared" si="4"/>
        <v>8.6811777049092306E-2</v>
      </c>
      <c r="F30" s="202">
        <f t="shared" si="4"/>
        <v>0.12967126081855443</v>
      </c>
      <c r="G30" s="202">
        <f t="shared" si="4"/>
        <v>0.15906219913865274</v>
      </c>
      <c r="H30" s="202">
        <f t="shared" ref="H30:L31" si="5">+H9/H$20</f>
        <v>0.2057648181553991</v>
      </c>
      <c r="I30" s="202">
        <f t="shared" si="5"/>
        <v>0.17945377756788045</v>
      </c>
      <c r="J30" s="202">
        <f t="shared" si="5"/>
        <v>0.15659117311152454</v>
      </c>
      <c r="K30" s="202">
        <f t="shared" si="5"/>
        <v>0.13987094677010298</v>
      </c>
      <c r="L30" s="202" t="e">
        <f t="shared" si="5"/>
        <v>#DIV/0!</v>
      </c>
    </row>
    <row r="31" spans="1:12">
      <c r="A31" s="199" t="s">
        <v>322</v>
      </c>
      <c r="B31" s="202">
        <f t="shared" ref="B31:G31" si="6">+B10/B$20</f>
        <v>9.2889443689759779E-2</v>
      </c>
      <c r="C31" s="202">
        <f t="shared" si="6"/>
        <v>9.4015313551842186E-2</v>
      </c>
      <c r="D31" s="202">
        <f t="shared" si="6"/>
        <v>9.5438750277444959E-2</v>
      </c>
      <c r="E31" s="202">
        <f t="shared" si="6"/>
        <v>8.3378596654598389E-2</v>
      </c>
      <c r="F31" s="202">
        <f t="shared" si="6"/>
        <v>0.12294512909937615</v>
      </c>
      <c r="G31" s="202">
        <f t="shared" si="6"/>
        <v>0.14678032370020799</v>
      </c>
      <c r="H31" s="202">
        <f t="shared" si="5"/>
        <v>0.12024359854051189</v>
      </c>
      <c r="I31" s="202">
        <f t="shared" si="5"/>
        <v>3.0144282229622399E-2</v>
      </c>
      <c r="J31" s="202">
        <f t="shared" si="5"/>
        <v>0</v>
      </c>
      <c r="K31" s="202">
        <f t="shared" si="5"/>
        <v>0</v>
      </c>
      <c r="L31" s="202" t="e">
        <f t="shared" si="5"/>
        <v>#DIV/0!</v>
      </c>
    </row>
    <row r="32" spans="1:12">
      <c r="A32" s="199" t="s">
        <v>328</v>
      </c>
      <c r="B32" s="202">
        <f t="shared" ref="B32:L32" si="7">+B11/B$20+B26</f>
        <v>0.22518250550882024</v>
      </c>
      <c r="C32" s="202">
        <f t="shared" si="7"/>
        <v>0.21243932746551797</v>
      </c>
      <c r="D32" s="202">
        <f t="shared" si="7"/>
        <v>0.22610696123567328</v>
      </c>
      <c r="E32" s="202">
        <f t="shared" si="7"/>
        <v>0.20785621460954914</v>
      </c>
      <c r="F32" s="202">
        <f t="shared" si="7"/>
        <v>0.20823599756971045</v>
      </c>
      <c r="G32" s="202">
        <f t="shared" si="7"/>
        <v>0.21616483169853318</v>
      </c>
      <c r="H32" s="202">
        <f t="shared" si="7"/>
        <v>0.22156196736319927</v>
      </c>
      <c r="I32" s="202">
        <f t="shared" si="7"/>
        <v>0.26529465953373749</v>
      </c>
      <c r="J32" s="202">
        <f t="shared" si="7"/>
        <v>0.340629355636</v>
      </c>
      <c r="K32" s="202">
        <f t="shared" si="7"/>
        <v>0.3183623751428864</v>
      </c>
      <c r="L32" s="202" t="e">
        <f t="shared" si="7"/>
        <v>#DIV/0!</v>
      </c>
    </row>
    <row r="33" spans="1:12">
      <c r="A33" s="199" t="s">
        <v>324</v>
      </c>
      <c r="B33" s="202">
        <f t="shared" ref="B33:G33" si="8">+B12/B$20</f>
        <v>2.8620736734982302E-2</v>
      </c>
      <c r="C33" s="202">
        <f t="shared" si="8"/>
        <v>3.1754427827081266E-2</v>
      </c>
      <c r="D33" s="202">
        <f t="shared" si="8"/>
        <v>3.5086999105629429E-2</v>
      </c>
      <c r="E33" s="202">
        <f t="shared" si="8"/>
        <v>4.3053526068672666E-2</v>
      </c>
      <c r="F33" s="202">
        <f t="shared" si="8"/>
        <v>7.4562918508347995E-2</v>
      </c>
      <c r="G33" s="202">
        <f t="shared" si="8"/>
        <v>0.10504526787525903</v>
      </c>
      <c r="H33" s="202">
        <f>+H12/H$20</f>
        <v>5.9570807479126325E-2</v>
      </c>
      <c r="I33" s="202">
        <f>+I12/I$20</f>
        <v>4.936541497638202E-2</v>
      </c>
      <c r="J33" s="202">
        <f>+J12/J$20</f>
        <v>5.3235261654843713E-2</v>
      </c>
      <c r="K33" s="202">
        <f>+K12/K$20</f>
        <v>4.7915354568346565E-2</v>
      </c>
      <c r="L33" s="202" t="e">
        <f>+L12/L$20</f>
        <v>#DIV/0!</v>
      </c>
    </row>
    <row r="34" spans="1:12">
      <c r="A34" s="197" t="s">
        <v>454</v>
      </c>
      <c r="B34" s="203">
        <v>1</v>
      </c>
      <c r="C34" s="203">
        <v>1</v>
      </c>
      <c r="D34" s="203">
        <v>1</v>
      </c>
      <c r="E34" s="203">
        <v>1</v>
      </c>
      <c r="F34" s="203">
        <v>1</v>
      </c>
      <c r="G34" s="203">
        <v>1</v>
      </c>
      <c r="H34" s="203">
        <f>+$B$34</f>
        <v>1</v>
      </c>
      <c r="I34" s="203">
        <f>+$B$34</f>
        <v>1</v>
      </c>
      <c r="J34" s="203">
        <f>+$B$34</f>
        <v>1</v>
      </c>
      <c r="K34" s="203">
        <f>+$B$34</f>
        <v>1</v>
      </c>
      <c r="L34" s="203">
        <v>1</v>
      </c>
    </row>
    <row r="38" spans="1:12">
      <c r="A38" s="197" t="s">
        <v>451</v>
      </c>
      <c r="B38" s="198">
        <v>43800</v>
      </c>
      <c r="C38" s="198">
        <v>43831</v>
      </c>
      <c r="D38" s="198">
        <v>43862</v>
      </c>
      <c r="E38" s="198">
        <v>43891</v>
      </c>
      <c r="F38" s="198">
        <v>43922</v>
      </c>
      <c r="G38" s="198">
        <v>43952</v>
      </c>
      <c r="H38" s="198">
        <v>43983</v>
      </c>
      <c r="I38" s="198">
        <f>+I$7</f>
        <v>44013</v>
      </c>
      <c r="J38" s="198">
        <f>+J$7</f>
        <v>44044</v>
      </c>
      <c r="K38" s="198">
        <v>44075</v>
      </c>
      <c r="L38" s="198">
        <f>+L$7</f>
        <v>44105</v>
      </c>
    </row>
    <row r="39" spans="1:12">
      <c r="A39" s="199" t="s">
        <v>321</v>
      </c>
      <c r="B39" s="211">
        <f>+B29*B$20/1000000</f>
        <v>17.1296268147</v>
      </c>
      <c r="C39" s="211">
        <f t="shared" ref="C39:L39" si="9">+C29*C$20/1000000</f>
        <v>14.534437358200002</v>
      </c>
      <c r="D39" s="211">
        <f t="shared" si="9"/>
        <v>12.827300813699997</v>
      </c>
      <c r="E39" s="211">
        <f t="shared" si="9"/>
        <v>10.057260577799999</v>
      </c>
      <c r="F39" s="211">
        <f t="shared" si="9"/>
        <v>3.5862619574999997</v>
      </c>
      <c r="G39" s="211">
        <f t="shared" si="9"/>
        <v>5.0985814837999994</v>
      </c>
      <c r="H39" s="211">
        <f t="shared" ref="H39:K44" si="10">+H29*H$20/1000000</f>
        <v>8.0822248955000013</v>
      </c>
      <c r="I39" s="211">
        <f t="shared" si="10"/>
        <v>11.291472672100001</v>
      </c>
      <c r="J39" s="211">
        <f t="shared" si="10"/>
        <v>9.7752669964000027</v>
      </c>
      <c r="K39" s="211">
        <f t="shared" si="10"/>
        <v>9.3068587542000003</v>
      </c>
      <c r="L39" s="211" t="e">
        <f t="shared" si="9"/>
        <v>#DIV/0!</v>
      </c>
    </row>
    <row r="40" spans="1:12">
      <c r="A40" s="199" t="s">
        <v>323</v>
      </c>
      <c r="B40" s="211">
        <f t="shared" ref="B40:L40" si="11">+B30*B$20/1000000</f>
        <v>1.9352755760999998</v>
      </c>
      <c r="C40" s="211">
        <f t="shared" si="11"/>
        <v>1.9789036284000001</v>
      </c>
      <c r="D40" s="211">
        <f t="shared" si="11"/>
        <v>1.9626175114</v>
      </c>
      <c r="E40" s="211">
        <f t="shared" si="11"/>
        <v>1.5081859311000003</v>
      </c>
      <c r="F40" s="211">
        <f t="shared" si="11"/>
        <v>1.0009695017</v>
      </c>
      <c r="G40" s="211">
        <f t="shared" si="11"/>
        <v>2.1745469522999996</v>
      </c>
      <c r="H40" s="211">
        <f t="shared" si="10"/>
        <v>4.2331685076000003</v>
      </c>
      <c r="I40" s="211">
        <f t="shared" si="10"/>
        <v>4.2592371440000001</v>
      </c>
      <c r="J40" s="211">
        <f t="shared" si="10"/>
        <v>3.4050500345999999</v>
      </c>
      <c r="K40" s="211">
        <f t="shared" si="10"/>
        <v>2.6359332928999999</v>
      </c>
      <c r="L40" s="211" t="e">
        <f t="shared" si="11"/>
        <v>#DIV/0!</v>
      </c>
    </row>
    <row r="41" spans="1:12">
      <c r="A41" s="199" t="s">
        <v>322</v>
      </c>
      <c r="B41" s="211">
        <f t="shared" ref="B41:L41" si="12">+B31*B$20/1000000</f>
        <v>2.7107123079000002</v>
      </c>
      <c r="C41" s="211">
        <f t="shared" si="12"/>
        <v>2.3459175059000001</v>
      </c>
      <c r="D41" s="211">
        <f t="shared" si="12"/>
        <v>2.1939743361999997</v>
      </c>
      <c r="E41" s="211">
        <f t="shared" si="12"/>
        <v>1.4485410932</v>
      </c>
      <c r="F41" s="211">
        <f t="shared" si="12"/>
        <v>0.94904856969999984</v>
      </c>
      <c r="G41" s="211">
        <f t="shared" si="12"/>
        <v>2.0066408442000001</v>
      </c>
      <c r="H41" s="211">
        <f t="shared" si="10"/>
        <v>2.4737533809000003</v>
      </c>
      <c r="I41" s="211">
        <f t="shared" si="10"/>
        <v>0.71545803209999992</v>
      </c>
      <c r="J41" s="211">
        <f t="shared" si="10"/>
        <v>0</v>
      </c>
      <c r="K41" s="211">
        <f t="shared" si="10"/>
        <v>0</v>
      </c>
      <c r="L41" s="211" t="e">
        <f t="shared" si="12"/>
        <v>#DIV/0!</v>
      </c>
    </row>
    <row r="42" spans="1:12">
      <c r="A42" s="199" t="s">
        <v>328</v>
      </c>
      <c r="B42" s="211">
        <f t="shared" ref="B42:L42" si="13">+B32*B$20/1000000</f>
        <v>6.5713063289000013</v>
      </c>
      <c r="C42" s="211">
        <f t="shared" si="13"/>
        <v>5.3008932100000008</v>
      </c>
      <c r="D42" s="211">
        <f t="shared" si="13"/>
        <v>5.1978139775000001</v>
      </c>
      <c r="E42" s="211">
        <f t="shared" si="13"/>
        <v>3.6110978166999992</v>
      </c>
      <c r="F42" s="211">
        <f t="shared" si="13"/>
        <v>1.6074331460000002</v>
      </c>
      <c r="G42" s="211">
        <f t="shared" si="13"/>
        <v>2.9551997804000001</v>
      </c>
      <c r="H42" s="211">
        <f t="shared" si="10"/>
        <v>4.5581608709000001</v>
      </c>
      <c r="I42" s="211">
        <f t="shared" si="10"/>
        <v>6.2966234721000003</v>
      </c>
      <c r="J42" s="211">
        <f t="shared" si="10"/>
        <v>7.406930902600001</v>
      </c>
      <c r="K42" s="211">
        <f t="shared" si="10"/>
        <v>5.9996875921999999</v>
      </c>
      <c r="L42" s="211" t="e">
        <f t="shared" si="13"/>
        <v>#DIV/0!</v>
      </c>
    </row>
    <row r="43" spans="1:12">
      <c r="A43" s="199" t="s">
        <v>324</v>
      </c>
      <c r="B43" s="211">
        <f t="shared" ref="B43:L43" si="14">+B33*B$20/1000000</f>
        <v>0.83521420999999996</v>
      </c>
      <c r="C43" s="211">
        <f t="shared" si="14"/>
        <v>0.79235249360000015</v>
      </c>
      <c r="D43" s="211">
        <f t="shared" si="14"/>
        <v>0.80659035610000007</v>
      </c>
      <c r="E43" s="211">
        <f t="shared" si="14"/>
        <v>0.74797135260000014</v>
      </c>
      <c r="F43" s="211">
        <f t="shared" si="14"/>
        <v>0.57557246620000002</v>
      </c>
      <c r="G43" s="211">
        <f t="shared" si="14"/>
        <v>1.4360788946000005</v>
      </c>
      <c r="H43" s="211">
        <f t="shared" si="10"/>
        <v>1.2255412196000004</v>
      </c>
      <c r="I43" s="211">
        <f t="shared" si="10"/>
        <v>1.1716610926000002</v>
      </c>
      <c r="J43" s="211">
        <f t="shared" si="10"/>
        <v>1.1575922571999999</v>
      </c>
      <c r="K43" s="211">
        <f t="shared" si="10"/>
        <v>0.9029872269</v>
      </c>
      <c r="L43" s="211" t="e">
        <f t="shared" si="14"/>
        <v>#DIV/0!</v>
      </c>
    </row>
    <row r="44" spans="1:12">
      <c r="A44" s="197" t="s">
        <v>454</v>
      </c>
      <c r="B44" s="212">
        <f t="shared" ref="B44:L44" si="15">+B34*B$20/1000000</f>
        <v>29.182135237600008</v>
      </c>
      <c r="C44" s="212">
        <f t="shared" si="15"/>
        <v>24.952504196100008</v>
      </c>
      <c r="D44" s="212">
        <f t="shared" si="15"/>
        <v>22.988296994900004</v>
      </c>
      <c r="E44" s="212">
        <f t="shared" si="15"/>
        <v>17.373056771400002</v>
      </c>
      <c r="F44" s="212">
        <f t="shared" si="15"/>
        <v>7.719285641099999</v>
      </c>
      <c r="G44" s="212">
        <f t="shared" si="15"/>
        <v>13.671047955299997</v>
      </c>
      <c r="H44" s="212">
        <f t="shared" si="10"/>
        <v>20.572848874500004</v>
      </c>
      <c r="I44" s="212">
        <f t="shared" si="10"/>
        <v>23.734452412900001</v>
      </c>
      <c r="J44" s="212">
        <f t="shared" si="10"/>
        <v>21.744840190800005</v>
      </c>
      <c r="K44" s="212">
        <f t="shared" si="10"/>
        <v>18.845466866199999</v>
      </c>
      <c r="L44" s="212">
        <f t="shared" si="15"/>
        <v>0</v>
      </c>
    </row>
    <row r="45" spans="1:12">
      <c r="B45" s="19">
        <f t="shared" ref="B45:G45" si="16">+B44</f>
        <v>29.182135237600008</v>
      </c>
      <c r="C45" s="19">
        <f t="shared" si="16"/>
        <v>24.952504196100008</v>
      </c>
      <c r="D45" s="19">
        <f t="shared" si="16"/>
        <v>22.988296994900004</v>
      </c>
      <c r="E45" s="19">
        <f t="shared" si="16"/>
        <v>17.373056771400002</v>
      </c>
      <c r="F45" s="19">
        <f t="shared" si="16"/>
        <v>7.719285641099999</v>
      </c>
      <c r="G45" s="19">
        <f t="shared" si="16"/>
        <v>13.671047955299997</v>
      </c>
      <c r="H45" s="19">
        <f>+H44</f>
        <v>20.572848874500004</v>
      </c>
      <c r="I45" s="19">
        <f>+I44</f>
        <v>23.734452412900001</v>
      </c>
      <c r="J45" s="19">
        <f>+J44</f>
        <v>21.744840190800005</v>
      </c>
      <c r="K45" s="19">
        <f>+K44</f>
        <v>18.845466866199999</v>
      </c>
      <c r="L45" s="19">
        <f>+Resumen!L102</f>
        <v>0</v>
      </c>
    </row>
    <row r="46" spans="1:12">
      <c r="C46" s="137">
        <v>757.43613472801997</v>
      </c>
      <c r="D46" s="137">
        <v>778.05398020309985</v>
      </c>
      <c r="E46" s="137">
        <v>537.36636852964989</v>
      </c>
      <c r="F46" s="137">
        <v>268.14557282874</v>
      </c>
      <c r="G46" s="137">
        <v>370.61872031697999</v>
      </c>
      <c r="H46" s="137">
        <v>424.68240603119011</v>
      </c>
      <c r="I46" s="137">
        <v>526.1397762234601</v>
      </c>
      <c r="J46" s="137">
        <v>529.61886343825006</v>
      </c>
      <c r="K46" s="137">
        <v>522.85874178800998</v>
      </c>
      <c r="L46" s="137">
        <f>Resumen!$B$5</f>
        <v>1715.3982895778897</v>
      </c>
    </row>
    <row r="47" spans="1:12">
      <c r="C47" s="163">
        <f>+C45/(C45+C46)</f>
        <v>3.1892723072273588E-2</v>
      </c>
      <c r="D47" s="163">
        <f t="shared" ref="D47:L47" si="17">+D45/(D45+D46)</f>
        <v>2.8697982178059009E-2</v>
      </c>
      <c r="E47" s="163">
        <f t="shared" si="17"/>
        <v>3.1317508687924732E-2</v>
      </c>
      <c r="F47" s="163">
        <f t="shared" si="17"/>
        <v>2.798212749502467E-2</v>
      </c>
      <c r="G47" s="163">
        <f t="shared" si="17"/>
        <v>3.5574842434039723E-2</v>
      </c>
      <c r="H47" s="163">
        <f>+H45/(H45+H46)</f>
        <v>4.6204617795824909E-2</v>
      </c>
      <c r="I47" s="163">
        <f>+I45/(I45+I46)</f>
        <v>4.3163420245679381E-2</v>
      </c>
      <c r="J47" s="163">
        <f>+J45/(J45+J46)</f>
        <v>3.9438287373065158E-2</v>
      </c>
      <c r="K47" s="163">
        <f>+K45/(K45+K46)</f>
        <v>3.4789219956438924E-2</v>
      </c>
      <c r="L47" s="163">
        <f t="shared" si="17"/>
        <v>0</v>
      </c>
    </row>
    <row r="49" spans="1:12">
      <c r="A49" t="s">
        <v>299</v>
      </c>
    </row>
    <row r="51" spans="1:12">
      <c r="A51" s="197" t="s">
        <v>451</v>
      </c>
      <c r="B51" s="198">
        <v>43800</v>
      </c>
      <c r="C51" s="198">
        <v>43831</v>
      </c>
      <c r="D51" s="198">
        <v>43862</v>
      </c>
      <c r="E51" s="198">
        <v>43891</v>
      </c>
      <c r="F51" s="198">
        <v>43922</v>
      </c>
      <c r="G51" s="198">
        <v>43952</v>
      </c>
      <c r="H51" s="198">
        <v>43983</v>
      </c>
      <c r="I51" s="198">
        <f>+I$7</f>
        <v>44013</v>
      </c>
      <c r="J51" s="198">
        <f>+J$7</f>
        <v>44044</v>
      </c>
      <c r="K51" s="198">
        <v>44075</v>
      </c>
      <c r="L51" s="198">
        <f>+L$7</f>
        <v>44105</v>
      </c>
    </row>
    <row r="52" spans="1:12">
      <c r="A52" s="199" t="s">
        <v>321</v>
      </c>
      <c r="B52" s="200">
        <v>5225114.8418999985</v>
      </c>
      <c r="C52" s="200">
        <v>4823548.1546000009</v>
      </c>
      <c r="D52" s="200">
        <v>4437810.6397000002</v>
      </c>
      <c r="E52" s="200">
        <v>3956238.6149000004</v>
      </c>
      <c r="F52" s="200">
        <v>2003333.5717999996</v>
      </c>
      <c r="G52" s="200">
        <v>3313417.7993999999</v>
      </c>
      <c r="H52" s="200">
        <v>4314332.6381000001</v>
      </c>
      <c r="I52" s="200">
        <v>5027907.1400999995</v>
      </c>
      <c r="J52" s="200">
        <v>4554100.5999999996</v>
      </c>
      <c r="K52" s="200">
        <v>3948583.0241999999</v>
      </c>
      <c r="L52" s="200">
        <f>+SUMIF(Graf_PowerBI!$H$226:$H$232,'Denegaciones Histórica'!$A52,Graf_PowerBI!$Y$226:$Y$232)</f>
        <v>0</v>
      </c>
    </row>
    <row r="53" spans="1:12">
      <c r="A53" s="199" t="s">
        <v>323</v>
      </c>
      <c r="B53" s="200">
        <v>1935275.5760999995</v>
      </c>
      <c r="C53" s="200">
        <v>1978903.6284</v>
      </c>
      <c r="D53" s="200">
        <v>1962617.5114</v>
      </c>
      <c r="E53" s="200">
        <v>1508185.9311000004</v>
      </c>
      <c r="F53" s="200">
        <v>1000969.5017000001</v>
      </c>
      <c r="G53" s="200">
        <v>2174546.9522999995</v>
      </c>
      <c r="H53" s="200">
        <v>4233168.5076000001</v>
      </c>
      <c r="I53" s="200">
        <v>4259237.1440000003</v>
      </c>
      <c r="J53" s="200">
        <v>3405050.0345999994</v>
      </c>
      <c r="K53" s="200">
        <v>2635933.2928999998</v>
      </c>
      <c r="L53" s="200">
        <f>+SUMIF(Graf_PowerBI!$H$226:$H$232,'Denegaciones Histórica'!$A53,Graf_PowerBI!$Y$226:$Y$232)</f>
        <v>0</v>
      </c>
    </row>
    <row r="54" spans="1:12">
      <c r="A54" s="199" t="s">
        <v>322</v>
      </c>
      <c r="B54" s="200">
        <v>837667.66580000008</v>
      </c>
      <c r="C54" s="200">
        <v>879520.99910000002</v>
      </c>
      <c r="D54" s="200">
        <v>767128.95640000002</v>
      </c>
      <c r="E54" s="200">
        <v>715373.8629999999</v>
      </c>
      <c r="F54" s="200">
        <v>469614.94049999991</v>
      </c>
      <c r="G54" s="200">
        <v>966508.96130000008</v>
      </c>
      <c r="H54" s="200">
        <v>1088470.7960000001</v>
      </c>
      <c r="I54" s="200">
        <v>283692.24709999998</v>
      </c>
      <c r="J54" s="200">
        <v>0</v>
      </c>
      <c r="K54" s="200">
        <v>0</v>
      </c>
      <c r="L54" s="200">
        <f>+SUMIF(Graf_PowerBI!$H$226:$H$232,'Denegaciones Histórica'!$A54,Graf_PowerBI!$Y$226:$Y$232)</f>
        <v>0</v>
      </c>
    </row>
    <row r="55" spans="1:12">
      <c r="A55" s="199" t="s">
        <v>324</v>
      </c>
      <c r="B55" s="200">
        <v>835214.21</v>
      </c>
      <c r="C55" s="200">
        <v>792352.49360000016</v>
      </c>
      <c r="D55" s="200">
        <v>806590.35610000009</v>
      </c>
      <c r="E55" s="200">
        <v>747971.3526000001</v>
      </c>
      <c r="F55" s="200">
        <v>575572.46620000002</v>
      </c>
      <c r="G55" s="200">
        <v>1436078.8946000005</v>
      </c>
      <c r="H55" s="200">
        <v>1225541.2196000004</v>
      </c>
      <c r="I55" s="200">
        <v>1171661.0926000001</v>
      </c>
      <c r="J55" s="200">
        <v>1157592.2571999999</v>
      </c>
      <c r="K55" s="200">
        <v>902987.22690000001</v>
      </c>
      <c r="L55" s="200">
        <f>+SUMIF(Graf_PowerBI!$H$226:$H$232,'Denegaciones Histórica'!$A55,Graf_PowerBI!$Y$226:$Y$232)</f>
        <v>0</v>
      </c>
    </row>
    <row r="56" spans="1:12">
      <c r="A56" s="199" t="s">
        <v>453</v>
      </c>
      <c r="B56" s="200">
        <v>474053.74259999994</v>
      </c>
      <c r="C56" s="200">
        <v>345996.16450000007</v>
      </c>
      <c r="D56" s="200">
        <v>0</v>
      </c>
      <c r="E56" s="200">
        <v>0</v>
      </c>
      <c r="F56" s="200">
        <v>0</v>
      </c>
      <c r="G56" s="200">
        <v>0</v>
      </c>
      <c r="H56" s="200">
        <v>0</v>
      </c>
      <c r="I56" s="200">
        <v>0</v>
      </c>
      <c r="J56" s="200">
        <v>0</v>
      </c>
      <c r="K56" s="200">
        <v>293031.66150000005</v>
      </c>
      <c r="L56" s="200">
        <f>+SUMIF(Graf_PowerBI!$H$226:$H$232,'Denegaciones Histórica'!$A56,Graf_PowerBI!$Y$226:$Y$232)</f>
        <v>0</v>
      </c>
    </row>
    <row r="57" spans="1:12">
      <c r="A57" s="199" t="s">
        <v>330</v>
      </c>
      <c r="B57" s="200"/>
      <c r="C57" s="200"/>
      <c r="D57" s="200"/>
      <c r="E57" s="200"/>
      <c r="F57" s="200"/>
      <c r="G57" s="200"/>
      <c r="H57" s="200"/>
      <c r="I57" s="200"/>
      <c r="J57" s="200">
        <v>346422.51730000001</v>
      </c>
      <c r="K57" s="200"/>
      <c r="L57" s="200"/>
    </row>
    <row r="58" spans="1:12">
      <c r="A58" s="199" t="s">
        <v>326</v>
      </c>
      <c r="B58" s="200">
        <v>0</v>
      </c>
      <c r="C58" s="200">
        <v>0</v>
      </c>
      <c r="D58" s="200">
        <v>347318.67149999994</v>
      </c>
      <c r="E58" s="200">
        <v>384596.87360000005</v>
      </c>
      <c r="F58" s="200">
        <v>336799.89439999999</v>
      </c>
      <c r="G58" s="200">
        <v>500415.93359999999</v>
      </c>
      <c r="H58" s="200">
        <v>985381.21200000006</v>
      </c>
      <c r="I58" s="200">
        <v>1304365.8896000001</v>
      </c>
      <c r="J58" s="200">
        <v>1754741.9190999998</v>
      </c>
      <c r="K58" s="200">
        <v>1161233.3923000002</v>
      </c>
      <c r="L58" s="200">
        <f>+SUMIF(Graf_PowerBI!$H$226:$H$232,'Denegaciones Histórica'!$A58,Graf_PowerBI!$Y$226:$Y$232)</f>
        <v>0</v>
      </c>
    </row>
    <row r="59" spans="1:12">
      <c r="A59" s="199" t="s">
        <v>328</v>
      </c>
      <c r="B59" s="200">
        <v>1174299.7605999997</v>
      </c>
      <c r="C59" s="200">
        <v>926507.92100000032</v>
      </c>
      <c r="D59" s="200">
        <v>1087918.6198999998</v>
      </c>
      <c r="E59" s="200">
        <v>763879.55119999975</v>
      </c>
      <c r="F59" s="200">
        <v>451614.89530000003</v>
      </c>
      <c r="G59" s="200">
        <v>1216440.2319000002</v>
      </c>
      <c r="H59" s="200">
        <v>1093352.5013000004</v>
      </c>
      <c r="I59" s="200">
        <v>1280807.222099999</v>
      </c>
      <c r="J59" s="200">
        <v>982798.3895000004</v>
      </c>
      <c r="K59" s="200">
        <v>1125930.6977999995</v>
      </c>
      <c r="L59" s="200">
        <f>+SUMIF(Graf_PowerBI!$H$226:$H$232,'Denegaciones Histórica'!$A59,Graf_PowerBI!$Y$226:$Y$232)</f>
        <v>0</v>
      </c>
    </row>
    <row r="60" spans="1:12">
      <c r="A60" s="197" t="s">
        <v>454</v>
      </c>
      <c r="B60" s="201">
        <f t="shared" ref="B60:J60" si="18">+SUM(B52:B59)</f>
        <v>10481625.796999995</v>
      </c>
      <c r="C60" s="201">
        <f t="shared" si="18"/>
        <v>9746829.3612000011</v>
      </c>
      <c r="D60" s="201">
        <f t="shared" si="18"/>
        <v>9409384.7550000008</v>
      </c>
      <c r="E60" s="201">
        <f t="shared" si="18"/>
        <v>8076246.1864000009</v>
      </c>
      <c r="F60" s="201">
        <f t="shared" si="18"/>
        <v>4837905.2698999997</v>
      </c>
      <c r="G60" s="201">
        <f t="shared" si="18"/>
        <v>9607408.7730999999</v>
      </c>
      <c r="H60" s="201">
        <f t="shared" si="18"/>
        <v>12940246.874599999</v>
      </c>
      <c r="I60" s="201">
        <f t="shared" si="18"/>
        <v>13327670.735499997</v>
      </c>
      <c r="J60" s="201">
        <f t="shared" si="18"/>
        <v>12200705.717699997</v>
      </c>
      <c r="K60" s="201">
        <v>10067699.295599999</v>
      </c>
      <c r="L60" s="201">
        <f>+SUM(L52:L59)</f>
        <v>0</v>
      </c>
    </row>
    <row r="64" spans="1:12">
      <c r="L64" s="204"/>
    </row>
    <row r="65" spans="1:12">
      <c r="L65" s="208"/>
    </row>
    <row r="67" spans="1:12">
      <c r="A67" s="197" t="s">
        <v>451</v>
      </c>
      <c r="B67" s="198">
        <v>43800</v>
      </c>
      <c r="C67" s="198">
        <v>43831</v>
      </c>
      <c r="D67" s="198">
        <v>43862</v>
      </c>
      <c r="E67" s="198">
        <v>43891</v>
      </c>
      <c r="F67" s="198">
        <v>43922</v>
      </c>
      <c r="G67" s="198">
        <v>43952</v>
      </c>
      <c r="H67" s="198">
        <v>43983</v>
      </c>
      <c r="I67" s="198">
        <f>+I$7</f>
        <v>44013</v>
      </c>
      <c r="J67" s="198">
        <f>+J$7</f>
        <v>44044</v>
      </c>
      <c r="K67" s="198">
        <v>44075</v>
      </c>
      <c r="L67" s="198">
        <f>+L$7</f>
        <v>44105</v>
      </c>
    </row>
    <row r="68" spans="1:12">
      <c r="A68" s="199" t="s">
        <v>321</v>
      </c>
      <c r="B68" s="209">
        <f t="shared" ref="B68:L68" si="19">+B52/B$60</f>
        <v>0.49850232617496304</v>
      </c>
      <c r="C68" s="209">
        <f t="shared" si="19"/>
        <v>0.49488382076344667</v>
      </c>
      <c r="D68" s="209">
        <f t="shared" si="19"/>
        <v>0.47163664312290093</v>
      </c>
      <c r="E68" s="209">
        <f t="shared" si="19"/>
        <v>0.48986107203642587</v>
      </c>
      <c r="F68" s="209">
        <f t="shared" si="19"/>
        <v>0.4140911117594927</v>
      </c>
      <c r="G68" s="209">
        <f t="shared" si="19"/>
        <v>0.34488152608612982</v>
      </c>
      <c r="H68" s="209">
        <f t="shared" si="19"/>
        <v>0.33340419853723713</v>
      </c>
      <c r="I68" s="209">
        <f t="shared" si="19"/>
        <v>0.37725325301648621</v>
      </c>
      <c r="J68" s="209">
        <f t="shared" si="19"/>
        <v>0.37326534262630434</v>
      </c>
      <c r="K68" s="209">
        <f t="shared" si="19"/>
        <v>0.39220311495851828</v>
      </c>
      <c r="L68" s="209" t="e">
        <f t="shared" si="19"/>
        <v>#DIV/0!</v>
      </c>
    </row>
    <row r="69" spans="1:12">
      <c r="A69" s="199" t="s">
        <v>323</v>
      </c>
      <c r="B69" s="209">
        <f t="shared" ref="B69:G69" si="20">+B53/B$60</f>
        <v>0.18463505696357771</v>
      </c>
      <c r="C69" s="209">
        <f t="shared" si="20"/>
        <v>0.20303049895154451</v>
      </c>
      <c r="D69" s="209">
        <f t="shared" si="20"/>
        <v>0.2085808543812703</v>
      </c>
      <c r="E69" s="209">
        <f t="shared" si="20"/>
        <v>0.18674343207116581</v>
      </c>
      <c r="F69" s="209">
        <f t="shared" si="20"/>
        <v>0.20690142651773963</v>
      </c>
      <c r="G69" s="209">
        <f t="shared" si="20"/>
        <v>0.22634062978443911</v>
      </c>
      <c r="H69" s="209">
        <f t="shared" ref="H69:L71" si="21">+H53/H$60</f>
        <v>0.32713197426775165</v>
      </c>
      <c r="I69" s="209">
        <f t="shared" si="21"/>
        <v>0.31957850914300906</v>
      </c>
      <c r="J69" s="209">
        <f t="shared" si="21"/>
        <v>0.27908631790537924</v>
      </c>
      <c r="K69" s="209">
        <f t="shared" si="21"/>
        <v>0.26182082077600505</v>
      </c>
      <c r="L69" s="209" t="e">
        <f t="shared" si="21"/>
        <v>#DIV/0!</v>
      </c>
    </row>
    <row r="70" spans="1:12">
      <c r="A70" s="199" t="s">
        <v>322</v>
      </c>
      <c r="B70" s="209">
        <f t="shared" ref="B70:G70" si="22">+B54/B$60</f>
        <v>7.9917722882241582E-2</v>
      </c>
      <c r="C70" s="209">
        <f t="shared" si="22"/>
        <v>9.0236626343452878E-2</v>
      </c>
      <c r="D70" s="209">
        <f t="shared" si="22"/>
        <v>8.152806760212028E-2</v>
      </c>
      <c r="E70" s="209">
        <f t="shared" si="22"/>
        <v>8.8577520606622176E-2</v>
      </c>
      <c r="F70" s="209">
        <f t="shared" si="22"/>
        <v>9.7069891678492282E-2</v>
      </c>
      <c r="G70" s="209">
        <f t="shared" si="22"/>
        <v>0.1006003787416801</v>
      </c>
      <c r="H70" s="209">
        <f t="shared" si="21"/>
        <v>8.4115149158129662E-2</v>
      </c>
      <c r="I70" s="209">
        <f t="shared" si="21"/>
        <v>2.1285958569215589E-2</v>
      </c>
      <c r="J70" s="209">
        <f t="shared" si="21"/>
        <v>0</v>
      </c>
      <c r="K70" s="209">
        <f t="shared" si="21"/>
        <v>0</v>
      </c>
      <c r="L70" s="209" t="e">
        <f t="shared" si="21"/>
        <v>#DIV/0!</v>
      </c>
    </row>
    <row r="71" spans="1:12">
      <c r="A71" s="199" t="s">
        <v>324</v>
      </c>
      <c r="B71" s="209">
        <f t="shared" ref="B71:G71" si="23">+B55/B$60</f>
        <v>7.9683650816751286E-2</v>
      </c>
      <c r="C71" s="209">
        <f t="shared" si="23"/>
        <v>8.1293358510428265E-2</v>
      </c>
      <c r="D71" s="209">
        <f t="shared" si="23"/>
        <v>8.5721901814185084E-2</v>
      </c>
      <c r="E71" s="209">
        <f t="shared" si="23"/>
        <v>9.2613738528618261E-2</v>
      </c>
      <c r="F71" s="209">
        <f t="shared" si="23"/>
        <v>0.1189714213258866</v>
      </c>
      <c r="G71" s="209">
        <f t="shared" si="23"/>
        <v>0.14947619368720003</v>
      </c>
      <c r="H71" s="209">
        <f t="shared" si="21"/>
        <v>9.4707715507775708E-2</v>
      </c>
      <c r="I71" s="209">
        <f t="shared" si="21"/>
        <v>8.7911917682594556E-2</v>
      </c>
      <c r="J71" s="209">
        <f t="shared" si="21"/>
        <v>9.487912289537806E-2</v>
      </c>
      <c r="K71" s="209">
        <f t="shared" si="21"/>
        <v>8.9691517434836651E-2</v>
      </c>
      <c r="L71" s="209" t="e">
        <f t="shared" si="21"/>
        <v>#DIV/0!</v>
      </c>
    </row>
    <row r="72" spans="1:12">
      <c r="A72" s="199" t="s">
        <v>332</v>
      </c>
      <c r="B72" s="209">
        <f t="shared" ref="B72:L72" si="24">++B73-SUM(B68:B71)</f>
        <v>0.15726124316246626</v>
      </c>
      <c r="C72" s="209">
        <f t="shared" si="24"/>
        <v>0.13055569543112766</v>
      </c>
      <c r="D72" s="209">
        <f t="shared" si="24"/>
        <v>0.15253253307952341</v>
      </c>
      <c r="E72" s="209">
        <f t="shared" si="24"/>
        <v>0.14220423675716787</v>
      </c>
      <c r="F72" s="209">
        <f t="shared" si="24"/>
        <v>0.16296614871838888</v>
      </c>
      <c r="G72" s="209">
        <f t="shared" si="24"/>
        <v>0.17870127170055095</v>
      </c>
      <c r="H72" s="209">
        <f t="shared" si="24"/>
        <v>0.16064096252910587</v>
      </c>
      <c r="I72" s="209">
        <f t="shared" si="24"/>
        <v>0.19397036158869463</v>
      </c>
      <c r="J72" s="209">
        <f t="shared" si="24"/>
        <v>0.25276921657293838</v>
      </c>
      <c r="K72" s="209">
        <f t="shared" si="24"/>
        <v>0.25628454683064006</v>
      </c>
      <c r="L72" s="209" t="e">
        <f t="shared" si="24"/>
        <v>#DIV/0!</v>
      </c>
    </row>
    <row r="73" spans="1:12">
      <c r="A73" s="197" t="s">
        <v>454</v>
      </c>
      <c r="B73" s="210">
        <v>1</v>
      </c>
      <c r="C73" s="210">
        <v>1</v>
      </c>
      <c r="D73" s="210">
        <v>1</v>
      </c>
      <c r="E73" s="210">
        <v>1</v>
      </c>
      <c r="F73" s="210">
        <v>1</v>
      </c>
      <c r="G73" s="210">
        <v>1</v>
      </c>
      <c r="H73" s="210">
        <v>1</v>
      </c>
      <c r="I73" s="210">
        <f>+H73</f>
        <v>1</v>
      </c>
      <c r="J73" s="210">
        <f>+I73</f>
        <v>1</v>
      </c>
      <c r="K73" s="210">
        <f>+J73</f>
        <v>1</v>
      </c>
      <c r="L73" s="210">
        <v>1</v>
      </c>
    </row>
    <row r="78" spans="1:12">
      <c r="A78" s="197" t="s">
        <v>451</v>
      </c>
      <c r="B78" s="198">
        <v>43800</v>
      </c>
      <c r="C78" s="198">
        <v>43831</v>
      </c>
      <c r="D78" s="198">
        <v>43862</v>
      </c>
      <c r="E78" s="198">
        <v>43891</v>
      </c>
      <c r="F78" s="198">
        <v>43922</v>
      </c>
      <c r="G78" s="198">
        <v>43952</v>
      </c>
      <c r="H78" s="198">
        <v>43983</v>
      </c>
      <c r="I78" s="198">
        <f>+I$7</f>
        <v>44013</v>
      </c>
      <c r="J78" s="198">
        <f>+J$7</f>
        <v>44044</v>
      </c>
      <c r="K78" s="198">
        <v>44075</v>
      </c>
      <c r="L78" s="198">
        <f>+L$7</f>
        <v>44105</v>
      </c>
    </row>
    <row r="79" spans="1:12">
      <c r="A79" s="199" t="s">
        <v>321</v>
      </c>
      <c r="B79" s="211">
        <f>+B68*B$60/1000000</f>
        <v>5.2251148418999982</v>
      </c>
      <c r="C79" s="211">
        <f t="shared" ref="C79:L79" si="25">+C68*C$60/1000000</f>
        <v>4.823548154600001</v>
      </c>
      <c r="D79" s="211">
        <f t="shared" si="25"/>
        <v>4.4378106397000003</v>
      </c>
      <c r="E79" s="211">
        <f t="shared" si="25"/>
        <v>3.9562386149000002</v>
      </c>
      <c r="F79" s="211">
        <f t="shared" si="25"/>
        <v>2.0033335717999994</v>
      </c>
      <c r="G79" s="211">
        <f t="shared" si="25"/>
        <v>3.3134177993999998</v>
      </c>
      <c r="H79" s="211">
        <f t="shared" ref="H79:K84" si="26">+H68*H$60/1000000</f>
        <v>4.3143326380999998</v>
      </c>
      <c r="I79" s="211">
        <f t="shared" si="26"/>
        <v>5.0279071400999991</v>
      </c>
      <c r="J79" s="211">
        <f t="shared" si="26"/>
        <v>4.5541005999999999</v>
      </c>
      <c r="K79" s="211">
        <f t="shared" si="26"/>
        <v>3.9485830242</v>
      </c>
      <c r="L79" s="211" t="e">
        <f t="shared" si="25"/>
        <v>#DIV/0!</v>
      </c>
    </row>
    <row r="80" spans="1:12">
      <c r="A80" s="199" t="s">
        <v>323</v>
      </c>
      <c r="B80" s="211">
        <f t="shared" ref="B80:L80" si="27">+B69*B$60/1000000</f>
        <v>1.9352755760999998</v>
      </c>
      <c r="C80" s="211">
        <f t="shared" si="27"/>
        <v>1.9789036284000001</v>
      </c>
      <c r="D80" s="211">
        <f t="shared" si="27"/>
        <v>1.9626175114</v>
      </c>
      <c r="E80" s="211">
        <f t="shared" si="27"/>
        <v>1.5081859311000003</v>
      </c>
      <c r="F80" s="211">
        <f t="shared" si="27"/>
        <v>1.0009695017000002</v>
      </c>
      <c r="G80" s="211">
        <f t="shared" si="27"/>
        <v>2.1745469522999996</v>
      </c>
      <c r="H80" s="211">
        <f t="shared" si="26"/>
        <v>4.2331685076000003</v>
      </c>
      <c r="I80" s="211">
        <f t="shared" si="26"/>
        <v>4.2592371440000001</v>
      </c>
      <c r="J80" s="211">
        <f t="shared" si="26"/>
        <v>3.4050500345999994</v>
      </c>
      <c r="K80" s="211">
        <f t="shared" si="26"/>
        <v>2.6359332928999999</v>
      </c>
      <c r="L80" s="211" t="e">
        <f t="shared" si="27"/>
        <v>#DIV/0!</v>
      </c>
    </row>
    <row r="81" spans="1:12">
      <c r="A81" s="199" t="s">
        <v>322</v>
      </c>
      <c r="B81" s="211">
        <f t="shared" ref="B81:L81" si="28">+B70*B$60/1000000</f>
        <v>0.83766766580000007</v>
      </c>
      <c r="C81" s="211">
        <f t="shared" si="28"/>
        <v>0.87952099910000003</v>
      </c>
      <c r="D81" s="211">
        <f t="shared" si="28"/>
        <v>0.76712895640000001</v>
      </c>
      <c r="E81" s="211">
        <f t="shared" si="28"/>
        <v>0.71537386299999994</v>
      </c>
      <c r="F81" s="211">
        <f t="shared" si="28"/>
        <v>0.46961494049999997</v>
      </c>
      <c r="G81" s="211">
        <f t="shared" si="28"/>
        <v>0.96650896130000008</v>
      </c>
      <c r="H81" s="211">
        <f t="shared" si="26"/>
        <v>1.0884707960000002</v>
      </c>
      <c r="I81" s="211">
        <f t="shared" si="26"/>
        <v>0.28369224709999996</v>
      </c>
      <c r="J81" s="211">
        <f t="shared" si="26"/>
        <v>0</v>
      </c>
      <c r="K81" s="211">
        <f t="shared" si="26"/>
        <v>0</v>
      </c>
      <c r="L81" s="211" t="e">
        <f t="shared" si="28"/>
        <v>#DIV/0!</v>
      </c>
    </row>
    <row r="82" spans="1:12">
      <c r="A82" s="199" t="s">
        <v>324</v>
      </c>
      <c r="B82" s="211">
        <f t="shared" ref="B82:L82" si="29">+B71*B$60/1000000</f>
        <v>0.83521420999999996</v>
      </c>
      <c r="C82" s="211">
        <f t="shared" si="29"/>
        <v>0.79235249360000015</v>
      </c>
      <c r="D82" s="211">
        <f t="shared" si="29"/>
        <v>0.80659035610000007</v>
      </c>
      <c r="E82" s="211">
        <f t="shared" si="29"/>
        <v>0.74797135260000014</v>
      </c>
      <c r="F82" s="211">
        <f t="shared" si="29"/>
        <v>0.57557246620000002</v>
      </c>
      <c r="G82" s="211">
        <f t="shared" si="29"/>
        <v>1.4360788946000005</v>
      </c>
      <c r="H82" s="211">
        <f t="shared" si="26"/>
        <v>1.2255412196000004</v>
      </c>
      <c r="I82" s="211">
        <f t="shared" si="26"/>
        <v>1.1716610926000002</v>
      </c>
      <c r="J82" s="211">
        <f t="shared" si="26"/>
        <v>1.1575922571999999</v>
      </c>
      <c r="K82" s="211">
        <f t="shared" si="26"/>
        <v>0.9029872269</v>
      </c>
      <c r="L82" s="211" t="e">
        <f t="shared" si="29"/>
        <v>#DIV/0!</v>
      </c>
    </row>
    <row r="83" spans="1:12">
      <c r="A83" s="199" t="s">
        <v>332</v>
      </c>
      <c r="B83" s="211">
        <f t="shared" ref="B83:L83" si="30">+B72*B$60/1000000</f>
        <v>1.6483535031999952</v>
      </c>
      <c r="C83" s="211">
        <f t="shared" si="30"/>
        <v>1.2725040854999998</v>
      </c>
      <c r="D83" s="211">
        <f t="shared" si="30"/>
        <v>1.4352372914000009</v>
      </c>
      <c r="E83" s="211">
        <f t="shared" si="30"/>
        <v>1.1484764247999999</v>
      </c>
      <c r="F83" s="211">
        <f t="shared" si="30"/>
        <v>0.78841478970000067</v>
      </c>
      <c r="G83" s="211">
        <f t="shared" si="30"/>
        <v>1.7168561654999999</v>
      </c>
      <c r="H83" s="211">
        <f t="shared" si="26"/>
        <v>2.0787337132999979</v>
      </c>
      <c r="I83" s="211">
        <f t="shared" si="26"/>
        <v>2.5851731116999979</v>
      </c>
      <c r="J83" s="211">
        <f t="shared" si="26"/>
        <v>3.0839628258999983</v>
      </c>
      <c r="K83" s="211">
        <f t="shared" si="26"/>
        <v>2.5801957516000003</v>
      </c>
      <c r="L83" s="211" t="e">
        <f t="shared" si="30"/>
        <v>#DIV/0!</v>
      </c>
    </row>
    <row r="84" spans="1:12">
      <c r="A84" s="197" t="s">
        <v>454</v>
      </c>
      <c r="B84" s="212">
        <f t="shared" ref="B84:L84" si="31">+B73*B$60/1000000</f>
        <v>10.481625796999994</v>
      </c>
      <c r="C84" s="212">
        <f t="shared" si="31"/>
        <v>9.7468293612000014</v>
      </c>
      <c r="D84" s="212">
        <f t="shared" si="31"/>
        <v>9.4093847550000014</v>
      </c>
      <c r="E84" s="212">
        <f t="shared" si="31"/>
        <v>8.0762461864000006</v>
      </c>
      <c r="F84" s="212">
        <f t="shared" si="31"/>
        <v>4.8379052698999994</v>
      </c>
      <c r="G84" s="212">
        <f t="shared" si="31"/>
        <v>9.6074087730999995</v>
      </c>
      <c r="H84" s="212">
        <f t="shared" si="26"/>
        <v>12.9402468746</v>
      </c>
      <c r="I84" s="212">
        <f t="shared" si="26"/>
        <v>13.327670735499996</v>
      </c>
      <c r="J84" s="212">
        <f t="shared" si="26"/>
        <v>12.200705717699996</v>
      </c>
      <c r="K84" s="212">
        <f t="shared" si="26"/>
        <v>10.067699295599999</v>
      </c>
      <c r="L84" s="212">
        <f t="shared" si="31"/>
        <v>0</v>
      </c>
    </row>
    <row r="85" spans="1:12">
      <c r="B85" s="19">
        <f t="shared" ref="B85:G85" si="32">+B84</f>
        <v>10.481625796999994</v>
      </c>
      <c r="C85" s="19">
        <f t="shared" si="32"/>
        <v>9.7468293612000014</v>
      </c>
      <c r="D85" s="19">
        <f t="shared" si="32"/>
        <v>9.4093847550000014</v>
      </c>
      <c r="E85" s="19">
        <f t="shared" si="32"/>
        <v>8.0762461864000006</v>
      </c>
      <c r="F85" s="19">
        <f t="shared" si="32"/>
        <v>4.8379052698999994</v>
      </c>
      <c r="G85" s="19">
        <f t="shared" si="32"/>
        <v>9.6074087730999995</v>
      </c>
      <c r="H85" s="19">
        <f>+H84</f>
        <v>12.9402468746</v>
      </c>
      <c r="I85" s="19">
        <f>+I84</f>
        <v>13.327670735499996</v>
      </c>
      <c r="J85" s="19">
        <f>+J84</f>
        <v>12.200705717699996</v>
      </c>
      <c r="K85" s="19">
        <f>+K84</f>
        <v>10.067699295599999</v>
      </c>
      <c r="L85" s="19">
        <f>+'Resumen Digital'!N72</f>
        <v>0</v>
      </c>
    </row>
    <row r="86" spans="1:12">
      <c r="C86" s="137">
        <v>123.30096145311001</v>
      </c>
      <c r="D86" s="137">
        <v>128.31143919278</v>
      </c>
      <c r="E86" s="137">
        <v>85.127756368960007</v>
      </c>
      <c r="F86" s="137">
        <v>54.369718185779988</v>
      </c>
      <c r="G86" s="137">
        <v>111.67718587737001</v>
      </c>
      <c r="H86" s="137">
        <v>119.14425292364001</v>
      </c>
      <c r="I86" s="137">
        <v>136.30637094079</v>
      </c>
      <c r="J86" s="137">
        <v>129.69717431851998</v>
      </c>
      <c r="K86" s="137">
        <v>124.45465286957</v>
      </c>
      <c r="L86" s="137">
        <f>+'Resumen Digital'!$C$5</f>
        <v>412.36929870678</v>
      </c>
    </row>
    <row r="87" spans="1:12">
      <c r="C87" s="163">
        <f>+C85/(C86+C85)</f>
        <v>7.3258107493143557E-2</v>
      </c>
      <c r="D87" s="163">
        <f t="shared" ref="D87:L87" si="33">+D85/(D86+D85)</f>
        <v>6.8322164254316295E-2</v>
      </c>
      <c r="E87" s="163">
        <f t="shared" si="33"/>
        <v>8.6651280685107759E-2</v>
      </c>
      <c r="F87" s="163">
        <f t="shared" si="33"/>
        <v>8.1710850521156717E-2</v>
      </c>
      <c r="G87" s="163">
        <f t="shared" si="33"/>
        <v>7.9213760006269424E-2</v>
      </c>
      <c r="H87" s="163">
        <f>+H85/(H86+H85)</f>
        <v>9.79694581450989E-2</v>
      </c>
      <c r="I87" s="163">
        <f>+I85/(I86+I85)</f>
        <v>8.9068440484501119E-2</v>
      </c>
      <c r="J87" s="163">
        <f>+J85/(J86+J85)</f>
        <v>8.5982297371783978E-2</v>
      </c>
      <c r="K87" s="163">
        <f>+K85/(K86+K85)</f>
        <v>7.4840345366832567E-2</v>
      </c>
      <c r="L87" s="163">
        <f t="shared" si="33"/>
        <v>0</v>
      </c>
    </row>
  </sheetData>
  <sortState xmlns:xlrd2="http://schemas.microsoft.com/office/spreadsheetml/2017/richdata2" ref="A8:G18">
    <sortCondition descending="1" ref="G8:G1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C24A1A11C26D4BA88D01D04D65250D" ma:contentTypeVersion="12" ma:contentTypeDescription="Crear nuevo documento." ma:contentTypeScope="" ma:versionID="29486cdde3a445fd6512b3ad202187ab">
  <xsd:schema xmlns:xsd="http://www.w3.org/2001/XMLSchema" xmlns:xs="http://www.w3.org/2001/XMLSchema" xmlns:p="http://schemas.microsoft.com/office/2006/metadata/properties" xmlns:ns2="e3f76c66-1aa0-4370-829e-62862c30db8e" xmlns:ns3="153e7fb3-d759-405d-87fd-3685be4d9bdb" targetNamespace="http://schemas.microsoft.com/office/2006/metadata/properties" ma:root="true" ma:fieldsID="3e4771f58be98a0f2b83ea540859f7c4" ns2:_="" ns3:_="">
    <xsd:import namespace="e3f76c66-1aa0-4370-829e-62862c30db8e"/>
    <xsd:import namespace="153e7fb3-d759-405d-87fd-3685be4d9b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f76c66-1aa0-4370-829e-62862c30db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536f5af2-fc6c-420d-9bfd-1e8839ff1f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3e7fb3-d759-405d-87fd-3685be4d9bd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485805c-7e66-4d63-99bc-d3b4967fc1f1}" ma:internalName="TaxCatchAll" ma:showField="CatchAllData" ma:web="153e7fb3-d759-405d-87fd-3685be4d9b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f76c66-1aa0-4370-829e-62862c30db8e">
      <Terms xmlns="http://schemas.microsoft.com/office/infopath/2007/PartnerControls"/>
    </lcf76f155ced4ddcb4097134ff3c332f>
    <TaxCatchAll xmlns="153e7fb3-d759-405d-87fd-3685be4d9bd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C7E63A-0EF5-4848-8FE9-D9303F802F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f76c66-1aa0-4370-829e-62862c30db8e"/>
    <ds:schemaRef ds:uri="153e7fb3-d759-405d-87fd-3685be4d9b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799B45-46A9-4EF5-A9FA-86A1C34D5975}">
  <ds:schemaRefs>
    <ds:schemaRef ds:uri="http://purl.org/dc/terms/"/>
    <ds:schemaRef ds:uri="e3f76c66-1aa0-4370-829e-62862c30db8e"/>
    <ds:schemaRef ds:uri="http://schemas.openxmlformats.org/package/2006/metadata/core-properties"/>
    <ds:schemaRef ds:uri="http://schemas.microsoft.com/office/2006/documentManagement/types"/>
    <ds:schemaRef ds:uri="153e7fb3-d759-405d-87fd-3685be4d9bdb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65B2293-1DD8-43E5-8522-3032FB61B6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25</vt:i4>
      </vt:variant>
    </vt:vector>
  </HeadingPairs>
  <TitlesOfParts>
    <vt:vector size="25" baseType="lpstr">
      <vt:lpstr>FactuScore (2)</vt:lpstr>
      <vt:lpstr>PyCCuotas</vt:lpstr>
      <vt:lpstr>CuotasaAnterior</vt:lpstr>
      <vt:lpstr>cuotas diario</vt:lpstr>
      <vt:lpstr>AMEX</vt:lpstr>
      <vt:lpstr>Ejer</vt:lpstr>
      <vt:lpstr>CuotasActual</vt:lpstr>
      <vt:lpstr>Resumen</vt:lpstr>
      <vt:lpstr>Hoja3</vt:lpstr>
      <vt:lpstr>Res</vt:lpstr>
      <vt:lpstr>Proyección_indicadores</vt:lpstr>
      <vt:lpstr>Resumen Digital</vt:lpstr>
      <vt:lpstr>Proyección_indicadores_digital</vt:lpstr>
      <vt:lpstr>FactuScore</vt:lpstr>
      <vt:lpstr>FactuSemanal</vt:lpstr>
      <vt:lpstr>Graf_PowerBI</vt:lpstr>
      <vt:lpstr>Hoja2</vt:lpstr>
      <vt:lpstr>Hoja1</vt:lpstr>
      <vt:lpstr>Querys</vt:lpstr>
      <vt:lpstr>Fecha Proceso</vt:lpstr>
      <vt:lpstr>Facturación_Procesada</vt:lpstr>
      <vt:lpstr>Facturación_Procesada - Prop</vt:lpstr>
      <vt:lpstr>Fecha Proceso - Propuestado</vt:lpstr>
      <vt:lpstr>Tabla_Fec_Proceso</vt:lpstr>
      <vt:lpstr>Denegaciones Histórica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Condori Flores, Ian Kevin</cp:lastModifiedBy>
  <cp:revision/>
  <dcterms:created xsi:type="dcterms:W3CDTF">2017-10-23T13:24:09Z</dcterms:created>
  <dcterms:modified xsi:type="dcterms:W3CDTF">2026-05-07T23:56:33Z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0x0101003EC24A1A11C26D4BA88D01D04D65250D</vt:lpwstr>
  </property>
  <property fmtid="{D5CDD505-2E9C-101B-9397-08002B2CF9AE}" pid="3" name="MediaServiceImageTags">
    <vt:lpwstr/>
  </property>
  <property fmtid="{D5CDD505-2E9C-101B-9397-08002B2CF9AE}" pid="4" name="KriptosClassAi">
    <vt:lpwstr>1-Uso Interno</vt:lpwstr>
  </property>
</Properties>
</file>